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 hidePivotFieldList="1" showPivotChartFilter="1"/>
  <bookViews>
    <workbookView xWindow="6570" yWindow="315" windowWidth="7605" windowHeight="8280" activeTab="1"/>
  </bookViews>
  <sheets>
    <sheet name="Base" sheetId="32916" r:id="rId1"/>
    <sheet name="Ingreso" sheetId="32917" r:id="rId2"/>
    <sheet name="Informe Kelly" sheetId="32918" r:id="rId3"/>
    <sheet name="cruce " sheetId="32926" r:id="rId4"/>
  </sheets>
  <functionGroups/>
  <definedNames>
    <definedName name="_xlnm._FilterDatabase" localSheetId="0" hidden="1">Base!$A$1:$L$262</definedName>
    <definedName name="_xlnm._FilterDatabase" localSheetId="3" hidden="1">'cruce '!$B$7:$N$7</definedName>
    <definedName name="_xlnm._FilterDatabase" localSheetId="2" hidden="1">'Informe Kelly'!$A$1:$H$2528</definedName>
    <definedName name="_xlnm._FilterDatabase" localSheetId="1" hidden="1">Ingreso!$J$8:$AG$260</definedName>
  </definedNames>
  <calcPr calcId="125725"/>
  <pivotCaches>
    <pivotCache cacheId="0" r:id="rId5"/>
  </pivotCaches>
</workbook>
</file>

<file path=xl/calcChain.xml><?xml version="1.0" encoding="utf-8"?>
<calcChain xmlns="http://schemas.openxmlformats.org/spreadsheetml/2006/main">
  <c r="K3" i="32918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2001"/>
  <c r="K2002"/>
  <c r="K2003"/>
  <c r="K2004"/>
  <c r="K2005"/>
  <c r="K2006"/>
  <c r="K2007"/>
  <c r="K2008"/>
  <c r="K2009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3"/>
  <c r="K2064"/>
  <c r="K2065"/>
  <c r="K2066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"/>
  <c r="L8"/>
  <c r="L53"/>
  <c r="J126" i="32926"/>
  <c r="K126" s="1"/>
  <c r="J127"/>
  <c r="K127" s="1"/>
  <c r="J128"/>
  <c r="K128" s="1"/>
  <c r="J129"/>
  <c r="K129" s="1"/>
  <c r="I130"/>
  <c r="J130"/>
  <c r="K130" s="1"/>
  <c r="I131"/>
  <c r="J131"/>
  <c r="K131" s="1"/>
  <c r="I132"/>
  <c r="J132"/>
  <c r="K132" s="1"/>
  <c r="I133"/>
  <c r="J133"/>
  <c r="K133" s="1"/>
  <c r="I134"/>
  <c r="J134"/>
  <c r="K134" s="1"/>
  <c r="I135"/>
  <c r="I136" s="1"/>
  <c r="I137" s="1"/>
  <c r="I138" s="1"/>
  <c r="I139" s="1"/>
  <c r="I140" s="1"/>
  <c r="I141" s="1"/>
  <c r="J135"/>
  <c r="K135" s="1"/>
  <c r="J136"/>
  <c r="K136" s="1"/>
  <c r="J137"/>
  <c r="K137" s="1"/>
  <c r="J138"/>
  <c r="K138" s="1"/>
  <c r="J139"/>
  <c r="K139" s="1"/>
  <c r="J140"/>
  <c r="K140" s="1"/>
  <c r="J141"/>
  <c r="K141" s="1"/>
  <c r="I142"/>
  <c r="J142"/>
  <c r="K142" s="1"/>
  <c r="I143"/>
  <c r="I144" s="1"/>
  <c r="I145" s="1"/>
  <c r="I146" s="1"/>
  <c r="J143"/>
  <c r="K143" s="1"/>
  <c r="J144"/>
  <c r="K144" s="1"/>
  <c r="J145"/>
  <c r="K145" s="1"/>
  <c r="J146"/>
  <c r="K146" s="1"/>
  <c r="I147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J147"/>
  <c r="K147" s="1"/>
  <c r="J148"/>
  <c r="K148" s="1"/>
  <c r="J149"/>
  <c r="K149" s="1"/>
  <c r="J150"/>
  <c r="K150" s="1"/>
  <c r="J151"/>
  <c r="K151" s="1"/>
  <c r="J152"/>
  <c r="K152" s="1"/>
  <c r="J153"/>
  <c r="K153" s="1"/>
  <c r="J154"/>
  <c r="K154" s="1"/>
  <c r="J155"/>
  <c r="K155" s="1"/>
  <c r="J156"/>
  <c r="K156" s="1"/>
  <c r="J157"/>
  <c r="K157" s="1"/>
  <c r="J158"/>
  <c r="K158" s="1"/>
  <c r="J159"/>
  <c r="K159" s="1"/>
  <c r="J160"/>
  <c r="K160" s="1"/>
  <c r="J161"/>
  <c r="K161" s="1"/>
  <c r="J162"/>
  <c r="K162" s="1"/>
  <c r="J163"/>
  <c r="K163" s="1"/>
  <c r="J164"/>
  <c r="K164" s="1"/>
  <c r="J165"/>
  <c r="K165" s="1"/>
  <c r="J166"/>
  <c r="K166"/>
  <c r="J167"/>
  <c r="K167" s="1"/>
  <c r="J168"/>
  <c r="K168" s="1"/>
  <c r="J169"/>
  <c r="K169" s="1"/>
  <c r="J170"/>
  <c r="K170" s="1"/>
  <c r="J171"/>
  <c r="K171" s="1"/>
  <c r="J172"/>
  <c r="K172" s="1"/>
  <c r="J173"/>
  <c r="K173" s="1"/>
  <c r="J174"/>
  <c r="K174" s="1"/>
  <c r="J175"/>
  <c r="K175" s="1"/>
  <c r="J176"/>
  <c r="K176" s="1"/>
  <c r="J177"/>
  <c r="K177" s="1"/>
  <c r="J178"/>
  <c r="K178" s="1"/>
  <c r="J179"/>
  <c r="K179" s="1"/>
  <c r="J180"/>
  <c r="K180"/>
  <c r="J181"/>
  <c r="K181" s="1"/>
  <c r="J182"/>
  <c r="K182" s="1"/>
  <c r="J183"/>
  <c r="K183" s="1"/>
  <c r="J184"/>
  <c r="K184" s="1"/>
  <c r="J185"/>
  <c r="K185" s="1"/>
  <c r="J186"/>
  <c r="K186" s="1"/>
  <c r="J187"/>
  <c r="K187" s="1"/>
  <c r="J188"/>
  <c r="K188" s="1"/>
  <c r="J189"/>
  <c r="K189" s="1"/>
  <c r="J190"/>
  <c r="K190" s="1"/>
  <c r="J191"/>
  <c r="K191" s="1"/>
  <c r="J192"/>
  <c r="K192"/>
  <c r="J193"/>
  <c r="K193" s="1"/>
  <c r="J194"/>
  <c r="K194" s="1"/>
  <c r="J195"/>
  <c r="K195" s="1"/>
  <c r="J196"/>
  <c r="K196" s="1"/>
  <c r="J197"/>
  <c r="K197" s="1"/>
  <c r="J198"/>
  <c r="K198" s="1"/>
  <c r="J199"/>
  <c r="K199" s="1"/>
  <c r="J200"/>
  <c r="K200" s="1"/>
  <c r="J201"/>
  <c r="K201" s="1"/>
  <c r="J202"/>
  <c r="K202" s="1"/>
  <c r="J203"/>
  <c r="K203" s="1"/>
  <c r="J204"/>
  <c r="K204" s="1"/>
  <c r="J205"/>
  <c r="K205" s="1"/>
  <c r="J206"/>
  <c r="K206"/>
  <c r="J207"/>
  <c r="K207" s="1"/>
  <c r="J208"/>
  <c r="K208" s="1"/>
  <c r="J209"/>
  <c r="K209" s="1"/>
  <c r="J210"/>
  <c r="K210" s="1"/>
  <c r="J211"/>
  <c r="K211" s="1"/>
  <c r="J212"/>
  <c r="K212" s="1"/>
  <c r="J213"/>
  <c r="K213" s="1"/>
  <c r="J214"/>
  <c r="K214" s="1"/>
  <c r="J215"/>
  <c r="K215" s="1"/>
  <c r="J216"/>
  <c r="K216" s="1"/>
  <c r="J217"/>
  <c r="K217" s="1"/>
  <c r="J218"/>
  <c r="K218" s="1"/>
  <c r="J219"/>
  <c r="K219" s="1"/>
  <c r="J220"/>
  <c r="K220"/>
  <c r="J221"/>
  <c r="K221" s="1"/>
  <c r="J222"/>
  <c r="K222" s="1"/>
  <c r="J223"/>
  <c r="K223" s="1"/>
  <c r="J224"/>
  <c r="K224" s="1"/>
  <c r="J225"/>
  <c r="K225" s="1"/>
  <c r="J226"/>
  <c r="K226" s="1"/>
  <c r="J227"/>
  <c r="K227" s="1"/>
  <c r="J228"/>
  <c r="K228" s="1"/>
  <c r="J229"/>
  <c r="K229" s="1"/>
  <c r="J230"/>
  <c r="K230" s="1"/>
  <c r="J231"/>
  <c r="K231" s="1"/>
  <c r="J232"/>
  <c r="K232" s="1"/>
  <c r="J233"/>
  <c r="K233" s="1"/>
  <c r="J234"/>
  <c r="K234"/>
  <c r="J235"/>
  <c r="K235" s="1"/>
  <c r="J236"/>
  <c r="K236" s="1"/>
  <c r="J237"/>
  <c r="K237" s="1"/>
  <c r="J238"/>
  <c r="K238" s="1"/>
  <c r="J239"/>
  <c r="K239" s="1"/>
  <c r="J240"/>
  <c r="K240" s="1"/>
  <c r="J241"/>
  <c r="K241" s="1"/>
  <c r="J242"/>
  <c r="K242" s="1"/>
  <c r="J243"/>
  <c r="K243" s="1"/>
  <c r="J244"/>
  <c r="K244" s="1"/>
  <c r="J245"/>
  <c r="K245" s="1"/>
  <c r="J246"/>
  <c r="K246" s="1"/>
  <c r="J247"/>
  <c r="K247" s="1"/>
  <c r="J248"/>
  <c r="K248"/>
  <c r="J249"/>
  <c r="K249" s="1"/>
  <c r="J250"/>
  <c r="K250" s="1"/>
  <c r="J251"/>
  <c r="K251" s="1"/>
  <c r="J252"/>
  <c r="K252" s="1"/>
  <c r="J253"/>
  <c r="K253" s="1"/>
  <c r="J254"/>
  <c r="K254" s="1"/>
  <c r="J255"/>
  <c r="K255" s="1"/>
  <c r="J256"/>
  <c r="K256" s="1"/>
  <c r="J257"/>
  <c r="K257" s="1"/>
  <c r="J258"/>
  <c r="K258" s="1"/>
  <c r="J259"/>
  <c r="K259" s="1"/>
  <c r="J260"/>
  <c r="K260" s="1"/>
  <c r="J261"/>
  <c r="K261" s="1"/>
  <c r="J262"/>
  <c r="K262" s="1"/>
  <c r="J263"/>
  <c r="K263" s="1"/>
  <c r="J264"/>
  <c r="K264" s="1"/>
  <c r="J265"/>
  <c r="K265" s="1"/>
  <c r="J266"/>
  <c r="K266"/>
  <c r="J267"/>
  <c r="K267" s="1"/>
  <c r="J268"/>
  <c r="K268" s="1"/>
  <c r="J269"/>
  <c r="K269" s="1"/>
  <c r="J270"/>
  <c r="K270" s="1"/>
  <c r="J271"/>
  <c r="K271" s="1"/>
  <c r="J272"/>
  <c r="K272" s="1"/>
  <c r="J273"/>
  <c r="K273" s="1"/>
  <c r="J274"/>
  <c r="K274" s="1"/>
  <c r="J275"/>
  <c r="K275" s="1"/>
  <c r="J276"/>
  <c r="K276" s="1"/>
  <c r="J277"/>
  <c r="K277" s="1"/>
  <c r="J278"/>
  <c r="K278" s="1"/>
  <c r="J279"/>
  <c r="K279" s="1"/>
  <c r="J280"/>
  <c r="K280" s="1"/>
  <c r="J281"/>
  <c r="K281" s="1"/>
  <c r="J282"/>
  <c r="K282" s="1"/>
  <c r="J283"/>
  <c r="K283" s="1"/>
  <c r="J284"/>
  <c r="K284" s="1"/>
  <c r="J285"/>
  <c r="K285" s="1"/>
  <c r="J286"/>
  <c r="K286" s="1"/>
  <c r="J287"/>
  <c r="K287" s="1"/>
  <c r="J288"/>
  <c r="K288" s="1"/>
  <c r="J289"/>
  <c r="K289" s="1"/>
  <c r="J290"/>
  <c r="K290" s="1"/>
  <c r="J291"/>
  <c r="K291" s="1"/>
  <c r="J292"/>
  <c r="K292" s="1"/>
  <c r="J293"/>
  <c r="K293" s="1"/>
  <c r="J294"/>
  <c r="K294" s="1"/>
  <c r="J295"/>
  <c r="K295" s="1"/>
  <c r="J296"/>
  <c r="K296" s="1"/>
  <c r="J297"/>
  <c r="K297" s="1"/>
  <c r="J298"/>
  <c r="K298" s="1"/>
  <c r="J299"/>
  <c r="K299" s="1"/>
  <c r="J300"/>
  <c r="K300" s="1"/>
  <c r="J301"/>
  <c r="K301" s="1"/>
  <c r="J302"/>
  <c r="K302" s="1"/>
  <c r="J303"/>
  <c r="K303" s="1"/>
  <c r="J304"/>
  <c r="K304" s="1"/>
  <c r="J305"/>
  <c r="K305" s="1"/>
  <c r="J306"/>
  <c r="K306" s="1"/>
  <c r="J307"/>
  <c r="K307" s="1"/>
  <c r="J308"/>
  <c r="K308" s="1"/>
  <c r="J309"/>
  <c r="K309" s="1"/>
  <c r="J310"/>
  <c r="K310" s="1"/>
  <c r="J311"/>
  <c r="K311" s="1"/>
  <c r="J312"/>
  <c r="K312" s="1"/>
  <c r="J313"/>
  <c r="K313" s="1"/>
  <c r="J314"/>
  <c r="K314" s="1"/>
  <c r="J315"/>
  <c r="K315" s="1"/>
  <c r="J316"/>
  <c r="K316" s="1"/>
  <c r="J317"/>
  <c r="K317" s="1"/>
  <c r="J318"/>
  <c r="K318" s="1"/>
  <c r="J319"/>
  <c r="K319" s="1"/>
  <c r="J320"/>
  <c r="K320" s="1"/>
  <c r="J321"/>
  <c r="K321" s="1"/>
  <c r="J322"/>
  <c r="K322" s="1"/>
  <c r="J323"/>
  <c r="K323" s="1"/>
  <c r="J324"/>
  <c r="K324" s="1"/>
  <c r="J325"/>
  <c r="K325" s="1"/>
  <c r="J326"/>
  <c r="K326" s="1"/>
  <c r="J327"/>
  <c r="K327" s="1"/>
  <c r="J328"/>
  <c r="K328" s="1"/>
  <c r="J329"/>
  <c r="K329" s="1"/>
  <c r="J330"/>
  <c r="K330" s="1"/>
  <c r="J331"/>
  <c r="K331" s="1"/>
  <c r="J332"/>
  <c r="K332" s="1"/>
  <c r="J333"/>
  <c r="K333" s="1"/>
  <c r="J334"/>
  <c r="K334" s="1"/>
  <c r="J335"/>
  <c r="K335" s="1"/>
  <c r="J336"/>
  <c r="K336" s="1"/>
  <c r="J337"/>
  <c r="K337" s="1"/>
  <c r="J338"/>
  <c r="K338" s="1"/>
  <c r="J339"/>
  <c r="K339" s="1"/>
  <c r="J340"/>
  <c r="K340" s="1"/>
  <c r="J341"/>
  <c r="K341" s="1"/>
  <c r="J342"/>
  <c r="K342" s="1"/>
  <c r="J343"/>
  <c r="K343" s="1"/>
  <c r="J344"/>
  <c r="K344" s="1"/>
  <c r="J345"/>
  <c r="K345" s="1"/>
  <c r="J346"/>
  <c r="K346" s="1"/>
  <c r="J347"/>
  <c r="K347" s="1"/>
  <c r="J348"/>
  <c r="K348" s="1"/>
  <c r="J349"/>
  <c r="K349" s="1"/>
  <c r="J350"/>
  <c r="K350" s="1"/>
  <c r="J351"/>
  <c r="K351" s="1"/>
  <c r="J352"/>
  <c r="K352" s="1"/>
  <c r="J353"/>
  <c r="K353" s="1"/>
  <c r="J354"/>
  <c r="K354" s="1"/>
  <c r="J355"/>
  <c r="K355" s="1"/>
  <c r="J356"/>
  <c r="K356" s="1"/>
  <c r="J357"/>
  <c r="K357" s="1"/>
  <c r="J358"/>
  <c r="K358" s="1"/>
  <c r="J359"/>
  <c r="K359" s="1"/>
  <c r="J360"/>
  <c r="K360" s="1"/>
  <c r="I361"/>
  <c r="J361"/>
  <c r="K361" s="1"/>
  <c r="I362"/>
  <c r="J362"/>
  <c r="K362" s="1"/>
  <c r="I363"/>
  <c r="I364" s="1"/>
  <c r="I365" s="1"/>
  <c r="I366" s="1"/>
  <c r="I367" s="1"/>
  <c r="I368" s="1"/>
  <c r="I369" s="1"/>
  <c r="I370" s="1"/>
  <c r="I371" s="1"/>
  <c r="J363"/>
  <c r="K363" s="1"/>
  <c r="J364"/>
  <c r="K364" s="1"/>
  <c r="J365"/>
  <c r="K365" s="1"/>
  <c r="J366"/>
  <c r="K366" s="1"/>
  <c r="J367"/>
  <c r="K367" s="1"/>
  <c r="J368"/>
  <c r="K368" s="1"/>
  <c r="J369"/>
  <c r="K369" s="1"/>
  <c r="J370"/>
  <c r="K370" s="1"/>
  <c r="J371"/>
  <c r="K371" s="1"/>
  <c r="I372"/>
  <c r="J372"/>
  <c r="K372" s="1"/>
  <c r="I373"/>
  <c r="I374" s="1"/>
  <c r="I375" s="1"/>
  <c r="J373"/>
  <c r="K373" s="1"/>
  <c r="J374"/>
  <c r="K374" s="1"/>
  <c r="J375"/>
  <c r="K375" s="1"/>
  <c r="I376"/>
  <c r="I377" s="1"/>
  <c r="I378" s="1"/>
  <c r="I379" s="1"/>
  <c r="I380" s="1"/>
  <c r="J376"/>
  <c r="K376" s="1"/>
  <c r="J377"/>
  <c r="K377" s="1"/>
  <c r="J378"/>
  <c r="K378" s="1"/>
  <c r="J379"/>
  <c r="K379" s="1"/>
  <c r="J380"/>
  <c r="K380" s="1"/>
  <c r="I381"/>
  <c r="J381"/>
  <c r="K381" s="1"/>
  <c r="I382"/>
  <c r="J382"/>
  <c r="K382" s="1"/>
  <c r="I383"/>
  <c r="I384" s="1"/>
  <c r="I385" s="1"/>
  <c r="J383"/>
  <c r="K383" s="1"/>
  <c r="J384"/>
  <c r="K384" s="1"/>
  <c r="J385"/>
  <c r="K385" s="1"/>
  <c r="I386"/>
  <c r="J386"/>
  <c r="K386" s="1"/>
  <c r="I387"/>
  <c r="J387"/>
  <c r="K387" s="1"/>
  <c r="I388"/>
  <c r="I389" s="1"/>
  <c r="J388"/>
  <c r="K388" s="1"/>
  <c r="J389"/>
  <c r="K389" s="1"/>
  <c r="I390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J390"/>
  <c r="K390" s="1"/>
  <c r="J391"/>
  <c r="K391" s="1"/>
  <c r="J392"/>
  <c r="K392" s="1"/>
  <c r="J393"/>
  <c r="K393" s="1"/>
  <c r="J394"/>
  <c r="K394" s="1"/>
  <c r="J395"/>
  <c r="K395" s="1"/>
  <c r="J396"/>
  <c r="K396" s="1"/>
  <c r="J397"/>
  <c r="K397" s="1"/>
  <c r="J398"/>
  <c r="K398" s="1"/>
  <c r="J399"/>
  <c r="K399" s="1"/>
  <c r="J400"/>
  <c r="K400" s="1"/>
  <c r="J401"/>
  <c r="K401" s="1"/>
  <c r="J402"/>
  <c r="K402" s="1"/>
  <c r="J403"/>
  <c r="K403" s="1"/>
  <c r="J404"/>
  <c r="K404" s="1"/>
  <c r="J405"/>
  <c r="K405" s="1"/>
  <c r="J406"/>
  <c r="K406" s="1"/>
  <c r="J407"/>
  <c r="K407" s="1"/>
  <c r="J408"/>
  <c r="K408" s="1"/>
  <c r="J409"/>
  <c r="K409" s="1"/>
  <c r="J410"/>
  <c r="K410" s="1"/>
  <c r="J411"/>
  <c r="K411" s="1"/>
  <c r="J412"/>
  <c r="K412" s="1"/>
  <c r="J413"/>
  <c r="K413" s="1"/>
  <c r="J414"/>
  <c r="K414" s="1"/>
  <c r="J415"/>
  <c r="K415" s="1"/>
  <c r="J416"/>
  <c r="K416" s="1"/>
  <c r="J417"/>
  <c r="K417" s="1"/>
  <c r="J418"/>
  <c r="K418" s="1"/>
  <c r="J419"/>
  <c r="K419" s="1"/>
  <c r="J420"/>
  <c r="K420" s="1"/>
  <c r="J421"/>
  <c r="K421" s="1"/>
  <c r="J422"/>
  <c r="K422" s="1"/>
  <c r="J423"/>
  <c r="K423" s="1"/>
  <c r="J424"/>
  <c r="K424" s="1"/>
  <c r="J425"/>
  <c r="K425" s="1"/>
  <c r="J426"/>
  <c r="K426" s="1"/>
  <c r="J427"/>
  <c r="K427" s="1"/>
  <c r="I428"/>
  <c r="J428"/>
  <c r="K428" s="1"/>
  <c r="I429"/>
  <c r="J429"/>
  <c r="K429" s="1"/>
  <c r="I430"/>
  <c r="I431" s="1"/>
  <c r="I432" s="1"/>
  <c r="I433" s="1"/>
  <c r="I434" s="1"/>
  <c r="J430"/>
  <c r="K430" s="1"/>
  <c r="J431"/>
  <c r="K431" s="1"/>
  <c r="J432"/>
  <c r="K432" s="1"/>
  <c r="J433"/>
  <c r="K433" s="1"/>
  <c r="J434"/>
  <c r="K434" s="1"/>
  <c r="I435"/>
  <c r="J435"/>
  <c r="K435" s="1"/>
  <c r="I436"/>
  <c r="J436"/>
  <c r="K436" s="1"/>
  <c r="I437"/>
  <c r="J437"/>
  <c r="K437" s="1"/>
  <c r="I438"/>
  <c r="I439" s="1"/>
  <c r="I440" s="1"/>
  <c r="J438"/>
  <c r="K438" s="1"/>
  <c r="J439"/>
  <c r="K439" s="1"/>
  <c r="J440"/>
  <c r="K440" s="1"/>
  <c r="I441"/>
  <c r="J441"/>
  <c r="K441" s="1"/>
  <c r="I442"/>
  <c r="I443" s="1"/>
  <c r="I444" s="1"/>
  <c r="I445" s="1"/>
  <c r="I446" s="1"/>
  <c r="J442"/>
  <c r="K442" s="1"/>
  <c r="J443"/>
  <c r="K443" s="1"/>
  <c r="J444"/>
  <c r="K444" s="1"/>
  <c r="J445"/>
  <c r="K445" s="1"/>
  <c r="J446"/>
  <c r="K446" s="1"/>
  <c r="I447"/>
  <c r="J447"/>
  <c r="K447" s="1"/>
  <c r="I448"/>
  <c r="J448"/>
  <c r="K448" s="1"/>
  <c r="I449"/>
  <c r="I450" s="1"/>
  <c r="I451" s="1"/>
  <c r="J449"/>
  <c r="K449" s="1"/>
  <c r="J450"/>
  <c r="K450" s="1"/>
  <c r="J451"/>
  <c r="K451" s="1"/>
  <c r="I452"/>
  <c r="J452"/>
  <c r="K452" s="1"/>
  <c r="I453"/>
  <c r="I454" s="1"/>
  <c r="I455" s="1"/>
  <c r="I456" s="1"/>
  <c r="J453"/>
  <c r="K453" s="1"/>
  <c r="J454"/>
  <c r="K454" s="1"/>
  <c r="J455"/>
  <c r="K455" s="1"/>
  <c r="J456"/>
  <c r="K456" s="1"/>
  <c r="I457"/>
  <c r="I458" s="1"/>
  <c r="I459" s="1"/>
  <c r="I460" s="1"/>
  <c r="I461" s="1"/>
  <c r="I462" s="1"/>
  <c r="I463" s="1"/>
  <c r="I464" s="1"/>
  <c r="I465" s="1"/>
  <c r="I466" s="1"/>
  <c r="I467" s="1"/>
  <c r="I468" s="1"/>
  <c r="I469" s="1"/>
  <c r="J457"/>
  <c r="K457" s="1"/>
  <c r="J458"/>
  <c r="K458" s="1"/>
  <c r="J459"/>
  <c r="K459" s="1"/>
  <c r="J460"/>
  <c r="K460" s="1"/>
  <c r="J461"/>
  <c r="K461" s="1"/>
  <c r="J462"/>
  <c r="K462" s="1"/>
  <c r="J463"/>
  <c r="K463" s="1"/>
  <c r="J464"/>
  <c r="K464" s="1"/>
  <c r="J465"/>
  <c r="K465" s="1"/>
  <c r="J466"/>
  <c r="K466" s="1"/>
  <c r="J467"/>
  <c r="K467" s="1"/>
  <c r="J468"/>
  <c r="K468" s="1"/>
  <c r="J469"/>
  <c r="K469" s="1"/>
  <c r="I470"/>
  <c r="I471" s="1"/>
  <c r="J470"/>
  <c r="K470" s="1"/>
  <c r="J471"/>
  <c r="K471" s="1"/>
  <c r="I472"/>
  <c r="I473" s="1"/>
  <c r="I474" s="1"/>
  <c r="I475" s="1"/>
  <c r="I476" s="1"/>
  <c r="I477" s="1"/>
  <c r="I478" s="1"/>
  <c r="I479" s="1"/>
  <c r="J472"/>
  <c r="K472" s="1"/>
  <c r="J473"/>
  <c r="K473" s="1"/>
  <c r="J474"/>
  <c r="K474" s="1"/>
  <c r="J475"/>
  <c r="K475" s="1"/>
  <c r="J476"/>
  <c r="K476" s="1"/>
  <c r="J477"/>
  <c r="K477" s="1"/>
  <c r="J478"/>
  <c r="K478" s="1"/>
  <c r="J479"/>
  <c r="K479" s="1"/>
  <c r="I480"/>
  <c r="I481" s="1"/>
  <c r="J480"/>
  <c r="K480" s="1"/>
  <c r="J481"/>
  <c r="K481" s="1"/>
  <c r="I482"/>
  <c r="I483" s="1"/>
  <c r="I484" s="1"/>
  <c r="J482"/>
  <c r="K482" s="1"/>
  <c r="J483"/>
  <c r="K483" s="1"/>
  <c r="J484"/>
  <c r="K484" s="1"/>
  <c r="I485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J485"/>
  <c r="K485" s="1"/>
  <c r="J486"/>
  <c r="K486" s="1"/>
  <c r="J487"/>
  <c r="K487" s="1"/>
  <c r="J488"/>
  <c r="K488" s="1"/>
  <c r="J489"/>
  <c r="K489" s="1"/>
  <c r="J490"/>
  <c r="K490" s="1"/>
  <c r="J491"/>
  <c r="K491" s="1"/>
  <c r="J492"/>
  <c r="K492" s="1"/>
  <c r="J493"/>
  <c r="K493" s="1"/>
  <c r="J494"/>
  <c r="K494" s="1"/>
  <c r="J495"/>
  <c r="K495" s="1"/>
  <c r="J496"/>
  <c r="K496" s="1"/>
  <c r="J497"/>
  <c r="K497" s="1"/>
  <c r="J498"/>
  <c r="K498" s="1"/>
  <c r="J499"/>
  <c r="K499" s="1"/>
  <c r="I500"/>
  <c r="J500"/>
  <c r="K500" s="1"/>
  <c r="I501"/>
  <c r="J501"/>
  <c r="K501" s="1"/>
  <c r="I502"/>
  <c r="J502"/>
  <c r="K502" s="1"/>
  <c r="I503"/>
  <c r="J503"/>
  <c r="K503" s="1"/>
  <c r="I504"/>
  <c r="I505" s="1"/>
  <c r="I506" s="1"/>
  <c r="J504"/>
  <c r="K504" s="1"/>
  <c r="J505"/>
  <c r="K505" s="1"/>
  <c r="J506"/>
  <c r="K506" s="1"/>
  <c r="I507"/>
  <c r="J507"/>
  <c r="K507" s="1"/>
  <c r="I508"/>
  <c r="J508"/>
  <c r="K508" s="1"/>
  <c r="I509"/>
  <c r="J509"/>
  <c r="K509" s="1"/>
  <c r="I510"/>
  <c r="I511" s="1"/>
  <c r="J510"/>
  <c r="K510" s="1"/>
  <c r="J511"/>
  <c r="K511" s="1"/>
  <c r="I512"/>
  <c r="J512"/>
  <c r="K512" s="1"/>
  <c r="I513"/>
  <c r="J513"/>
  <c r="K513" s="1"/>
  <c r="I514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J514"/>
  <c r="K514" s="1"/>
  <c r="J515"/>
  <c r="K515" s="1"/>
  <c r="J516"/>
  <c r="K516" s="1"/>
  <c r="J517"/>
  <c r="K517" s="1"/>
  <c r="J518"/>
  <c r="K518" s="1"/>
  <c r="J519"/>
  <c r="K519" s="1"/>
  <c r="J520"/>
  <c r="K520" s="1"/>
  <c r="J521"/>
  <c r="K521" s="1"/>
  <c r="J522"/>
  <c r="K522" s="1"/>
  <c r="J523"/>
  <c r="K523" s="1"/>
  <c r="J524"/>
  <c r="K524" s="1"/>
  <c r="J525"/>
  <c r="K525" s="1"/>
  <c r="J526"/>
  <c r="K526" s="1"/>
  <c r="J527"/>
  <c r="K527" s="1"/>
  <c r="J528"/>
  <c r="K528" s="1"/>
  <c r="J529"/>
  <c r="K529" s="1"/>
  <c r="J530"/>
  <c r="K530" s="1"/>
  <c r="J531"/>
  <c r="K531" s="1"/>
  <c r="J532"/>
  <c r="K532" s="1"/>
  <c r="J533"/>
  <c r="K533" s="1"/>
  <c r="J534"/>
  <c r="K534" s="1"/>
  <c r="J535"/>
  <c r="K535" s="1"/>
  <c r="J536"/>
  <c r="K536" s="1"/>
  <c r="J537"/>
  <c r="K537" s="1"/>
  <c r="J538"/>
  <c r="K538" s="1"/>
  <c r="J539"/>
  <c r="K539" s="1"/>
  <c r="J540"/>
  <c r="K540" s="1"/>
  <c r="J541"/>
  <c r="K541" s="1"/>
  <c r="J542"/>
  <c r="K542" s="1"/>
  <c r="J543"/>
  <c r="K543" s="1"/>
  <c r="J544"/>
  <c r="K544" s="1"/>
  <c r="J545"/>
  <c r="K545" s="1"/>
  <c r="J546"/>
  <c r="K546" s="1"/>
  <c r="J547"/>
  <c r="K547" s="1"/>
  <c r="J548"/>
  <c r="K548" s="1"/>
  <c r="J549"/>
  <c r="K549" s="1"/>
  <c r="J550"/>
  <c r="K550" s="1"/>
  <c r="J551"/>
  <c r="K551" s="1"/>
  <c r="J552"/>
  <c r="K552" s="1"/>
  <c r="J553"/>
  <c r="K553" s="1"/>
  <c r="J554"/>
  <c r="K554" s="1"/>
  <c r="J555"/>
  <c r="K555" s="1"/>
  <c r="J556"/>
  <c r="K556" s="1"/>
  <c r="J557"/>
  <c r="K557" s="1"/>
  <c r="J558"/>
  <c r="K558" s="1"/>
  <c r="J559"/>
  <c r="K559" s="1"/>
  <c r="J560"/>
  <c r="K560" s="1"/>
  <c r="J561"/>
  <c r="K561" s="1"/>
  <c r="J562"/>
  <c r="K562" s="1"/>
  <c r="J563"/>
  <c r="K563" s="1"/>
  <c r="J564"/>
  <c r="K564" s="1"/>
  <c r="J565"/>
  <c r="K565" s="1"/>
  <c r="J566"/>
  <c r="K566" s="1"/>
  <c r="J567"/>
  <c r="K567" s="1"/>
  <c r="J568"/>
  <c r="K568" s="1"/>
  <c r="J569"/>
  <c r="K569" s="1"/>
  <c r="J570"/>
  <c r="K570" s="1"/>
  <c r="J571"/>
  <c r="K571" s="1"/>
  <c r="J572"/>
  <c r="K572" s="1"/>
  <c r="J573"/>
  <c r="K573" s="1"/>
  <c r="J574"/>
  <c r="K574" s="1"/>
  <c r="J575"/>
  <c r="K575" s="1"/>
  <c r="J576"/>
  <c r="K576" s="1"/>
  <c r="I577"/>
  <c r="I578" s="1"/>
  <c r="I579" s="1"/>
  <c r="I580" s="1"/>
  <c r="J577"/>
  <c r="K577" s="1"/>
  <c r="J578"/>
  <c r="K578" s="1"/>
  <c r="J579"/>
  <c r="K579" s="1"/>
  <c r="J580"/>
  <c r="K580" s="1"/>
  <c r="J581"/>
  <c r="K581" s="1"/>
  <c r="J582"/>
  <c r="K582" s="1"/>
  <c r="J583"/>
  <c r="K583" s="1"/>
  <c r="J584"/>
  <c r="K584" s="1"/>
  <c r="J585"/>
  <c r="K585" s="1"/>
  <c r="J586"/>
  <c r="K586" s="1"/>
  <c r="J587"/>
  <c r="K587" s="1"/>
  <c r="J588"/>
  <c r="K588" s="1"/>
  <c r="J589"/>
  <c r="K589" s="1"/>
  <c r="J590"/>
  <c r="K590" s="1"/>
  <c r="J591"/>
  <c r="K591" s="1"/>
  <c r="J592"/>
  <c r="K592" s="1"/>
  <c r="J593"/>
  <c r="K593" s="1"/>
  <c r="J594"/>
  <c r="K594" s="1"/>
  <c r="J595"/>
  <c r="K595" s="1"/>
  <c r="J596"/>
  <c r="K596" s="1"/>
  <c r="J597"/>
  <c r="K597" s="1"/>
  <c r="J598"/>
  <c r="K598" s="1"/>
  <c r="J599"/>
  <c r="K599" s="1"/>
  <c r="J600"/>
  <c r="K600" s="1"/>
  <c r="J601"/>
  <c r="K601" s="1"/>
  <c r="J602"/>
  <c r="K602" s="1"/>
  <c r="J603"/>
  <c r="K603" s="1"/>
  <c r="J604"/>
  <c r="K604" s="1"/>
  <c r="J605"/>
  <c r="K605" s="1"/>
  <c r="J606"/>
  <c r="K606" s="1"/>
  <c r="J607"/>
  <c r="K607" s="1"/>
  <c r="J608"/>
  <c r="K608" s="1"/>
  <c r="J609"/>
  <c r="K609" s="1"/>
  <c r="J610"/>
  <c r="K610" s="1"/>
  <c r="J611"/>
  <c r="K611" s="1"/>
  <c r="J612"/>
  <c r="K612" s="1"/>
  <c r="J613"/>
  <c r="K613" s="1"/>
  <c r="J614"/>
  <c r="K614" s="1"/>
  <c r="J615"/>
  <c r="K615" s="1"/>
  <c r="J616"/>
  <c r="K616" s="1"/>
  <c r="J617"/>
  <c r="K617"/>
  <c r="J618"/>
  <c r="K618" s="1"/>
  <c r="J619"/>
  <c r="K619" s="1"/>
  <c r="J620"/>
  <c r="K620" s="1"/>
  <c r="J621"/>
  <c r="K621" s="1"/>
  <c r="J622"/>
  <c r="K622" s="1"/>
  <c r="J623"/>
  <c r="K623" s="1"/>
  <c r="J624"/>
  <c r="K624" s="1"/>
  <c r="J625"/>
  <c r="K625" s="1"/>
  <c r="J626"/>
  <c r="K626" s="1"/>
  <c r="J627"/>
  <c r="K627" s="1"/>
  <c r="J628"/>
  <c r="K628" s="1"/>
  <c r="J629"/>
  <c r="K629" s="1"/>
  <c r="J630"/>
  <c r="K630" s="1"/>
  <c r="J631"/>
  <c r="K631" s="1"/>
  <c r="J632"/>
  <c r="K632" s="1"/>
  <c r="J633"/>
  <c r="K633" s="1"/>
  <c r="J634"/>
  <c r="K634" s="1"/>
  <c r="J635"/>
  <c r="K635" s="1"/>
  <c r="J636"/>
  <c r="K636" s="1"/>
  <c r="J637"/>
  <c r="K637" s="1"/>
  <c r="J638"/>
  <c r="K638" s="1"/>
  <c r="J639"/>
  <c r="K639" s="1"/>
  <c r="J640"/>
  <c r="K640" s="1"/>
  <c r="J641"/>
  <c r="K641" s="1"/>
  <c r="J642"/>
  <c r="K642" s="1"/>
  <c r="J643"/>
  <c r="K643" s="1"/>
  <c r="J644"/>
  <c r="K644" s="1"/>
  <c r="J645"/>
  <c r="K645" s="1"/>
  <c r="J646"/>
  <c r="K646" s="1"/>
  <c r="J647"/>
  <c r="K647" s="1"/>
  <c r="J648"/>
  <c r="K648" s="1"/>
  <c r="J649"/>
  <c r="K649"/>
  <c r="J650"/>
  <c r="K650" s="1"/>
  <c r="J651"/>
  <c r="K651" s="1"/>
  <c r="J652"/>
  <c r="K652" s="1"/>
  <c r="J653"/>
  <c r="K653" s="1"/>
  <c r="J654"/>
  <c r="K654" s="1"/>
  <c r="J655"/>
  <c r="K655" s="1"/>
  <c r="J656"/>
  <c r="K656" s="1"/>
  <c r="J657"/>
  <c r="K657" s="1"/>
  <c r="J658"/>
  <c r="K658" s="1"/>
  <c r="J659"/>
  <c r="K659" s="1"/>
  <c r="J660"/>
  <c r="K660" s="1"/>
  <c r="J661"/>
  <c r="K661" s="1"/>
  <c r="J662"/>
  <c r="K662" s="1"/>
  <c r="J663"/>
  <c r="K663" s="1"/>
  <c r="J664"/>
  <c r="K664" s="1"/>
  <c r="J665"/>
  <c r="K665"/>
  <c r="J666"/>
  <c r="K666" s="1"/>
  <c r="J667"/>
  <c r="K667" s="1"/>
  <c r="J668"/>
  <c r="K668" s="1"/>
  <c r="J669"/>
  <c r="K669" s="1"/>
  <c r="J670"/>
  <c r="K670" s="1"/>
  <c r="J671"/>
  <c r="K671" s="1"/>
  <c r="J672"/>
  <c r="K672" s="1"/>
  <c r="J673"/>
  <c r="K673" s="1"/>
  <c r="J674"/>
  <c r="K674" s="1"/>
  <c r="J675"/>
  <c r="K675"/>
  <c r="J676"/>
  <c r="K676" s="1"/>
  <c r="J677"/>
  <c r="K677" s="1"/>
  <c r="J678"/>
  <c r="K678" s="1"/>
  <c r="J679"/>
  <c r="K679" s="1"/>
  <c r="J680"/>
  <c r="K680" s="1"/>
  <c r="J681"/>
  <c r="K681" s="1"/>
  <c r="J682"/>
  <c r="K682" s="1"/>
  <c r="J683"/>
  <c r="K683" s="1"/>
  <c r="J684"/>
  <c r="K684" s="1"/>
  <c r="J685"/>
  <c r="K685" s="1"/>
  <c r="J686"/>
  <c r="K686" s="1"/>
  <c r="J687"/>
  <c r="K687" s="1"/>
  <c r="J688"/>
  <c r="K688" s="1"/>
  <c r="J689"/>
  <c r="K689"/>
  <c r="J690"/>
  <c r="K690" s="1"/>
  <c r="J691"/>
  <c r="K691" s="1"/>
  <c r="J692"/>
  <c r="K692" s="1"/>
  <c r="J693"/>
  <c r="K693" s="1"/>
  <c r="J694"/>
  <c r="K694" s="1"/>
  <c r="J695"/>
  <c r="K695" s="1"/>
  <c r="J696"/>
  <c r="K696" s="1"/>
  <c r="J697"/>
  <c r="K697" s="1"/>
  <c r="J698"/>
  <c r="K698" s="1"/>
  <c r="J699"/>
  <c r="K699" s="1"/>
  <c r="J700"/>
  <c r="K700" s="1"/>
  <c r="J701"/>
  <c r="K701" s="1"/>
  <c r="J702"/>
  <c r="K702" s="1"/>
  <c r="J703"/>
  <c r="K703"/>
  <c r="J704"/>
  <c r="K704" s="1"/>
  <c r="J705"/>
  <c r="K705" s="1"/>
  <c r="J706"/>
  <c r="K706" s="1"/>
  <c r="J707"/>
  <c r="K707" s="1"/>
  <c r="J708"/>
  <c r="K708" s="1"/>
  <c r="J709"/>
  <c r="K709" s="1"/>
  <c r="J710"/>
  <c r="K710" s="1"/>
  <c r="J711"/>
  <c r="K711" s="1"/>
  <c r="J712"/>
  <c r="K712" s="1"/>
  <c r="J713"/>
  <c r="K713" s="1"/>
  <c r="J714"/>
  <c r="K714" s="1"/>
  <c r="J715"/>
  <c r="K715"/>
  <c r="J716"/>
  <c r="K716" s="1"/>
  <c r="J717"/>
  <c r="K717" s="1"/>
  <c r="J718"/>
  <c r="K718" s="1"/>
  <c r="J719"/>
  <c r="K719" s="1"/>
  <c r="J720"/>
  <c r="K720" s="1"/>
  <c r="J721"/>
  <c r="K721" s="1"/>
  <c r="J722"/>
  <c r="K722" s="1"/>
  <c r="J723"/>
  <c r="K723" s="1"/>
  <c r="J724"/>
  <c r="K724" s="1"/>
  <c r="J725"/>
  <c r="K725" s="1"/>
  <c r="J726"/>
  <c r="K726" s="1"/>
  <c r="J727"/>
  <c r="K727" s="1"/>
  <c r="J728"/>
  <c r="K728" s="1"/>
  <c r="J729"/>
  <c r="K729" s="1"/>
  <c r="J730"/>
  <c r="K730" s="1"/>
  <c r="J731"/>
  <c r="K731" s="1"/>
  <c r="J732"/>
  <c r="K732" s="1"/>
  <c r="J733"/>
  <c r="K733" s="1"/>
  <c r="J734"/>
  <c r="K734" s="1"/>
  <c r="J735"/>
  <c r="K735" s="1"/>
  <c r="J736"/>
  <c r="K736" s="1"/>
  <c r="J737"/>
  <c r="K737" s="1"/>
  <c r="J738"/>
  <c r="K738" s="1"/>
  <c r="J739"/>
  <c r="K739" s="1"/>
  <c r="J740"/>
  <c r="K740" s="1"/>
  <c r="J741"/>
  <c r="K741"/>
  <c r="J742"/>
  <c r="K742" s="1"/>
  <c r="J743"/>
  <c r="K743" s="1"/>
  <c r="J744"/>
  <c r="K744" s="1"/>
  <c r="J745"/>
  <c r="K745" s="1"/>
  <c r="J746"/>
  <c r="K746" s="1"/>
  <c r="J747"/>
  <c r="K747" s="1"/>
  <c r="J748"/>
  <c r="K748" s="1"/>
  <c r="J749"/>
  <c r="K749" s="1"/>
  <c r="J750"/>
  <c r="K750" s="1"/>
  <c r="J751"/>
  <c r="K751" s="1"/>
  <c r="J752"/>
  <c r="K752" s="1"/>
  <c r="J753"/>
  <c r="K753" s="1"/>
  <c r="J754"/>
  <c r="K754" s="1"/>
  <c r="J755"/>
  <c r="K755" s="1"/>
  <c r="J756"/>
  <c r="K756" s="1"/>
  <c r="J757"/>
  <c r="K757" s="1"/>
  <c r="J758"/>
  <c r="K758" s="1"/>
  <c r="J759"/>
  <c r="K759" s="1"/>
  <c r="J760"/>
  <c r="K760" s="1"/>
  <c r="J761"/>
  <c r="K761"/>
  <c r="J762"/>
  <c r="K762" s="1"/>
  <c r="J763"/>
  <c r="K763" s="1"/>
  <c r="J764"/>
  <c r="K764" s="1"/>
  <c r="J765"/>
  <c r="K765" s="1"/>
  <c r="J766"/>
  <c r="K766" s="1"/>
  <c r="J767"/>
  <c r="K767" s="1"/>
  <c r="J768"/>
  <c r="K768" s="1"/>
  <c r="J769"/>
  <c r="K769" s="1"/>
  <c r="J770"/>
  <c r="K770" s="1"/>
  <c r="J771"/>
  <c r="K771" s="1"/>
  <c r="J772"/>
  <c r="K772" s="1"/>
  <c r="J773"/>
  <c r="K773" s="1"/>
  <c r="J774"/>
  <c r="K774" s="1"/>
  <c r="J775"/>
  <c r="K775" s="1"/>
  <c r="J776"/>
  <c r="K776" s="1"/>
  <c r="J777"/>
  <c r="K777" s="1"/>
  <c r="J778"/>
  <c r="K778" s="1"/>
  <c r="J779"/>
  <c r="K779" s="1"/>
  <c r="J780"/>
  <c r="K780" s="1"/>
  <c r="J781"/>
  <c r="K781"/>
  <c r="J782"/>
  <c r="K782" s="1"/>
  <c r="J783"/>
  <c r="K783" s="1"/>
  <c r="J784"/>
  <c r="K784" s="1"/>
  <c r="J785"/>
  <c r="K785" s="1"/>
  <c r="J786"/>
  <c r="K786" s="1"/>
  <c r="J787"/>
  <c r="K787" s="1"/>
  <c r="J788"/>
  <c r="K788" s="1"/>
  <c r="J789"/>
  <c r="K789" s="1"/>
  <c r="J790"/>
  <c r="K790" s="1"/>
  <c r="J791"/>
  <c r="K791" s="1"/>
  <c r="J792"/>
  <c r="K792" s="1"/>
  <c r="J793"/>
  <c r="K793" s="1"/>
  <c r="J794"/>
  <c r="K794" s="1"/>
  <c r="J795"/>
  <c r="K795" s="1"/>
  <c r="J796"/>
  <c r="K796" s="1"/>
  <c r="J797"/>
  <c r="K797" s="1"/>
  <c r="J798"/>
  <c r="K798" s="1"/>
  <c r="J799"/>
  <c r="K799" s="1"/>
  <c r="J800"/>
  <c r="K800" s="1"/>
  <c r="J801"/>
  <c r="K801"/>
  <c r="J802"/>
  <c r="K802" s="1"/>
  <c r="J803"/>
  <c r="K803" s="1"/>
  <c r="J804"/>
  <c r="K804" s="1"/>
  <c r="J805"/>
  <c r="K805" s="1"/>
  <c r="J806"/>
  <c r="K806" s="1"/>
  <c r="J807"/>
  <c r="K807" s="1"/>
  <c r="J808"/>
  <c r="K808" s="1"/>
  <c r="J809"/>
  <c r="K809" s="1"/>
  <c r="J810"/>
  <c r="K810" s="1"/>
  <c r="J811"/>
  <c r="K811" s="1"/>
  <c r="J812"/>
  <c r="K812" s="1"/>
  <c r="J813"/>
  <c r="K813" s="1"/>
  <c r="J814"/>
  <c r="K814" s="1"/>
  <c r="J815"/>
  <c r="K815" s="1"/>
  <c r="J816"/>
  <c r="K816" s="1"/>
  <c r="J817"/>
  <c r="K817" s="1"/>
  <c r="J818"/>
  <c r="K818" s="1"/>
  <c r="J819"/>
  <c r="K819"/>
  <c r="J820"/>
  <c r="K820" s="1"/>
  <c r="J821"/>
  <c r="K821" s="1"/>
  <c r="J822"/>
  <c r="K822" s="1"/>
  <c r="J823"/>
  <c r="K823" s="1"/>
  <c r="J824"/>
  <c r="K824" s="1"/>
  <c r="J825"/>
  <c r="K825" s="1"/>
  <c r="J826"/>
  <c r="K826" s="1"/>
  <c r="J827"/>
  <c r="K827" s="1"/>
  <c r="J828"/>
  <c r="K828" s="1"/>
  <c r="J829"/>
  <c r="K829" s="1"/>
  <c r="J830"/>
  <c r="K830" s="1"/>
  <c r="J831"/>
  <c r="K831" s="1"/>
  <c r="J832"/>
  <c r="K832" s="1"/>
  <c r="J833"/>
  <c r="K833" s="1"/>
  <c r="J834"/>
  <c r="K834" s="1"/>
  <c r="J835"/>
  <c r="K835"/>
  <c r="J836"/>
  <c r="K836" s="1"/>
  <c r="J837"/>
  <c r="K837" s="1"/>
  <c r="J838"/>
  <c r="K838" s="1"/>
  <c r="J839"/>
  <c r="K839" s="1"/>
  <c r="J840"/>
  <c r="K840" s="1"/>
  <c r="J841"/>
  <c r="K841" s="1"/>
  <c r="J842"/>
  <c r="K842" s="1"/>
  <c r="J843"/>
  <c r="K843" s="1"/>
  <c r="J844"/>
  <c r="K844" s="1"/>
  <c r="J845"/>
  <c r="K845" s="1"/>
  <c r="J846"/>
  <c r="K846" s="1"/>
  <c r="J847"/>
  <c r="K847" s="1"/>
  <c r="J848"/>
  <c r="K848" s="1"/>
  <c r="J849"/>
  <c r="K849" s="1"/>
  <c r="J850"/>
  <c r="K850"/>
  <c r="J851"/>
  <c r="K851" s="1"/>
  <c r="J852"/>
  <c r="K852" s="1"/>
  <c r="J853"/>
  <c r="K853" s="1"/>
  <c r="J854"/>
  <c r="K854" s="1"/>
  <c r="J855"/>
  <c r="K855" s="1"/>
  <c r="J856"/>
  <c r="K856" s="1"/>
  <c r="J857"/>
  <c r="K857" s="1"/>
  <c r="J858"/>
  <c r="K858" s="1"/>
  <c r="J859"/>
  <c r="K859" s="1"/>
  <c r="J860"/>
  <c r="K860" s="1"/>
  <c r="J861"/>
  <c r="K861" s="1"/>
  <c r="J862"/>
  <c r="K862" s="1"/>
  <c r="J863"/>
  <c r="K863" s="1"/>
  <c r="J864"/>
  <c r="K864" s="1"/>
  <c r="J865"/>
  <c r="K865" s="1"/>
  <c r="J866"/>
  <c r="K866" s="1"/>
  <c r="J867"/>
  <c r="K867" s="1"/>
  <c r="J868"/>
  <c r="K868" s="1"/>
  <c r="J869"/>
  <c r="K869" s="1"/>
  <c r="J870"/>
  <c r="K870" s="1"/>
  <c r="J871"/>
  <c r="K871" s="1"/>
  <c r="J872"/>
  <c r="K872" s="1"/>
  <c r="J873"/>
  <c r="K873" s="1"/>
  <c r="J874"/>
  <c r="K874" s="1"/>
  <c r="J875"/>
  <c r="K875" s="1"/>
  <c r="J876"/>
  <c r="K876"/>
  <c r="J877"/>
  <c r="K877"/>
  <c r="J878"/>
  <c r="K878"/>
  <c r="J879"/>
  <c r="K879" s="1"/>
  <c r="J880"/>
  <c r="K880" s="1"/>
  <c r="J881"/>
  <c r="K881" s="1"/>
  <c r="J882"/>
  <c r="K882" s="1"/>
  <c r="J883"/>
  <c r="K883" s="1"/>
  <c r="J884"/>
  <c r="K884" s="1"/>
  <c r="J885"/>
  <c r="K885" s="1"/>
  <c r="J886"/>
  <c r="K886" s="1"/>
  <c r="J887"/>
  <c r="K887" s="1"/>
  <c r="J888"/>
  <c r="K888" s="1"/>
  <c r="J889"/>
  <c r="K889" s="1"/>
  <c r="J890"/>
  <c r="K890" s="1"/>
  <c r="J891"/>
  <c r="K891" s="1"/>
  <c r="J892"/>
  <c r="K892" s="1"/>
  <c r="J893"/>
  <c r="K893" s="1"/>
  <c r="J894"/>
  <c r="K894" s="1"/>
  <c r="J895"/>
  <c r="K895" s="1"/>
  <c r="J896"/>
  <c r="K896" s="1"/>
  <c r="J897"/>
  <c r="K897" s="1"/>
  <c r="J898"/>
  <c r="K898" s="1"/>
  <c r="J899"/>
  <c r="K899" s="1"/>
  <c r="J900"/>
  <c r="K900" s="1"/>
  <c r="J901"/>
  <c r="K901" s="1"/>
  <c r="J902"/>
  <c r="K902" s="1"/>
  <c r="J903"/>
  <c r="K903"/>
  <c r="J904"/>
  <c r="K904" s="1"/>
  <c r="J905"/>
  <c r="K905" s="1"/>
  <c r="J906"/>
  <c r="K906" s="1"/>
  <c r="J907"/>
  <c r="K907"/>
  <c r="J908"/>
  <c r="K908" s="1"/>
  <c r="J909"/>
  <c r="K909" s="1"/>
  <c r="J910"/>
  <c r="K910" s="1"/>
  <c r="J911"/>
  <c r="K911" s="1"/>
  <c r="J912"/>
  <c r="K912" s="1"/>
  <c r="J913"/>
  <c r="K913" s="1"/>
  <c r="J914"/>
  <c r="K914" s="1"/>
  <c r="J915"/>
  <c r="K915" s="1"/>
  <c r="J916"/>
  <c r="K916" s="1"/>
  <c r="J917"/>
  <c r="K917" s="1"/>
  <c r="J918"/>
  <c r="K918" s="1"/>
  <c r="J919"/>
  <c r="K919" s="1"/>
  <c r="J920"/>
  <c r="K920" s="1"/>
  <c r="J921"/>
  <c r="K921" s="1"/>
  <c r="J922"/>
  <c r="K922" s="1"/>
  <c r="J923"/>
  <c r="K923" s="1"/>
  <c r="J924"/>
  <c r="K924" s="1"/>
  <c r="J925"/>
  <c r="K925" s="1"/>
  <c r="J926"/>
  <c r="K926" s="1"/>
  <c r="J927"/>
  <c r="K927" s="1"/>
  <c r="J928"/>
  <c r="K928" s="1"/>
  <c r="J929"/>
  <c r="K929" s="1"/>
  <c r="J930"/>
  <c r="K930" s="1"/>
  <c r="J931"/>
  <c r="K931" s="1"/>
  <c r="J932"/>
  <c r="K932" s="1"/>
  <c r="J933"/>
  <c r="K933" s="1"/>
  <c r="J934"/>
  <c r="K934" s="1"/>
  <c r="J935"/>
  <c r="K935" s="1"/>
  <c r="J936"/>
  <c r="K936" s="1"/>
  <c r="J937"/>
  <c r="K937"/>
  <c r="J938"/>
  <c r="K938" s="1"/>
  <c r="J939"/>
  <c r="K939" s="1"/>
  <c r="J940"/>
  <c r="K940" s="1"/>
  <c r="J941"/>
  <c r="K941" s="1"/>
  <c r="J942"/>
  <c r="K942" s="1"/>
  <c r="J943"/>
  <c r="K943" s="1"/>
  <c r="J944"/>
  <c r="K944" s="1"/>
  <c r="J945"/>
  <c r="K945" s="1"/>
  <c r="J946"/>
  <c r="K946" s="1"/>
  <c r="J947"/>
  <c r="K947" s="1"/>
  <c r="J948"/>
  <c r="K948" s="1"/>
  <c r="J949"/>
  <c r="K949" s="1"/>
  <c r="J950"/>
  <c r="K950" s="1"/>
  <c r="J951"/>
  <c r="K951" s="1"/>
  <c r="J952"/>
  <c r="K952" s="1"/>
  <c r="J953"/>
  <c r="K953"/>
  <c r="J954"/>
  <c r="K954" s="1"/>
  <c r="J955"/>
  <c r="K955" s="1"/>
  <c r="J956"/>
  <c r="K956" s="1"/>
  <c r="J957"/>
  <c r="K957" s="1"/>
  <c r="J958"/>
  <c r="K958" s="1"/>
  <c r="J959"/>
  <c r="K959" s="1"/>
  <c r="J960"/>
  <c r="K960" s="1"/>
  <c r="J961"/>
  <c r="K961" s="1"/>
  <c r="J962"/>
  <c r="K962" s="1"/>
  <c r="J963"/>
  <c r="K963"/>
  <c r="J964"/>
  <c r="K964" s="1"/>
  <c r="J965"/>
  <c r="K965" s="1"/>
  <c r="J966"/>
  <c r="K966" s="1"/>
  <c r="J967"/>
  <c r="K967" s="1"/>
  <c r="J968"/>
  <c r="K968" s="1"/>
  <c r="J969"/>
  <c r="K969" s="1"/>
  <c r="J970"/>
  <c r="K970" s="1"/>
  <c r="J971"/>
  <c r="K971" s="1"/>
  <c r="J972"/>
  <c r="K972" s="1"/>
  <c r="J973"/>
  <c r="K973" s="1"/>
  <c r="J974"/>
  <c r="K974" s="1"/>
  <c r="J975"/>
  <c r="K975" s="1"/>
  <c r="J976"/>
  <c r="K976" s="1"/>
  <c r="J977"/>
  <c r="K977" s="1"/>
  <c r="J978"/>
  <c r="K978" s="1"/>
  <c r="J979"/>
  <c r="K979" s="1"/>
  <c r="J980"/>
  <c r="K980" s="1"/>
  <c r="J981"/>
  <c r="K981" s="1"/>
  <c r="J982"/>
  <c r="K982" s="1"/>
  <c r="J983"/>
  <c r="K983" s="1"/>
  <c r="J984"/>
  <c r="K984" s="1"/>
  <c r="J985"/>
  <c r="K985" s="1"/>
  <c r="J986"/>
  <c r="K986" s="1"/>
  <c r="J987"/>
  <c r="K987" s="1"/>
  <c r="J988"/>
  <c r="K988" s="1"/>
  <c r="J989"/>
  <c r="K989" s="1"/>
  <c r="J990"/>
  <c r="K990" s="1"/>
  <c r="J991"/>
  <c r="K991" s="1"/>
  <c r="J992"/>
  <c r="K992" s="1"/>
  <c r="J993"/>
  <c r="K993" s="1"/>
  <c r="J994"/>
  <c r="K994"/>
  <c r="J995"/>
  <c r="K995" s="1"/>
  <c r="J996"/>
  <c r="K996" s="1"/>
  <c r="J997"/>
  <c r="K997" s="1"/>
  <c r="J998"/>
  <c r="K998" s="1"/>
  <c r="J999"/>
  <c r="K999" s="1"/>
  <c r="J1000"/>
  <c r="K1000" s="1"/>
  <c r="J1001"/>
  <c r="K1001" s="1"/>
  <c r="J1002"/>
  <c r="K1002" s="1"/>
  <c r="J1003"/>
  <c r="K1003" s="1"/>
  <c r="J1004"/>
  <c r="K1004" s="1"/>
  <c r="J1005"/>
  <c r="K1005" s="1"/>
  <c r="J1006"/>
  <c r="K1006" s="1"/>
  <c r="J1007"/>
  <c r="K1007" s="1"/>
  <c r="J1008"/>
  <c r="K1008" s="1"/>
  <c r="J1009"/>
  <c r="K1009" s="1"/>
  <c r="J1010"/>
  <c r="K1010"/>
  <c r="J1011"/>
  <c r="K1011" s="1"/>
  <c r="J1012"/>
  <c r="K1012" s="1"/>
  <c r="J1013"/>
  <c r="K1013" s="1"/>
  <c r="J1014"/>
  <c r="K1014" s="1"/>
  <c r="J1015"/>
  <c r="K1015" s="1"/>
  <c r="J1016"/>
  <c r="K1016" s="1"/>
  <c r="J1017"/>
  <c r="K1017" s="1"/>
  <c r="J1018"/>
  <c r="K1018" s="1"/>
  <c r="J1019"/>
  <c r="K1019" s="1"/>
  <c r="J1020"/>
  <c r="K1020" s="1"/>
  <c r="J1021"/>
  <c r="K1021" s="1"/>
  <c r="J1022"/>
  <c r="K1022" s="1"/>
  <c r="J1023"/>
  <c r="K1023" s="1"/>
  <c r="J1024"/>
  <c r="K1024"/>
  <c r="J1025"/>
  <c r="K1025" s="1"/>
  <c r="J1026"/>
  <c r="K1026" s="1"/>
  <c r="J1027"/>
  <c r="K1027" s="1"/>
  <c r="J1028"/>
  <c r="K1028" s="1"/>
  <c r="J1029"/>
  <c r="K1029" s="1"/>
  <c r="J1030"/>
  <c r="K1030" s="1"/>
  <c r="J1031"/>
  <c r="K1031" s="1"/>
  <c r="J1032"/>
  <c r="K1032" s="1"/>
  <c r="J1033"/>
  <c r="K1033" s="1"/>
  <c r="J1034"/>
  <c r="K1034" s="1"/>
  <c r="J1035"/>
  <c r="K1035" s="1"/>
  <c r="J1036"/>
  <c r="K1036" s="1"/>
  <c r="J1037"/>
  <c r="K1037" s="1"/>
  <c r="J1038"/>
  <c r="K1038" s="1"/>
  <c r="J1039"/>
  <c r="K1039" s="1"/>
  <c r="J1040"/>
  <c r="K1040" s="1"/>
  <c r="J1041"/>
  <c r="K1041" s="1"/>
  <c r="J1042"/>
  <c r="K1042" s="1"/>
  <c r="J1043"/>
  <c r="K1043" s="1"/>
  <c r="J1044"/>
  <c r="K1044" s="1"/>
  <c r="J1045"/>
  <c r="K1045" s="1"/>
  <c r="J1046"/>
  <c r="K1046" s="1"/>
  <c r="J1047"/>
  <c r="K1047" s="1"/>
  <c r="J1048"/>
  <c r="K1048"/>
  <c r="J1049"/>
  <c r="K1049" s="1"/>
  <c r="J1050"/>
  <c r="K1050" s="1"/>
  <c r="J1051"/>
  <c r="K1051" s="1"/>
  <c r="J1052"/>
  <c r="K1052" s="1"/>
  <c r="J1053"/>
  <c r="K1053" s="1"/>
  <c r="J1054"/>
  <c r="K1054" s="1"/>
  <c r="J1055"/>
  <c r="K1055" s="1"/>
  <c r="J1056"/>
  <c r="K1056" s="1"/>
  <c r="J1057"/>
  <c r="K1057" s="1"/>
  <c r="J1058"/>
  <c r="K1058"/>
  <c r="J1059"/>
  <c r="K1059" s="1"/>
  <c r="J1060"/>
  <c r="K1060" s="1"/>
  <c r="J1061"/>
  <c r="K1061" s="1"/>
  <c r="J1062"/>
  <c r="K1062" s="1"/>
  <c r="J1063"/>
  <c r="K1063" s="1"/>
  <c r="J1064"/>
  <c r="K1064" s="1"/>
  <c r="J1065"/>
  <c r="K1065" s="1"/>
  <c r="J1066"/>
  <c r="K1066" s="1"/>
  <c r="J1067"/>
  <c r="K1067" s="1"/>
  <c r="J1068"/>
  <c r="K1068" s="1"/>
  <c r="J1069"/>
  <c r="K1069" s="1"/>
  <c r="J1070"/>
  <c r="K1070" s="1"/>
  <c r="J1071"/>
  <c r="K1071" s="1"/>
  <c r="J1072"/>
  <c r="K1072" s="1"/>
  <c r="J1073"/>
  <c r="K1073" s="1"/>
  <c r="J1074"/>
  <c r="K1074" s="1"/>
  <c r="J1075"/>
  <c r="K1075" s="1"/>
  <c r="J1076"/>
  <c r="K1076"/>
  <c r="J1077"/>
  <c r="K1077" s="1"/>
  <c r="J1078"/>
  <c r="K1078" s="1"/>
  <c r="J1079"/>
  <c r="K1079" s="1"/>
  <c r="J1080"/>
  <c r="K1080" s="1"/>
  <c r="J1081"/>
  <c r="K1081" s="1"/>
  <c r="J1082"/>
  <c r="K1082" s="1"/>
  <c r="J1083"/>
  <c r="K1083" s="1"/>
  <c r="J1084"/>
  <c r="K1084" s="1"/>
  <c r="J1085"/>
  <c r="K1085" s="1"/>
  <c r="J1086"/>
  <c r="K1086" s="1"/>
  <c r="J1087"/>
  <c r="K1087" s="1"/>
  <c r="J1088"/>
  <c r="K1088" s="1"/>
  <c r="J1089"/>
  <c r="K1089" s="1"/>
  <c r="J1090"/>
  <c r="K1090" s="1"/>
  <c r="J1091"/>
  <c r="K1091" s="1"/>
  <c r="J1092"/>
  <c r="K1092" s="1"/>
  <c r="J1093"/>
  <c r="K1093" s="1"/>
  <c r="J1094"/>
  <c r="K1094" s="1"/>
  <c r="J1095"/>
  <c r="K1095" s="1"/>
  <c r="J114"/>
  <c r="K114" s="1"/>
  <c r="J115"/>
  <c r="K115" s="1"/>
  <c r="J116"/>
  <c r="K116" s="1"/>
  <c r="J117"/>
  <c r="K117" s="1"/>
  <c r="J118"/>
  <c r="K118" s="1"/>
  <c r="J119"/>
  <c r="K119" s="1"/>
  <c r="J120"/>
  <c r="K120" s="1"/>
  <c r="J121"/>
  <c r="K121" s="1"/>
  <c r="J122"/>
  <c r="K122" s="1"/>
  <c r="J123"/>
  <c r="K123" s="1"/>
  <c r="J124"/>
  <c r="K124" s="1"/>
  <c r="J125"/>
  <c r="K125" s="1"/>
  <c r="I1046" l="1"/>
  <c r="I1040"/>
  <c r="I1041" s="1"/>
  <c r="I1042" s="1"/>
  <c r="I1043" s="1"/>
  <c r="I1044" s="1"/>
  <c r="I1045" s="1"/>
  <c r="I166"/>
  <c r="I167" s="1"/>
  <c r="I168" s="1"/>
  <c r="I169" s="1"/>
  <c r="I170" s="1"/>
  <c r="I581"/>
  <c r="I582" s="1"/>
  <c r="I583" s="1"/>
  <c r="I584" s="1"/>
  <c r="I585" s="1"/>
  <c r="I529"/>
  <c r="I13"/>
  <c r="I18"/>
  <c r="I23"/>
  <c r="I8"/>
  <c r="AW12" i="32917"/>
  <c r="AX12"/>
  <c r="AY12"/>
  <c r="AZ12"/>
  <c r="BA12"/>
  <c r="BB12"/>
  <c r="BC12"/>
  <c r="AW13"/>
  <c r="AX13"/>
  <c r="AY13"/>
  <c r="AZ13"/>
  <c r="BA13"/>
  <c r="BB13"/>
  <c r="BC13"/>
  <c r="AW14"/>
  <c r="AX14"/>
  <c r="AY14"/>
  <c r="AZ14"/>
  <c r="BA14"/>
  <c r="BB14"/>
  <c r="BC14"/>
  <c r="AW15"/>
  <c r="AX15"/>
  <c r="AY15"/>
  <c r="AZ15"/>
  <c r="BA15"/>
  <c r="BB15"/>
  <c r="BC15"/>
  <c r="AW16"/>
  <c r="AX16"/>
  <c r="AY16"/>
  <c r="AZ16"/>
  <c r="BA16"/>
  <c r="BB16"/>
  <c r="BC16"/>
  <c r="AW17"/>
  <c r="AX17"/>
  <c r="AY17"/>
  <c r="AZ17"/>
  <c r="BA17"/>
  <c r="BB17"/>
  <c r="BC17"/>
  <c r="AW18"/>
  <c r="AX18"/>
  <c r="AY18"/>
  <c r="AZ18"/>
  <c r="BA18"/>
  <c r="BB18"/>
  <c r="BC18"/>
  <c r="AW19"/>
  <c r="AX19"/>
  <c r="AY19"/>
  <c r="AZ19"/>
  <c r="BA19"/>
  <c r="BB19"/>
  <c r="BC19"/>
  <c r="AW20"/>
  <c r="AX20"/>
  <c r="AY20"/>
  <c r="AZ20"/>
  <c r="BA20"/>
  <c r="BB20"/>
  <c r="BC20"/>
  <c r="AW21"/>
  <c r="AX21"/>
  <c r="AY21"/>
  <c r="AZ21"/>
  <c r="BA21"/>
  <c r="BB21"/>
  <c r="BC21"/>
  <c r="AW22"/>
  <c r="AX22"/>
  <c r="AY22"/>
  <c r="AZ22"/>
  <c r="BA22"/>
  <c r="BB22"/>
  <c r="BC22"/>
  <c r="AW23"/>
  <c r="AX23"/>
  <c r="AY23"/>
  <c r="AZ23"/>
  <c r="BA23"/>
  <c r="BB23"/>
  <c r="BC23"/>
  <c r="AW24"/>
  <c r="AX24"/>
  <c r="AY24"/>
  <c r="AZ24"/>
  <c r="BA24"/>
  <c r="BB24"/>
  <c r="BC24"/>
  <c r="AW25"/>
  <c r="AX25"/>
  <c r="AY25"/>
  <c r="AZ25"/>
  <c r="BA25"/>
  <c r="BB25"/>
  <c r="BC25"/>
  <c r="AW26"/>
  <c r="AX26"/>
  <c r="AY26"/>
  <c r="AZ26"/>
  <c r="BA26"/>
  <c r="BB26"/>
  <c r="BC26"/>
  <c r="AW27"/>
  <c r="AX27"/>
  <c r="AY27"/>
  <c r="AZ27"/>
  <c r="BA27"/>
  <c r="BB27"/>
  <c r="BC27"/>
  <c r="AW28"/>
  <c r="AX28"/>
  <c r="AY28"/>
  <c r="AZ28"/>
  <c r="BA28"/>
  <c r="BB28"/>
  <c r="BC28"/>
  <c r="AW29"/>
  <c r="AX29"/>
  <c r="AY29"/>
  <c r="AZ29"/>
  <c r="BA29"/>
  <c r="BB29"/>
  <c r="BC29"/>
  <c r="AW30"/>
  <c r="AX30"/>
  <c r="AY30"/>
  <c r="AZ30"/>
  <c r="BA30"/>
  <c r="BB30"/>
  <c r="BC30"/>
  <c r="AW31"/>
  <c r="AX31"/>
  <c r="AY31"/>
  <c r="AZ31"/>
  <c r="BA31"/>
  <c r="BB31"/>
  <c r="BC31"/>
  <c r="AW32"/>
  <c r="AX32"/>
  <c r="AY32"/>
  <c r="AZ32"/>
  <c r="BA32"/>
  <c r="BB32"/>
  <c r="BC32"/>
  <c r="AW33"/>
  <c r="AX33"/>
  <c r="AY33"/>
  <c r="AZ33"/>
  <c r="BA33"/>
  <c r="BB33"/>
  <c r="BC33"/>
  <c r="AW34"/>
  <c r="AX34"/>
  <c r="AY34"/>
  <c r="AZ34"/>
  <c r="BA34"/>
  <c r="BB34"/>
  <c r="BC34"/>
  <c r="AW35"/>
  <c r="AX35"/>
  <c r="AY35"/>
  <c r="AZ35"/>
  <c r="BA35"/>
  <c r="BB35"/>
  <c r="BC35"/>
  <c r="AW36"/>
  <c r="AX36"/>
  <c r="AY36"/>
  <c r="AZ36"/>
  <c r="BA36"/>
  <c r="BB36"/>
  <c r="BC36"/>
  <c r="AW37"/>
  <c r="AX37"/>
  <c r="AY37"/>
  <c r="AZ37"/>
  <c r="BA37"/>
  <c r="BB37"/>
  <c r="BC37"/>
  <c r="AW38"/>
  <c r="AX38"/>
  <c r="AY38"/>
  <c r="AZ38"/>
  <c r="BA38"/>
  <c r="BB38"/>
  <c r="BC38"/>
  <c r="AW39"/>
  <c r="AX39"/>
  <c r="AY39"/>
  <c r="AZ39"/>
  <c r="BA39"/>
  <c r="BB39"/>
  <c r="BC39"/>
  <c r="AW40"/>
  <c r="AX40"/>
  <c r="AY40"/>
  <c r="AZ40"/>
  <c r="BA40"/>
  <c r="BB40"/>
  <c r="BC40"/>
  <c r="AW41"/>
  <c r="AX41"/>
  <c r="AY41"/>
  <c r="AZ41"/>
  <c r="BA41"/>
  <c r="BB41"/>
  <c r="BC41"/>
  <c r="AW42"/>
  <c r="AX42"/>
  <c r="AY42"/>
  <c r="AZ42"/>
  <c r="BA42"/>
  <c r="BB42"/>
  <c r="BC42"/>
  <c r="AW43"/>
  <c r="AX43"/>
  <c r="AY43"/>
  <c r="AZ43"/>
  <c r="BA43"/>
  <c r="BB43"/>
  <c r="BC43"/>
  <c r="AW44"/>
  <c r="AX44"/>
  <c r="AY44"/>
  <c r="AZ44"/>
  <c r="BA44"/>
  <c r="BB44"/>
  <c r="BC44"/>
  <c r="AW45"/>
  <c r="AX45"/>
  <c r="AY45"/>
  <c r="AZ45"/>
  <c r="BA45"/>
  <c r="BB45"/>
  <c r="BC45"/>
  <c r="AW46"/>
  <c r="AX46"/>
  <c r="AY46"/>
  <c r="AZ46"/>
  <c r="BA46"/>
  <c r="BB46"/>
  <c r="BC46"/>
  <c r="AW47"/>
  <c r="AX47"/>
  <c r="AY47"/>
  <c r="AZ47"/>
  <c r="BA47"/>
  <c r="BB47"/>
  <c r="BC47"/>
  <c r="AW48"/>
  <c r="AX48"/>
  <c r="AY48"/>
  <c r="AZ48"/>
  <c r="BA48"/>
  <c r="BB48"/>
  <c r="BC48"/>
  <c r="AW49"/>
  <c r="AX49"/>
  <c r="AY49"/>
  <c r="AZ49"/>
  <c r="BA49"/>
  <c r="BB49"/>
  <c r="BC49"/>
  <c r="AW50"/>
  <c r="AX50"/>
  <c r="AY50"/>
  <c r="AZ50"/>
  <c r="BA50"/>
  <c r="BB50"/>
  <c r="BC50"/>
  <c r="AW51"/>
  <c r="AX51"/>
  <c r="AY51"/>
  <c r="AZ51"/>
  <c r="BA51"/>
  <c r="BB51"/>
  <c r="BC51"/>
  <c r="AW52"/>
  <c r="AX52"/>
  <c r="AY52"/>
  <c r="AZ52"/>
  <c r="BA52"/>
  <c r="BB52"/>
  <c r="BC52"/>
  <c r="AW53"/>
  <c r="AX53"/>
  <c r="AY53"/>
  <c r="AZ53"/>
  <c r="BA53"/>
  <c r="BB53"/>
  <c r="BC53"/>
  <c r="AW54"/>
  <c r="AX54"/>
  <c r="AY54"/>
  <c r="AZ54"/>
  <c r="BA54"/>
  <c r="BB54"/>
  <c r="BC54"/>
  <c r="AW55"/>
  <c r="AX55"/>
  <c r="AY55"/>
  <c r="AZ55"/>
  <c r="BA55"/>
  <c r="BB55"/>
  <c r="BC55"/>
  <c r="AW56"/>
  <c r="AX56"/>
  <c r="AY56"/>
  <c r="AZ56"/>
  <c r="BA56"/>
  <c r="BB56"/>
  <c r="BC56"/>
  <c r="AW57"/>
  <c r="AX57"/>
  <c r="AY57"/>
  <c r="AZ57"/>
  <c r="BA57"/>
  <c r="BB57"/>
  <c r="BC57"/>
  <c r="AW58"/>
  <c r="AX58"/>
  <c r="AY58"/>
  <c r="AZ58"/>
  <c r="BA58"/>
  <c r="BB58"/>
  <c r="BC58"/>
  <c r="AW59"/>
  <c r="AX59"/>
  <c r="AY59"/>
  <c r="AZ59"/>
  <c r="BA59"/>
  <c r="BB59"/>
  <c r="BC59"/>
  <c r="AW60"/>
  <c r="AX60"/>
  <c r="AY60"/>
  <c r="AZ60"/>
  <c r="BA60"/>
  <c r="BB60"/>
  <c r="BC60"/>
  <c r="AW61"/>
  <c r="AX61"/>
  <c r="AY61"/>
  <c r="AZ61"/>
  <c r="BA61"/>
  <c r="BB61"/>
  <c r="BC61"/>
  <c r="AW62"/>
  <c r="AX62"/>
  <c r="AY62"/>
  <c r="AZ62"/>
  <c r="BA62"/>
  <c r="BB62"/>
  <c r="BC62"/>
  <c r="AW63"/>
  <c r="AX63"/>
  <c r="AY63"/>
  <c r="AZ63"/>
  <c r="BA63"/>
  <c r="BB63"/>
  <c r="BC63"/>
  <c r="AW64"/>
  <c r="AX64"/>
  <c r="AY64"/>
  <c r="AZ64"/>
  <c r="BA64"/>
  <c r="BB64"/>
  <c r="BC64"/>
  <c r="AW65"/>
  <c r="AX65"/>
  <c r="AY65"/>
  <c r="AZ65"/>
  <c r="BA65"/>
  <c r="BB65"/>
  <c r="BC65"/>
  <c r="AW66"/>
  <c r="AX66"/>
  <c r="AY66"/>
  <c r="AZ66"/>
  <c r="BA66"/>
  <c r="BB66"/>
  <c r="BC66"/>
  <c r="AW67"/>
  <c r="AX67"/>
  <c r="AY67"/>
  <c r="AZ67"/>
  <c r="BA67"/>
  <c r="BB67"/>
  <c r="BC67"/>
  <c r="AW68"/>
  <c r="AX68"/>
  <c r="AY68"/>
  <c r="AZ68"/>
  <c r="BA68"/>
  <c r="BB68"/>
  <c r="BC68"/>
  <c r="AW69"/>
  <c r="AX69"/>
  <c r="AY69"/>
  <c r="AZ69"/>
  <c r="BA69"/>
  <c r="BB69"/>
  <c r="BC69"/>
  <c r="AW70"/>
  <c r="AX70"/>
  <c r="AY70"/>
  <c r="AZ70"/>
  <c r="BA70"/>
  <c r="BB70"/>
  <c r="BC70"/>
  <c r="AW71"/>
  <c r="AX71"/>
  <c r="AY71"/>
  <c r="AZ71"/>
  <c r="BA71"/>
  <c r="BB71"/>
  <c r="BC71"/>
  <c r="AW72"/>
  <c r="AX72"/>
  <c r="AY72"/>
  <c r="AZ72"/>
  <c r="BA72"/>
  <c r="BB72"/>
  <c r="BC72"/>
  <c r="AW73"/>
  <c r="AX73"/>
  <c r="AY73"/>
  <c r="AZ73"/>
  <c r="BA73"/>
  <c r="BB73"/>
  <c r="BC73"/>
  <c r="AW74"/>
  <c r="AX74"/>
  <c r="AY74"/>
  <c r="AZ74"/>
  <c r="BA74"/>
  <c r="BB74"/>
  <c r="BC74"/>
  <c r="AW75"/>
  <c r="AX75"/>
  <c r="AY75"/>
  <c r="AZ75"/>
  <c r="BA75"/>
  <c r="BB75"/>
  <c r="BC75"/>
  <c r="AW76"/>
  <c r="AX76"/>
  <c r="AY76"/>
  <c r="AZ76"/>
  <c r="BA76"/>
  <c r="BB76"/>
  <c r="BC76"/>
  <c r="AW77"/>
  <c r="AX77"/>
  <c r="AY77"/>
  <c r="AZ77"/>
  <c r="BA77"/>
  <c r="BB77"/>
  <c r="BC77"/>
  <c r="AW78"/>
  <c r="AX78"/>
  <c r="AY78"/>
  <c r="AZ78"/>
  <c r="BA78"/>
  <c r="BB78"/>
  <c r="BC78"/>
  <c r="AW79"/>
  <c r="AX79"/>
  <c r="AY79"/>
  <c r="AZ79"/>
  <c r="BA79"/>
  <c r="BB79"/>
  <c r="BC79"/>
  <c r="AW80"/>
  <c r="AX80"/>
  <c r="AY80"/>
  <c r="AZ80"/>
  <c r="BA80"/>
  <c r="BB80"/>
  <c r="BC80"/>
  <c r="AW81"/>
  <c r="AX81"/>
  <c r="AY81"/>
  <c r="AZ81"/>
  <c r="BA81"/>
  <c r="BB81"/>
  <c r="BC81"/>
  <c r="AW82"/>
  <c r="AX82"/>
  <c r="AY82"/>
  <c r="AZ82"/>
  <c r="BA82"/>
  <c r="BB82"/>
  <c r="BC82"/>
  <c r="AW83"/>
  <c r="AX83"/>
  <c r="AY83"/>
  <c r="AZ83"/>
  <c r="BA83"/>
  <c r="BB83"/>
  <c r="BC83"/>
  <c r="AW84"/>
  <c r="AX84"/>
  <c r="AY84"/>
  <c r="AZ84"/>
  <c r="BA84"/>
  <c r="BB84"/>
  <c r="BC84"/>
  <c r="AW85"/>
  <c r="AX85"/>
  <c r="AY85"/>
  <c r="AZ85"/>
  <c r="BA85"/>
  <c r="BB85"/>
  <c r="BC85"/>
  <c r="AW86"/>
  <c r="AX86"/>
  <c r="AY86"/>
  <c r="AZ86"/>
  <c r="BA86"/>
  <c r="BB86"/>
  <c r="BC86"/>
  <c r="AW87"/>
  <c r="AX87"/>
  <c r="AY87"/>
  <c r="AZ87"/>
  <c r="BA87"/>
  <c r="BB87"/>
  <c r="BC87"/>
  <c r="AW88"/>
  <c r="AX88"/>
  <c r="AY88"/>
  <c r="AZ88"/>
  <c r="BA88"/>
  <c r="BB88"/>
  <c r="BC88"/>
  <c r="AW89"/>
  <c r="AX89"/>
  <c r="AY89"/>
  <c r="AZ89"/>
  <c r="BA89"/>
  <c r="BB89"/>
  <c r="BC89"/>
  <c r="AW90"/>
  <c r="AX90"/>
  <c r="AY90"/>
  <c r="AZ90"/>
  <c r="BA90"/>
  <c r="BB90"/>
  <c r="BC90"/>
  <c r="AW91"/>
  <c r="AX91"/>
  <c r="AY91"/>
  <c r="AZ91"/>
  <c r="BA91"/>
  <c r="BB91"/>
  <c r="BC91"/>
  <c r="AW92"/>
  <c r="AX92"/>
  <c r="AY92"/>
  <c r="AZ92"/>
  <c r="BA92"/>
  <c r="BB92"/>
  <c r="BC92"/>
  <c r="AW93"/>
  <c r="AX93"/>
  <c r="AY93"/>
  <c r="AZ93"/>
  <c r="BA93"/>
  <c r="BB93"/>
  <c r="BC93"/>
  <c r="AW94"/>
  <c r="AX94"/>
  <c r="AY94"/>
  <c r="AZ94"/>
  <c r="BA94"/>
  <c r="BB94"/>
  <c r="BC94"/>
  <c r="AW95"/>
  <c r="AX95"/>
  <c r="AY95"/>
  <c r="AZ95"/>
  <c r="BA95"/>
  <c r="BB95"/>
  <c r="BC95"/>
  <c r="AW96"/>
  <c r="AX96"/>
  <c r="AY96"/>
  <c r="AZ96"/>
  <c r="BA96"/>
  <c r="BB96"/>
  <c r="BC96"/>
  <c r="AW97"/>
  <c r="AX97"/>
  <c r="AY97"/>
  <c r="AZ97"/>
  <c r="BA97"/>
  <c r="BB97"/>
  <c r="BC97"/>
  <c r="AW98"/>
  <c r="AX98"/>
  <c r="AY98"/>
  <c r="AZ98"/>
  <c r="BA98"/>
  <c r="BB98"/>
  <c r="BC98"/>
  <c r="AW99"/>
  <c r="AX99"/>
  <c r="AY99"/>
  <c r="AZ99"/>
  <c r="BA99"/>
  <c r="BB99"/>
  <c r="BC99"/>
  <c r="AW100"/>
  <c r="AX100"/>
  <c r="AY100"/>
  <c r="AZ100"/>
  <c r="BA100"/>
  <c r="BB100"/>
  <c r="BC100"/>
  <c r="AW101"/>
  <c r="AX101"/>
  <c r="AY101"/>
  <c r="AZ101"/>
  <c r="BA101"/>
  <c r="BB101"/>
  <c r="BC101"/>
  <c r="AW102"/>
  <c r="AX102"/>
  <c r="AY102"/>
  <c r="AZ102"/>
  <c r="BA102"/>
  <c r="BB102"/>
  <c r="BC102"/>
  <c r="AW103"/>
  <c r="AX103"/>
  <c r="AY103"/>
  <c r="AZ103"/>
  <c r="BA103"/>
  <c r="BB103"/>
  <c r="BC103"/>
  <c r="AW104"/>
  <c r="AX104"/>
  <c r="AY104"/>
  <c r="AZ104"/>
  <c r="BA104"/>
  <c r="BB104"/>
  <c r="BC104"/>
  <c r="AW105"/>
  <c r="AX105"/>
  <c r="AY105"/>
  <c r="AZ105"/>
  <c r="BA105"/>
  <c r="BB105"/>
  <c r="BC105"/>
  <c r="AW106"/>
  <c r="AX106"/>
  <c r="AY106"/>
  <c r="AZ106"/>
  <c r="BA106"/>
  <c r="BB106"/>
  <c r="BC106"/>
  <c r="AW107"/>
  <c r="AX107"/>
  <c r="AY107"/>
  <c r="AZ107"/>
  <c r="BA107"/>
  <c r="BB107"/>
  <c r="BC107"/>
  <c r="AW108"/>
  <c r="AX108"/>
  <c r="AY108"/>
  <c r="AZ108"/>
  <c r="BA108"/>
  <c r="BB108"/>
  <c r="BC108"/>
  <c r="AW109"/>
  <c r="AX109"/>
  <c r="AY109"/>
  <c r="AZ109"/>
  <c r="BA109"/>
  <c r="BB109"/>
  <c r="BC109"/>
  <c r="AW110"/>
  <c r="AX110"/>
  <c r="AY110"/>
  <c r="AZ110"/>
  <c r="BA110"/>
  <c r="BB110"/>
  <c r="BC110"/>
  <c r="AW111"/>
  <c r="AX111"/>
  <c r="AY111"/>
  <c r="AZ111"/>
  <c r="BA111"/>
  <c r="BB111"/>
  <c r="BC111"/>
  <c r="AW112"/>
  <c r="AX112"/>
  <c r="AY112"/>
  <c r="AZ112"/>
  <c r="BA112"/>
  <c r="BB112"/>
  <c r="BC112"/>
  <c r="AW113"/>
  <c r="AX113"/>
  <c r="AY113"/>
  <c r="AZ113"/>
  <c r="BA113"/>
  <c r="BB113"/>
  <c r="BC113"/>
  <c r="AW114"/>
  <c r="AX114"/>
  <c r="AY114"/>
  <c r="AZ114"/>
  <c r="BA114"/>
  <c r="BB114"/>
  <c r="BC114"/>
  <c r="AW115"/>
  <c r="AX115"/>
  <c r="AY115"/>
  <c r="AZ115"/>
  <c r="BA115"/>
  <c r="BB115"/>
  <c r="BC115"/>
  <c r="AW116"/>
  <c r="AX116"/>
  <c r="AY116"/>
  <c r="AZ116"/>
  <c r="BA116"/>
  <c r="BB116"/>
  <c r="BC116"/>
  <c r="AW117"/>
  <c r="AX117"/>
  <c r="AY117"/>
  <c r="AZ117"/>
  <c r="BA117"/>
  <c r="BB117"/>
  <c r="BC117"/>
  <c r="AW118"/>
  <c r="AX118"/>
  <c r="AY118"/>
  <c r="AZ118"/>
  <c r="BA118"/>
  <c r="BB118"/>
  <c r="BC118"/>
  <c r="AW119"/>
  <c r="AX119"/>
  <c r="AY119"/>
  <c r="AZ119"/>
  <c r="BA119"/>
  <c r="BB119"/>
  <c r="BC119"/>
  <c r="AW120"/>
  <c r="AX120"/>
  <c r="AY120"/>
  <c r="AZ120"/>
  <c r="BA120"/>
  <c r="BB120"/>
  <c r="BC120"/>
  <c r="AW121"/>
  <c r="AX121"/>
  <c r="AY121"/>
  <c r="AZ121"/>
  <c r="BA121"/>
  <c r="BB121"/>
  <c r="BC121"/>
  <c r="AW122"/>
  <c r="AX122"/>
  <c r="AY122"/>
  <c r="AZ122"/>
  <c r="BA122"/>
  <c r="BB122"/>
  <c r="BC122"/>
  <c r="AW123"/>
  <c r="AX123"/>
  <c r="AY123"/>
  <c r="AZ123"/>
  <c r="BA123"/>
  <c r="BB123"/>
  <c r="BC123"/>
  <c r="AW124"/>
  <c r="AX124"/>
  <c r="AY124"/>
  <c r="AZ124"/>
  <c r="BA124"/>
  <c r="BB124"/>
  <c r="BC124"/>
  <c r="AW125"/>
  <c r="AX125"/>
  <c r="AY125"/>
  <c r="AZ125"/>
  <c r="BA125"/>
  <c r="BB125"/>
  <c r="BC125"/>
  <c r="AW126"/>
  <c r="AX126"/>
  <c r="AY126"/>
  <c r="AZ126"/>
  <c r="BA126"/>
  <c r="BB126"/>
  <c r="BC126"/>
  <c r="AW127"/>
  <c r="AX127"/>
  <c r="AY127"/>
  <c r="AZ127"/>
  <c r="BA127"/>
  <c r="BB127"/>
  <c r="BC127"/>
  <c r="AW128"/>
  <c r="AX128"/>
  <c r="AY128"/>
  <c r="AZ128"/>
  <c r="BA128"/>
  <c r="BB128"/>
  <c r="BC128"/>
  <c r="AW129"/>
  <c r="AX129"/>
  <c r="AY129"/>
  <c r="AZ129"/>
  <c r="BA129"/>
  <c r="BB129"/>
  <c r="BC129"/>
  <c r="AW130"/>
  <c r="AX130"/>
  <c r="AY130"/>
  <c r="AZ130"/>
  <c r="BA130"/>
  <c r="BB130"/>
  <c r="BC130"/>
  <c r="AW131"/>
  <c r="AX131"/>
  <c r="AY131"/>
  <c r="AZ131"/>
  <c r="BA131"/>
  <c r="BB131"/>
  <c r="BC131"/>
  <c r="AW132"/>
  <c r="AX132"/>
  <c r="AY132"/>
  <c r="AZ132"/>
  <c r="BA132"/>
  <c r="BB132"/>
  <c r="BC132"/>
  <c r="AW133"/>
  <c r="AX133"/>
  <c r="AY133"/>
  <c r="AZ133"/>
  <c r="BA133"/>
  <c r="BB133"/>
  <c r="BC133"/>
  <c r="AW134"/>
  <c r="AX134"/>
  <c r="AY134"/>
  <c r="AZ134"/>
  <c r="BA134"/>
  <c r="BB134"/>
  <c r="BC134"/>
  <c r="AW135"/>
  <c r="AX135"/>
  <c r="AY135"/>
  <c r="AZ135"/>
  <c r="BA135"/>
  <c r="BB135"/>
  <c r="BC135"/>
  <c r="AW136"/>
  <c r="AX136"/>
  <c r="AY136"/>
  <c r="AZ136"/>
  <c r="BA136"/>
  <c r="BB136"/>
  <c r="BC136"/>
  <c r="AW137"/>
  <c r="AX137"/>
  <c r="AY137"/>
  <c r="AZ137"/>
  <c r="BA137"/>
  <c r="BB137"/>
  <c r="BC137"/>
  <c r="AW138"/>
  <c r="AX138"/>
  <c r="AY138"/>
  <c r="AZ138"/>
  <c r="BA138"/>
  <c r="BB138"/>
  <c r="BC138"/>
  <c r="AW139"/>
  <c r="AX139"/>
  <c r="AY139"/>
  <c r="AZ139"/>
  <c r="BA139"/>
  <c r="BB139"/>
  <c r="BC139"/>
  <c r="AW140"/>
  <c r="AX140"/>
  <c r="AY140"/>
  <c r="AZ140"/>
  <c r="BA140"/>
  <c r="BB140"/>
  <c r="BC140"/>
  <c r="AW141"/>
  <c r="AX141"/>
  <c r="AY141"/>
  <c r="AZ141"/>
  <c r="BA141"/>
  <c r="BB141"/>
  <c r="BC141"/>
  <c r="AW142"/>
  <c r="AX142"/>
  <c r="AY142"/>
  <c r="AZ142"/>
  <c r="BA142"/>
  <c r="BB142"/>
  <c r="BC142"/>
  <c r="AW143"/>
  <c r="AX143"/>
  <c r="AY143"/>
  <c r="AZ143"/>
  <c r="BA143"/>
  <c r="BB143"/>
  <c r="BC143"/>
  <c r="AW144"/>
  <c r="AX144"/>
  <c r="AY144"/>
  <c r="AZ144"/>
  <c r="BA144"/>
  <c r="BB144"/>
  <c r="BC144"/>
  <c r="AW145"/>
  <c r="AX145"/>
  <c r="AY145"/>
  <c r="AZ145"/>
  <c r="BA145"/>
  <c r="BB145"/>
  <c r="BC145"/>
  <c r="AW146"/>
  <c r="AX146"/>
  <c r="AY146"/>
  <c r="AZ146"/>
  <c r="BA146"/>
  <c r="BB146"/>
  <c r="BC146"/>
  <c r="AW147"/>
  <c r="AX147"/>
  <c r="AY147"/>
  <c r="AZ147"/>
  <c r="BA147"/>
  <c r="BB147"/>
  <c r="BC147"/>
  <c r="AW148"/>
  <c r="AX148"/>
  <c r="AY148"/>
  <c r="AZ148"/>
  <c r="BA148"/>
  <c r="BB148"/>
  <c r="BC148"/>
  <c r="AW149"/>
  <c r="AX149"/>
  <c r="AY149"/>
  <c r="AZ149"/>
  <c r="BA149"/>
  <c r="BB149"/>
  <c r="BC149"/>
  <c r="AW150"/>
  <c r="AX150"/>
  <c r="AY150"/>
  <c r="AZ150"/>
  <c r="BA150"/>
  <c r="BB150"/>
  <c r="BC150"/>
  <c r="AW151"/>
  <c r="AX151"/>
  <c r="AY151"/>
  <c r="AZ151"/>
  <c r="BA151"/>
  <c r="BB151"/>
  <c r="BC151"/>
  <c r="AW152"/>
  <c r="AX152"/>
  <c r="AY152"/>
  <c r="AZ152"/>
  <c r="BA152"/>
  <c r="BB152"/>
  <c r="BC152"/>
  <c r="AW153"/>
  <c r="AX153"/>
  <c r="AY153"/>
  <c r="AZ153"/>
  <c r="BA153"/>
  <c r="BB153"/>
  <c r="BC153"/>
  <c r="AW154"/>
  <c r="AX154"/>
  <c r="AY154"/>
  <c r="AZ154"/>
  <c r="BA154"/>
  <c r="BB154"/>
  <c r="BC154"/>
  <c r="AW155"/>
  <c r="AX155"/>
  <c r="AY155"/>
  <c r="AZ155"/>
  <c r="BA155"/>
  <c r="BB155"/>
  <c r="BC155"/>
  <c r="AW156"/>
  <c r="AX156"/>
  <c r="AY156"/>
  <c r="AZ156"/>
  <c r="BA156"/>
  <c r="BB156"/>
  <c r="BC156"/>
  <c r="AW157"/>
  <c r="AX157"/>
  <c r="AY157"/>
  <c r="AZ157"/>
  <c r="BA157"/>
  <c r="BB157"/>
  <c r="BC157"/>
  <c r="AW158"/>
  <c r="AX158"/>
  <c r="AY158"/>
  <c r="AZ158"/>
  <c r="BA158"/>
  <c r="BB158"/>
  <c r="BC158"/>
  <c r="AW159"/>
  <c r="AX159"/>
  <c r="AY159"/>
  <c r="AZ159"/>
  <c r="BA159"/>
  <c r="BB159"/>
  <c r="BC159"/>
  <c r="AW160"/>
  <c r="AX160"/>
  <c r="AY160"/>
  <c r="AZ160"/>
  <c r="BA160"/>
  <c r="BB160"/>
  <c r="BC160"/>
  <c r="AW161"/>
  <c r="AX161"/>
  <c r="AY161"/>
  <c r="AZ161"/>
  <c r="BA161"/>
  <c r="BB161"/>
  <c r="BC161"/>
  <c r="AW162"/>
  <c r="AX162"/>
  <c r="AY162"/>
  <c r="AZ162"/>
  <c r="BA162"/>
  <c r="BB162"/>
  <c r="BC162"/>
  <c r="AW163"/>
  <c r="AX163"/>
  <c r="AY163"/>
  <c r="AZ163"/>
  <c r="BA163"/>
  <c r="BB163"/>
  <c r="BC163"/>
  <c r="AW164"/>
  <c r="AX164"/>
  <c r="AY164"/>
  <c r="AZ164"/>
  <c r="BA164"/>
  <c r="BB164"/>
  <c r="BC164"/>
  <c r="AW165"/>
  <c r="AX165"/>
  <c r="AY165"/>
  <c r="AZ165"/>
  <c r="BA165"/>
  <c r="BB165"/>
  <c r="BC165"/>
  <c r="AW166"/>
  <c r="AX166"/>
  <c r="AY166"/>
  <c r="AZ166"/>
  <c r="BA166"/>
  <c r="BB166"/>
  <c r="BC166"/>
  <c r="AW167"/>
  <c r="AX167"/>
  <c r="AY167"/>
  <c r="AZ167"/>
  <c r="BA167"/>
  <c r="BB167"/>
  <c r="BC167"/>
  <c r="AW168"/>
  <c r="AX168"/>
  <c r="AY168"/>
  <c r="AZ168"/>
  <c r="BA168"/>
  <c r="BB168"/>
  <c r="BC168"/>
  <c r="AW169"/>
  <c r="AX169"/>
  <c r="AY169"/>
  <c r="AZ169"/>
  <c r="BA169"/>
  <c r="BB169"/>
  <c r="BC169"/>
  <c r="AW170"/>
  <c r="AX170"/>
  <c r="AY170"/>
  <c r="AZ170"/>
  <c r="BA170"/>
  <c r="BB170"/>
  <c r="BC170"/>
  <c r="AW171"/>
  <c r="AX171"/>
  <c r="AY171"/>
  <c r="AZ171"/>
  <c r="BA171"/>
  <c r="BB171"/>
  <c r="BC171"/>
  <c r="AW172"/>
  <c r="AX172"/>
  <c r="AY172"/>
  <c r="AZ172"/>
  <c r="BA172"/>
  <c r="BB172"/>
  <c r="BC172"/>
  <c r="AW173"/>
  <c r="AX173"/>
  <c r="AY173"/>
  <c r="AZ173"/>
  <c r="BA173"/>
  <c r="BB173"/>
  <c r="BC173"/>
  <c r="AW174"/>
  <c r="AX174"/>
  <c r="AY174"/>
  <c r="AZ174"/>
  <c r="BA174"/>
  <c r="BB174"/>
  <c r="BC174"/>
  <c r="AW175"/>
  <c r="AX175"/>
  <c r="AY175"/>
  <c r="AZ175"/>
  <c r="BA175"/>
  <c r="BB175"/>
  <c r="BC175"/>
  <c r="AW176"/>
  <c r="AX176"/>
  <c r="AY176"/>
  <c r="AZ176"/>
  <c r="BA176"/>
  <c r="BB176"/>
  <c r="BC176"/>
  <c r="AW177"/>
  <c r="AX177"/>
  <c r="AY177"/>
  <c r="AZ177"/>
  <c r="BA177"/>
  <c r="BB177"/>
  <c r="BC177"/>
  <c r="AW178"/>
  <c r="AX178"/>
  <c r="AY178"/>
  <c r="AZ178"/>
  <c r="BA178"/>
  <c r="BB178"/>
  <c r="BC178"/>
  <c r="AW179"/>
  <c r="AX179"/>
  <c r="AY179"/>
  <c r="AZ179"/>
  <c r="BA179"/>
  <c r="BB179"/>
  <c r="BC179"/>
  <c r="AW180"/>
  <c r="AX180"/>
  <c r="AY180"/>
  <c r="AZ180"/>
  <c r="BA180"/>
  <c r="BB180"/>
  <c r="BC180"/>
  <c r="AW181"/>
  <c r="AX181"/>
  <c r="AY181"/>
  <c r="AZ181"/>
  <c r="BA181"/>
  <c r="BB181"/>
  <c r="BC181"/>
  <c r="AW182"/>
  <c r="AX182"/>
  <c r="AY182"/>
  <c r="AZ182"/>
  <c r="BA182"/>
  <c r="BB182"/>
  <c r="BC182"/>
  <c r="AW183"/>
  <c r="AX183"/>
  <c r="AY183"/>
  <c r="AZ183"/>
  <c r="BA183"/>
  <c r="BB183"/>
  <c r="BC183"/>
  <c r="AW184"/>
  <c r="AX184"/>
  <c r="AY184"/>
  <c r="AZ184"/>
  <c r="BA184"/>
  <c r="BB184"/>
  <c r="BC184"/>
  <c r="AW185"/>
  <c r="AX185"/>
  <c r="AY185"/>
  <c r="AZ185"/>
  <c r="BA185"/>
  <c r="BB185"/>
  <c r="BC185"/>
  <c r="AW186"/>
  <c r="AX186"/>
  <c r="AY186"/>
  <c r="AZ186"/>
  <c r="BA186"/>
  <c r="BB186"/>
  <c r="BC186"/>
  <c r="AW187"/>
  <c r="AX187"/>
  <c r="AY187"/>
  <c r="AZ187"/>
  <c r="BA187"/>
  <c r="BB187"/>
  <c r="BC187"/>
  <c r="AW188"/>
  <c r="AX188"/>
  <c r="AY188"/>
  <c r="AZ188"/>
  <c r="BA188"/>
  <c r="BB188"/>
  <c r="BC188"/>
  <c r="AW189"/>
  <c r="AX189"/>
  <c r="AY189"/>
  <c r="AZ189"/>
  <c r="BA189"/>
  <c r="BB189"/>
  <c r="BC189"/>
  <c r="AW190"/>
  <c r="AX190"/>
  <c r="AY190"/>
  <c r="AZ190"/>
  <c r="BA190"/>
  <c r="BB190"/>
  <c r="BC190"/>
  <c r="AW191"/>
  <c r="AX191"/>
  <c r="AY191"/>
  <c r="AZ191"/>
  <c r="BA191"/>
  <c r="BB191"/>
  <c r="BC191"/>
  <c r="AW192"/>
  <c r="AX192"/>
  <c r="AY192"/>
  <c r="AZ192"/>
  <c r="BA192"/>
  <c r="BB192"/>
  <c r="BC192"/>
  <c r="AW193"/>
  <c r="AX193"/>
  <c r="AY193"/>
  <c r="AZ193"/>
  <c r="BA193"/>
  <c r="BB193"/>
  <c r="BC193"/>
  <c r="AW194"/>
  <c r="AX194"/>
  <c r="AY194"/>
  <c r="AZ194"/>
  <c r="BA194"/>
  <c r="BB194"/>
  <c r="BC194"/>
  <c r="AW195"/>
  <c r="AX195"/>
  <c r="AY195"/>
  <c r="AZ195"/>
  <c r="BA195"/>
  <c r="BB195"/>
  <c r="BC195"/>
  <c r="AW196"/>
  <c r="AX196"/>
  <c r="AY196"/>
  <c r="AZ196"/>
  <c r="BA196"/>
  <c r="BB196"/>
  <c r="BC196"/>
  <c r="AW197"/>
  <c r="AX197"/>
  <c r="AY197"/>
  <c r="AZ197"/>
  <c r="BA197"/>
  <c r="BB197"/>
  <c r="BC197"/>
  <c r="AW198"/>
  <c r="AX198"/>
  <c r="AY198"/>
  <c r="AZ198"/>
  <c r="BA198"/>
  <c r="BB198"/>
  <c r="BC198"/>
  <c r="AW199"/>
  <c r="AX199"/>
  <c r="AY199"/>
  <c r="AZ199"/>
  <c r="BA199"/>
  <c r="BB199"/>
  <c r="BC199"/>
  <c r="AW200"/>
  <c r="AX200"/>
  <c r="AY200"/>
  <c r="AZ200"/>
  <c r="BA200"/>
  <c r="BB200"/>
  <c r="BC200"/>
  <c r="AW201"/>
  <c r="AX201"/>
  <c r="AY201"/>
  <c r="AZ201"/>
  <c r="BA201"/>
  <c r="BB201"/>
  <c r="BC201"/>
  <c r="AW202"/>
  <c r="AX202"/>
  <c r="AY202"/>
  <c r="AZ202"/>
  <c r="BA202"/>
  <c r="BB202"/>
  <c r="BC202"/>
  <c r="AW203"/>
  <c r="AX203"/>
  <c r="AY203"/>
  <c r="AZ203"/>
  <c r="BA203"/>
  <c r="BB203"/>
  <c r="BC203"/>
  <c r="AW204"/>
  <c r="AX204"/>
  <c r="AY204"/>
  <c r="AZ204"/>
  <c r="BA204"/>
  <c r="BB204"/>
  <c r="BC204"/>
  <c r="AW205"/>
  <c r="AX205"/>
  <c r="AY205"/>
  <c r="AZ205"/>
  <c r="BA205"/>
  <c r="BB205"/>
  <c r="BC205"/>
  <c r="AW206"/>
  <c r="AX206"/>
  <c r="AY206"/>
  <c r="AZ206"/>
  <c r="BA206"/>
  <c r="BB206"/>
  <c r="BC206"/>
  <c r="AW207"/>
  <c r="AX207"/>
  <c r="AY207"/>
  <c r="AZ207"/>
  <c r="BA207"/>
  <c r="BB207"/>
  <c r="BC207"/>
  <c r="AW208"/>
  <c r="AX208"/>
  <c r="AY208"/>
  <c r="AZ208"/>
  <c r="BA208"/>
  <c r="BB208"/>
  <c r="BC208"/>
  <c r="AW209"/>
  <c r="AX209"/>
  <c r="AY209"/>
  <c r="AZ209"/>
  <c r="BA209"/>
  <c r="BB209"/>
  <c r="BC209"/>
  <c r="AW210"/>
  <c r="AX210"/>
  <c r="AY210"/>
  <c r="AZ210"/>
  <c r="BA210"/>
  <c r="BB210"/>
  <c r="BC210"/>
  <c r="AW211"/>
  <c r="AX211"/>
  <c r="AY211"/>
  <c r="AZ211"/>
  <c r="BA211"/>
  <c r="BB211"/>
  <c r="BC211"/>
  <c r="AW212"/>
  <c r="AX212"/>
  <c r="AY212"/>
  <c r="AZ212"/>
  <c r="BA212"/>
  <c r="BB212"/>
  <c r="BC212"/>
  <c r="AW213"/>
  <c r="AX213"/>
  <c r="AY213"/>
  <c r="AZ213"/>
  <c r="BA213"/>
  <c r="BB213"/>
  <c r="BC213"/>
  <c r="AW214"/>
  <c r="AX214"/>
  <c r="AY214"/>
  <c r="AZ214"/>
  <c r="BA214"/>
  <c r="BB214"/>
  <c r="BC214"/>
  <c r="AW215"/>
  <c r="AX215"/>
  <c r="AY215"/>
  <c r="AZ215"/>
  <c r="BA215"/>
  <c r="BB215"/>
  <c r="BC215"/>
  <c r="AW216"/>
  <c r="AX216"/>
  <c r="AY216"/>
  <c r="AZ216"/>
  <c r="BA216"/>
  <c r="BB216"/>
  <c r="BC216"/>
  <c r="AW217"/>
  <c r="AX217"/>
  <c r="AY217"/>
  <c r="AZ217"/>
  <c r="BA217"/>
  <c r="BB217"/>
  <c r="BC217"/>
  <c r="AW218"/>
  <c r="AX218"/>
  <c r="AY218"/>
  <c r="AZ218"/>
  <c r="BA218"/>
  <c r="BB218"/>
  <c r="BC218"/>
  <c r="AW219"/>
  <c r="AX219"/>
  <c r="AY219"/>
  <c r="AZ219"/>
  <c r="BA219"/>
  <c r="BB219"/>
  <c r="BC219"/>
  <c r="AW220"/>
  <c r="AX220"/>
  <c r="AY220"/>
  <c r="AZ220"/>
  <c r="BA220"/>
  <c r="BB220"/>
  <c r="BC220"/>
  <c r="AW221"/>
  <c r="AX221"/>
  <c r="AY221"/>
  <c r="AZ221"/>
  <c r="BA221"/>
  <c r="BB221"/>
  <c r="BC221"/>
  <c r="AW222"/>
  <c r="AX222"/>
  <c r="AY222"/>
  <c r="AZ222"/>
  <c r="BA222"/>
  <c r="BB222"/>
  <c r="BC222"/>
  <c r="AW223"/>
  <c r="AX223"/>
  <c r="AY223"/>
  <c r="AZ223"/>
  <c r="BA223"/>
  <c r="BB223"/>
  <c r="BC223"/>
  <c r="AW224"/>
  <c r="AX224"/>
  <c r="AY224"/>
  <c r="AZ224"/>
  <c r="BA224"/>
  <c r="BB224"/>
  <c r="BC224"/>
  <c r="AW225"/>
  <c r="AX225"/>
  <c r="AY225"/>
  <c r="AZ225"/>
  <c r="BA225"/>
  <c r="BB225"/>
  <c r="BC225"/>
  <c r="AW226"/>
  <c r="AX226"/>
  <c r="AY226"/>
  <c r="AZ226"/>
  <c r="BA226"/>
  <c r="BB226"/>
  <c r="BC226"/>
  <c r="AW227"/>
  <c r="AX227"/>
  <c r="AY227"/>
  <c r="AZ227"/>
  <c r="BA227"/>
  <c r="BB227"/>
  <c r="BC227"/>
  <c r="AW228"/>
  <c r="AX228"/>
  <c r="AY228"/>
  <c r="AZ228"/>
  <c r="BA228"/>
  <c r="BB228"/>
  <c r="BC228"/>
  <c r="AW229"/>
  <c r="AX229"/>
  <c r="AY229"/>
  <c r="AZ229"/>
  <c r="BA229"/>
  <c r="BB229"/>
  <c r="BC229"/>
  <c r="AW230"/>
  <c r="AX230"/>
  <c r="AY230"/>
  <c r="AZ230"/>
  <c r="BA230"/>
  <c r="BB230"/>
  <c r="BC230"/>
  <c r="AW231"/>
  <c r="AX231"/>
  <c r="AY231"/>
  <c r="AZ231"/>
  <c r="BA231"/>
  <c r="BB231"/>
  <c r="BC231"/>
  <c r="AW232"/>
  <c r="AX232"/>
  <c r="AY232"/>
  <c r="AZ232"/>
  <c r="BA232"/>
  <c r="BB232"/>
  <c r="BC232"/>
  <c r="AW233"/>
  <c r="AX233"/>
  <c r="AY233"/>
  <c r="AZ233"/>
  <c r="BA233"/>
  <c r="BB233"/>
  <c r="BC233"/>
  <c r="AW234"/>
  <c r="AX234"/>
  <c r="AY234"/>
  <c r="AZ234"/>
  <c r="BA234"/>
  <c r="BB234"/>
  <c r="BC234"/>
  <c r="AW235"/>
  <c r="AX235"/>
  <c r="AY235"/>
  <c r="AZ235"/>
  <c r="BA235"/>
  <c r="BB235"/>
  <c r="BC235"/>
  <c r="AW236"/>
  <c r="AX236"/>
  <c r="AY236"/>
  <c r="AZ236"/>
  <c r="BA236"/>
  <c r="BB236"/>
  <c r="BC236"/>
  <c r="AW237"/>
  <c r="AX237"/>
  <c r="AY237"/>
  <c r="AZ237"/>
  <c r="BA237"/>
  <c r="BB237"/>
  <c r="BC237"/>
  <c r="AW238"/>
  <c r="AX238"/>
  <c r="AY238"/>
  <c r="AZ238"/>
  <c r="BA238"/>
  <c r="BB238"/>
  <c r="BC238"/>
  <c r="AW239"/>
  <c r="AX239"/>
  <c r="AY239"/>
  <c r="AZ239"/>
  <c r="BA239"/>
  <c r="BB239"/>
  <c r="BC239"/>
  <c r="AW240"/>
  <c r="AX240"/>
  <c r="AY240"/>
  <c r="AZ240"/>
  <c r="BA240"/>
  <c r="BB240"/>
  <c r="BC240"/>
  <c r="AW241"/>
  <c r="AX241"/>
  <c r="AY241"/>
  <c r="AZ241"/>
  <c r="BA241"/>
  <c r="BB241"/>
  <c r="BC241"/>
  <c r="AW242"/>
  <c r="AX242"/>
  <c r="AY242"/>
  <c r="AZ242"/>
  <c r="BA242"/>
  <c r="BB242"/>
  <c r="BC242"/>
  <c r="AW243"/>
  <c r="AX243"/>
  <c r="AY243"/>
  <c r="AZ243"/>
  <c r="BA243"/>
  <c r="BB243"/>
  <c r="BC243"/>
  <c r="AW244"/>
  <c r="AX244"/>
  <c r="AY244"/>
  <c r="AZ244"/>
  <c r="BA244"/>
  <c r="BB244"/>
  <c r="BC244"/>
  <c r="AW245"/>
  <c r="AX245"/>
  <c r="AY245"/>
  <c r="AZ245"/>
  <c r="BA245"/>
  <c r="BB245"/>
  <c r="BC245"/>
  <c r="AW246"/>
  <c r="AX246"/>
  <c r="AY246"/>
  <c r="AZ246"/>
  <c r="BA246"/>
  <c r="BB246"/>
  <c r="BC246"/>
  <c r="AW247"/>
  <c r="AX247"/>
  <c r="AY247"/>
  <c r="AZ247"/>
  <c r="BA247"/>
  <c r="BB247"/>
  <c r="BC247"/>
  <c r="AW248"/>
  <c r="AX248"/>
  <c r="AY248"/>
  <c r="AZ248"/>
  <c r="BA248"/>
  <c r="BB248"/>
  <c r="BC248"/>
  <c r="AW249"/>
  <c r="AX249"/>
  <c r="AY249"/>
  <c r="AZ249"/>
  <c r="BA249"/>
  <c r="BB249"/>
  <c r="BC249"/>
  <c r="AW250"/>
  <c r="AX250"/>
  <c r="AY250"/>
  <c r="AZ250"/>
  <c r="BA250"/>
  <c r="BB250"/>
  <c r="BC250"/>
  <c r="AW251"/>
  <c r="AX251"/>
  <c r="AY251"/>
  <c r="AZ251"/>
  <c r="BA251"/>
  <c r="BB251"/>
  <c r="BC251"/>
  <c r="AW252"/>
  <c r="AX252"/>
  <c r="AY252"/>
  <c r="AZ252"/>
  <c r="BA252"/>
  <c r="BB252"/>
  <c r="BC252"/>
  <c r="AW253"/>
  <c r="AX253"/>
  <c r="AY253"/>
  <c r="AZ253"/>
  <c r="BA253"/>
  <c r="BB253"/>
  <c r="BC253"/>
  <c r="AW254"/>
  <c r="AX254"/>
  <c r="AY254"/>
  <c r="AZ254"/>
  <c r="BA254"/>
  <c r="BB254"/>
  <c r="BC254"/>
  <c r="AW255"/>
  <c r="AX255"/>
  <c r="AY255"/>
  <c r="AZ255"/>
  <c r="BA255"/>
  <c r="BB255"/>
  <c r="BC255"/>
  <c r="AW256"/>
  <c r="AX256"/>
  <c r="AY256"/>
  <c r="AZ256"/>
  <c r="BA256"/>
  <c r="BB256"/>
  <c r="BC256"/>
  <c r="AW257"/>
  <c r="AX257"/>
  <c r="AY257"/>
  <c r="AZ257"/>
  <c r="BA257"/>
  <c r="BB257"/>
  <c r="BC257"/>
  <c r="AW258"/>
  <c r="AX258"/>
  <c r="AY258"/>
  <c r="AZ258"/>
  <c r="BA258"/>
  <c r="BB258"/>
  <c r="BC258"/>
  <c r="AW259"/>
  <c r="AX259"/>
  <c r="AY259"/>
  <c r="AZ259"/>
  <c r="BA259"/>
  <c r="BB259"/>
  <c r="BC259"/>
  <c r="AW260"/>
  <c r="AX260"/>
  <c r="AY260"/>
  <c r="AZ260"/>
  <c r="BA260"/>
  <c r="BB260"/>
  <c r="BC260"/>
  <c r="BC11"/>
  <c r="BB11"/>
  <c r="BA11"/>
  <c r="AY11"/>
  <c r="AX11"/>
  <c r="AW11"/>
  <c r="AZ11"/>
  <c r="AN12"/>
  <c r="AO12"/>
  <c r="AP12"/>
  <c r="AQ12"/>
  <c r="AR12"/>
  <c r="AS12"/>
  <c r="AT12"/>
  <c r="AN13"/>
  <c r="AO13"/>
  <c r="AP13"/>
  <c r="AQ13"/>
  <c r="AR13"/>
  <c r="AS13"/>
  <c r="AT13"/>
  <c r="AN14"/>
  <c r="AO14"/>
  <c r="AP14"/>
  <c r="AQ14"/>
  <c r="AR14"/>
  <c r="AS14"/>
  <c r="AT14"/>
  <c r="AN15"/>
  <c r="AO15"/>
  <c r="AP15"/>
  <c r="AQ15"/>
  <c r="AR15"/>
  <c r="AS15"/>
  <c r="AT15"/>
  <c r="AN16"/>
  <c r="AO16"/>
  <c r="AP16"/>
  <c r="AQ16"/>
  <c r="AR16"/>
  <c r="AS16"/>
  <c r="AT16"/>
  <c r="AN17"/>
  <c r="AO17"/>
  <c r="AP17"/>
  <c r="AQ17"/>
  <c r="AR17"/>
  <c r="AS17"/>
  <c r="AT17"/>
  <c r="AN18"/>
  <c r="AO18"/>
  <c r="AP18"/>
  <c r="AQ18"/>
  <c r="AR18"/>
  <c r="AS18"/>
  <c r="AT18"/>
  <c r="AN19"/>
  <c r="AO19"/>
  <c r="AP19"/>
  <c r="AQ19"/>
  <c r="AR19"/>
  <c r="AS19"/>
  <c r="AT19"/>
  <c r="AN20"/>
  <c r="AO20"/>
  <c r="AP20"/>
  <c r="AQ20"/>
  <c r="AR20"/>
  <c r="AS20"/>
  <c r="AT20"/>
  <c r="AN21"/>
  <c r="AO21"/>
  <c r="AP21"/>
  <c r="AQ21"/>
  <c r="AR21"/>
  <c r="AS21"/>
  <c r="AT21"/>
  <c r="AN22"/>
  <c r="AO22"/>
  <c r="AP22"/>
  <c r="AQ22"/>
  <c r="AR22"/>
  <c r="AS22"/>
  <c r="AT22"/>
  <c r="AN23"/>
  <c r="AO23"/>
  <c r="AP23"/>
  <c r="AQ23"/>
  <c r="AR23"/>
  <c r="AS23"/>
  <c r="AT23"/>
  <c r="AN24"/>
  <c r="AO24"/>
  <c r="AP24"/>
  <c r="AQ24"/>
  <c r="AR24"/>
  <c r="AS24"/>
  <c r="AT24"/>
  <c r="AN25"/>
  <c r="AO25"/>
  <c r="AP25"/>
  <c r="AQ25"/>
  <c r="AR25"/>
  <c r="AS25"/>
  <c r="AT25"/>
  <c r="AN26"/>
  <c r="AO26"/>
  <c r="AP26"/>
  <c r="AQ26"/>
  <c r="AR26"/>
  <c r="AS26"/>
  <c r="AT26"/>
  <c r="AN27"/>
  <c r="AO27"/>
  <c r="AP27"/>
  <c r="AQ27"/>
  <c r="AR27"/>
  <c r="AS27"/>
  <c r="AT27"/>
  <c r="AN28"/>
  <c r="AO28"/>
  <c r="AP28"/>
  <c r="AQ28"/>
  <c r="AR28"/>
  <c r="AS28"/>
  <c r="AT28"/>
  <c r="AN29"/>
  <c r="AO29"/>
  <c r="AP29"/>
  <c r="AQ29"/>
  <c r="AR29"/>
  <c r="AS29"/>
  <c r="AT29"/>
  <c r="AN30"/>
  <c r="AO30"/>
  <c r="AP30"/>
  <c r="AQ30"/>
  <c r="AR30"/>
  <c r="AS30"/>
  <c r="AT30"/>
  <c r="AN31"/>
  <c r="AO31"/>
  <c r="AP31"/>
  <c r="AQ31"/>
  <c r="AR31"/>
  <c r="AS31"/>
  <c r="AT31"/>
  <c r="AN32"/>
  <c r="AO32"/>
  <c r="AP32"/>
  <c r="AQ32"/>
  <c r="AR32"/>
  <c r="AS32"/>
  <c r="AT32"/>
  <c r="AN33"/>
  <c r="AO33"/>
  <c r="AP33"/>
  <c r="AQ33"/>
  <c r="AR33"/>
  <c r="AS33"/>
  <c r="AT33"/>
  <c r="AN34"/>
  <c r="AO34"/>
  <c r="AP34"/>
  <c r="AQ34"/>
  <c r="AR34"/>
  <c r="AS34"/>
  <c r="AT34"/>
  <c r="AN35"/>
  <c r="AO35"/>
  <c r="AP35"/>
  <c r="AQ35"/>
  <c r="AR35"/>
  <c r="AS35"/>
  <c r="AT35"/>
  <c r="AN36"/>
  <c r="AO36"/>
  <c r="AP36"/>
  <c r="AQ36"/>
  <c r="AR36"/>
  <c r="AS36"/>
  <c r="AT36"/>
  <c r="AN37"/>
  <c r="AO37"/>
  <c r="AP37"/>
  <c r="AQ37"/>
  <c r="AR37"/>
  <c r="AS37"/>
  <c r="AT37"/>
  <c r="AN38"/>
  <c r="AO38"/>
  <c r="AP38"/>
  <c r="AQ38"/>
  <c r="AR38"/>
  <c r="AS38"/>
  <c r="AT38"/>
  <c r="AN39"/>
  <c r="AO39"/>
  <c r="AP39"/>
  <c r="AQ39"/>
  <c r="AR39"/>
  <c r="AS39"/>
  <c r="AT39"/>
  <c r="AN40"/>
  <c r="AO40"/>
  <c r="AP40"/>
  <c r="AQ40"/>
  <c r="AR40"/>
  <c r="AS40"/>
  <c r="AT40"/>
  <c r="AN41"/>
  <c r="AO41"/>
  <c r="AP41"/>
  <c r="AQ41"/>
  <c r="AR41"/>
  <c r="AS41"/>
  <c r="AT41"/>
  <c r="AN42"/>
  <c r="AO42"/>
  <c r="AP42"/>
  <c r="AQ42"/>
  <c r="AR42"/>
  <c r="AS42"/>
  <c r="AT42"/>
  <c r="AN43"/>
  <c r="AO43"/>
  <c r="AP43"/>
  <c r="AQ43"/>
  <c r="AR43"/>
  <c r="AS43"/>
  <c r="AT43"/>
  <c r="AN44"/>
  <c r="AO44"/>
  <c r="AP44"/>
  <c r="AQ44"/>
  <c r="AR44"/>
  <c r="AS44"/>
  <c r="AT44"/>
  <c r="AN45"/>
  <c r="AO45"/>
  <c r="AP45"/>
  <c r="AQ45"/>
  <c r="AR45"/>
  <c r="AS45"/>
  <c r="AT45"/>
  <c r="AN46"/>
  <c r="AO46"/>
  <c r="AP46"/>
  <c r="AQ46"/>
  <c r="AR46"/>
  <c r="AS46"/>
  <c r="AT46"/>
  <c r="AN47"/>
  <c r="AO47"/>
  <c r="AP47"/>
  <c r="AQ47"/>
  <c r="AR47"/>
  <c r="AS47"/>
  <c r="AT47"/>
  <c r="AN48"/>
  <c r="AO48"/>
  <c r="AP48"/>
  <c r="AQ48"/>
  <c r="AR48"/>
  <c r="AS48"/>
  <c r="AT48"/>
  <c r="AN49"/>
  <c r="AO49"/>
  <c r="AP49"/>
  <c r="AQ49"/>
  <c r="AR49"/>
  <c r="AS49"/>
  <c r="AT49"/>
  <c r="AN50"/>
  <c r="AO50"/>
  <c r="AP50"/>
  <c r="AQ50"/>
  <c r="AR50"/>
  <c r="AS50"/>
  <c r="AT50"/>
  <c r="AN51"/>
  <c r="AO51"/>
  <c r="AP51"/>
  <c r="AQ51"/>
  <c r="AR51"/>
  <c r="AS51"/>
  <c r="AT51"/>
  <c r="AN52"/>
  <c r="AO52"/>
  <c r="AP52"/>
  <c r="AQ52"/>
  <c r="AR52"/>
  <c r="AS52"/>
  <c r="AT52"/>
  <c r="AN53"/>
  <c r="AO53"/>
  <c r="AP53"/>
  <c r="AQ53"/>
  <c r="AR53"/>
  <c r="AS53"/>
  <c r="AT53"/>
  <c r="AN54"/>
  <c r="AO54"/>
  <c r="AP54"/>
  <c r="AQ54"/>
  <c r="AR54"/>
  <c r="AS54"/>
  <c r="AT54"/>
  <c r="AN55"/>
  <c r="AO55"/>
  <c r="AP55"/>
  <c r="AQ55"/>
  <c r="AR55"/>
  <c r="AS55"/>
  <c r="AT55"/>
  <c r="AN56"/>
  <c r="AO56"/>
  <c r="AP56"/>
  <c r="AQ56"/>
  <c r="AR56"/>
  <c r="AS56"/>
  <c r="AT56"/>
  <c r="AN57"/>
  <c r="AO57"/>
  <c r="AP57"/>
  <c r="AQ57"/>
  <c r="AR57"/>
  <c r="AS57"/>
  <c r="AT57"/>
  <c r="AN58"/>
  <c r="AO58"/>
  <c r="AP58"/>
  <c r="AQ58"/>
  <c r="AR58"/>
  <c r="AS58"/>
  <c r="AT58"/>
  <c r="AN59"/>
  <c r="AO59"/>
  <c r="AP59"/>
  <c r="AQ59"/>
  <c r="AR59"/>
  <c r="AS59"/>
  <c r="AT59"/>
  <c r="AN60"/>
  <c r="AO60"/>
  <c r="AP60"/>
  <c r="AQ60"/>
  <c r="AR60"/>
  <c r="AS60"/>
  <c r="AT60"/>
  <c r="AN61"/>
  <c r="AO61"/>
  <c r="AP61"/>
  <c r="AQ61"/>
  <c r="AR61"/>
  <c r="AS61"/>
  <c r="AT61"/>
  <c r="AN62"/>
  <c r="AO62"/>
  <c r="AP62"/>
  <c r="AQ62"/>
  <c r="AR62"/>
  <c r="AS62"/>
  <c r="AT62"/>
  <c r="AN63"/>
  <c r="AO63"/>
  <c r="AP63"/>
  <c r="AQ63"/>
  <c r="AR63"/>
  <c r="AS63"/>
  <c r="AT63"/>
  <c r="AN64"/>
  <c r="AO64"/>
  <c r="AP64"/>
  <c r="AQ64"/>
  <c r="AR64"/>
  <c r="AS64"/>
  <c r="AT64"/>
  <c r="AN65"/>
  <c r="AO65"/>
  <c r="AP65"/>
  <c r="AQ65"/>
  <c r="AR65"/>
  <c r="AS65"/>
  <c r="AT65"/>
  <c r="AN66"/>
  <c r="AO66"/>
  <c r="AP66"/>
  <c r="AQ66"/>
  <c r="AR66"/>
  <c r="AS66"/>
  <c r="AT66"/>
  <c r="AN67"/>
  <c r="AO67"/>
  <c r="AP67"/>
  <c r="AQ67"/>
  <c r="AR67"/>
  <c r="AS67"/>
  <c r="AT67"/>
  <c r="AN68"/>
  <c r="AO68"/>
  <c r="AP68"/>
  <c r="AQ68"/>
  <c r="AR68"/>
  <c r="AS68"/>
  <c r="AT68"/>
  <c r="AN69"/>
  <c r="AO69"/>
  <c r="AP69"/>
  <c r="AQ69"/>
  <c r="AR69"/>
  <c r="AS69"/>
  <c r="AT69"/>
  <c r="AN70"/>
  <c r="AO70"/>
  <c r="AP70"/>
  <c r="AQ70"/>
  <c r="AR70"/>
  <c r="AS70"/>
  <c r="AT70"/>
  <c r="AN71"/>
  <c r="AO71"/>
  <c r="AP71"/>
  <c r="AQ71"/>
  <c r="AR71"/>
  <c r="AS71"/>
  <c r="AT71"/>
  <c r="AN72"/>
  <c r="AO72"/>
  <c r="AP72"/>
  <c r="AQ72"/>
  <c r="AR72"/>
  <c r="AS72"/>
  <c r="AT72"/>
  <c r="AN73"/>
  <c r="AO73"/>
  <c r="AP73"/>
  <c r="AQ73"/>
  <c r="AR73"/>
  <c r="AS73"/>
  <c r="AT73"/>
  <c r="AN74"/>
  <c r="AO74"/>
  <c r="AP74"/>
  <c r="AQ74"/>
  <c r="AR74"/>
  <c r="AS74"/>
  <c r="AT74"/>
  <c r="AN75"/>
  <c r="AO75"/>
  <c r="AP75"/>
  <c r="AQ75"/>
  <c r="AR75"/>
  <c r="AS75"/>
  <c r="AT75"/>
  <c r="AN76"/>
  <c r="AO76"/>
  <c r="AP76"/>
  <c r="AQ76"/>
  <c r="AR76"/>
  <c r="AS76"/>
  <c r="AT76"/>
  <c r="AN77"/>
  <c r="AO77"/>
  <c r="AP77"/>
  <c r="AQ77"/>
  <c r="AR77"/>
  <c r="AS77"/>
  <c r="AT77"/>
  <c r="AN78"/>
  <c r="AO78"/>
  <c r="AP78"/>
  <c r="AQ78"/>
  <c r="AR78"/>
  <c r="AS78"/>
  <c r="AT78"/>
  <c r="AN79"/>
  <c r="AO79"/>
  <c r="AP79"/>
  <c r="AQ79"/>
  <c r="AR79"/>
  <c r="AS79"/>
  <c r="AT79"/>
  <c r="AN80"/>
  <c r="AO80"/>
  <c r="AP80"/>
  <c r="AQ80"/>
  <c r="AR80"/>
  <c r="AS80"/>
  <c r="AT80"/>
  <c r="AN81"/>
  <c r="AO81"/>
  <c r="AP81"/>
  <c r="AQ81"/>
  <c r="AR81"/>
  <c r="AS81"/>
  <c r="AT81"/>
  <c r="AN82"/>
  <c r="AO82"/>
  <c r="AP82"/>
  <c r="AQ82"/>
  <c r="AR82"/>
  <c r="AS82"/>
  <c r="AT82"/>
  <c r="AN83"/>
  <c r="AO83"/>
  <c r="AP83"/>
  <c r="AQ83"/>
  <c r="AR83"/>
  <c r="AS83"/>
  <c r="AT83"/>
  <c r="AN84"/>
  <c r="AO84"/>
  <c r="AP84"/>
  <c r="AQ84"/>
  <c r="AR84"/>
  <c r="AS84"/>
  <c r="AT84"/>
  <c r="AN85"/>
  <c r="AO85"/>
  <c r="AP85"/>
  <c r="AQ85"/>
  <c r="AR85"/>
  <c r="AS85"/>
  <c r="AT85"/>
  <c r="AN86"/>
  <c r="AO86"/>
  <c r="AP86"/>
  <c r="AQ86"/>
  <c r="AR86"/>
  <c r="AS86"/>
  <c r="AT86"/>
  <c r="AN87"/>
  <c r="AO87"/>
  <c r="AP87"/>
  <c r="AQ87"/>
  <c r="AR87"/>
  <c r="AS87"/>
  <c r="AT87"/>
  <c r="AN88"/>
  <c r="AO88"/>
  <c r="AP88"/>
  <c r="AQ88"/>
  <c r="AR88"/>
  <c r="AS88"/>
  <c r="AT88"/>
  <c r="AN89"/>
  <c r="AO89"/>
  <c r="AP89"/>
  <c r="AQ89"/>
  <c r="AR89"/>
  <c r="AS89"/>
  <c r="AT89"/>
  <c r="AN90"/>
  <c r="AO90"/>
  <c r="AP90"/>
  <c r="AQ90"/>
  <c r="AR90"/>
  <c r="AS90"/>
  <c r="AT90"/>
  <c r="AN91"/>
  <c r="AO91"/>
  <c r="AP91"/>
  <c r="AQ91"/>
  <c r="AR91"/>
  <c r="AS91"/>
  <c r="AT91"/>
  <c r="AN92"/>
  <c r="AO92"/>
  <c r="AP92"/>
  <c r="AQ92"/>
  <c r="AR92"/>
  <c r="AS92"/>
  <c r="AT92"/>
  <c r="AN93"/>
  <c r="AO93"/>
  <c r="AP93"/>
  <c r="AQ93"/>
  <c r="AR93"/>
  <c r="AS93"/>
  <c r="AT93"/>
  <c r="AN94"/>
  <c r="AO94"/>
  <c r="AP94"/>
  <c r="AQ94"/>
  <c r="AR94"/>
  <c r="AS94"/>
  <c r="AT94"/>
  <c r="AN95"/>
  <c r="AO95"/>
  <c r="AP95"/>
  <c r="AQ95"/>
  <c r="AR95"/>
  <c r="AS95"/>
  <c r="AT95"/>
  <c r="AN96"/>
  <c r="AO96"/>
  <c r="AP96"/>
  <c r="AQ96"/>
  <c r="AR96"/>
  <c r="AS96"/>
  <c r="AT96"/>
  <c r="AN97"/>
  <c r="AO97"/>
  <c r="AP97"/>
  <c r="AQ97"/>
  <c r="AR97"/>
  <c r="AS97"/>
  <c r="AT97"/>
  <c r="AN98"/>
  <c r="AO98"/>
  <c r="AP98"/>
  <c r="AQ98"/>
  <c r="AR98"/>
  <c r="AS98"/>
  <c r="AT98"/>
  <c r="AN99"/>
  <c r="AO99"/>
  <c r="AP99"/>
  <c r="AQ99"/>
  <c r="AR99"/>
  <c r="AS99"/>
  <c r="AT99"/>
  <c r="AN100"/>
  <c r="AO100"/>
  <c r="AP100"/>
  <c r="AQ100"/>
  <c r="AR100"/>
  <c r="AS100"/>
  <c r="AT100"/>
  <c r="AN101"/>
  <c r="AO101"/>
  <c r="AP101"/>
  <c r="AQ101"/>
  <c r="AR101"/>
  <c r="AS101"/>
  <c r="AT101"/>
  <c r="AN102"/>
  <c r="AO102"/>
  <c r="AP102"/>
  <c r="AQ102"/>
  <c r="AR102"/>
  <c r="AS102"/>
  <c r="AT102"/>
  <c r="AN103"/>
  <c r="AO103"/>
  <c r="AP103"/>
  <c r="AQ103"/>
  <c r="AR103"/>
  <c r="AS103"/>
  <c r="AT103"/>
  <c r="AN104"/>
  <c r="AO104"/>
  <c r="AP104"/>
  <c r="AQ104"/>
  <c r="AR104"/>
  <c r="AS104"/>
  <c r="AT104"/>
  <c r="AN105"/>
  <c r="AO105"/>
  <c r="AP105"/>
  <c r="AQ105"/>
  <c r="AR105"/>
  <c r="AS105"/>
  <c r="AT105"/>
  <c r="AN106"/>
  <c r="AO106"/>
  <c r="AP106"/>
  <c r="AQ106"/>
  <c r="AR106"/>
  <c r="AS106"/>
  <c r="AT106"/>
  <c r="AN107"/>
  <c r="AO107"/>
  <c r="AP107"/>
  <c r="AQ107"/>
  <c r="AR107"/>
  <c r="AS107"/>
  <c r="AT107"/>
  <c r="AN108"/>
  <c r="AO108"/>
  <c r="AP108"/>
  <c r="AQ108"/>
  <c r="AR108"/>
  <c r="AS108"/>
  <c r="AT108"/>
  <c r="AN109"/>
  <c r="AO109"/>
  <c r="AP109"/>
  <c r="AQ109"/>
  <c r="AR109"/>
  <c r="AS109"/>
  <c r="AT109"/>
  <c r="AN110"/>
  <c r="AO110"/>
  <c r="AP110"/>
  <c r="AQ110"/>
  <c r="AR110"/>
  <c r="AS110"/>
  <c r="AT110"/>
  <c r="AN111"/>
  <c r="AO111"/>
  <c r="AP111"/>
  <c r="AQ111"/>
  <c r="AR111"/>
  <c r="AS111"/>
  <c r="AT111"/>
  <c r="AN112"/>
  <c r="AO112"/>
  <c r="AP112"/>
  <c r="AQ112"/>
  <c r="AR112"/>
  <c r="AS112"/>
  <c r="AT112"/>
  <c r="AN113"/>
  <c r="AO113"/>
  <c r="AP113"/>
  <c r="AQ113"/>
  <c r="AR113"/>
  <c r="AS113"/>
  <c r="AT113"/>
  <c r="AN114"/>
  <c r="AO114"/>
  <c r="AP114"/>
  <c r="AQ114"/>
  <c r="AR114"/>
  <c r="AS114"/>
  <c r="AT114"/>
  <c r="AN115"/>
  <c r="AO115"/>
  <c r="AP115"/>
  <c r="AQ115"/>
  <c r="AR115"/>
  <c r="AS115"/>
  <c r="AT115"/>
  <c r="AN116"/>
  <c r="AO116"/>
  <c r="AP116"/>
  <c r="AQ116"/>
  <c r="AR116"/>
  <c r="AS116"/>
  <c r="AT116"/>
  <c r="AN117"/>
  <c r="AO117"/>
  <c r="AP117"/>
  <c r="AQ117"/>
  <c r="AR117"/>
  <c r="AS117"/>
  <c r="AT117"/>
  <c r="AN118"/>
  <c r="AO118"/>
  <c r="AP118"/>
  <c r="AQ118"/>
  <c r="AR118"/>
  <c r="AS118"/>
  <c r="AT118"/>
  <c r="AN119"/>
  <c r="AO119"/>
  <c r="AP119"/>
  <c r="AQ119"/>
  <c r="AR119"/>
  <c r="AS119"/>
  <c r="AT119"/>
  <c r="AN120"/>
  <c r="AO120"/>
  <c r="AP120"/>
  <c r="AQ120"/>
  <c r="AR120"/>
  <c r="AS120"/>
  <c r="AT120"/>
  <c r="AN121"/>
  <c r="AO121"/>
  <c r="AP121"/>
  <c r="AQ121"/>
  <c r="AR121"/>
  <c r="AS121"/>
  <c r="AT121"/>
  <c r="AN122"/>
  <c r="AO122"/>
  <c r="AP122"/>
  <c r="AQ122"/>
  <c r="AR122"/>
  <c r="AS122"/>
  <c r="AT122"/>
  <c r="AN123"/>
  <c r="AO123"/>
  <c r="AP123"/>
  <c r="AQ123"/>
  <c r="AR123"/>
  <c r="AS123"/>
  <c r="AT123"/>
  <c r="AN124"/>
  <c r="AO124"/>
  <c r="AP124"/>
  <c r="AQ124"/>
  <c r="AR124"/>
  <c r="AS124"/>
  <c r="AT124"/>
  <c r="AN125"/>
  <c r="AO125"/>
  <c r="AP125"/>
  <c r="AQ125"/>
  <c r="AR125"/>
  <c r="AS125"/>
  <c r="AT125"/>
  <c r="AN126"/>
  <c r="AO126"/>
  <c r="AP126"/>
  <c r="AQ126"/>
  <c r="AR126"/>
  <c r="AS126"/>
  <c r="AT126"/>
  <c r="AN127"/>
  <c r="AO127"/>
  <c r="AP127"/>
  <c r="AQ127"/>
  <c r="AR127"/>
  <c r="AS127"/>
  <c r="AT127"/>
  <c r="AN128"/>
  <c r="AO128"/>
  <c r="AP128"/>
  <c r="AQ128"/>
  <c r="AR128"/>
  <c r="AS128"/>
  <c r="AT128"/>
  <c r="AN129"/>
  <c r="AO129"/>
  <c r="AP129"/>
  <c r="AQ129"/>
  <c r="AR129"/>
  <c r="AS129"/>
  <c r="AT129"/>
  <c r="AN130"/>
  <c r="AO130"/>
  <c r="AP130"/>
  <c r="AQ130"/>
  <c r="AR130"/>
  <c r="AS130"/>
  <c r="AT130"/>
  <c r="AN131"/>
  <c r="AO131"/>
  <c r="AP131"/>
  <c r="AQ131"/>
  <c r="AR131"/>
  <c r="AS131"/>
  <c r="AT131"/>
  <c r="AN132"/>
  <c r="AO132"/>
  <c r="AP132"/>
  <c r="AQ132"/>
  <c r="AR132"/>
  <c r="AS132"/>
  <c r="AT132"/>
  <c r="AN133"/>
  <c r="AO133"/>
  <c r="AP133"/>
  <c r="AQ133"/>
  <c r="AR133"/>
  <c r="AS133"/>
  <c r="AT133"/>
  <c r="AN134"/>
  <c r="AO134"/>
  <c r="AP134"/>
  <c r="AQ134"/>
  <c r="AR134"/>
  <c r="AS134"/>
  <c r="AT134"/>
  <c r="AN135"/>
  <c r="AO135"/>
  <c r="AP135"/>
  <c r="AQ135"/>
  <c r="AR135"/>
  <c r="AS135"/>
  <c r="AT135"/>
  <c r="AN136"/>
  <c r="AO136"/>
  <c r="AP136"/>
  <c r="AQ136"/>
  <c r="AR136"/>
  <c r="AS136"/>
  <c r="AT136"/>
  <c r="AN137"/>
  <c r="AO137"/>
  <c r="AP137"/>
  <c r="AQ137"/>
  <c r="AR137"/>
  <c r="AS137"/>
  <c r="AT137"/>
  <c r="AN138"/>
  <c r="AO138"/>
  <c r="AP138"/>
  <c r="AQ138"/>
  <c r="AR138"/>
  <c r="AS138"/>
  <c r="AT138"/>
  <c r="AN139"/>
  <c r="AO139"/>
  <c r="AP139"/>
  <c r="AQ139"/>
  <c r="AR139"/>
  <c r="AS139"/>
  <c r="AT139"/>
  <c r="AN140"/>
  <c r="AO140"/>
  <c r="AP140"/>
  <c r="AQ140"/>
  <c r="AR140"/>
  <c r="AS140"/>
  <c r="AT140"/>
  <c r="AN141"/>
  <c r="AO141"/>
  <c r="AP141"/>
  <c r="AQ141"/>
  <c r="AR141"/>
  <c r="AS141"/>
  <c r="AT141"/>
  <c r="AN142"/>
  <c r="AO142"/>
  <c r="AP142"/>
  <c r="AQ142"/>
  <c r="AR142"/>
  <c r="AS142"/>
  <c r="AT142"/>
  <c r="AN143"/>
  <c r="AO143"/>
  <c r="AP143"/>
  <c r="AQ143"/>
  <c r="AR143"/>
  <c r="AS143"/>
  <c r="AT143"/>
  <c r="AN144"/>
  <c r="AO144"/>
  <c r="AP144"/>
  <c r="AQ144"/>
  <c r="AR144"/>
  <c r="AS144"/>
  <c r="AT144"/>
  <c r="AN145"/>
  <c r="AO145"/>
  <c r="AP145"/>
  <c r="AQ145"/>
  <c r="AR145"/>
  <c r="AS145"/>
  <c r="AT145"/>
  <c r="AN146"/>
  <c r="AO146"/>
  <c r="AP146"/>
  <c r="AQ146"/>
  <c r="AR146"/>
  <c r="AS146"/>
  <c r="AT146"/>
  <c r="AN147"/>
  <c r="AO147"/>
  <c r="AP147"/>
  <c r="AQ147"/>
  <c r="AR147"/>
  <c r="AS147"/>
  <c r="AT147"/>
  <c r="AN148"/>
  <c r="AO148"/>
  <c r="AP148"/>
  <c r="AQ148"/>
  <c r="AR148"/>
  <c r="AS148"/>
  <c r="AT148"/>
  <c r="AN149"/>
  <c r="AO149"/>
  <c r="AP149"/>
  <c r="AQ149"/>
  <c r="AR149"/>
  <c r="AS149"/>
  <c r="AT149"/>
  <c r="AN150"/>
  <c r="AO150"/>
  <c r="AP150"/>
  <c r="AQ150"/>
  <c r="AR150"/>
  <c r="AS150"/>
  <c r="AT150"/>
  <c r="AN151"/>
  <c r="AO151"/>
  <c r="AP151"/>
  <c r="AQ151"/>
  <c r="AR151"/>
  <c r="AS151"/>
  <c r="AT151"/>
  <c r="AN152"/>
  <c r="AO152"/>
  <c r="AP152"/>
  <c r="AQ152"/>
  <c r="AR152"/>
  <c r="AS152"/>
  <c r="AT152"/>
  <c r="AN153"/>
  <c r="AO153"/>
  <c r="AP153"/>
  <c r="AQ153"/>
  <c r="AR153"/>
  <c r="AS153"/>
  <c r="AT153"/>
  <c r="AN154"/>
  <c r="AO154"/>
  <c r="AP154"/>
  <c r="AQ154"/>
  <c r="AR154"/>
  <c r="AS154"/>
  <c r="AT154"/>
  <c r="AN155"/>
  <c r="AO155"/>
  <c r="AP155"/>
  <c r="AQ155"/>
  <c r="AR155"/>
  <c r="AS155"/>
  <c r="AT155"/>
  <c r="AN156"/>
  <c r="AO156"/>
  <c r="AP156"/>
  <c r="AQ156"/>
  <c r="AR156"/>
  <c r="AS156"/>
  <c r="AT156"/>
  <c r="AN157"/>
  <c r="AO157"/>
  <c r="AP157"/>
  <c r="AQ157"/>
  <c r="AR157"/>
  <c r="AS157"/>
  <c r="AT157"/>
  <c r="AN158"/>
  <c r="AO158"/>
  <c r="AP158"/>
  <c r="AQ158"/>
  <c r="AR158"/>
  <c r="AS158"/>
  <c r="AT158"/>
  <c r="AN159"/>
  <c r="AO159"/>
  <c r="AP159"/>
  <c r="AQ159"/>
  <c r="AR159"/>
  <c r="AS159"/>
  <c r="AT159"/>
  <c r="AN160"/>
  <c r="AO160"/>
  <c r="AP160"/>
  <c r="AQ160"/>
  <c r="AR160"/>
  <c r="AS160"/>
  <c r="AT160"/>
  <c r="AN161"/>
  <c r="AO161"/>
  <c r="AP161"/>
  <c r="AQ161"/>
  <c r="AR161"/>
  <c r="AS161"/>
  <c r="AT161"/>
  <c r="AN162"/>
  <c r="AO162"/>
  <c r="AP162"/>
  <c r="AQ162"/>
  <c r="AR162"/>
  <c r="AS162"/>
  <c r="AT162"/>
  <c r="AN163"/>
  <c r="AO163"/>
  <c r="AP163"/>
  <c r="AQ163"/>
  <c r="AR163"/>
  <c r="AS163"/>
  <c r="AT163"/>
  <c r="AN164"/>
  <c r="AO164"/>
  <c r="AP164"/>
  <c r="AQ164"/>
  <c r="AR164"/>
  <c r="AS164"/>
  <c r="AT164"/>
  <c r="AN165"/>
  <c r="AO165"/>
  <c r="AP165"/>
  <c r="AQ165"/>
  <c r="AR165"/>
  <c r="AS165"/>
  <c r="AT165"/>
  <c r="AN166"/>
  <c r="AO166"/>
  <c r="AP166"/>
  <c r="AQ166"/>
  <c r="AR166"/>
  <c r="AS166"/>
  <c r="AT166"/>
  <c r="AN167"/>
  <c r="AO167"/>
  <c r="AP167"/>
  <c r="AQ167"/>
  <c r="AR167"/>
  <c r="AS167"/>
  <c r="AT167"/>
  <c r="AN168"/>
  <c r="AO168"/>
  <c r="AP168"/>
  <c r="AQ168"/>
  <c r="AR168"/>
  <c r="AS168"/>
  <c r="AT168"/>
  <c r="AN169"/>
  <c r="AO169"/>
  <c r="AP169"/>
  <c r="AQ169"/>
  <c r="AR169"/>
  <c r="AS169"/>
  <c r="AT169"/>
  <c r="AN170"/>
  <c r="AO170"/>
  <c r="AP170"/>
  <c r="AQ170"/>
  <c r="AR170"/>
  <c r="AS170"/>
  <c r="AT170"/>
  <c r="AN171"/>
  <c r="AO171"/>
  <c r="AP171"/>
  <c r="AQ171"/>
  <c r="AR171"/>
  <c r="AS171"/>
  <c r="AT171"/>
  <c r="AN172"/>
  <c r="AO172"/>
  <c r="AP172"/>
  <c r="AQ172"/>
  <c r="AR172"/>
  <c r="AS172"/>
  <c r="AT172"/>
  <c r="AN173"/>
  <c r="AO173"/>
  <c r="AP173"/>
  <c r="AQ173"/>
  <c r="AR173"/>
  <c r="AS173"/>
  <c r="AT173"/>
  <c r="AN174"/>
  <c r="AO174"/>
  <c r="AP174"/>
  <c r="AQ174"/>
  <c r="AR174"/>
  <c r="AS174"/>
  <c r="AT174"/>
  <c r="AN175"/>
  <c r="AO175"/>
  <c r="AP175"/>
  <c r="AQ175"/>
  <c r="AR175"/>
  <c r="AS175"/>
  <c r="AT175"/>
  <c r="AN176"/>
  <c r="AO176"/>
  <c r="AP176"/>
  <c r="AQ176"/>
  <c r="AR176"/>
  <c r="AS176"/>
  <c r="AT176"/>
  <c r="AN177"/>
  <c r="AO177"/>
  <c r="AP177"/>
  <c r="AQ177"/>
  <c r="AR177"/>
  <c r="AS177"/>
  <c r="AT177"/>
  <c r="AN178"/>
  <c r="AO178"/>
  <c r="AP178"/>
  <c r="AQ178"/>
  <c r="AR178"/>
  <c r="AS178"/>
  <c r="AT178"/>
  <c r="AN179"/>
  <c r="AO179"/>
  <c r="AP179"/>
  <c r="AQ179"/>
  <c r="AR179"/>
  <c r="AS179"/>
  <c r="AT179"/>
  <c r="AN180"/>
  <c r="AO180"/>
  <c r="AP180"/>
  <c r="AQ180"/>
  <c r="AR180"/>
  <c r="AS180"/>
  <c r="AT180"/>
  <c r="AN181"/>
  <c r="AO181"/>
  <c r="AP181"/>
  <c r="AQ181"/>
  <c r="AR181"/>
  <c r="AS181"/>
  <c r="AT181"/>
  <c r="AN182"/>
  <c r="AO182"/>
  <c r="AP182"/>
  <c r="AQ182"/>
  <c r="AR182"/>
  <c r="AS182"/>
  <c r="AT182"/>
  <c r="AN183"/>
  <c r="AO183"/>
  <c r="AP183"/>
  <c r="AQ183"/>
  <c r="AR183"/>
  <c r="AS183"/>
  <c r="AT183"/>
  <c r="AN184"/>
  <c r="AO184"/>
  <c r="AP184"/>
  <c r="AQ184"/>
  <c r="AR184"/>
  <c r="AS184"/>
  <c r="AT184"/>
  <c r="AN185"/>
  <c r="AO185"/>
  <c r="AP185"/>
  <c r="AQ185"/>
  <c r="AR185"/>
  <c r="AS185"/>
  <c r="AT185"/>
  <c r="AN186"/>
  <c r="AO186"/>
  <c r="AP186"/>
  <c r="AQ186"/>
  <c r="AR186"/>
  <c r="AS186"/>
  <c r="AT186"/>
  <c r="AN187"/>
  <c r="AO187"/>
  <c r="AP187"/>
  <c r="AQ187"/>
  <c r="AR187"/>
  <c r="AS187"/>
  <c r="AT187"/>
  <c r="AN188"/>
  <c r="AO188"/>
  <c r="AP188"/>
  <c r="AQ188"/>
  <c r="AR188"/>
  <c r="AS188"/>
  <c r="AT188"/>
  <c r="AN189"/>
  <c r="AO189"/>
  <c r="AP189"/>
  <c r="AQ189"/>
  <c r="AR189"/>
  <c r="AS189"/>
  <c r="AT189"/>
  <c r="AN190"/>
  <c r="AO190"/>
  <c r="AP190"/>
  <c r="AQ190"/>
  <c r="AR190"/>
  <c r="AS190"/>
  <c r="AT190"/>
  <c r="AN191"/>
  <c r="AO191"/>
  <c r="AP191"/>
  <c r="AQ191"/>
  <c r="AR191"/>
  <c r="AS191"/>
  <c r="AT191"/>
  <c r="AN192"/>
  <c r="AO192"/>
  <c r="AP192"/>
  <c r="AQ192"/>
  <c r="AR192"/>
  <c r="AS192"/>
  <c r="AT192"/>
  <c r="AN193"/>
  <c r="AO193"/>
  <c r="AP193"/>
  <c r="AQ193"/>
  <c r="AR193"/>
  <c r="AS193"/>
  <c r="AT193"/>
  <c r="AN194"/>
  <c r="AO194"/>
  <c r="AP194"/>
  <c r="AQ194"/>
  <c r="AR194"/>
  <c r="AS194"/>
  <c r="AT194"/>
  <c r="AN195"/>
  <c r="AO195"/>
  <c r="AP195"/>
  <c r="AQ195"/>
  <c r="AR195"/>
  <c r="AS195"/>
  <c r="AT195"/>
  <c r="AN196"/>
  <c r="AO196"/>
  <c r="AP196"/>
  <c r="AQ196"/>
  <c r="AR196"/>
  <c r="AS196"/>
  <c r="AT196"/>
  <c r="AN197"/>
  <c r="AO197"/>
  <c r="AP197"/>
  <c r="AQ197"/>
  <c r="AR197"/>
  <c r="AS197"/>
  <c r="AT197"/>
  <c r="AN198"/>
  <c r="AO198"/>
  <c r="AP198"/>
  <c r="AQ198"/>
  <c r="AR198"/>
  <c r="AS198"/>
  <c r="AT198"/>
  <c r="AN199"/>
  <c r="AO199"/>
  <c r="AP199"/>
  <c r="AQ199"/>
  <c r="AR199"/>
  <c r="AS199"/>
  <c r="AT199"/>
  <c r="AN200"/>
  <c r="AO200"/>
  <c r="AP200"/>
  <c r="AQ200"/>
  <c r="AR200"/>
  <c r="AS200"/>
  <c r="AT200"/>
  <c r="AN201"/>
  <c r="AO201"/>
  <c r="AP201"/>
  <c r="AQ201"/>
  <c r="AR201"/>
  <c r="AS201"/>
  <c r="AT201"/>
  <c r="AN202"/>
  <c r="AO202"/>
  <c r="AP202"/>
  <c r="AQ202"/>
  <c r="AR202"/>
  <c r="AS202"/>
  <c r="AT202"/>
  <c r="AN203"/>
  <c r="AO203"/>
  <c r="AP203"/>
  <c r="AQ203"/>
  <c r="AR203"/>
  <c r="AS203"/>
  <c r="AT203"/>
  <c r="AN204"/>
  <c r="AO204"/>
  <c r="AP204"/>
  <c r="AQ204"/>
  <c r="AR204"/>
  <c r="AS204"/>
  <c r="AT204"/>
  <c r="AN205"/>
  <c r="AO205"/>
  <c r="AP205"/>
  <c r="AQ205"/>
  <c r="AR205"/>
  <c r="AS205"/>
  <c r="AT205"/>
  <c r="AN206"/>
  <c r="AO206"/>
  <c r="AP206"/>
  <c r="AQ206"/>
  <c r="AR206"/>
  <c r="AS206"/>
  <c r="AT206"/>
  <c r="AN207"/>
  <c r="AO207"/>
  <c r="AP207"/>
  <c r="AQ207"/>
  <c r="AR207"/>
  <c r="AS207"/>
  <c r="AT207"/>
  <c r="AN208"/>
  <c r="AO208"/>
  <c r="AP208"/>
  <c r="AQ208"/>
  <c r="AR208"/>
  <c r="AS208"/>
  <c r="AT208"/>
  <c r="AN209"/>
  <c r="AO209"/>
  <c r="AP209"/>
  <c r="AQ209"/>
  <c r="AR209"/>
  <c r="AS209"/>
  <c r="AT209"/>
  <c r="AN210"/>
  <c r="AO210"/>
  <c r="AP210"/>
  <c r="AQ210"/>
  <c r="AR210"/>
  <c r="AS210"/>
  <c r="AT210"/>
  <c r="AN211"/>
  <c r="AO211"/>
  <c r="AP211"/>
  <c r="AQ211"/>
  <c r="AR211"/>
  <c r="AS211"/>
  <c r="AT211"/>
  <c r="AN212"/>
  <c r="AO212"/>
  <c r="AP212"/>
  <c r="AQ212"/>
  <c r="AR212"/>
  <c r="AS212"/>
  <c r="AT212"/>
  <c r="AN213"/>
  <c r="AO213"/>
  <c r="AP213"/>
  <c r="AQ213"/>
  <c r="AR213"/>
  <c r="AS213"/>
  <c r="AT213"/>
  <c r="AN214"/>
  <c r="AO214"/>
  <c r="AP214"/>
  <c r="AQ214"/>
  <c r="AR214"/>
  <c r="AS214"/>
  <c r="AT214"/>
  <c r="AN215"/>
  <c r="AO215"/>
  <c r="AP215"/>
  <c r="AQ215"/>
  <c r="AR215"/>
  <c r="AS215"/>
  <c r="AT215"/>
  <c r="AN216"/>
  <c r="AO216"/>
  <c r="AP216"/>
  <c r="AQ216"/>
  <c r="AR216"/>
  <c r="AS216"/>
  <c r="AT216"/>
  <c r="AN217"/>
  <c r="AO217"/>
  <c r="AP217"/>
  <c r="AQ217"/>
  <c r="AR217"/>
  <c r="AS217"/>
  <c r="AT217"/>
  <c r="AN218"/>
  <c r="AO218"/>
  <c r="AP218"/>
  <c r="AQ218"/>
  <c r="AR218"/>
  <c r="AS218"/>
  <c r="AT218"/>
  <c r="AN219"/>
  <c r="AO219"/>
  <c r="AP219"/>
  <c r="AQ219"/>
  <c r="AR219"/>
  <c r="AS219"/>
  <c r="AT219"/>
  <c r="AN220"/>
  <c r="AO220"/>
  <c r="AP220"/>
  <c r="AQ220"/>
  <c r="AR220"/>
  <c r="AS220"/>
  <c r="AT220"/>
  <c r="AN221"/>
  <c r="AO221"/>
  <c r="AP221"/>
  <c r="AQ221"/>
  <c r="AR221"/>
  <c r="AS221"/>
  <c r="AT221"/>
  <c r="AN222"/>
  <c r="AO222"/>
  <c r="AP222"/>
  <c r="AQ222"/>
  <c r="AR222"/>
  <c r="AS222"/>
  <c r="AT222"/>
  <c r="AN223"/>
  <c r="AO223"/>
  <c r="AP223"/>
  <c r="AQ223"/>
  <c r="AR223"/>
  <c r="AS223"/>
  <c r="AT223"/>
  <c r="AN224"/>
  <c r="AO224"/>
  <c r="AP224"/>
  <c r="AQ224"/>
  <c r="AR224"/>
  <c r="AS224"/>
  <c r="AT224"/>
  <c r="AN225"/>
  <c r="AO225"/>
  <c r="AP225"/>
  <c r="AQ225"/>
  <c r="AR225"/>
  <c r="AS225"/>
  <c r="AT225"/>
  <c r="AN226"/>
  <c r="AO226"/>
  <c r="AP226"/>
  <c r="AQ226"/>
  <c r="AR226"/>
  <c r="AS226"/>
  <c r="AT226"/>
  <c r="AN227"/>
  <c r="AO227"/>
  <c r="AP227"/>
  <c r="AQ227"/>
  <c r="AR227"/>
  <c r="AS227"/>
  <c r="AT227"/>
  <c r="AN228"/>
  <c r="AO228"/>
  <c r="AP228"/>
  <c r="AQ228"/>
  <c r="AR228"/>
  <c r="AS228"/>
  <c r="AT228"/>
  <c r="AN229"/>
  <c r="AO229"/>
  <c r="AP229"/>
  <c r="AQ229"/>
  <c r="AR229"/>
  <c r="AS229"/>
  <c r="AT229"/>
  <c r="AN230"/>
  <c r="AO230"/>
  <c r="AP230"/>
  <c r="AQ230"/>
  <c r="AR230"/>
  <c r="AS230"/>
  <c r="AT230"/>
  <c r="AN231"/>
  <c r="AO231"/>
  <c r="AP231"/>
  <c r="AQ231"/>
  <c r="AR231"/>
  <c r="AS231"/>
  <c r="AT231"/>
  <c r="AN232"/>
  <c r="AO232"/>
  <c r="AP232"/>
  <c r="AQ232"/>
  <c r="AR232"/>
  <c r="AS232"/>
  <c r="AT232"/>
  <c r="AN233"/>
  <c r="AO233"/>
  <c r="AP233"/>
  <c r="AQ233"/>
  <c r="AR233"/>
  <c r="AS233"/>
  <c r="AT233"/>
  <c r="AN234"/>
  <c r="AO234"/>
  <c r="AP234"/>
  <c r="AQ234"/>
  <c r="AR234"/>
  <c r="AS234"/>
  <c r="AT234"/>
  <c r="AN235"/>
  <c r="AO235"/>
  <c r="AP235"/>
  <c r="AQ235"/>
  <c r="AR235"/>
  <c r="AS235"/>
  <c r="AT235"/>
  <c r="AN236"/>
  <c r="AO236"/>
  <c r="AP236"/>
  <c r="AQ236"/>
  <c r="AR236"/>
  <c r="AS236"/>
  <c r="AT236"/>
  <c r="AN237"/>
  <c r="AO237"/>
  <c r="AP237"/>
  <c r="AQ237"/>
  <c r="AR237"/>
  <c r="AS237"/>
  <c r="AT237"/>
  <c r="AN238"/>
  <c r="AO238"/>
  <c r="AP238"/>
  <c r="AQ238"/>
  <c r="AR238"/>
  <c r="AS238"/>
  <c r="AT238"/>
  <c r="AN239"/>
  <c r="AO239"/>
  <c r="AP239"/>
  <c r="AQ239"/>
  <c r="AR239"/>
  <c r="AS239"/>
  <c r="AT239"/>
  <c r="AN240"/>
  <c r="AO240"/>
  <c r="AP240"/>
  <c r="AQ240"/>
  <c r="AR240"/>
  <c r="AS240"/>
  <c r="AT240"/>
  <c r="AN241"/>
  <c r="AO241"/>
  <c r="AP241"/>
  <c r="AQ241"/>
  <c r="AR241"/>
  <c r="AS241"/>
  <c r="AT241"/>
  <c r="AN242"/>
  <c r="AO242"/>
  <c r="AP242"/>
  <c r="AQ242"/>
  <c r="AR242"/>
  <c r="AS242"/>
  <c r="AT242"/>
  <c r="AN243"/>
  <c r="AO243"/>
  <c r="AP243"/>
  <c r="AQ243"/>
  <c r="AR243"/>
  <c r="AS243"/>
  <c r="AT243"/>
  <c r="AN244"/>
  <c r="AO244"/>
  <c r="AP244"/>
  <c r="AQ244"/>
  <c r="AR244"/>
  <c r="AS244"/>
  <c r="AT244"/>
  <c r="AN245"/>
  <c r="AO245"/>
  <c r="AP245"/>
  <c r="AQ245"/>
  <c r="AR245"/>
  <c r="AS245"/>
  <c r="AT245"/>
  <c r="AN246"/>
  <c r="AO246"/>
  <c r="AP246"/>
  <c r="AQ246"/>
  <c r="AR246"/>
  <c r="AS246"/>
  <c r="AT246"/>
  <c r="AN247"/>
  <c r="AO247"/>
  <c r="AP247"/>
  <c r="AQ247"/>
  <c r="AR247"/>
  <c r="AS247"/>
  <c r="AT247"/>
  <c r="AN248"/>
  <c r="AO248"/>
  <c r="AP248"/>
  <c r="AQ248"/>
  <c r="AR248"/>
  <c r="AS248"/>
  <c r="AT248"/>
  <c r="AN249"/>
  <c r="AO249"/>
  <c r="AP249"/>
  <c r="AQ249"/>
  <c r="AR249"/>
  <c r="AS249"/>
  <c r="AT249"/>
  <c r="AN250"/>
  <c r="AO250"/>
  <c r="AP250"/>
  <c r="AQ250"/>
  <c r="AR250"/>
  <c r="AS250"/>
  <c r="AT250"/>
  <c r="AN251"/>
  <c r="AO251"/>
  <c r="AP251"/>
  <c r="AQ251"/>
  <c r="AR251"/>
  <c r="AS251"/>
  <c r="AT251"/>
  <c r="AN252"/>
  <c r="AO252"/>
  <c r="AP252"/>
  <c r="AQ252"/>
  <c r="AR252"/>
  <c r="AS252"/>
  <c r="AT252"/>
  <c r="AN253"/>
  <c r="AO253"/>
  <c r="AP253"/>
  <c r="AQ253"/>
  <c r="AR253"/>
  <c r="AS253"/>
  <c r="AT253"/>
  <c r="AN254"/>
  <c r="AO254"/>
  <c r="AP254"/>
  <c r="AQ254"/>
  <c r="AR254"/>
  <c r="AS254"/>
  <c r="AT254"/>
  <c r="AN255"/>
  <c r="AO255"/>
  <c r="AP255"/>
  <c r="AQ255"/>
  <c r="AR255"/>
  <c r="AS255"/>
  <c r="AT255"/>
  <c r="AN256"/>
  <c r="AO256"/>
  <c r="AP256"/>
  <c r="AQ256"/>
  <c r="AR256"/>
  <c r="AS256"/>
  <c r="AT256"/>
  <c r="AN257"/>
  <c r="AO257"/>
  <c r="AP257"/>
  <c r="AQ257"/>
  <c r="AR257"/>
  <c r="AS257"/>
  <c r="AT257"/>
  <c r="AN258"/>
  <c r="AO258"/>
  <c r="AP258"/>
  <c r="AQ258"/>
  <c r="AR258"/>
  <c r="AS258"/>
  <c r="AT258"/>
  <c r="AN259"/>
  <c r="AO259"/>
  <c r="AP259"/>
  <c r="AQ259"/>
  <c r="AR259"/>
  <c r="AS259"/>
  <c r="AT259"/>
  <c r="AN260"/>
  <c r="AO260"/>
  <c r="AP260"/>
  <c r="AQ260"/>
  <c r="AR260"/>
  <c r="AS260"/>
  <c r="AT260"/>
  <c r="AT11"/>
  <c r="AS11"/>
  <c r="AR11"/>
  <c r="AQ11"/>
  <c r="AP11"/>
  <c r="AO11"/>
  <c r="AN11"/>
  <c r="J29" i="32926"/>
  <c r="K29" s="1"/>
  <c r="J30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K38" s="1"/>
  <c r="J39"/>
  <c r="K39" s="1"/>
  <c r="J40"/>
  <c r="K40" s="1"/>
  <c r="J41"/>
  <c r="K41" s="1"/>
  <c r="J42"/>
  <c r="K42" s="1"/>
  <c r="J43"/>
  <c r="K43" s="1"/>
  <c r="J44"/>
  <c r="K44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J54"/>
  <c r="K54" s="1"/>
  <c r="J55"/>
  <c r="K55" s="1"/>
  <c r="J56"/>
  <c r="K56" s="1"/>
  <c r="J57"/>
  <c r="K57" s="1"/>
  <c r="J58"/>
  <c r="K58" s="1"/>
  <c r="J59"/>
  <c r="K59" s="1"/>
  <c r="J60"/>
  <c r="K60" s="1"/>
  <c r="J61"/>
  <c r="K61" s="1"/>
  <c r="J62"/>
  <c r="K62" s="1"/>
  <c r="J63"/>
  <c r="K63" s="1"/>
  <c r="J64"/>
  <c r="K64" s="1"/>
  <c r="J65"/>
  <c r="K65" s="1"/>
  <c r="J66"/>
  <c r="K66" s="1"/>
  <c r="J67"/>
  <c r="K67" s="1"/>
  <c r="J68"/>
  <c r="K68" s="1"/>
  <c r="J69"/>
  <c r="K69" s="1"/>
  <c r="J70"/>
  <c r="K70" s="1"/>
  <c r="J71"/>
  <c r="K71" s="1"/>
  <c r="J72"/>
  <c r="K72" s="1"/>
  <c r="J73"/>
  <c r="K73" s="1"/>
  <c r="J74"/>
  <c r="K74" s="1"/>
  <c r="J75"/>
  <c r="K75" s="1"/>
  <c r="J76"/>
  <c r="K76" s="1"/>
  <c r="J77"/>
  <c r="K77" s="1"/>
  <c r="J78"/>
  <c r="K78" s="1"/>
  <c r="J79"/>
  <c r="K79" s="1"/>
  <c r="J80"/>
  <c r="K80" s="1"/>
  <c r="J81"/>
  <c r="K81" s="1"/>
  <c r="J82"/>
  <c r="K82" s="1"/>
  <c r="J83"/>
  <c r="K83" s="1"/>
  <c r="J84"/>
  <c r="K84" s="1"/>
  <c r="J85"/>
  <c r="K85" s="1"/>
  <c r="J86"/>
  <c r="K86" s="1"/>
  <c r="J87"/>
  <c r="K87" s="1"/>
  <c r="J88"/>
  <c r="K88" s="1"/>
  <c r="J89"/>
  <c r="K89" s="1"/>
  <c r="J90"/>
  <c r="K90" s="1"/>
  <c r="J91"/>
  <c r="K91" s="1"/>
  <c r="J92"/>
  <c r="K92" s="1"/>
  <c r="J93"/>
  <c r="K93" s="1"/>
  <c r="J94"/>
  <c r="K94" s="1"/>
  <c r="J95"/>
  <c r="K95" s="1"/>
  <c r="J96"/>
  <c r="K96" s="1"/>
  <c r="J97"/>
  <c r="K97" s="1"/>
  <c r="J98"/>
  <c r="K98" s="1"/>
  <c r="J99"/>
  <c r="K99" s="1"/>
  <c r="J100"/>
  <c r="K100" s="1"/>
  <c r="J101"/>
  <c r="K101" s="1"/>
  <c r="J102"/>
  <c r="K102" s="1"/>
  <c r="J103"/>
  <c r="K103" s="1"/>
  <c r="J104"/>
  <c r="K104" s="1"/>
  <c r="J105"/>
  <c r="K105" s="1"/>
  <c r="J106"/>
  <c r="K106" s="1"/>
  <c r="J107"/>
  <c r="K107" s="1"/>
  <c r="J108"/>
  <c r="K108" s="1"/>
  <c r="J109"/>
  <c r="K109" s="1"/>
  <c r="J110"/>
  <c r="K110" s="1"/>
  <c r="J111"/>
  <c r="K111" s="1"/>
  <c r="J112"/>
  <c r="K112" s="1"/>
  <c r="J113"/>
  <c r="K113" s="1"/>
  <c r="J9"/>
  <c r="K9" s="1"/>
  <c r="J10"/>
  <c r="K10" s="1"/>
  <c r="J11"/>
  <c r="K11" s="1"/>
  <c r="J12"/>
  <c r="K12" s="1"/>
  <c r="J13"/>
  <c r="K13" s="1"/>
  <c r="J14"/>
  <c r="K14" s="1"/>
  <c r="J15"/>
  <c r="K15" s="1"/>
  <c r="J16"/>
  <c r="K16" s="1"/>
  <c r="J17"/>
  <c r="K17" s="1"/>
  <c r="J18"/>
  <c r="K18" s="1"/>
  <c r="J19"/>
  <c r="K19" s="1"/>
  <c r="J20"/>
  <c r="K20" s="1"/>
  <c r="J21"/>
  <c r="K21" s="1"/>
  <c r="J22"/>
  <c r="K22" s="1"/>
  <c r="J23"/>
  <c r="K23" s="1"/>
  <c r="J24"/>
  <c r="K24" s="1"/>
  <c r="J25"/>
  <c r="K25" s="1"/>
  <c r="J26"/>
  <c r="K26" s="1"/>
  <c r="J27"/>
  <c r="K27" s="1"/>
  <c r="J28"/>
  <c r="K28" s="1"/>
  <c r="J8"/>
  <c r="K8" s="1"/>
  <c r="J3" i="32918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J1254"/>
  <c r="J1255"/>
  <c r="J1256"/>
  <c r="J1257"/>
  <c r="J1258"/>
  <c r="J1259"/>
  <c r="J1260"/>
  <c r="J1261"/>
  <c r="J1262"/>
  <c r="J1263"/>
  <c r="J1264"/>
  <c r="J1265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286"/>
  <c r="J1287"/>
  <c r="J1288"/>
  <c r="J1289"/>
  <c r="J1290"/>
  <c r="J1291"/>
  <c r="J1292"/>
  <c r="J1293"/>
  <c r="J1294"/>
  <c r="J1295"/>
  <c r="J1296"/>
  <c r="J1297"/>
  <c r="J1298"/>
  <c r="J1299"/>
  <c r="J1300"/>
  <c r="J1301"/>
  <c r="J1302"/>
  <c r="J1303"/>
  <c r="J1304"/>
  <c r="J1305"/>
  <c r="J1306"/>
  <c r="J1307"/>
  <c r="J1308"/>
  <c r="J1309"/>
  <c r="J1310"/>
  <c r="J1311"/>
  <c r="J1312"/>
  <c r="J1313"/>
  <c r="J1314"/>
  <c r="J1315"/>
  <c r="J1316"/>
  <c r="J1317"/>
  <c r="J1318"/>
  <c r="J1319"/>
  <c r="J1320"/>
  <c r="J1321"/>
  <c r="J1322"/>
  <c r="J1323"/>
  <c r="J1324"/>
  <c r="J1325"/>
  <c r="J1326"/>
  <c r="J1327"/>
  <c r="J1328"/>
  <c r="J1329"/>
  <c r="J1330"/>
  <c r="J1331"/>
  <c r="J1332"/>
  <c r="J1333"/>
  <c r="J1334"/>
  <c r="J1335"/>
  <c r="J1336"/>
  <c r="J1337"/>
  <c r="J1338"/>
  <c r="J1339"/>
  <c r="J1340"/>
  <c r="J1341"/>
  <c r="J1342"/>
  <c r="J1343"/>
  <c r="J1344"/>
  <c r="J1345"/>
  <c r="J1346"/>
  <c r="J1347"/>
  <c r="J1348"/>
  <c r="J1349"/>
  <c r="J1350"/>
  <c r="J1351"/>
  <c r="J1352"/>
  <c r="J1353"/>
  <c r="J1354"/>
  <c r="J1355"/>
  <c r="J1356"/>
  <c r="J1357"/>
  <c r="J1358"/>
  <c r="J1359"/>
  <c r="J1360"/>
  <c r="J1361"/>
  <c r="J1362"/>
  <c r="J1363"/>
  <c r="J1364"/>
  <c r="J1365"/>
  <c r="J1366"/>
  <c r="J1367"/>
  <c r="J1368"/>
  <c r="J1369"/>
  <c r="J1370"/>
  <c r="J1371"/>
  <c r="J1372"/>
  <c r="J1373"/>
  <c r="J1374"/>
  <c r="J1375"/>
  <c r="J1376"/>
  <c r="J1377"/>
  <c r="J1378"/>
  <c r="J1379"/>
  <c r="J1380"/>
  <c r="J1381"/>
  <c r="J1382"/>
  <c r="J1383"/>
  <c r="J1384"/>
  <c r="J1385"/>
  <c r="J1386"/>
  <c r="J1387"/>
  <c r="J1388"/>
  <c r="J1389"/>
  <c r="J1390"/>
  <c r="J1391"/>
  <c r="J1392"/>
  <c r="J1393"/>
  <c r="J1394"/>
  <c r="J1395"/>
  <c r="J1396"/>
  <c r="J1397"/>
  <c r="J1398"/>
  <c r="J1399"/>
  <c r="J1400"/>
  <c r="J1401"/>
  <c r="J1402"/>
  <c r="J1403"/>
  <c r="J1404"/>
  <c r="J1405"/>
  <c r="J1406"/>
  <c r="J1407"/>
  <c r="J1408"/>
  <c r="J1409"/>
  <c r="J1410"/>
  <c r="J1411"/>
  <c r="J1412"/>
  <c r="J1413"/>
  <c r="J1414"/>
  <c r="J1415"/>
  <c r="J1416"/>
  <c r="J1417"/>
  <c r="J1418"/>
  <c r="J1419"/>
  <c r="J1420"/>
  <c r="J1421"/>
  <c r="J1422"/>
  <c r="J1423"/>
  <c r="J1424"/>
  <c r="J1425"/>
  <c r="J1426"/>
  <c r="J1427"/>
  <c r="J1428"/>
  <c r="J1429"/>
  <c r="J1430"/>
  <c r="J1431"/>
  <c r="J1432"/>
  <c r="J1433"/>
  <c r="J1434"/>
  <c r="J1435"/>
  <c r="J1436"/>
  <c r="J1437"/>
  <c r="J1438"/>
  <c r="J1439"/>
  <c r="J1440"/>
  <c r="J1441"/>
  <c r="J1442"/>
  <c r="J1443"/>
  <c r="J1444"/>
  <c r="J1445"/>
  <c r="J1446"/>
  <c r="J1447"/>
  <c r="J1448"/>
  <c r="J1449"/>
  <c r="J1450"/>
  <c r="J1451"/>
  <c r="J1452"/>
  <c r="J1453"/>
  <c r="J1454"/>
  <c r="J1455"/>
  <c r="J1456"/>
  <c r="J1457"/>
  <c r="J1458"/>
  <c r="J1459"/>
  <c r="J1460"/>
  <c r="J1461"/>
  <c r="J1462"/>
  <c r="J1463"/>
  <c r="J1464"/>
  <c r="J1465"/>
  <c r="J1466"/>
  <c r="J1467"/>
  <c r="J1468"/>
  <c r="J1469"/>
  <c r="J1470"/>
  <c r="J1471"/>
  <c r="J1472"/>
  <c r="J1473"/>
  <c r="J1474"/>
  <c r="J1475"/>
  <c r="J1476"/>
  <c r="J1477"/>
  <c r="J1478"/>
  <c r="J1479"/>
  <c r="J1480"/>
  <c r="J1481"/>
  <c r="J1482"/>
  <c r="J1483"/>
  <c r="J1484"/>
  <c r="J1485"/>
  <c r="J1486"/>
  <c r="J1487"/>
  <c r="J1488"/>
  <c r="J1489"/>
  <c r="J1490"/>
  <c r="J1491"/>
  <c r="J1492"/>
  <c r="J1493"/>
  <c r="J1494"/>
  <c r="J1495"/>
  <c r="J1496"/>
  <c r="J1497"/>
  <c r="J1498"/>
  <c r="J1499"/>
  <c r="J1500"/>
  <c r="J1501"/>
  <c r="J1502"/>
  <c r="J1503"/>
  <c r="J1504"/>
  <c r="J1505"/>
  <c r="J1506"/>
  <c r="J1507"/>
  <c r="J1508"/>
  <c r="J1509"/>
  <c r="J1510"/>
  <c r="J1511"/>
  <c r="J1512"/>
  <c r="J1513"/>
  <c r="J1514"/>
  <c r="J1515"/>
  <c r="J1516"/>
  <c r="J1517"/>
  <c r="J1518"/>
  <c r="J1519"/>
  <c r="J1520"/>
  <c r="J1521"/>
  <c r="J1522"/>
  <c r="J1523"/>
  <c r="J1524"/>
  <c r="J1525"/>
  <c r="J1526"/>
  <c r="J1527"/>
  <c r="J1528"/>
  <c r="J1529"/>
  <c r="J1530"/>
  <c r="J1531"/>
  <c r="J1532"/>
  <c r="J1533"/>
  <c r="J1534"/>
  <c r="J1535"/>
  <c r="J1536"/>
  <c r="J1537"/>
  <c r="J1538"/>
  <c r="J1539"/>
  <c r="J1540"/>
  <c r="J1541"/>
  <c r="J1542"/>
  <c r="J1543"/>
  <c r="J1544"/>
  <c r="J1545"/>
  <c r="J1546"/>
  <c r="J1547"/>
  <c r="J1548"/>
  <c r="J1549"/>
  <c r="J1550"/>
  <c r="J1551"/>
  <c r="J1552"/>
  <c r="J1553"/>
  <c r="J1554"/>
  <c r="J1555"/>
  <c r="J1556"/>
  <c r="J1557"/>
  <c r="J1558"/>
  <c r="J1559"/>
  <c r="J1560"/>
  <c r="J1561"/>
  <c r="J1562"/>
  <c r="J1563"/>
  <c r="J1564"/>
  <c r="J1565"/>
  <c r="J1566"/>
  <c r="J1567"/>
  <c r="J1568"/>
  <c r="J1569"/>
  <c r="J1570"/>
  <c r="J1571"/>
  <c r="J1572"/>
  <c r="J1573"/>
  <c r="J1574"/>
  <c r="J1575"/>
  <c r="J1576"/>
  <c r="J1577"/>
  <c r="J1578"/>
  <c r="J1579"/>
  <c r="J1580"/>
  <c r="J1581"/>
  <c r="J1582"/>
  <c r="J1583"/>
  <c r="J1584"/>
  <c r="J1585"/>
  <c r="J1586"/>
  <c r="J1587"/>
  <c r="J1588"/>
  <c r="J1589"/>
  <c r="J1590"/>
  <c r="J1591"/>
  <c r="J1592"/>
  <c r="J1593"/>
  <c r="J1594"/>
  <c r="J1595"/>
  <c r="J1596"/>
  <c r="J1597"/>
  <c r="J1598"/>
  <c r="J1599"/>
  <c r="J1600"/>
  <c r="J1601"/>
  <c r="J1602"/>
  <c r="J1603"/>
  <c r="J1604"/>
  <c r="J1605"/>
  <c r="J1606"/>
  <c r="J1607"/>
  <c r="J1608"/>
  <c r="J1609"/>
  <c r="J1610"/>
  <c r="J1611"/>
  <c r="J1612"/>
  <c r="J1613"/>
  <c r="J1614"/>
  <c r="J1615"/>
  <c r="J1616"/>
  <c r="J1617"/>
  <c r="J1618"/>
  <c r="J1619"/>
  <c r="J1620"/>
  <c r="J1621"/>
  <c r="J1622"/>
  <c r="J1623"/>
  <c r="J1624"/>
  <c r="J1625"/>
  <c r="J1626"/>
  <c r="J1627"/>
  <c r="J1628"/>
  <c r="J1629"/>
  <c r="J1630"/>
  <c r="J1631"/>
  <c r="J1632"/>
  <c r="J1633"/>
  <c r="J1634"/>
  <c r="J1635"/>
  <c r="J1636"/>
  <c r="J1637"/>
  <c r="J1638"/>
  <c r="J1639"/>
  <c r="J1640"/>
  <c r="J1641"/>
  <c r="J1642"/>
  <c r="J1643"/>
  <c r="J1644"/>
  <c r="J1645"/>
  <c r="J1646"/>
  <c r="J1647"/>
  <c r="J1648"/>
  <c r="J1649"/>
  <c r="J1650"/>
  <c r="J1651"/>
  <c r="J1652"/>
  <c r="J1653"/>
  <c r="J1654"/>
  <c r="J1655"/>
  <c r="J1656"/>
  <c r="J1657"/>
  <c r="J1658"/>
  <c r="J1659"/>
  <c r="J1660"/>
  <c r="J1661"/>
  <c r="J1662"/>
  <c r="J1663"/>
  <c r="J1664"/>
  <c r="J1665"/>
  <c r="J1666"/>
  <c r="J1667"/>
  <c r="J1668"/>
  <c r="J1669"/>
  <c r="J1670"/>
  <c r="J1671"/>
  <c r="J1672"/>
  <c r="J1673"/>
  <c r="J1674"/>
  <c r="J1675"/>
  <c r="J1676"/>
  <c r="J1677"/>
  <c r="J1678"/>
  <c r="J1679"/>
  <c r="J1680"/>
  <c r="J1681"/>
  <c r="J1682"/>
  <c r="J1683"/>
  <c r="J1684"/>
  <c r="J1685"/>
  <c r="J1686"/>
  <c r="J1687"/>
  <c r="J1688"/>
  <c r="J1689"/>
  <c r="J1690"/>
  <c r="J1691"/>
  <c r="J1692"/>
  <c r="J1693"/>
  <c r="J1694"/>
  <c r="J1695"/>
  <c r="J1696"/>
  <c r="J1697"/>
  <c r="J1698"/>
  <c r="J1699"/>
  <c r="J1700"/>
  <c r="J1701"/>
  <c r="J1702"/>
  <c r="J1703"/>
  <c r="J1704"/>
  <c r="J1705"/>
  <c r="J1706"/>
  <c r="J1707"/>
  <c r="J1708"/>
  <c r="J1709"/>
  <c r="J1710"/>
  <c r="J1711"/>
  <c r="J1712"/>
  <c r="J1713"/>
  <c r="J1714"/>
  <c r="J1715"/>
  <c r="J1716"/>
  <c r="J1717"/>
  <c r="J1718"/>
  <c r="J1719"/>
  <c r="J1720"/>
  <c r="J1721"/>
  <c r="J1722"/>
  <c r="J1723"/>
  <c r="J1724"/>
  <c r="J1725"/>
  <c r="J1726"/>
  <c r="J1727"/>
  <c r="J1728"/>
  <c r="J1729"/>
  <c r="J1730"/>
  <c r="J1731"/>
  <c r="J1732"/>
  <c r="J1733"/>
  <c r="J1734"/>
  <c r="J1735"/>
  <c r="J1736"/>
  <c r="J1737"/>
  <c r="J1738"/>
  <c r="J1739"/>
  <c r="J1740"/>
  <c r="J1741"/>
  <c r="J1742"/>
  <c r="J1743"/>
  <c r="J1744"/>
  <c r="J1745"/>
  <c r="J1746"/>
  <c r="J1747"/>
  <c r="J1748"/>
  <c r="J1749"/>
  <c r="J1750"/>
  <c r="J1751"/>
  <c r="J1752"/>
  <c r="J1753"/>
  <c r="J1754"/>
  <c r="J1755"/>
  <c r="J1756"/>
  <c r="J1757"/>
  <c r="J1758"/>
  <c r="J1759"/>
  <c r="J1760"/>
  <c r="J1761"/>
  <c r="J1762"/>
  <c r="J1763"/>
  <c r="J1764"/>
  <c r="J1765"/>
  <c r="J1766"/>
  <c r="J1767"/>
  <c r="J1768"/>
  <c r="J1769"/>
  <c r="J1770"/>
  <c r="J1771"/>
  <c r="J1772"/>
  <c r="J1773"/>
  <c r="J1774"/>
  <c r="J1775"/>
  <c r="J1776"/>
  <c r="J1777"/>
  <c r="J1778"/>
  <c r="J1779"/>
  <c r="J1780"/>
  <c r="J1781"/>
  <c r="J1782"/>
  <c r="J1783"/>
  <c r="J1784"/>
  <c r="J1785"/>
  <c r="J1786"/>
  <c r="J1787"/>
  <c r="J1788"/>
  <c r="J1789"/>
  <c r="J1790"/>
  <c r="J1791"/>
  <c r="J1792"/>
  <c r="J1793"/>
  <c r="J1794"/>
  <c r="J1795"/>
  <c r="J1796"/>
  <c r="J1797"/>
  <c r="J1798"/>
  <c r="J1799"/>
  <c r="J1800"/>
  <c r="J1801"/>
  <c r="J1802"/>
  <c r="J1803"/>
  <c r="J1804"/>
  <c r="J1805"/>
  <c r="J1806"/>
  <c r="J1807"/>
  <c r="J1808"/>
  <c r="J1809"/>
  <c r="J1810"/>
  <c r="J1811"/>
  <c r="J1812"/>
  <c r="J1813"/>
  <c r="J1814"/>
  <c r="J1815"/>
  <c r="J1816"/>
  <c r="J1817"/>
  <c r="J1818"/>
  <c r="J1819"/>
  <c r="J1820"/>
  <c r="J1821"/>
  <c r="J1822"/>
  <c r="J1823"/>
  <c r="J1824"/>
  <c r="J1825"/>
  <c r="J1826"/>
  <c r="J1827"/>
  <c r="J1828"/>
  <c r="J1829"/>
  <c r="J1830"/>
  <c r="J1831"/>
  <c r="J1832"/>
  <c r="J1833"/>
  <c r="J1834"/>
  <c r="J1835"/>
  <c r="J1836"/>
  <c r="J1837"/>
  <c r="J1838"/>
  <c r="J1839"/>
  <c r="J1840"/>
  <c r="J1841"/>
  <c r="J1842"/>
  <c r="J1843"/>
  <c r="J1844"/>
  <c r="J1845"/>
  <c r="J1846"/>
  <c r="J1847"/>
  <c r="J1848"/>
  <c r="J1849"/>
  <c r="J1850"/>
  <c r="J1851"/>
  <c r="J1852"/>
  <c r="J1853"/>
  <c r="J1854"/>
  <c r="J1855"/>
  <c r="J1856"/>
  <c r="J1857"/>
  <c r="J1858"/>
  <c r="J1859"/>
  <c r="J1860"/>
  <c r="J1861"/>
  <c r="J1862"/>
  <c r="J1863"/>
  <c r="J1864"/>
  <c r="J1865"/>
  <c r="J1866"/>
  <c r="J1867"/>
  <c r="J1868"/>
  <c r="J1869"/>
  <c r="J1870"/>
  <c r="J1871"/>
  <c r="J1872"/>
  <c r="J1873"/>
  <c r="J1874"/>
  <c r="J1875"/>
  <c r="J1876"/>
  <c r="J1877"/>
  <c r="J1878"/>
  <c r="J1879"/>
  <c r="J1880"/>
  <c r="J1881"/>
  <c r="J1882"/>
  <c r="J1883"/>
  <c r="J1884"/>
  <c r="J1885"/>
  <c r="J1886"/>
  <c r="J1887"/>
  <c r="J1888"/>
  <c r="J1889"/>
  <c r="J1890"/>
  <c r="J1891"/>
  <c r="J1892"/>
  <c r="J1893"/>
  <c r="J1894"/>
  <c r="J1895"/>
  <c r="J1896"/>
  <c r="J1897"/>
  <c r="J1898"/>
  <c r="J1899"/>
  <c r="J1900"/>
  <c r="J1901"/>
  <c r="J1902"/>
  <c r="J1903"/>
  <c r="J1904"/>
  <c r="J1905"/>
  <c r="J1906"/>
  <c r="J1907"/>
  <c r="J1908"/>
  <c r="J1909"/>
  <c r="J1910"/>
  <c r="J1911"/>
  <c r="J1912"/>
  <c r="J1913"/>
  <c r="J1914"/>
  <c r="J1915"/>
  <c r="J1916"/>
  <c r="J1917"/>
  <c r="J1918"/>
  <c r="J1919"/>
  <c r="J1920"/>
  <c r="J1921"/>
  <c r="J1922"/>
  <c r="J1923"/>
  <c r="J1924"/>
  <c r="J1925"/>
  <c r="J1926"/>
  <c r="J1927"/>
  <c r="J1928"/>
  <c r="J1929"/>
  <c r="J1930"/>
  <c r="J1931"/>
  <c r="J1932"/>
  <c r="J1933"/>
  <c r="J1934"/>
  <c r="J1935"/>
  <c r="J1936"/>
  <c r="J1937"/>
  <c r="J1938"/>
  <c r="J1939"/>
  <c r="J1940"/>
  <c r="J1941"/>
  <c r="J1942"/>
  <c r="J1943"/>
  <c r="J1944"/>
  <c r="J1945"/>
  <c r="J1946"/>
  <c r="J1947"/>
  <c r="J1948"/>
  <c r="J1949"/>
  <c r="J1950"/>
  <c r="J1951"/>
  <c r="J1952"/>
  <c r="J1953"/>
  <c r="J1954"/>
  <c r="J1955"/>
  <c r="J1956"/>
  <c r="J1957"/>
  <c r="J1958"/>
  <c r="J1959"/>
  <c r="J1960"/>
  <c r="J1961"/>
  <c r="J1962"/>
  <c r="J1963"/>
  <c r="J1964"/>
  <c r="J1965"/>
  <c r="J1966"/>
  <c r="J1967"/>
  <c r="J1968"/>
  <c r="J1969"/>
  <c r="J1970"/>
  <c r="J1971"/>
  <c r="J1972"/>
  <c r="J1973"/>
  <c r="J1974"/>
  <c r="J1975"/>
  <c r="J1976"/>
  <c r="J1977"/>
  <c r="J1978"/>
  <c r="J1979"/>
  <c r="J1980"/>
  <c r="J1981"/>
  <c r="J1982"/>
  <c r="J1983"/>
  <c r="J1984"/>
  <c r="J1985"/>
  <c r="J1986"/>
  <c r="J1987"/>
  <c r="J1988"/>
  <c r="J1989"/>
  <c r="J1990"/>
  <c r="J1991"/>
  <c r="J1992"/>
  <c r="J1993"/>
  <c r="J1994"/>
  <c r="J1995"/>
  <c r="J1996"/>
  <c r="J1997"/>
  <c r="J1998"/>
  <c r="J1999"/>
  <c r="J2000"/>
  <c r="J2001"/>
  <c r="J2002"/>
  <c r="J2003"/>
  <c r="J2004"/>
  <c r="J2005"/>
  <c r="J2006"/>
  <c r="J2007"/>
  <c r="J2008"/>
  <c r="J2009"/>
  <c r="J2010"/>
  <c r="J2011"/>
  <c r="J2012"/>
  <c r="J2013"/>
  <c r="J2014"/>
  <c r="J2015"/>
  <c r="J2016"/>
  <c r="J2017"/>
  <c r="J2018"/>
  <c r="J2019"/>
  <c r="J2020"/>
  <c r="J2021"/>
  <c r="J2022"/>
  <c r="J2023"/>
  <c r="J2024"/>
  <c r="J2025"/>
  <c r="J2026"/>
  <c r="J2027"/>
  <c r="J2028"/>
  <c r="J2029"/>
  <c r="J2030"/>
  <c r="J2031"/>
  <c r="J2032"/>
  <c r="J2033"/>
  <c r="J2034"/>
  <c r="J2035"/>
  <c r="J2036"/>
  <c r="J2037"/>
  <c r="J2038"/>
  <c r="J2039"/>
  <c r="J2040"/>
  <c r="J2041"/>
  <c r="J2042"/>
  <c r="J2043"/>
  <c r="J2044"/>
  <c r="J2045"/>
  <c r="J2046"/>
  <c r="J2047"/>
  <c r="J2048"/>
  <c r="J2049"/>
  <c r="J2050"/>
  <c r="J2051"/>
  <c r="J2052"/>
  <c r="J2053"/>
  <c r="J2054"/>
  <c r="J2055"/>
  <c r="J2056"/>
  <c r="J2057"/>
  <c r="J2058"/>
  <c r="J2059"/>
  <c r="J2060"/>
  <c r="J2061"/>
  <c r="J2062"/>
  <c r="J2063"/>
  <c r="J2064"/>
  <c r="J2065"/>
  <c r="J2066"/>
  <c r="J2067"/>
  <c r="J2068"/>
  <c r="J2069"/>
  <c r="J2070"/>
  <c r="J2071"/>
  <c r="J2072"/>
  <c r="J2073"/>
  <c r="J2074"/>
  <c r="J2075"/>
  <c r="J2076"/>
  <c r="J2077"/>
  <c r="J2078"/>
  <c r="J2079"/>
  <c r="J2080"/>
  <c r="J2081"/>
  <c r="J2082"/>
  <c r="J2083"/>
  <c r="J2084"/>
  <c r="J2085"/>
  <c r="J2"/>
  <c r="I24" i="32926" l="1"/>
  <c r="I19"/>
  <c r="I530"/>
  <c r="I860"/>
  <c r="I14"/>
  <c r="I586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171"/>
  <c r="I172" s="1"/>
  <c r="I173" s="1"/>
  <c r="I174" s="1"/>
  <c r="I175" s="1"/>
  <c r="I1047"/>
  <c r="I274"/>
  <c r="I9"/>
  <c r="I1048" l="1"/>
  <c r="I1049" s="1"/>
  <c r="I1050" s="1"/>
  <c r="I1051" s="1"/>
  <c r="I1052" s="1"/>
  <c r="I1053" s="1"/>
  <c r="I1054" s="1"/>
  <c r="I1055" s="1"/>
  <c r="I1056" s="1"/>
  <c r="I1057" s="1"/>
  <c r="I632"/>
  <c r="I633" s="1"/>
  <c r="I634" s="1"/>
  <c r="I635" s="1"/>
  <c r="I1058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816"/>
  <c r="I678"/>
  <c r="I636"/>
  <c r="I567"/>
  <c r="I568" s="1"/>
  <c r="I569" s="1"/>
  <c r="I570" s="1"/>
  <c r="I571" s="1"/>
  <c r="I531"/>
  <c r="I532" s="1"/>
  <c r="I533" s="1"/>
  <c r="I534" s="1"/>
  <c r="I20"/>
  <c r="I25"/>
  <c r="I1030"/>
  <c r="I1031" s="1"/>
  <c r="I1032" s="1"/>
  <c r="I1033" s="1"/>
  <c r="I1034" s="1"/>
  <c r="I1035" s="1"/>
  <c r="I1036" s="1"/>
  <c r="I1037" s="1"/>
  <c r="I1038" s="1"/>
  <c r="I1039" s="1"/>
  <c r="I1071"/>
  <c r="I603"/>
  <c r="I604" s="1"/>
  <c r="I605" s="1"/>
  <c r="I606" s="1"/>
  <c r="I535"/>
  <c r="I536" s="1"/>
  <c r="I537" s="1"/>
  <c r="I538" s="1"/>
  <c r="I15"/>
  <c r="I176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861"/>
  <c r="I607"/>
  <c r="I539"/>
  <c r="I275"/>
  <c r="I10"/>
  <c r="I40" l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627"/>
  <c r="I628" s="1"/>
  <c r="I629" s="1"/>
  <c r="I630" s="1"/>
  <c r="I631" s="1"/>
  <c r="I540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608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862"/>
  <c r="I16"/>
  <c r="I21"/>
  <c r="I817"/>
  <c r="I572"/>
  <c r="I573" s="1"/>
  <c r="I574" s="1"/>
  <c r="I575" s="1"/>
  <c r="I576" s="1"/>
  <c r="I1072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26"/>
  <c r="I637"/>
  <c r="I679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276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11"/>
  <c r="I55"/>
  <c r="I638" l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17"/>
  <c r="I27"/>
  <c r="I28" s="1"/>
  <c r="I818"/>
  <c r="I22"/>
  <c r="I863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63"/>
  <c r="I29"/>
  <c r="I103"/>
  <c r="I12"/>
  <c r="I93"/>
  <c r="I78"/>
  <c r="I56"/>
  <c r="I20" i="32918"/>
  <c r="L20" s="1"/>
  <c r="I21"/>
  <c r="L21" s="1"/>
  <c r="I22"/>
  <c r="L22" s="1"/>
  <c r="I23"/>
  <c r="L23" s="1"/>
  <c r="I24"/>
  <c r="L24" s="1"/>
  <c r="I25"/>
  <c r="L25" s="1"/>
  <c r="I26"/>
  <c r="L26" s="1"/>
  <c r="I27"/>
  <c r="L27" s="1"/>
  <c r="I28"/>
  <c r="L28" s="1"/>
  <c r="I29"/>
  <c r="L29" s="1"/>
  <c r="I30"/>
  <c r="L30" s="1"/>
  <c r="I31"/>
  <c r="L31" s="1"/>
  <c r="I32"/>
  <c r="L32" s="1"/>
  <c r="I33"/>
  <c r="L33" s="1"/>
  <c r="I34"/>
  <c r="L34" s="1"/>
  <c r="I35"/>
  <c r="L35" s="1"/>
  <c r="I36"/>
  <c r="L36" s="1"/>
  <c r="I37"/>
  <c r="L37" s="1"/>
  <c r="I38"/>
  <c r="L38" s="1"/>
  <c r="I39"/>
  <c r="L39" s="1"/>
  <c r="I40"/>
  <c r="L40" s="1"/>
  <c r="I41"/>
  <c r="L41" s="1"/>
  <c r="I42"/>
  <c r="L42" s="1"/>
  <c r="I43"/>
  <c r="L43" s="1"/>
  <c r="I44"/>
  <c r="L44" s="1"/>
  <c r="I45"/>
  <c r="L45" s="1"/>
  <c r="I46"/>
  <c r="L46" s="1"/>
  <c r="I47"/>
  <c r="L47" s="1"/>
  <c r="I48"/>
  <c r="L48" s="1"/>
  <c r="I49"/>
  <c r="L49" s="1"/>
  <c r="I50"/>
  <c r="L50" s="1"/>
  <c r="I51"/>
  <c r="L51" s="1"/>
  <c r="I52"/>
  <c r="L52" s="1"/>
  <c r="I53"/>
  <c r="I54"/>
  <c r="L54" s="1"/>
  <c r="I55"/>
  <c r="L55" s="1"/>
  <c r="I56"/>
  <c r="L56" s="1"/>
  <c r="I57"/>
  <c r="L57" s="1"/>
  <c r="I58"/>
  <c r="L58" s="1"/>
  <c r="I59"/>
  <c r="L59" s="1"/>
  <c r="I60"/>
  <c r="L60" s="1"/>
  <c r="I61"/>
  <c r="L61" s="1"/>
  <c r="I62"/>
  <c r="L62" s="1"/>
  <c r="I63"/>
  <c r="L63" s="1"/>
  <c r="I64"/>
  <c r="L64" s="1"/>
  <c r="I65"/>
  <c r="L65" s="1"/>
  <c r="I66"/>
  <c r="L66" s="1"/>
  <c r="I67"/>
  <c r="L67" s="1"/>
  <c r="I68"/>
  <c r="L68" s="1"/>
  <c r="I69"/>
  <c r="L69" s="1"/>
  <c r="I70"/>
  <c r="L70" s="1"/>
  <c r="I71"/>
  <c r="L71" s="1"/>
  <c r="I72"/>
  <c r="L72" s="1"/>
  <c r="I73"/>
  <c r="L73" s="1"/>
  <c r="I74"/>
  <c r="L74" s="1"/>
  <c r="I75"/>
  <c r="L75" s="1"/>
  <c r="I76"/>
  <c r="L76" s="1"/>
  <c r="I77"/>
  <c r="L77" s="1"/>
  <c r="I78"/>
  <c r="L78" s="1"/>
  <c r="I79"/>
  <c r="L79" s="1"/>
  <c r="I80"/>
  <c r="L80" s="1"/>
  <c r="I81"/>
  <c r="L81" s="1"/>
  <c r="I82"/>
  <c r="L82" s="1"/>
  <c r="I83"/>
  <c r="L83" s="1"/>
  <c r="I84"/>
  <c r="L84" s="1"/>
  <c r="I85"/>
  <c r="L85" s="1"/>
  <c r="I86"/>
  <c r="L86" s="1"/>
  <c r="I87"/>
  <c r="L87" s="1"/>
  <c r="I88"/>
  <c r="L88" s="1"/>
  <c r="I89"/>
  <c r="L89" s="1"/>
  <c r="I90"/>
  <c r="L90" s="1"/>
  <c r="I91"/>
  <c r="L91" s="1"/>
  <c r="I92"/>
  <c r="L92" s="1"/>
  <c r="I93"/>
  <c r="L93" s="1"/>
  <c r="I94"/>
  <c r="L94" s="1"/>
  <c r="I95"/>
  <c r="L95" s="1"/>
  <c r="I96"/>
  <c r="L96" s="1"/>
  <c r="I97"/>
  <c r="L97" s="1"/>
  <c r="I98"/>
  <c r="L98" s="1"/>
  <c r="I99"/>
  <c r="L99" s="1"/>
  <c r="I100"/>
  <c r="L100" s="1"/>
  <c r="I101"/>
  <c r="L101" s="1"/>
  <c r="I102"/>
  <c r="L102" s="1"/>
  <c r="I103"/>
  <c r="L103" s="1"/>
  <c r="I104"/>
  <c r="L104" s="1"/>
  <c r="I105"/>
  <c r="L105" s="1"/>
  <c r="I106"/>
  <c r="L106" s="1"/>
  <c r="I107"/>
  <c r="L107" s="1"/>
  <c r="I108"/>
  <c r="L108" s="1"/>
  <c r="I109"/>
  <c r="L109" s="1"/>
  <c r="I110"/>
  <c r="L110" s="1"/>
  <c r="I111"/>
  <c r="L111" s="1"/>
  <c r="I112"/>
  <c r="L112" s="1"/>
  <c r="I113"/>
  <c r="L113" s="1"/>
  <c r="I114"/>
  <c r="L114" s="1"/>
  <c r="I115"/>
  <c r="L115" s="1"/>
  <c r="I116"/>
  <c r="L116" s="1"/>
  <c r="I117"/>
  <c r="L117" s="1"/>
  <c r="I118"/>
  <c r="L118" s="1"/>
  <c r="I119"/>
  <c r="L119" s="1"/>
  <c r="I120"/>
  <c r="L120" s="1"/>
  <c r="I121"/>
  <c r="L121" s="1"/>
  <c r="I122"/>
  <c r="L122" s="1"/>
  <c r="I123"/>
  <c r="L123" s="1"/>
  <c r="I124"/>
  <c r="L124" s="1"/>
  <c r="I125"/>
  <c r="L125" s="1"/>
  <c r="I126"/>
  <c r="L126" s="1"/>
  <c r="I127"/>
  <c r="L127" s="1"/>
  <c r="I128"/>
  <c r="L128" s="1"/>
  <c r="I129"/>
  <c r="L129" s="1"/>
  <c r="I130"/>
  <c r="L130" s="1"/>
  <c r="I131"/>
  <c r="L131" s="1"/>
  <c r="I132"/>
  <c r="L132" s="1"/>
  <c r="I133"/>
  <c r="L133" s="1"/>
  <c r="I134"/>
  <c r="L134" s="1"/>
  <c r="I135"/>
  <c r="L135" s="1"/>
  <c r="I136"/>
  <c r="L136" s="1"/>
  <c r="I137"/>
  <c r="L137" s="1"/>
  <c r="I138"/>
  <c r="L138" s="1"/>
  <c r="I139"/>
  <c r="L139" s="1"/>
  <c r="I140"/>
  <c r="L140" s="1"/>
  <c r="I141"/>
  <c r="L141" s="1"/>
  <c r="I142"/>
  <c r="L142" s="1"/>
  <c r="I143"/>
  <c r="L143" s="1"/>
  <c r="I144"/>
  <c r="L144" s="1"/>
  <c r="I145"/>
  <c r="L145" s="1"/>
  <c r="I146"/>
  <c r="L146" s="1"/>
  <c r="I147"/>
  <c r="L147" s="1"/>
  <c r="I148"/>
  <c r="L148" s="1"/>
  <c r="I149"/>
  <c r="L149" s="1"/>
  <c r="I150"/>
  <c r="L150" s="1"/>
  <c r="I151"/>
  <c r="L151" s="1"/>
  <c r="I152"/>
  <c r="L152" s="1"/>
  <c r="I153"/>
  <c r="L153" s="1"/>
  <c r="I154"/>
  <c r="L154" s="1"/>
  <c r="I155"/>
  <c r="L155" s="1"/>
  <c r="I156"/>
  <c r="L156" s="1"/>
  <c r="I157"/>
  <c r="L157" s="1"/>
  <c r="I158"/>
  <c r="L158" s="1"/>
  <c r="I159"/>
  <c r="L159" s="1"/>
  <c r="I160"/>
  <c r="L160" s="1"/>
  <c r="I161"/>
  <c r="L161" s="1"/>
  <c r="I162"/>
  <c r="L162" s="1"/>
  <c r="I163"/>
  <c r="L163" s="1"/>
  <c r="I164"/>
  <c r="L164" s="1"/>
  <c r="I165"/>
  <c r="L165" s="1"/>
  <c r="I166"/>
  <c r="L166" s="1"/>
  <c r="I167"/>
  <c r="L167" s="1"/>
  <c r="I168"/>
  <c r="L168" s="1"/>
  <c r="I169"/>
  <c r="L169" s="1"/>
  <c r="I170"/>
  <c r="L170" s="1"/>
  <c r="I171"/>
  <c r="L171" s="1"/>
  <c r="I172"/>
  <c r="L172" s="1"/>
  <c r="I173"/>
  <c r="L173" s="1"/>
  <c r="I174"/>
  <c r="L174" s="1"/>
  <c r="I175"/>
  <c r="L175" s="1"/>
  <c r="I176"/>
  <c r="L176" s="1"/>
  <c r="I177"/>
  <c r="L177" s="1"/>
  <c r="I178"/>
  <c r="L178" s="1"/>
  <c r="I179"/>
  <c r="L179" s="1"/>
  <c r="I180"/>
  <c r="L180" s="1"/>
  <c r="I181"/>
  <c r="L181" s="1"/>
  <c r="I182"/>
  <c r="L182" s="1"/>
  <c r="I183"/>
  <c r="L183" s="1"/>
  <c r="I184"/>
  <c r="L184" s="1"/>
  <c r="I185"/>
  <c r="L185" s="1"/>
  <c r="I186"/>
  <c r="L186" s="1"/>
  <c r="I187"/>
  <c r="L187" s="1"/>
  <c r="I188"/>
  <c r="L188" s="1"/>
  <c r="I189"/>
  <c r="L189" s="1"/>
  <c r="I190"/>
  <c r="L190" s="1"/>
  <c r="I191"/>
  <c r="L191" s="1"/>
  <c r="I192"/>
  <c r="L192" s="1"/>
  <c r="I193"/>
  <c r="L193" s="1"/>
  <c r="I194"/>
  <c r="L194" s="1"/>
  <c r="I195"/>
  <c r="L195" s="1"/>
  <c r="I196"/>
  <c r="L196" s="1"/>
  <c r="I197"/>
  <c r="L197" s="1"/>
  <c r="I198"/>
  <c r="L198" s="1"/>
  <c r="I199"/>
  <c r="L199" s="1"/>
  <c r="I200"/>
  <c r="L200" s="1"/>
  <c r="I201"/>
  <c r="L201" s="1"/>
  <c r="I202"/>
  <c r="L202" s="1"/>
  <c r="I203"/>
  <c r="L203" s="1"/>
  <c r="I204"/>
  <c r="L204" s="1"/>
  <c r="I205"/>
  <c r="L205" s="1"/>
  <c r="I206"/>
  <c r="L206" s="1"/>
  <c r="I207"/>
  <c r="L207" s="1"/>
  <c r="I208"/>
  <c r="L208" s="1"/>
  <c r="I209"/>
  <c r="L209" s="1"/>
  <c r="I210"/>
  <c r="L210" s="1"/>
  <c r="I211"/>
  <c r="L211" s="1"/>
  <c r="I212"/>
  <c r="L212" s="1"/>
  <c r="I213"/>
  <c r="L213" s="1"/>
  <c r="I214"/>
  <c r="L214" s="1"/>
  <c r="I215"/>
  <c r="L215" s="1"/>
  <c r="I216"/>
  <c r="L216" s="1"/>
  <c r="I217"/>
  <c r="L217" s="1"/>
  <c r="I218"/>
  <c r="L218" s="1"/>
  <c r="I219"/>
  <c r="L219" s="1"/>
  <c r="I220"/>
  <c r="L220" s="1"/>
  <c r="I221"/>
  <c r="L221" s="1"/>
  <c r="I222"/>
  <c r="L222" s="1"/>
  <c r="I223"/>
  <c r="L223" s="1"/>
  <c r="I224"/>
  <c r="L224" s="1"/>
  <c r="I225"/>
  <c r="L225" s="1"/>
  <c r="I226"/>
  <c r="L226" s="1"/>
  <c r="I227"/>
  <c r="L227" s="1"/>
  <c r="I228"/>
  <c r="L228" s="1"/>
  <c r="I229"/>
  <c r="L229" s="1"/>
  <c r="I230"/>
  <c r="L230" s="1"/>
  <c r="I231"/>
  <c r="L231" s="1"/>
  <c r="I232"/>
  <c r="L232" s="1"/>
  <c r="I233"/>
  <c r="L233" s="1"/>
  <c r="I234"/>
  <c r="L234" s="1"/>
  <c r="I235"/>
  <c r="L235" s="1"/>
  <c r="I236"/>
  <c r="L236" s="1"/>
  <c r="I237"/>
  <c r="L237" s="1"/>
  <c r="I238"/>
  <c r="L238" s="1"/>
  <c r="I239"/>
  <c r="L239" s="1"/>
  <c r="I240"/>
  <c r="L240" s="1"/>
  <c r="I241"/>
  <c r="L241" s="1"/>
  <c r="I242"/>
  <c r="L242" s="1"/>
  <c r="I243"/>
  <c r="L243" s="1"/>
  <c r="I244"/>
  <c r="L244" s="1"/>
  <c r="I245"/>
  <c r="L245" s="1"/>
  <c r="I246"/>
  <c r="L246" s="1"/>
  <c r="I247"/>
  <c r="L247" s="1"/>
  <c r="I248"/>
  <c r="L248" s="1"/>
  <c r="I249"/>
  <c r="L249" s="1"/>
  <c r="I250"/>
  <c r="L250" s="1"/>
  <c r="I251"/>
  <c r="L251" s="1"/>
  <c r="I252"/>
  <c r="L252" s="1"/>
  <c r="I253"/>
  <c r="L253" s="1"/>
  <c r="I254"/>
  <c r="L254" s="1"/>
  <c r="I255"/>
  <c r="L255" s="1"/>
  <c r="I256"/>
  <c r="L256" s="1"/>
  <c r="I257"/>
  <c r="L257" s="1"/>
  <c r="I258"/>
  <c r="L258" s="1"/>
  <c r="I259"/>
  <c r="L259" s="1"/>
  <c r="I260"/>
  <c r="L260" s="1"/>
  <c r="I261"/>
  <c r="L261" s="1"/>
  <c r="I262"/>
  <c r="L262" s="1"/>
  <c r="I263"/>
  <c r="L263" s="1"/>
  <c r="I264"/>
  <c r="L264" s="1"/>
  <c r="I265"/>
  <c r="L265" s="1"/>
  <c r="I266"/>
  <c r="L266" s="1"/>
  <c r="I267"/>
  <c r="L267" s="1"/>
  <c r="I268"/>
  <c r="L268" s="1"/>
  <c r="I269"/>
  <c r="L269" s="1"/>
  <c r="I270"/>
  <c r="L270" s="1"/>
  <c r="I271"/>
  <c r="L271" s="1"/>
  <c r="I272"/>
  <c r="L272" s="1"/>
  <c r="I273"/>
  <c r="L273" s="1"/>
  <c r="I274"/>
  <c r="L274" s="1"/>
  <c r="I275"/>
  <c r="L275" s="1"/>
  <c r="I276"/>
  <c r="L276" s="1"/>
  <c r="I277"/>
  <c r="L277" s="1"/>
  <c r="I278"/>
  <c r="L278" s="1"/>
  <c r="I279"/>
  <c r="L279" s="1"/>
  <c r="I280"/>
  <c r="L280" s="1"/>
  <c r="I281"/>
  <c r="L281" s="1"/>
  <c r="I282"/>
  <c r="L282" s="1"/>
  <c r="I283"/>
  <c r="L283" s="1"/>
  <c r="I284"/>
  <c r="L284" s="1"/>
  <c r="I285"/>
  <c r="L285" s="1"/>
  <c r="I286"/>
  <c r="L286" s="1"/>
  <c r="I287"/>
  <c r="L287" s="1"/>
  <c r="I288"/>
  <c r="L288" s="1"/>
  <c r="I289"/>
  <c r="L289" s="1"/>
  <c r="I290"/>
  <c r="L290" s="1"/>
  <c r="I291"/>
  <c r="L291" s="1"/>
  <c r="I292"/>
  <c r="L292" s="1"/>
  <c r="I293"/>
  <c r="L293" s="1"/>
  <c r="I294"/>
  <c r="L294" s="1"/>
  <c r="I295"/>
  <c r="L295" s="1"/>
  <c r="I296"/>
  <c r="L296" s="1"/>
  <c r="I297"/>
  <c r="L297" s="1"/>
  <c r="I298"/>
  <c r="L298" s="1"/>
  <c r="I299"/>
  <c r="L299" s="1"/>
  <c r="I300"/>
  <c r="L300" s="1"/>
  <c r="I301"/>
  <c r="L301" s="1"/>
  <c r="I302"/>
  <c r="L302" s="1"/>
  <c r="I303"/>
  <c r="L303" s="1"/>
  <c r="I304"/>
  <c r="L304" s="1"/>
  <c r="I305"/>
  <c r="L305" s="1"/>
  <c r="I306"/>
  <c r="L306" s="1"/>
  <c r="I307"/>
  <c r="L307" s="1"/>
  <c r="I308"/>
  <c r="L308" s="1"/>
  <c r="I309"/>
  <c r="L309" s="1"/>
  <c r="I310"/>
  <c r="L310" s="1"/>
  <c r="I311"/>
  <c r="L311" s="1"/>
  <c r="I312"/>
  <c r="L312" s="1"/>
  <c r="I313"/>
  <c r="L313" s="1"/>
  <c r="I314"/>
  <c r="L314" s="1"/>
  <c r="I315"/>
  <c r="L315" s="1"/>
  <c r="I316"/>
  <c r="L316" s="1"/>
  <c r="I317"/>
  <c r="L317" s="1"/>
  <c r="I318"/>
  <c r="L318" s="1"/>
  <c r="I319"/>
  <c r="L319" s="1"/>
  <c r="I320"/>
  <c r="L320" s="1"/>
  <c r="I321"/>
  <c r="L321" s="1"/>
  <c r="I322"/>
  <c r="L322" s="1"/>
  <c r="I323"/>
  <c r="L323" s="1"/>
  <c r="I324"/>
  <c r="L324" s="1"/>
  <c r="I325"/>
  <c r="L325" s="1"/>
  <c r="I326"/>
  <c r="L326" s="1"/>
  <c r="I327"/>
  <c r="L327" s="1"/>
  <c r="I328"/>
  <c r="L328" s="1"/>
  <c r="I329"/>
  <c r="L329" s="1"/>
  <c r="I330"/>
  <c r="L330" s="1"/>
  <c r="I331"/>
  <c r="L331" s="1"/>
  <c r="I332"/>
  <c r="L332" s="1"/>
  <c r="I333"/>
  <c r="L333" s="1"/>
  <c r="I334"/>
  <c r="L334" s="1"/>
  <c r="I335"/>
  <c r="L335" s="1"/>
  <c r="I336"/>
  <c r="L336" s="1"/>
  <c r="I337"/>
  <c r="L337" s="1"/>
  <c r="I338"/>
  <c r="L338" s="1"/>
  <c r="I339"/>
  <c r="L339" s="1"/>
  <c r="I340"/>
  <c r="L340" s="1"/>
  <c r="I341"/>
  <c r="L341" s="1"/>
  <c r="I342"/>
  <c r="L342" s="1"/>
  <c r="I343"/>
  <c r="L343" s="1"/>
  <c r="I344"/>
  <c r="L344" s="1"/>
  <c r="I345"/>
  <c r="L345" s="1"/>
  <c r="I346"/>
  <c r="L346" s="1"/>
  <c r="I347"/>
  <c r="L347" s="1"/>
  <c r="I348"/>
  <c r="L348" s="1"/>
  <c r="I349"/>
  <c r="L349" s="1"/>
  <c r="I350"/>
  <c r="L350" s="1"/>
  <c r="I351"/>
  <c r="L351" s="1"/>
  <c r="I352"/>
  <c r="L352" s="1"/>
  <c r="I353"/>
  <c r="L353" s="1"/>
  <c r="I354"/>
  <c r="L354" s="1"/>
  <c r="I355"/>
  <c r="L355" s="1"/>
  <c r="I356"/>
  <c r="L356" s="1"/>
  <c r="I357"/>
  <c r="L357" s="1"/>
  <c r="I358"/>
  <c r="L358" s="1"/>
  <c r="I359"/>
  <c r="L359" s="1"/>
  <c r="I360"/>
  <c r="L360" s="1"/>
  <c r="I361"/>
  <c r="L361" s="1"/>
  <c r="I362"/>
  <c r="L362" s="1"/>
  <c r="I363"/>
  <c r="L363" s="1"/>
  <c r="I364"/>
  <c r="L364" s="1"/>
  <c r="I365"/>
  <c r="L365" s="1"/>
  <c r="I366"/>
  <c r="L366" s="1"/>
  <c r="I367"/>
  <c r="L367" s="1"/>
  <c r="I368"/>
  <c r="L368" s="1"/>
  <c r="I369"/>
  <c r="L369" s="1"/>
  <c r="I370"/>
  <c r="L370" s="1"/>
  <c r="I371"/>
  <c r="L371" s="1"/>
  <c r="I372"/>
  <c r="L372" s="1"/>
  <c r="I373"/>
  <c r="L373" s="1"/>
  <c r="I374"/>
  <c r="L374" s="1"/>
  <c r="I375"/>
  <c r="L375" s="1"/>
  <c r="I376"/>
  <c r="L376" s="1"/>
  <c r="I377"/>
  <c r="L377" s="1"/>
  <c r="I378"/>
  <c r="L378" s="1"/>
  <c r="I379"/>
  <c r="L379" s="1"/>
  <c r="I380"/>
  <c r="L380" s="1"/>
  <c r="I381"/>
  <c r="L381" s="1"/>
  <c r="I382"/>
  <c r="L382" s="1"/>
  <c r="I383"/>
  <c r="L383" s="1"/>
  <c r="I384"/>
  <c r="L384" s="1"/>
  <c r="I385"/>
  <c r="L385" s="1"/>
  <c r="I386"/>
  <c r="L386" s="1"/>
  <c r="I387"/>
  <c r="L387" s="1"/>
  <c r="I388"/>
  <c r="L388" s="1"/>
  <c r="I389"/>
  <c r="L389" s="1"/>
  <c r="I390"/>
  <c r="L390" s="1"/>
  <c r="I391"/>
  <c r="L391" s="1"/>
  <c r="I392"/>
  <c r="L392" s="1"/>
  <c r="I393"/>
  <c r="L393" s="1"/>
  <c r="I394"/>
  <c r="L394" s="1"/>
  <c r="I395"/>
  <c r="L395" s="1"/>
  <c r="I396"/>
  <c r="L396" s="1"/>
  <c r="I397"/>
  <c r="L397" s="1"/>
  <c r="I398"/>
  <c r="L398" s="1"/>
  <c r="I399"/>
  <c r="L399" s="1"/>
  <c r="I400"/>
  <c r="L400" s="1"/>
  <c r="I401"/>
  <c r="L401" s="1"/>
  <c r="I402"/>
  <c r="L402" s="1"/>
  <c r="I403"/>
  <c r="L403" s="1"/>
  <c r="I404"/>
  <c r="L404" s="1"/>
  <c r="I405"/>
  <c r="L405" s="1"/>
  <c r="I406"/>
  <c r="L406" s="1"/>
  <c r="I407"/>
  <c r="L407" s="1"/>
  <c r="I408"/>
  <c r="L408" s="1"/>
  <c r="I409"/>
  <c r="L409" s="1"/>
  <c r="I410"/>
  <c r="L410" s="1"/>
  <c r="I411"/>
  <c r="L411" s="1"/>
  <c r="I412"/>
  <c r="L412" s="1"/>
  <c r="I413"/>
  <c r="L413" s="1"/>
  <c r="I414"/>
  <c r="L414" s="1"/>
  <c r="I415"/>
  <c r="L415" s="1"/>
  <c r="I416"/>
  <c r="L416" s="1"/>
  <c r="I417"/>
  <c r="L417" s="1"/>
  <c r="I418"/>
  <c r="L418" s="1"/>
  <c r="I419"/>
  <c r="L419" s="1"/>
  <c r="I420"/>
  <c r="L420" s="1"/>
  <c r="I421"/>
  <c r="L421" s="1"/>
  <c r="I422"/>
  <c r="L422" s="1"/>
  <c r="I423"/>
  <c r="L423" s="1"/>
  <c r="I424"/>
  <c r="L424" s="1"/>
  <c r="I425"/>
  <c r="L425" s="1"/>
  <c r="I426"/>
  <c r="L426" s="1"/>
  <c r="I427"/>
  <c r="L427" s="1"/>
  <c r="I428"/>
  <c r="L428" s="1"/>
  <c r="I429"/>
  <c r="L429" s="1"/>
  <c r="I430"/>
  <c r="L430" s="1"/>
  <c r="I431"/>
  <c r="L431" s="1"/>
  <c r="I432"/>
  <c r="L432" s="1"/>
  <c r="I433"/>
  <c r="L433" s="1"/>
  <c r="I434"/>
  <c r="L434" s="1"/>
  <c r="I435"/>
  <c r="L435" s="1"/>
  <c r="I436"/>
  <c r="L436" s="1"/>
  <c r="I437"/>
  <c r="L437" s="1"/>
  <c r="I438"/>
  <c r="L438" s="1"/>
  <c r="I439"/>
  <c r="L439" s="1"/>
  <c r="I440"/>
  <c r="L440" s="1"/>
  <c r="I441"/>
  <c r="L441" s="1"/>
  <c r="I442"/>
  <c r="L442" s="1"/>
  <c r="I443"/>
  <c r="L443" s="1"/>
  <c r="I444"/>
  <c r="L444" s="1"/>
  <c r="I445"/>
  <c r="L445" s="1"/>
  <c r="I446"/>
  <c r="L446" s="1"/>
  <c r="I447"/>
  <c r="L447" s="1"/>
  <c r="I448"/>
  <c r="L448" s="1"/>
  <c r="I449"/>
  <c r="L449" s="1"/>
  <c r="I450"/>
  <c r="L450" s="1"/>
  <c r="I451"/>
  <c r="L451" s="1"/>
  <c r="I452"/>
  <c r="L452" s="1"/>
  <c r="I453"/>
  <c r="L453" s="1"/>
  <c r="I454"/>
  <c r="L454" s="1"/>
  <c r="I455"/>
  <c r="L455" s="1"/>
  <c r="I456"/>
  <c r="L456" s="1"/>
  <c r="I457"/>
  <c r="L457" s="1"/>
  <c r="I458"/>
  <c r="L458" s="1"/>
  <c r="I459"/>
  <c r="L459" s="1"/>
  <c r="I460"/>
  <c r="L460" s="1"/>
  <c r="I461"/>
  <c r="L461" s="1"/>
  <c r="I462"/>
  <c r="L462" s="1"/>
  <c r="I463"/>
  <c r="L463" s="1"/>
  <c r="I464"/>
  <c r="L464" s="1"/>
  <c r="I465"/>
  <c r="L465" s="1"/>
  <c r="I466"/>
  <c r="L466" s="1"/>
  <c r="I467"/>
  <c r="L467" s="1"/>
  <c r="I468"/>
  <c r="L468" s="1"/>
  <c r="I469"/>
  <c r="L469" s="1"/>
  <c r="I470"/>
  <c r="L470" s="1"/>
  <c r="I471"/>
  <c r="L471" s="1"/>
  <c r="I472"/>
  <c r="L472" s="1"/>
  <c r="I473"/>
  <c r="L473" s="1"/>
  <c r="I474"/>
  <c r="L474" s="1"/>
  <c r="I475"/>
  <c r="L475" s="1"/>
  <c r="I476"/>
  <c r="L476" s="1"/>
  <c r="I477"/>
  <c r="L477" s="1"/>
  <c r="I478"/>
  <c r="L478" s="1"/>
  <c r="I479"/>
  <c r="L479" s="1"/>
  <c r="I480"/>
  <c r="L480" s="1"/>
  <c r="I481"/>
  <c r="L481" s="1"/>
  <c r="I482"/>
  <c r="L482" s="1"/>
  <c r="I483"/>
  <c r="L483" s="1"/>
  <c r="I484"/>
  <c r="L484" s="1"/>
  <c r="I485"/>
  <c r="L485" s="1"/>
  <c r="I486"/>
  <c r="L486" s="1"/>
  <c r="I487"/>
  <c r="L487" s="1"/>
  <c r="I488"/>
  <c r="L488" s="1"/>
  <c r="I489"/>
  <c r="L489" s="1"/>
  <c r="I490"/>
  <c r="L490" s="1"/>
  <c r="I491"/>
  <c r="L491" s="1"/>
  <c r="I492"/>
  <c r="L492" s="1"/>
  <c r="I493"/>
  <c r="L493" s="1"/>
  <c r="I494"/>
  <c r="L494" s="1"/>
  <c r="I495"/>
  <c r="L495" s="1"/>
  <c r="I496"/>
  <c r="L496" s="1"/>
  <c r="I497"/>
  <c r="L497" s="1"/>
  <c r="I498"/>
  <c r="L498" s="1"/>
  <c r="I499"/>
  <c r="L499" s="1"/>
  <c r="I500"/>
  <c r="L500" s="1"/>
  <c r="I501"/>
  <c r="L501" s="1"/>
  <c r="I502"/>
  <c r="L502" s="1"/>
  <c r="I503"/>
  <c r="L503" s="1"/>
  <c r="I504"/>
  <c r="L504" s="1"/>
  <c r="I505"/>
  <c r="L505" s="1"/>
  <c r="I506"/>
  <c r="L506" s="1"/>
  <c r="I507"/>
  <c r="L507" s="1"/>
  <c r="I508"/>
  <c r="L508" s="1"/>
  <c r="I509"/>
  <c r="L509" s="1"/>
  <c r="I510"/>
  <c r="L510" s="1"/>
  <c r="I511"/>
  <c r="L511" s="1"/>
  <c r="I512"/>
  <c r="L512" s="1"/>
  <c r="I513"/>
  <c r="L513" s="1"/>
  <c r="I514"/>
  <c r="L514" s="1"/>
  <c r="I515"/>
  <c r="L515" s="1"/>
  <c r="I516"/>
  <c r="L516" s="1"/>
  <c r="I517"/>
  <c r="L517" s="1"/>
  <c r="I518"/>
  <c r="L518" s="1"/>
  <c r="I519"/>
  <c r="L519" s="1"/>
  <c r="I520"/>
  <c r="L520" s="1"/>
  <c r="I521"/>
  <c r="L521" s="1"/>
  <c r="I522"/>
  <c r="L522" s="1"/>
  <c r="I523"/>
  <c r="L523" s="1"/>
  <c r="I524"/>
  <c r="L524" s="1"/>
  <c r="I525"/>
  <c r="L525" s="1"/>
  <c r="I526"/>
  <c r="L526" s="1"/>
  <c r="I527"/>
  <c r="L527" s="1"/>
  <c r="I528"/>
  <c r="L528" s="1"/>
  <c r="I529"/>
  <c r="L529" s="1"/>
  <c r="I530"/>
  <c r="L530" s="1"/>
  <c r="I531"/>
  <c r="L531" s="1"/>
  <c r="I532"/>
  <c r="L532" s="1"/>
  <c r="I533"/>
  <c r="L533" s="1"/>
  <c r="I534"/>
  <c r="L534" s="1"/>
  <c r="I535"/>
  <c r="L535" s="1"/>
  <c r="I536"/>
  <c r="L536" s="1"/>
  <c r="I537"/>
  <c r="L537" s="1"/>
  <c r="I538"/>
  <c r="L538" s="1"/>
  <c r="I539"/>
  <c r="L539" s="1"/>
  <c r="I540"/>
  <c r="L540" s="1"/>
  <c r="I541"/>
  <c r="L541" s="1"/>
  <c r="I542"/>
  <c r="L542" s="1"/>
  <c r="I543"/>
  <c r="L543" s="1"/>
  <c r="I544"/>
  <c r="L544" s="1"/>
  <c r="I545"/>
  <c r="L545" s="1"/>
  <c r="I546"/>
  <c r="L546" s="1"/>
  <c r="I547"/>
  <c r="L547" s="1"/>
  <c r="I548"/>
  <c r="L548" s="1"/>
  <c r="I549"/>
  <c r="L549" s="1"/>
  <c r="I550"/>
  <c r="L550" s="1"/>
  <c r="I551"/>
  <c r="L551" s="1"/>
  <c r="I552"/>
  <c r="L552" s="1"/>
  <c r="I553"/>
  <c r="L553" s="1"/>
  <c r="I554"/>
  <c r="L554" s="1"/>
  <c r="I555"/>
  <c r="L555" s="1"/>
  <c r="I556"/>
  <c r="L556" s="1"/>
  <c r="I557"/>
  <c r="L557" s="1"/>
  <c r="I558"/>
  <c r="L558" s="1"/>
  <c r="I559"/>
  <c r="L559" s="1"/>
  <c r="I560"/>
  <c r="L560" s="1"/>
  <c r="I561"/>
  <c r="L561" s="1"/>
  <c r="I562"/>
  <c r="L562" s="1"/>
  <c r="I563"/>
  <c r="L563" s="1"/>
  <c r="I564"/>
  <c r="L564" s="1"/>
  <c r="I565"/>
  <c r="L565" s="1"/>
  <c r="I566"/>
  <c r="L566" s="1"/>
  <c r="I567"/>
  <c r="L567" s="1"/>
  <c r="I568"/>
  <c r="L568" s="1"/>
  <c r="I569"/>
  <c r="L569" s="1"/>
  <c r="I570"/>
  <c r="L570" s="1"/>
  <c r="I571"/>
  <c r="L571" s="1"/>
  <c r="I572"/>
  <c r="L572" s="1"/>
  <c r="I573"/>
  <c r="L573" s="1"/>
  <c r="I574"/>
  <c r="L574" s="1"/>
  <c r="I575"/>
  <c r="L575" s="1"/>
  <c r="I576"/>
  <c r="L576" s="1"/>
  <c r="I577"/>
  <c r="L577" s="1"/>
  <c r="I578"/>
  <c r="L578" s="1"/>
  <c r="I579"/>
  <c r="L579" s="1"/>
  <c r="I580"/>
  <c r="L580" s="1"/>
  <c r="I581"/>
  <c r="L581" s="1"/>
  <c r="I582"/>
  <c r="L582" s="1"/>
  <c r="I583"/>
  <c r="L583" s="1"/>
  <c r="I584"/>
  <c r="L584" s="1"/>
  <c r="I585"/>
  <c r="L585" s="1"/>
  <c r="I586"/>
  <c r="L586" s="1"/>
  <c r="I587"/>
  <c r="L587" s="1"/>
  <c r="I588"/>
  <c r="L588" s="1"/>
  <c r="I589"/>
  <c r="L589" s="1"/>
  <c r="I590"/>
  <c r="L590" s="1"/>
  <c r="I591"/>
  <c r="L591" s="1"/>
  <c r="I592"/>
  <c r="L592" s="1"/>
  <c r="I593"/>
  <c r="L593" s="1"/>
  <c r="I594"/>
  <c r="L594" s="1"/>
  <c r="I595"/>
  <c r="L595" s="1"/>
  <c r="I596"/>
  <c r="L596" s="1"/>
  <c r="I597"/>
  <c r="L597" s="1"/>
  <c r="I598"/>
  <c r="L598" s="1"/>
  <c r="I599"/>
  <c r="L599" s="1"/>
  <c r="I600"/>
  <c r="L600" s="1"/>
  <c r="I601"/>
  <c r="L601" s="1"/>
  <c r="I602"/>
  <c r="L602" s="1"/>
  <c r="I603"/>
  <c r="L603" s="1"/>
  <c r="I604"/>
  <c r="L604" s="1"/>
  <c r="I605"/>
  <c r="L605" s="1"/>
  <c r="I606"/>
  <c r="L606" s="1"/>
  <c r="I607"/>
  <c r="L607" s="1"/>
  <c r="I608"/>
  <c r="L608" s="1"/>
  <c r="I609"/>
  <c r="L609" s="1"/>
  <c r="I610"/>
  <c r="L610" s="1"/>
  <c r="I611"/>
  <c r="L611" s="1"/>
  <c r="I612"/>
  <c r="L612" s="1"/>
  <c r="I613"/>
  <c r="L613" s="1"/>
  <c r="I614"/>
  <c r="L614" s="1"/>
  <c r="I615"/>
  <c r="L615" s="1"/>
  <c r="I616"/>
  <c r="L616" s="1"/>
  <c r="I617"/>
  <c r="L617" s="1"/>
  <c r="I618"/>
  <c r="L618" s="1"/>
  <c r="I619"/>
  <c r="L619" s="1"/>
  <c r="I620"/>
  <c r="L620" s="1"/>
  <c r="I621"/>
  <c r="L621" s="1"/>
  <c r="I622"/>
  <c r="L622" s="1"/>
  <c r="I623"/>
  <c r="L623" s="1"/>
  <c r="I624"/>
  <c r="L624" s="1"/>
  <c r="I625"/>
  <c r="L625" s="1"/>
  <c r="I626"/>
  <c r="L626" s="1"/>
  <c r="I627"/>
  <c r="L627" s="1"/>
  <c r="I628"/>
  <c r="L628" s="1"/>
  <c r="I629"/>
  <c r="L629" s="1"/>
  <c r="I630"/>
  <c r="L630" s="1"/>
  <c r="I631"/>
  <c r="L631" s="1"/>
  <c r="I632"/>
  <c r="L632" s="1"/>
  <c r="I633"/>
  <c r="L633" s="1"/>
  <c r="I634"/>
  <c r="L634" s="1"/>
  <c r="I635"/>
  <c r="L635" s="1"/>
  <c r="I636"/>
  <c r="L636" s="1"/>
  <c r="I637"/>
  <c r="L637" s="1"/>
  <c r="I638"/>
  <c r="L638" s="1"/>
  <c r="I639"/>
  <c r="L639" s="1"/>
  <c r="I640"/>
  <c r="L640" s="1"/>
  <c r="I641"/>
  <c r="L641" s="1"/>
  <c r="I642"/>
  <c r="L642" s="1"/>
  <c r="I643"/>
  <c r="L643" s="1"/>
  <c r="I644"/>
  <c r="L644" s="1"/>
  <c r="I645"/>
  <c r="L645" s="1"/>
  <c r="I646"/>
  <c r="L646" s="1"/>
  <c r="I647"/>
  <c r="L647" s="1"/>
  <c r="I648"/>
  <c r="L648" s="1"/>
  <c r="I649"/>
  <c r="L649" s="1"/>
  <c r="I650"/>
  <c r="L650" s="1"/>
  <c r="I651"/>
  <c r="L651" s="1"/>
  <c r="I652"/>
  <c r="L652" s="1"/>
  <c r="I653"/>
  <c r="L653" s="1"/>
  <c r="I654"/>
  <c r="L654" s="1"/>
  <c r="I655"/>
  <c r="L655" s="1"/>
  <c r="I656"/>
  <c r="L656" s="1"/>
  <c r="I657"/>
  <c r="L657" s="1"/>
  <c r="I658"/>
  <c r="L658" s="1"/>
  <c r="I659"/>
  <c r="L659" s="1"/>
  <c r="I660"/>
  <c r="L660" s="1"/>
  <c r="I661"/>
  <c r="L661" s="1"/>
  <c r="I662"/>
  <c r="L662" s="1"/>
  <c r="I663"/>
  <c r="L663" s="1"/>
  <c r="I664"/>
  <c r="L664" s="1"/>
  <c r="I665"/>
  <c r="L665" s="1"/>
  <c r="I666"/>
  <c r="L666" s="1"/>
  <c r="I667"/>
  <c r="L667" s="1"/>
  <c r="I668"/>
  <c r="L668" s="1"/>
  <c r="I669"/>
  <c r="L669" s="1"/>
  <c r="I670"/>
  <c r="L670" s="1"/>
  <c r="I671"/>
  <c r="L671" s="1"/>
  <c r="I672"/>
  <c r="L672" s="1"/>
  <c r="I673"/>
  <c r="L673" s="1"/>
  <c r="I674"/>
  <c r="L674" s="1"/>
  <c r="I675"/>
  <c r="L675" s="1"/>
  <c r="I676"/>
  <c r="L676" s="1"/>
  <c r="I677"/>
  <c r="L677" s="1"/>
  <c r="I678"/>
  <c r="L678" s="1"/>
  <c r="I679"/>
  <c r="L679" s="1"/>
  <c r="I680"/>
  <c r="L680" s="1"/>
  <c r="I681"/>
  <c r="L681" s="1"/>
  <c r="I682"/>
  <c r="L682" s="1"/>
  <c r="I683"/>
  <c r="L683" s="1"/>
  <c r="I684"/>
  <c r="L684" s="1"/>
  <c r="I685"/>
  <c r="L685" s="1"/>
  <c r="I686"/>
  <c r="L686" s="1"/>
  <c r="I687"/>
  <c r="L687" s="1"/>
  <c r="I688"/>
  <c r="L688" s="1"/>
  <c r="I689"/>
  <c r="L689" s="1"/>
  <c r="I690"/>
  <c r="L690" s="1"/>
  <c r="I691"/>
  <c r="L691" s="1"/>
  <c r="I692"/>
  <c r="L692" s="1"/>
  <c r="I693"/>
  <c r="L693" s="1"/>
  <c r="I694"/>
  <c r="L694" s="1"/>
  <c r="I695"/>
  <c r="L695" s="1"/>
  <c r="I696"/>
  <c r="L696" s="1"/>
  <c r="I697"/>
  <c r="L697" s="1"/>
  <c r="I698"/>
  <c r="L698" s="1"/>
  <c r="I699"/>
  <c r="L699" s="1"/>
  <c r="I700"/>
  <c r="L700" s="1"/>
  <c r="I701"/>
  <c r="L701" s="1"/>
  <c r="I702"/>
  <c r="L702" s="1"/>
  <c r="I703"/>
  <c r="L703" s="1"/>
  <c r="I704"/>
  <c r="L704" s="1"/>
  <c r="I705"/>
  <c r="L705" s="1"/>
  <c r="I706"/>
  <c r="L706" s="1"/>
  <c r="I707"/>
  <c r="L707" s="1"/>
  <c r="I708"/>
  <c r="L708" s="1"/>
  <c r="I709"/>
  <c r="L709" s="1"/>
  <c r="I710"/>
  <c r="L710" s="1"/>
  <c r="I711"/>
  <c r="L711" s="1"/>
  <c r="I712"/>
  <c r="L712" s="1"/>
  <c r="I713"/>
  <c r="L713" s="1"/>
  <c r="I714"/>
  <c r="L714" s="1"/>
  <c r="I715"/>
  <c r="L715" s="1"/>
  <c r="I716"/>
  <c r="L716" s="1"/>
  <c r="I717"/>
  <c r="L717" s="1"/>
  <c r="I718"/>
  <c r="L718" s="1"/>
  <c r="I719"/>
  <c r="L719" s="1"/>
  <c r="I720"/>
  <c r="L720" s="1"/>
  <c r="I721"/>
  <c r="L721" s="1"/>
  <c r="I722"/>
  <c r="L722" s="1"/>
  <c r="I723"/>
  <c r="L723" s="1"/>
  <c r="I724"/>
  <c r="L724" s="1"/>
  <c r="I725"/>
  <c r="L725" s="1"/>
  <c r="I726"/>
  <c r="L726" s="1"/>
  <c r="I727"/>
  <c r="L727" s="1"/>
  <c r="I728"/>
  <c r="L728" s="1"/>
  <c r="I729"/>
  <c r="L729" s="1"/>
  <c r="I730"/>
  <c r="L730" s="1"/>
  <c r="I731"/>
  <c r="L731" s="1"/>
  <c r="I732"/>
  <c r="L732" s="1"/>
  <c r="I733"/>
  <c r="L733" s="1"/>
  <c r="I734"/>
  <c r="L734" s="1"/>
  <c r="I735"/>
  <c r="L735" s="1"/>
  <c r="I736"/>
  <c r="L736" s="1"/>
  <c r="I737"/>
  <c r="L737" s="1"/>
  <c r="I738"/>
  <c r="L738" s="1"/>
  <c r="I739"/>
  <c r="L739" s="1"/>
  <c r="I740"/>
  <c r="L740" s="1"/>
  <c r="I741"/>
  <c r="L741" s="1"/>
  <c r="I742"/>
  <c r="L742" s="1"/>
  <c r="I743"/>
  <c r="L743" s="1"/>
  <c r="I744"/>
  <c r="L744" s="1"/>
  <c r="I745"/>
  <c r="L745" s="1"/>
  <c r="I746"/>
  <c r="L746" s="1"/>
  <c r="I747"/>
  <c r="L747" s="1"/>
  <c r="I748"/>
  <c r="L748" s="1"/>
  <c r="I749"/>
  <c r="L749" s="1"/>
  <c r="I750"/>
  <c r="L750" s="1"/>
  <c r="I751"/>
  <c r="L751" s="1"/>
  <c r="I752"/>
  <c r="L752" s="1"/>
  <c r="I753"/>
  <c r="L753" s="1"/>
  <c r="I754"/>
  <c r="L754" s="1"/>
  <c r="I755"/>
  <c r="L755" s="1"/>
  <c r="I756"/>
  <c r="L756" s="1"/>
  <c r="I757"/>
  <c r="L757" s="1"/>
  <c r="I758"/>
  <c r="L758" s="1"/>
  <c r="I759"/>
  <c r="L759" s="1"/>
  <c r="I760"/>
  <c r="L760" s="1"/>
  <c r="I761"/>
  <c r="L761" s="1"/>
  <c r="I762"/>
  <c r="L762" s="1"/>
  <c r="I763"/>
  <c r="L763" s="1"/>
  <c r="I764"/>
  <c r="L764" s="1"/>
  <c r="I765"/>
  <c r="L765" s="1"/>
  <c r="I766"/>
  <c r="L766" s="1"/>
  <c r="I767"/>
  <c r="L767" s="1"/>
  <c r="I768"/>
  <c r="L768" s="1"/>
  <c r="I769"/>
  <c r="L769" s="1"/>
  <c r="I770"/>
  <c r="L770" s="1"/>
  <c r="I771"/>
  <c r="L771" s="1"/>
  <c r="I772"/>
  <c r="L772" s="1"/>
  <c r="I773"/>
  <c r="L773" s="1"/>
  <c r="I774"/>
  <c r="L774" s="1"/>
  <c r="I775"/>
  <c r="L775" s="1"/>
  <c r="I776"/>
  <c r="L776" s="1"/>
  <c r="I777"/>
  <c r="L777" s="1"/>
  <c r="I778"/>
  <c r="L778" s="1"/>
  <c r="I779"/>
  <c r="L779" s="1"/>
  <c r="I780"/>
  <c r="L780" s="1"/>
  <c r="I781"/>
  <c r="L781" s="1"/>
  <c r="I782"/>
  <c r="L782" s="1"/>
  <c r="I783"/>
  <c r="L783" s="1"/>
  <c r="I784"/>
  <c r="L784" s="1"/>
  <c r="I785"/>
  <c r="L785" s="1"/>
  <c r="I786"/>
  <c r="L786" s="1"/>
  <c r="I787"/>
  <c r="L787" s="1"/>
  <c r="I788"/>
  <c r="L788" s="1"/>
  <c r="I789"/>
  <c r="L789" s="1"/>
  <c r="I790"/>
  <c r="L790" s="1"/>
  <c r="I791"/>
  <c r="L791" s="1"/>
  <c r="I792"/>
  <c r="L792" s="1"/>
  <c r="I793"/>
  <c r="L793" s="1"/>
  <c r="I794"/>
  <c r="L794" s="1"/>
  <c r="I795"/>
  <c r="L795" s="1"/>
  <c r="I796"/>
  <c r="L796" s="1"/>
  <c r="I797"/>
  <c r="L797" s="1"/>
  <c r="I798"/>
  <c r="L798" s="1"/>
  <c r="I799"/>
  <c r="L799" s="1"/>
  <c r="I800"/>
  <c r="L800" s="1"/>
  <c r="I801"/>
  <c r="L801" s="1"/>
  <c r="I802"/>
  <c r="L802" s="1"/>
  <c r="I803"/>
  <c r="L803" s="1"/>
  <c r="I804"/>
  <c r="L804" s="1"/>
  <c r="I805"/>
  <c r="L805" s="1"/>
  <c r="I806"/>
  <c r="L806" s="1"/>
  <c r="I807"/>
  <c r="L807" s="1"/>
  <c r="I808"/>
  <c r="L808" s="1"/>
  <c r="I809"/>
  <c r="L809" s="1"/>
  <c r="I810"/>
  <c r="L810" s="1"/>
  <c r="I811"/>
  <c r="L811" s="1"/>
  <c r="I812"/>
  <c r="L812" s="1"/>
  <c r="I813"/>
  <c r="L813" s="1"/>
  <c r="I814"/>
  <c r="L814" s="1"/>
  <c r="I815"/>
  <c r="L815" s="1"/>
  <c r="I816"/>
  <c r="L816" s="1"/>
  <c r="I817"/>
  <c r="L817" s="1"/>
  <c r="I818"/>
  <c r="L818" s="1"/>
  <c r="I819"/>
  <c r="L819" s="1"/>
  <c r="I820"/>
  <c r="L820" s="1"/>
  <c r="I821"/>
  <c r="L821" s="1"/>
  <c r="I822"/>
  <c r="L822" s="1"/>
  <c r="I823"/>
  <c r="L823" s="1"/>
  <c r="I824"/>
  <c r="L824" s="1"/>
  <c r="I825"/>
  <c r="L825" s="1"/>
  <c r="I826"/>
  <c r="L826" s="1"/>
  <c r="I827"/>
  <c r="L827" s="1"/>
  <c r="I828"/>
  <c r="L828" s="1"/>
  <c r="I829"/>
  <c r="L829" s="1"/>
  <c r="I830"/>
  <c r="L830" s="1"/>
  <c r="I831"/>
  <c r="L831" s="1"/>
  <c r="I832"/>
  <c r="L832" s="1"/>
  <c r="I833"/>
  <c r="L833" s="1"/>
  <c r="I834"/>
  <c r="L834" s="1"/>
  <c r="I835"/>
  <c r="L835" s="1"/>
  <c r="I836"/>
  <c r="L836" s="1"/>
  <c r="I837"/>
  <c r="L837" s="1"/>
  <c r="I838"/>
  <c r="L838" s="1"/>
  <c r="I839"/>
  <c r="L839" s="1"/>
  <c r="I840"/>
  <c r="L840" s="1"/>
  <c r="I841"/>
  <c r="L841" s="1"/>
  <c r="I842"/>
  <c r="L842" s="1"/>
  <c r="I843"/>
  <c r="L843" s="1"/>
  <c r="I844"/>
  <c r="L844" s="1"/>
  <c r="I845"/>
  <c r="L845" s="1"/>
  <c r="I846"/>
  <c r="L846" s="1"/>
  <c r="I847"/>
  <c r="L847" s="1"/>
  <c r="I848"/>
  <c r="L848" s="1"/>
  <c r="I849"/>
  <c r="L849" s="1"/>
  <c r="I850"/>
  <c r="L850" s="1"/>
  <c r="I851"/>
  <c r="L851" s="1"/>
  <c r="I852"/>
  <c r="L852" s="1"/>
  <c r="I853"/>
  <c r="L853" s="1"/>
  <c r="I854"/>
  <c r="L854" s="1"/>
  <c r="I855"/>
  <c r="L855" s="1"/>
  <c r="I856"/>
  <c r="L856" s="1"/>
  <c r="I857"/>
  <c r="L857" s="1"/>
  <c r="I858"/>
  <c r="L858" s="1"/>
  <c r="I859"/>
  <c r="L859" s="1"/>
  <c r="I860"/>
  <c r="L860" s="1"/>
  <c r="I861"/>
  <c r="L861" s="1"/>
  <c r="I862"/>
  <c r="L862" s="1"/>
  <c r="I863"/>
  <c r="L863" s="1"/>
  <c r="I864"/>
  <c r="L864" s="1"/>
  <c r="I865"/>
  <c r="L865" s="1"/>
  <c r="I866"/>
  <c r="L866" s="1"/>
  <c r="I867"/>
  <c r="L867" s="1"/>
  <c r="I868"/>
  <c r="L868" s="1"/>
  <c r="I869"/>
  <c r="L869" s="1"/>
  <c r="I870"/>
  <c r="L870" s="1"/>
  <c r="I871"/>
  <c r="L871" s="1"/>
  <c r="I872"/>
  <c r="L872" s="1"/>
  <c r="I873"/>
  <c r="L873" s="1"/>
  <c r="I874"/>
  <c r="L874" s="1"/>
  <c r="I875"/>
  <c r="L875" s="1"/>
  <c r="I876"/>
  <c r="L876" s="1"/>
  <c r="I877"/>
  <c r="L877" s="1"/>
  <c r="I878"/>
  <c r="L878" s="1"/>
  <c r="I879"/>
  <c r="L879" s="1"/>
  <c r="I880"/>
  <c r="L880" s="1"/>
  <c r="I881"/>
  <c r="L881" s="1"/>
  <c r="I882"/>
  <c r="L882" s="1"/>
  <c r="I883"/>
  <c r="L883" s="1"/>
  <c r="I884"/>
  <c r="L884" s="1"/>
  <c r="I885"/>
  <c r="L885" s="1"/>
  <c r="I886"/>
  <c r="L886" s="1"/>
  <c r="I887"/>
  <c r="L887" s="1"/>
  <c r="I888"/>
  <c r="L888" s="1"/>
  <c r="I889"/>
  <c r="L889" s="1"/>
  <c r="I890"/>
  <c r="L890" s="1"/>
  <c r="I891"/>
  <c r="L891" s="1"/>
  <c r="I892"/>
  <c r="L892" s="1"/>
  <c r="I893"/>
  <c r="L893" s="1"/>
  <c r="I894"/>
  <c r="L894" s="1"/>
  <c r="I895"/>
  <c r="L895" s="1"/>
  <c r="I896"/>
  <c r="L896" s="1"/>
  <c r="I897"/>
  <c r="L897" s="1"/>
  <c r="I898"/>
  <c r="L898" s="1"/>
  <c r="I899"/>
  <c r="L899" s="1"/>
  <c r="I900"/>
  <c r="L900" s="1"/>
  <c r="I901"/>
  <c r="L901" s="1"/>
  <c r="I902"/>
  <c r="L902" s="1"/>
  <c r="I903"/>
  <c r="L903" s="1"/>
  <c r="I904"/>
  <c r="L904" s="1"/>
  <c r="I905"/>
  <c r="L905" s="1"/>
  <c r="I906"/>
  <c r="L906" s="1"/>
  <c r="I907"/>
  <c r="L907" s="1"/>
  <c r="I908"/>
  <c r="L908" s="1"/>
  <c r="I909"/>
  <c r="L909" s="1"/>
  <c r="I910"/>
  <c r="L910" s="1"/>
  <c r="I911"/>
  <c r="L911" s="1"/>
  <c r="I912"/>
  <c r="L912" s="1"/>
  <c r="I913"/>
  <c r="L913" s="1"/>
  <c r="I914"/>
  <c r="L914" s="1"/>
  <c r="I915"/>
  <c r="L915" s="1"/>
  <c r="I916"/>
  <c r="L916" s="1"/>
  <c r="I917"/>
  <c r="L917" s="1"/>
  <c r="I918"/>
  <c r="L918" s="1"/>
  <c r="I919"/>
  <c r="L919" s="1"/>
  <c r="I920"/>
  <c r="L920" s="1"/>
  <c r="I921"/>
  <c r="L921" s="1"/>
  <c r="I922"/>
  <c r="L922" s="1"/>
  <c r="I923"/>
  <c r="L923" s="1"/>
  <c r="I924"/>
  <c r="L924" s="1"/>
  <c r="I925"/>
  <c r="L925" s="1"/>
  <c r="I926"/>
  <c r="L926" s="1"/>
  <c r="I927"/>
  <c r="L927" s="1"/>
  <c r="I928"/>
  <c r="L928" s="1"/>
  <c r="I929"/>
  <c r="L929" s="1"/>
  <c r="I930"/>
  <c r="L930" s="1"/>
  <c r="I931"/>
  <c r="L931" s="1"/>
  <c r="I932"/>
  <c r="L932" s="1"/>
  <c r="I933"/>
  <c r="L933" s="1"/>
  <c r="I934"/>
  <c r="L934" s="1"/>
  <c r="I935"/>
  <c r="L935" s="1"/>
  <c r="I936"/>
  <c r="L936" s="1"/>
  <c r="I937"/>
  <c r="L937" s="1"/>
  <c r="I938"/>
  <c r="L938" s="1"/>
  <c r="I939"/>
  <c r="L939" s="1"/>
  <c r="I940"/>
  <c r="L940" s="1"/>
  <c r="I941"/>
  <c r="L941" s="1"/>
  <c r="I942"/>
  <c r="L942" s="1"/>
  <c r="I943"/>
  <c r="L943" s="1"/>
  <c r="I944"/>
  <c r="L944" s="1"/>
  <c r="I945"/>
  <c r="L945" s="1"/>
  <c r="I946"/>
  <c r="L946" s="1"/>
  <c r="I947"/>
  <c r="L947" s="1"/>
  <c r="I948"/>
  <c r="L948" s="1"/>
  <c r="I949"/>
  <c r="L949" s="1"/>
  <c r="I950"/>
  <c r="L950" s="1"/>
  <c r="I951"/>
  <c r="L951" s="1"/>
  <c r="I952"/>
  <c r="L952" s="1"/>
  <c r="I953"/>
  <c r="L953" s="1"/>
  <c r="I954"/>
  <c r="L954" s="1"/>
  <c r="I955"/>
  <c r="L955" s="1"/>
  <c r="I956"/>
  <c r="L956" s="1"/>
  <c r="I957"/>
  <c r="L957" s="1"/>
  <c r="I958"/>
  <c r="L958" s="1"/>
  <c r="I959"/>
  <c r="L959" s="1"/>
  <c r="I960"/>
  <c r="L960" s="1"/>
  <c r="I961"/>
  <c r="L961" s="1"/>
  <c r="I962"/>
  <c r="L962" s="1"/>
  <c r="I963"/>
  <c r="L963" s="1"/>
  <c r="I964"/>
  <c r="L964" s="1"/>
  <c r="I965"/>
  <c r="L965" s="1"/>
  <c r="I966"/>
  <c r="L966" s="1"/>
  <c r="I967"/>
  <c r="L967" s="1"/>
  <c r="I968"/>
  <c r="L968" s="1"/>
  <c r="I969"/>
  <c r="L969" s="1"/>
  <c r="I970"/>
  <c r="L970" s="1"/>
  <c r="I971"/>
  <c r="L971" s="1"/>
  <c r="I972"/>
  <c r="L972" s="1"/>
  <c r="I973"/>
  <c r="L973" s="1"/>
  <c r="I974"/>
  <c r="L974" s="1"/>
  <c r="I975"/>
  <c r="L975" s="1"/>
  <c r="I976"/>
  <c r="L976" s="1"/>
  <c r="I977"/>
  <c r="L977" s="1"/>
  <c r="I978"/>
  <c r="L978" s="1"/>
  <c r="I979"/>
  <c r="L979" s="1"/>
  <c r="I980"/>
  <c r="L980" s="1"/>
  <c r="I981"/>
  <c r="L981" s="1"/>
  <c r="I982"/>
  <c r="L982" s="1"/>
  <c r="I983"/>
  <c r="L983" s="1"/>
  <c r="I984"/>
  <c r="L984" s="1"/>
  <c r="I985"/>
  <c r="L985" s="1"/>
  <c r="I986"/>
  <c r="L986" s="1"/>
  <c r="I987"/>
  <c r="L987" s="1"/>
  <c r="I988"/>
  <c r="L988" s="1"/>
  <c r="I989"/>
  <c r="L989" s="1"/>
  <c r="I990"/>
  <c r="L990" s="1"/>
  <c r="I991"/>
  <c r="L991" s="1"/>
  <c r="I992"/>
  <c r="L992" s="1"/>
  <c r="I993"/>
  <c r="L993" s="1"/>
  <c r="I994"/>
  <c r="L994" s="1"/>
  <c r="I995"/>
  <c r="L995" s="1"/>
  <c r="I996"/>
  <c r="L996" s="1"/>
  <c r="I997"/>
  <c r="L997" s="1"/>
  <c r="I998"/>
  <c r="L998" s="1"/>
  <c r="I999"/>
  <c r="L999" s="1"/>
  <c r="I1000"/>
  <c r="L1000" s="1"/>
  <c r="I1001"/>
  <c r="L1001" s="1"/>
  <c r="I1002"/>
  <c r="L1002" s="1"/>
  <c r="I1003"/>
  <c r="L1003" s="1"/>
  <c r="I1004"/>
  <c r="L1004" s="1"/>
  <c r="I1005"/>
  <c r="L1005" s="1"/>
  <c r="I1006"/>
  <c r="L1006" s="1"/>
  <c r="I1007"/>
  <c r="L1007" s="1"/>
  <c r="I1008"/>
  <c r="L1008" s="1"/>
  <c r="I1009"/>
  <c r="L1009" s="1"/>
  <c r="I1010"/>
  <c r="L1010" s="1"/>
  <c r="I1011"/>
  <c r="L1011" s="1"/>
  <c r="I1012"/>
  <c r="L1012" s="1"/>
  <c r="I1013"/>
  <c r="L1013" s="1"/>
  <c r="I1014"/>
  <c r="L1014" s="1"/>
  <c r="I1015"/>
  <c r="L1015" s="1"/>
  <c r="I1016"/>
  <c r="L1016" s="1"/>
  <c r="I1017"/>
  <c r="L1017" s="1"/>
  <c r="I1018"/>
  <c r="L1018" s="1"/>
  <c r="I1019"/>
  <c r="L1019" s="1"/>
  <c r="I1020"/>
  <c r="L1020" s="1"/>
  <c r="I1021"/>
  <c r="L1021" s="1"/>
  <c r="I1022"/>
  <c r="L1022" s="1"/>
  <c r="I1023"/>
  <c r="L1023" s="1"/>
  <c r="I1024"/>
  <c r="L1024" s="1"/>
  <c r="I1025"/>
  <c r="L1025" s="1"/>
  <c r="I1026"/>
  <c r="L1026" s="1"/>
  <c r="I1027"/>
  <c r="L1027" s="1"/>
  <c r="I1028"/>
  <c r="L1028" s="1"/>
  <c r="I1029"/>
  <c r="L1029" s="1"/>
  <c r="I1030"/>
  <c r="L1030" s="1"/>
  <c r="I1031"/>
  <c r="L1031" s="1"/>
  <c r="I1032"/>
  <c r="L1032" s="1"/>
  <c r="I1033"/>
  <c r="L1033" s="1"/>
  <c r="I1034"/>
  <c r="L1034" s="1"/>
  <c r="I1035"/>
  <c r="L1035" s="1"/>
  <c r="I1036"/>
  <c r="L1036" s="1"/>
  <c r="I1037"/>
  <c r="L1037" s="1"/>
  <c r="I1038"/>
  <c r="L1038" s="1"/>
  <c r="I1039"/>
  <c r="L1039" s="1"/>
  <c r="I1040"/>
  <c r="L1040" s="1"/>
  <c r="I1041"/>
  <c r="L1041" s="1"/>
  <c r="I1042"/>
  <c r="L1042" s="1"/>
  <c r="I1043"/>
  <c r="L1043" s="1"/>
  <c r="I1044"/>
  <c r="L1044" s="1"/>
  <c r="I1045"/>
  <c r="L1045" s="1"/>
  <c r="I1046"/>
  <c r="L1046" s="1"/>
  <c r="I1047"/>
  <c r="L1047" s="1"/>
  <c r="I1048"/>
  <c r="L1048" s="1"/>
  <c r="I1049"/>
  <c r="L1049" s="1"/>
  <c r="I1050"/>
  <c r="L1050" s="1"/>
  <c r="I1051"/>
  <c r="L1051" s="1"/>
  <c r="I1052"/>
  <c r="L1052" s="1"/>
  <c r="I1053"/>
  <c r="L1053" s="1"/>
  <c r="I1054"/>
  <c r="L1054" s="1"/>
  <c r="I1055"/>
  <c r="L1055" s="1"/>
  <c r="I1056"/>
  <c r="L1056" s="1"/>
  <c r="I1057"/>
  <c r="L1057" s="1"/>
  <c r="I1058"/>
  <c r="L1058" s="1"/>
  <c r="I1059"/>
  <c r="L1059" s="1"/>
  <c r="I1060"/>
  <c r="L1060" s="1"/>
  <c r="I1061"/>
  <c r="L1061" s="1"/>
  <c r="I1062"/>
  <c r="L1062" s="1"/>
  <c r="I1063"/>
  <c r="L1063" s="1"/>
  <c r="I1064"/>
  <c r="L1064" s="1"/>
  <c r="I1065"/>
  <c r="L1065" s="1"/>
  <c r="I1066"/>
  <c r="L1066" s="1"/>
  <c r="I1067"/>
  <c r="L1067" s="1"/>
  <c r="I1068"/>
  <c r="L1068" s="1"/>
  <c r="I1069"/>
  <c r="L1069" s="1"/>
  <c r="I1070"/>
  <c r="L1070" s="1"/>
  <c r="I1071"/>
  <c r="L1071" s="1"/>
  <c r="I1072"/>
  <c r="L1072" s="1"/>
  <c r="I1073"/>
  <c r="L1073" s="1"/>
  <c r="I1074"/>
  <c r="L1074" s="1"/>
  <c r="I1075"/>
  <c r="L1075" s="1"/>
  <c r="I1076"/>
  <c r="L1076" s="1"/>
  <c r="I1077"/>
  <c r="L1077" s="1"/>
  <c r="I1078"/>
  <c r="L1078" s="1"/>
  <c r="I1079"/>
  <c r="L1079" s="1"/>
  <c r="I1080"/>
  <c r="L1080" s="1"/>
  <c r="I1081"/>
  <c r="L1081" s="1"/>
  <c r="I1082"/>
  <c r="L1082" s="1"/>
  <c r="I1083"/>
  <c r="L1083" s="1"/>
  <c r="I1084"/>
  <c r="L1084" s="1"/>
  <c r="I1085"/>
  <c r="L1085" s="1"/>
  <c r="I1086"/>
  <c r="L1086" s="1"/>
  <c r="I1087"/>
  <c r="L1087" s="1"/>
  <c r="I1088"/>
  <c r="L1088" s="1"/>
  <c r="I1089"/>
  <c r="L1089" s="1"/>
  <c r="I1090"/>
  <c r="L1090" s="1"/>
  <c r="I1091"/>
  <c r="L1091" s="1"/>
  <c r="I1092"/>
  <c r="L1092" s="1"/>
  <c r="I1093"/>
  <c r="L1093" s="1"/>
  <c r="I1094"/>
  <c r="L1094" s="1"/>
  <c r="I1095"/>
  <c r="L1095" s="1"/>
  <c r="I1096"/>
  <c r="L1096" s="1"/>
  <c r="I1097"/>
  <c r="L1097" s="1"/>
  <c r="I1098"/>
  <c r="L1098" s="1"/>
  <c r="I1099"/>
  <c r="L1099" s="1"/>
  <c r="I1100"/>
  <c r="L1100" s="1"/>
  <c r="I1101"/>
  <c r="L1101" s="1"/>
  <c r="I1102"/>
  <c r="L1102" s="1"/>
  <c r="I1103"/>
  <c r="L1103" s="1"/>
  <c r="I1104"/>
  <c r="L1104" s="1"/>
  <c r="I1105"/>
  <c r="L1105" s="1"/>
  <c r="I1106"/>
  <c r="L1106" s="1"/>
  <c r="I1107"/>
  <c r="L1107" s="1"/>
  <c r="I1108"/>
  <c r="L1108" s="1"/>
  <c r="I1109"/>
  <c r="L1109" s="1"/>
  <c r="I1110"/>
  <c r="L1110" s="1"/>
  <c r="I1111"/>
  <c r="L1111" s="1"/>
  <c r="I1112"/>
  <c r="L1112" s="1"/>
  <c r="I1113"/>
  <c r="L1113" s="1"/>
  <c r="I1114"/>
  <c r="L1114" s="1"/>
  <c r="I1115"/>
  <c r="L1115" s="1"/>
  <c r="I1116"/>
  <c r="L1116" s="1"/>
  <c r="I1117"/>
  <c r="L1117" s="1"/>
  <c r="I1118"/>
  <c r="L1118" s="1"/>
  <c r="I1119"/>
  <c r="L1119" s="1"/>
  <c r="I1120"/>
  <c r="L1120" s="1"/>
  <c r="I1121"/>
  <c r="L1121" s="1"/>
  <c r="I1122"/>
  <c r="L1122" s="1"/>
  <c r="I1123"/>
  <c r="L1123" s="1"/>
  <c r="I1124"/>
  <c r="L1124" s="1"/>
  <c r="I1125"/>
  <c r="L1125" s="1"/>
  <c r="I1126"/>
  <c r="L1126" s="1"/>
  <c r="I1127"/>
  <c r="L1127" s="1"/>
  <c r="I1128"/>
  <c r="L1128" s="1"/>
  <c r="I1129"/>
  <c r="L1129" s="1"/>
  <c r="I1130"/>
  <c r="L1130" s="1"/>
  <c r="I1131"/>
  <c r="L1131" s="1"/>
  <c r="I1132"/>
  <c r="L1132" s="1"/>
  <c r="I1133"/>
  <c r="L1133" s="1"/>
  <c r="I1134"/>
  <c r="L1134" s="1"/>
  <c r="I1135"/>
  <c r="L1135" s="1"/>
  <c r="I1136"/>
  <c r="L1136" s="1"/>
  <c r="I1137"/>
  <c r="L1137" s="1"/>
  <c r="I1138"/>
  <c r="L1138" s="1"/>
  <c r="I1139"/>
  <c r="L1139" s="1"/>
  <c r="I1140"/>
  <c r="L1140" s="1"/>
  <c r="I1141"/>
  <c r="L1141" s="1"/>
  <c r="I1142"/>
  <c r="L1142" s="1"/>
  <c r="I1143"/>
  <c r="L1143" s="1"/>
  <c r="I1144"/>
  <c r="L1144" s="1"/>
  <c r="I1145"/>
  <c r="L1145" s="1"/>
  <c r="I1146"/>
  <c r="L1146" s="1"/>
  <c r="I1147"/>
  <c r="L1147" s="1"/>
  <c r="I1148"/>
  <c r="L1148" s="1"/>
  <c r="I1149"/>
  <c r="L1149" s="1"/>
  <c r="I1150"/>
  <c r="L1150" s="1"/>
  <c r="I1151"/>
  <c r="L1151" s="1"/>
  <c r="I1152"/>
  <c r="L1152" s="1"/>
  <c r="I1153"/>
  <c r="L1153" s="1"/>
  <c r="I1154"/>
  <c r="L1154" s="1"/>
  <c r="I1155"/>
  <c r="L1155" s="1"/>
  <c r="I1156"/>
  <c r="L1156" s="1"/>
  <c r="I1157"/>
  <c r="L1157" s="1"/>
  <c r="I1158"/>
  <c r="L1158" s="1"/>
  <c r="I1159"/>
  <c r="L1159" s="1"/>
  <c r="I1160"/>
  <c r="L1160" s="1"/>
  <c r="I1161"/>
  <c r="L1161" s="1"/>
  <c r="I1162"/>
  <c r="L1162" s="1"/>
  <c r="I1163"/>
  <c r="L1163" s="1"/>
  <c r="I1164"/>
  <c r="L1164" s="1"/>
  <c r="I1165"/>
  <c r="L1165" s="1"/>
  <c r="I1166"/>
  <c r="L1166" s="1"/>
  <c r="I1167"/>
  <c r="L1167" s="1"/>
  <c r="I1168"/>
  <c r="L1168" s="1"/>
  <c r="I1169"/>
  <c r="L1169" s="1"/>
  <c r="I1170"/>
  <c r="L1170" s="1"/>
  <c r="I1171"/>
  <c r="L1171" s="1"/>
  <c r="I1172"/>
  <c r="L1172" s="1"/>
  <c r="I1173"/>
  <c r="L1173" s="1"/>
  <c r="I1174"/>
  <c r="L1174" s="1"/>
  <c r="I1175"/>
  <c r="L1175" s="1"/>
  <c r="I1176"/>
  <c r="L1176" s="1"/>
  <c r="I1177"/>
  <c r="L1177" s="1"/>
  <c r="I1178"/>
  <c r="L1178" s="1"/>
  <c r="I1179"/>
  <c r="L1179" s="1"/>
  <c r="I1180"/>
  <c r="L1180" s="1"/>
  <c r="I1181"/>
  <c r="L1181" s="1"/>
  <c r="I1182"/>
  <c r="L1182" s="1"/>
  <c r="I1183"/>
  <c r="L1183" s="1"/>
  <c r="I1184"/>
  <c r="L1184" s="1"/>
  <c r="I1185"/>
  <c r="L1185" s="1"/>
  <c r="I1186"/>
  <c r="L1186" s="1"/>
  <c r="I1187"/>
  <c r="L1187" s="1"/>
  <c r="I1188"/>
  <c r="L1188" s="1"/>
  <c r="I1189"/>
  <c r="L1189" s="1"/>
  <c r="I1190"/>
  <c r="L1190" s="1"/>
  <c r="I1191"/>
  <c r="L1191" s="1"/>
  <c r="I1192"/>
  <c r="L1192" s="1"/>
  <c r="I1193"/>
  <c r="L1193" s="1"/>
  <c r="I1194"/>
  <c r="L1194" s="1"/>
  <c r="I1195"/>
  <c r="L1195" s="1"/>
  <c r="I1196"/>
  <c r="L1196" s="1"/>
  <c r="I1197"/>
  <c r="L1197" s="1"/>
  <c r="I1198"/>
  <c r="L1198" s="1"/>
  <c r="I1199"/>
  <c r="L1199" s="1"/>
  <c r="I1200"/>
  <c r="L1200" s="1"/>
  <c r="I1201"/>
  <c r="L1201" s="1"/>
  <c r="I1202"/>
  <c r="L1202" s="1"/>
  <c r="I1203"/>
  <c r="L1203" s="1"/>
  <c r="I1204"/>
  <c r="L1204" s="1"/>
  <c r="I1205"/>
  <c r="L1205" s="1"/>
  <c r="I1206"/>
  <c r="L1206" s="1"/>
  <c r="I1207"/>
  <c r="L1207" s="1"/>
  <c r="I1208"/>
  <c r="L1208" s="1"/>
  <c r="I1209"/>
  <c r="L1209" s="1"/>
  <c r="I1210"/>
  <c r="L1210" s="1"/>
  <c r="I1211"/>
  <c r="L1211" s="1"/>
  <c r="I1212"/>
  <c r="L1212" s="1"/>
  <c r="I1213"/>
  <c r="L1213" s="1"/>
  <c r="I1214"/>
  <c r="L1214" s="1"/>
  <c r="I1215"/>
  <c r="L1215" s="1"/>
  <c r="I1216"/>
  <c r="L1216" s="1"/>
  <c r="I1217"/>
  <c r="L1217" s="1"/>
  <c r="I1218"/>
  <c r="L1218" s="1"/>
  <c r="I1219"/>
  <c r="L1219" s="1"/>
  <c r="I1220"/>
  <c r="L1220" s="1"/>
  <c r="I1221"/>
  <c r="L1221" s="1"/>
  <c r="I1222"/>
  <c r="L1222" s="1"/>
  <c r="I1223"/>
  <c r="L1223" s="1"/>
  <c r="I1224"/>
  <c r="L1224" s="1"/>
  <c r="I1225"/>
  <c r="L1225" s="1"/>
  <c r="I1226"/>
  <c r="L1226" s="1"/>
  <c r="I1227"/>
  <c r="L1227" s="1"/>
  <c r="I1228"/>
  <c r="L1228" s="1"/>
  <c r="I1229"/>
  <c r="L1229" s="1"/>
  <c r="I1230"/>
  <c r="L1230" s="1"/>
  <c r="I1231"/>
  <c r="L1231" s="1"/>
  <c r="I1232"/>
  <c r="L1232" s="1"/>
  <c r="I1233"/>
  <c r="L1233" s="1"/>
  <c r="I1234"/>
  <c r="L1234" s="1"/>
  <c r="I1235"/>
  <c r="L1235" s="1"/>
  <c r="I1236"/>
  <c r="L1236" s="1"/>
  <c r="I1237"/>
  <c r="L1237" s="1"/>
  <c r="I1238"/>
  <c r="L1238" s="1"/>
  <c r="I1239"/>
  <c r="L1239" s="1"/>
  <c r="I1240"/>
  <c r="L1240" s="1"/>
  <c r="I1241"/>
  <c r="L1241" s="1"/>
  <c r="I1242"/>
  <c r="L1242" s="1"/>
  <c r="I1243"/>
  <c r="L1243" s="1"/>
  <c r="I1244"/>
  <c r="L1244" s="1"/>
  <c r="I1245"/>
  <c r="L1245" s="1"/>
  <c r="I1246"/>
  <c r="L1246" s="1"/>
  <c r="I1247"/>
  <c r="L1247" s="1"/>
  <c r="I1248"/>
  <c r="L1248" s="1"/>
  <c r="I1249"/>
  <c r="L1249" s="1"/>
  <c r="I1250"/>
  <c r="L1250" s="1"/>
  <c r="I1251"/>
  <c r="L1251" s="1"/>
  <c r="I1252"/>
  <c r="L1252" s="1"/>
  <c r="I1253"/>
  <c r="L1253" s="1"/>
  <c r="I1254"/>
  <c r="L1254" s="1"/>
  <c r="I1255"/>
  <c r="L1255" s="1"/>
  <c r="I1256"/>
  <c r="L1256" s="1"/>
  <c r="I1257"/>
  <c r="L1257" s="1"/>
  <c r="I1258"/>
  <c r="L1258" s="1"/>
  <c r="I1259"/>
  <c r="L1259" s="1"/>
  <c r="I1260"/>
  <c r="L1260" s="1"/>
  <c r="I1261"/>
  <c r="L1261" s="1"/>
  <c r="I1262"/>
  <c r="L1262" s="1"/>
  <c r="I1263"/>
  <c r="L1263" s="1"/>
  <c r="I1264"/>
  <c r="L1264" s="1"/>
  <c r="I1265"/>
  <c r="L1265" s="1"/>
  <c r="I1266"/>
  <c r="L1266" s="1"/>
  <c r="I1267"/>
  <c r="L1267" s="1"/>
  <c r="I1268"/>
  <c r="L1268" s="1"/>
  <c r="I1269"/>
  <c r="L1269" s="1"/>
  <c r="I1270"/>
  <c r="L1270" s="1"/>
  <c r="I1271"/>
  <c r="L1271" s="1"/>
  <c r="I1272"/>
  <c r="L1272" s="1"/>
  <c r="I1273"/>
  <c r="L1273" s="1"/>
  <c r="I1274"/>
  <c r="L1274" s="1"/>
  <c r="I1275"/>
  <c r="L1275" s="1"/>
  <c r="I1276"/>
  <c r="L1276" s="1"/>
  <c r="I1277"/>
  <c r="L1277" s="1"/>
  <c r="I1278"/>
  <c r="L1278" s="1"/>
  <c r="I1279"/>
  <c r="L1279" s="1"/>
  <c r="I1280"/>
  <c r="L1280" s="1"/>
  <c r="I1281"/>
  <c r="L1281" s="1"/>
  <c r="I1282"/>
  <c r="L1282" s="1"/>
  <c r="I1283"/>
  <c r="L1283" s="1"/>
  <c r="I1284"/>
  <c r="L1284" s="1"/>
  <c r="I1285"/>
  <c r="L1285" s="1"/>
  <c r="I1286"/>
  <c r="L1286" s="1"/>
  <c r="I1287"/>
  <c r="L1287" s="1"/>
  <c r="I1288"/>
  <c r="L1288" s="1"/>
  <c r="I1289"/>
  <c r="L1289" s="1"/>
  <c r="I1290"/>
  <c r="L1290" s="1"/>
  <c r="I1291"/>
  <c r="L1291" s="1"/>
  <c r="I1292"/>
  <c r="L1292" s="1"/>
  <c r="I1293"/>
  <c r="L1293" s="1"/>
  <c r="I1294"/>
  <c r="L1294" s="1"/>
  <c r="I1295"/>
  <c r="L1295" s="1"/>
  <c r="I1296"/>
  <c r="L1296" s="1"/>
  <c r="I1297"/>
  <c r="L1297" s="1"/>
  <c r="I1298"/>
  <c r="L1298" s="1"/>
  <c r="I1299"/>
  <c r="L1299" s="1"/>
  <c r="I1300"/>
  <c r="L1300" s="1"/>
  <c r="I1301"/>
  <c r="L1301" s="1"/>
  <c r="I1302"/>
  <c r="L1302" s="1"/>
  <c r="I1303"/>
  <c r="L1303" s="1"/>
  <c r="I1304"/>
  <c r="L1304" s="1"/>
  <c r="I1305"/>
  <c r="L1305" s="1"/>
  <c r="I1306"/>
  <c r="L1306" s="1"/>
  <c r="I1307"/>
  <c r="L1307" s="1"/>
  <c r="I1308"/>
  <c r="L1308" s="1"/>
  <c r="I1309"/>
  <c r="L1309" s="1"/>
  <c r="I1310"/>
  <c r="L1310" s="1"/>
  <c r="I1311"/>
  <c r="L1311" s="1"/>
  <c r="I1312"/>
  <c r="L1312" s="1"/>
  <c r="I1313"/>
  <c r="L1313" s="1"/>
  <c r="I1314"/>
  <c r="L1314" s="1"/>
  <c r="I1315"/>
  <c r="L1315" s="1"/>
  <c r="I1316"/>
  <c r="L1316" s="1"/>
  <c r="I1317"/>
  <c r="L1317" s="1"/>
  <c r="I1318"/>
  <c r="L1318" s="1"/>
  <c r="I1319"/>
  <c r="L1319" s="1"/>
  <c r="I1320"/>
  <c r="L1320" s="1"/>
  <c r="I1321"/>
  <c r="L1321" s="1"/>
  <c r="I1322"/>
  <c r="L1322" s="1"/>
  <c r="I1323"/>
  <c r="L1323" s="1"/>
  <c r="I1324"/>
  <c r="L1324" s="1"/>
  <c r="I1325"/>
  <c r="L1325" s="1"/>
  <c r="I1326"/>
  <c r="L1326" s="1"/>
  <c r="I1327"/>
  <c r="L1327" s="1"/>
  <c r="I1328"/>
  <c r="L1328" s="1"/>
  <c r="I1329"/>
  <c r="L1329" s="1"/>
  <c r="I1330"/>
  <c r="L1330" s="1"/>
  <c r="I1331"/>
  <c r="L1331" s="1"/>
  <c r="I1332"/>
  <c r="L1332" s="1"/>
  <c r="I1333"/>
  <c r="L1333" s="1"/>
  <c r="I1334"/>
  <c r="L1334" s="1"/>
  <c r="I1335"/>
  <c r="L1335" s="1"/>
  <c r="I1336"/>
  <c r="L1336" s="1"/>
  <c r="I1337"/>
  <c r="L1337" s="1"/>
  <c r="I1338"/>
  <c r="L1338" s="1"/>
  <c r="I1339"/>
  <c r="L1339" s="1"/>
  <c r="I1340"/>
  <c r="L1340" s="1"/>
  <c r="I1341"/>
  <c r="L1341" s="1"/>
  <c r="I1342"/>
  <c r="L1342" s="1"/>
  <c r="I1343"/>
  <c r="L1343" s="1"/>
  <c r="I1344"/>
  <c r="L1344" s="1"/>
  <c r="I1345"/>
  <c r="L1345" s="1"/>
  <c r="I1346"/>
  <c r="L1346" s="1"/>
  <c r="I1347"/>
  <c r="L1347" s="1"/>
  <c r="I1348"/>
  <c r="L1348" s="1"/>
  <c r="I1349"/>
  <c r="L1349" s="1"/>
  <c r="I1350"/>
  <c r="L1350" s="1"/>
  <c r="I1351"/>
  <c r="L1351" s="1"/>
  <c r="I1352"/>
  <c r="L1352" s="1"/>
  <c r="I1353"/>
  <c r="L1353" s="1"/>
  <c r="I1354"/>
  <c r="L1354" s="1"/>
  <c r="I1355"/>
  <c r="L1355" s="1"/>
  <c r="I1356"/>
  <c r="L1356" s="1"/>
  <c r="I1357"/>
  <c r="L1357" s="1"/>
  <c r="I1358"/>
  <c r="L1358" s="1"/>
  <c r="I1359"/>
  <c r="L1359" s="1"/>
  <c r="I1360"/>
  <c r="L1360" s="1"/>
  <c r="I1361"/>
  <c r="L1361" s="1"/>
  <c r="I1362"/>
  <c r="L1362" s="1"/>
  <c r="I1363"/>
  <c r="L1363" s="1"/>
  <c r="I1364"/>
  <c r="L1364" s="1"/>
  <c r="I1365"/>
  <c r="L1365" s="1"/>
  <c r="I1366"/>
  <c r="L1366" s="1"/>
  <c r="I1367"/>
  <c r="L1367" s="1"/>
  <c r="I1368"/>
  <c r="L1368" s="1"/>
  <c r="I1369"/>
  <c r="L1369" s="1"/>
  <c r="I1370"/>
  <c r="L1370" s="1"/>
  <c r="I1371"/>
  <c r="L1371" s="1"/>
  <c r="I1372"/>
  <c r="L1372" s="1"/>
  <c r="I1373"/>
  <c r="L1373" s="1"/>
  <c r="I1374"/>
  <c r="L1374" s="1"/>
  <c r="I1375"/>
  <c r="L1375" s="1"/>
  <c r="I1376"/>
  <c r="L1376" s="1"/>
  <c r="I1377"/>
  <c r="L1377" s="1"/>
  <c r="I1378"/>
  <c r="L1378" s="1"/>
  <c r="I1379"/>
  <c r="L1379" s="1"/>
  <c r="I1380"/>
  <c r="L1380" s="1"/>
  <c r="I1381"/>
  <c r="L1381" s="1"/>
  <c r="I1382"/>
  <c r="L1382" s="1"/>
  <c r="I1383"/>
  <c r="L1383" s="1"/>
  <c r="I1384"/>
  <c r="L1384" s="1"/>
  <c r="I1385"/>
  <c r="L1385" s="1"/>
  <c r="I1386"/>
  <c r="L1386" s="1"/>
  <c r="I1387"/>
  <c r="L1387" s="1"/>
  <c r="I1388"/>
  <c r="L1388" s="1"/>
  <c r="I1389"/>
  <c r="L1389" s="1"/>
  <c r="I1390"/>
  <c r="L1390" s="1"/>
  <c r="I1391"/>
  <c r="L1391" s="1"/>
  <c r="I1392"/>
  <c r="L1392" s="1"/>
  <c r="I1393"/>
  <c r="L1393" s="1"/>
  <c r="I1394"/>
  <c r="L1394" s="1"/>
  <c r="I1395"/>
  <c r="L1395" s="1"/>
  <c r="I1396"/>
  <c r="L1396" s="1"/>
  <c r="I1397"/>
  <c r="L1397" s="1"/>
  <c r="I1398"/>
  <c r="L1398" s="1"/>
  <c r="I1399"/>
  <c r="L1399" s="1"/>
  <c r="I1400"/>
  <c r="L1400" s="1"/>
  <c r="I1401"/>
  <c r="L1401" s="1"/>
  <c r="I1402"/>
  <c r="L1402" s="1"/>
  <c r="I1403"/>
  <c r="L1403" s="1"/>
  <c r="I1404"/>
  <c r="L1404" s="1"/>
  <c r="I1405"/>
  <c r="L1405" s="1"/>
  <c r="I1406"/>
  <c r="L1406" s="1"/>
  <c r="I1407"/>
  <c r="L1407" s="1"/>
  <c r="I1408"/>
  <c r="L1408" s="1"/>
  <c r="I1409"/>
  <c r="L1409" s="1"/>
  <c r="I1410"/>
  <c r="L1410" s="1"/>
  <c r="I1411"/>
  <c r="L1411" s="1"/>
  <c r="I1412"/>
  <c r="L1412" s="1"/>
  <c r="I1413"/>
  <c r="L1413" s="1"/>
  <c r="I1414"/>
  <c r="L1414" s="1"/>
  <c r="I1415"/>
  <c r="L1415" s="1"/>
  <c r="I1416"/>
  <c r="L1416" s="1"/>
  <c r="I1417"/>
  <c r="L1417" s="1"/>
  <c r="I1418"/>
  <c r="L1418" s="1"/>
  <c r="I1419"/>
  <c r="L1419" s="1"/>
  <c r="I1420"/>
  <c r="L1420" s="1"/>
  <c r="I1421"/>
  <c r="L1421" s="1"/>
  <c r="I1422"/>
  <c r="L1422" s="1"/>
  <c r="I1423"/>
  <c r="L1423" s="1"/>
  <c r="I1424"/>
  <c r="L1424" s="1"/>
  <c r="I1425"/>
  <c r="L1425" s="1"/>
  <c r="I1426"/>
  <c r="L1426" s="1"/>
  <c r="I1427"/>
  <c r="L1427" s="1"/>
  <c r="I1428"/>
  <c r="L1428" s="1"/>
  <c r="I1429"/>
  <c r="L1429" s="1"/>
  <c r="I1430"/>
  <c r="L1430" s="1"/>
  <c r="I1431"/>
  <c r="L1431" s="1"/>
  <c r="I1432"/>
  <c r="L1432" s="1"/>
  <c r="I1433"/>
  <c r="L1433" s="1"/>
  <c r="I1434"/>
  <c r="L1434" s="1"/>
  <c r="I1435"/>
  <c r="L1435" s="1"/>
  <c r="I1436"/>
  <c r="L1436" s="1"/>
  <c r="I1437"/>
  <c r="L1437" s="1"/>
  <c r="I1438"/>
  <c r="L1438" s="1"/>
  <c r="I1439"/>
  <c r="L1439" s="1"/>
  <c r="I1440"/>
  <c r="L1440" s="1"/>
  <c r="I1441"/>
  <c r="L1441" s="1"/>
  <c r="I1442"/>
  <c r="L1442" s="1"/>
  <c r="I1443"/>
  <c r="L1443" s="1"/>
  <c r="I1444"/>
  <c r="L1444" s="1"/>
  <c r="I1445"/>
  <c r="L1445" s="1"/>
  <c r="I1446"/>
  <c r="L1446" s="1"/>
  <c r="I1447"/>
  <c r="L1447" s="1"/>
  <c r="I1448"/>
  <c r="L1448" s="1"/>
  <c r="I1449"/>
  <c r="L1449" s="1"/>
  <c r="I1450"/>
  <c r="L1450" s="1"/>
  <c r="I1451"/>
  <c r="L1451" s="1"/>
  <c r="I1452"/>
  <c r="L1452" s="1"/>
  <c r="I1453"/>
  <c r="L1453" s="1"/>
  <c r="I1454"/>
  <c r="L1454" s="1"/>
  <c r="I1455"/>
  <c r="L1455" s="1"/>
  <c r="I1456"/>
  <c r="L1456" s="1"/>
  <c r="I1457"/>
  <c r="L1457" s="1"/>
  <c r="I1458"/>
  <c r="L1458" s="1"/>
  <c r="I1459"/>
  <c r="L1459" s="1"/>
  <c r="I1460"/>
  <c r="L1460" s="1"/>
  <c r="I1461"/>
  <c r="L1461" s="1"/>
  <c r="I1462"/>
  <c r="L1462" s="1"/>
  <c r="I1463"/>
  <c r="L1463" s="1"/>
  <c r="I1464"/>
  <c r="L1464" s="1"/>
  <c r="I1465"/>
  <c r="L1465" s="1"/>
  <c r="I1466"/>
  <c r="L1466" s="1"/>
  <c r="I1467"/>
  <c r="L1467" s="1"/>
  <c r="I1468"/>
  <c r="L1468" s="1"/>
  <c r="I1469"/>
  <c r="L1469" s="1"/>
  <c r="I1470"/>
  <c r="L1470" s="1"/>
  <c r="I1471"/>
  <c r="L1471" s="1"/>
  <c r="I1472"/>
  <c r="L1472" s="1"/>
  <c r="I1473"/>
  <c r="L1473" s="1"/>
  <c r="I1474"/>
  <c r="L1474" s="1"/>
  <c r="I1475"/>
  <c r="L1475" s="1"/>
  <c r="I1476"/>
  <c r="L1476" s="1"/>
  <c r="I1477"/>
  <c r="L1477" s="1"/>
  <c r="I1478"/>
  <c r="L1478" s="1"/>
  <c r="I1479"/>
  <c r="L1479" s="1"/>
  <c r="I1480"/>
  <c r="L1480" s="1"/>
  <c r="I1481"/>
  <c r="L1481" s="1"/>
  <c r="I1482"/>
  <c r="L1482" s="1"/>
  <c r="I1483"/>
  <c r="L1483" s="1"/>
  <c r="I1484"/>
  <c r="L1484" s="1"/>
  <c r="I1485"/>
  <c r="L1485" s="1"/>
  <c r="I1486"/>
  <c r="L1486" s="1"/>
  <c r="I1487"/>
  <c r="L1487" s="1"/>
  <c r="I1488"/>
  <c r="L1488" s="1"/>
  <c r="I1489"/>
  <c r="L1489" s="1"/>
  <c r="I1490"/>
  <c r="L1490" s="1"/>
  <c r="I1491"/>
  <c r="L1491" s="1"/>
  <c r="I1492"/>
  <c r="L1492" s="1"/>
  <c r="I1493"/>
  <c r="L1493" s="1"/>
  <c r="I1494"/>
  <c r="L1494" s="1"/>
  <c r="I1495"/>
  <c r="L1495" s="1"/>
  <c r="I1496"/>
  <c r="L1496" s="1"/>
  <c r="I1497"/>
  <c r="L1497" s="1"/>
  <c r="I1498"/>
  <c r="L1498" s="1"/>
  <c r="I1499"/>
  <c r="L1499" s="1"/>
  <c r="I1500"/>
  <c r="L1500" s="1"/>
  <c r="I1501"/>
  <c r="L1501" s="1"/>
  <c r="I1502"/>
  <c r="L1502" s="1"/>
  <c r="I1503"/>
  <c r="L1503" s="1"/>
  <c r="I1504"/>
  <c r="L1504" s="1"/>
  <c r="I1505"/>
  <c r="L1505" s="1"/>
  <c r="I1506"/>
  <c r="L1506" s="1"/>
  <c r="I1507"/>
  <c r="L1507" s="1"/>
  <c r="I1508"/>
  <c r="L1508" s="1"/>
  <c r="I1509"/>
  <c r="L1509" s="1"/>
  <c r="I1510"/>
  <c r="L1510" s="1"/>
  <c r="I1511"/>
  <c r="L1511" s="1"/>
  <c r="I1512"/>
  <c r="L1512" s="1"/>
  <c r="I1513"/>
  <c r="L1513" s="1"/>
  <c r="I1514"/>
  <c r="L1514" s="1"/>
  <c r="I1515"/>
  <c r="L1515" s="1"/>
  <c r="I1516"/>
  <c r="L1516" s="1"/>
  <c r="I1517"/>
  <c r="L1517" s="1"/>
  <c r="I1518"/>
  <c r="L1518" s="1"/>
  <c r="I1519"/>
  <c r="L1519" s="1"/>
  <c r="I1520"/>
  <c r="L1520" s="1"/>
  <c r="I1521"/>
  <c r="L1521" s="1"/>
  <c r="I1522"/>
  <c r="L1522" s="1"/>
  <c r="I1523"/>
  <c r="L1523" s="1"/>
  <c r="I1524"/>
  <c r="L1524" s="1"/>
  <c r="I1525"/>
  <c r="L1525" s="1"/>
  <c r="I1526"/>
  <c r="L1526" s="1"/>
  <c r="I1527"/>
  <c r="L1527" s="1"/>
  <c r="I1528"/>
  <c r="L1528" s="1"/>
  <c r="I1529"/>
  <c r="L1529" s="1"/>
  <c r="I1530"/>
  <c r="L1530" s="1"/>
  <c r="I1531"/>
  <c r="L1531" s="1"/>
  <c r="I1532"/>
  <c r="L1532" s="1"/>
  <c r="I1533"/>
  <c r="L1533" s="1"/>
  <c r="I1534"/>
  <c r="L1534" s="1"/>
  <c r="I1535"/>
  <c r="L1535" s="1"/>
  <c r="I1536"/>
  <c r="L1536" s="1"/>
  <c r="I1537"/>
  <c r="L1537" s="1"/>
  <c r="I1538"/>
  <c r="L1538" s="1"/>
  <c r="I1539"/>
  <c r="L1539" s="1"/>
  <c r="I1540"/>
  <c r="L1540" s="1"/>
  <c r="I1541"/>
  <c r="L1541" s="1"/>
  <c r="I1542"/>
  <c r="L1542" s="1"/>
  <c r="I1543"/>
  <c r="L1543" s="1"/>
  <c r="I1544"/>
  <c r="L1544" s="1"/>
  <c r="I1545"/>
  <c r="L1545" s="1"/>
  <c r="I1546"/>
  <c r="L1546" s="1"/>
  <c r="I1547"/>
  <c r="L1547" s="1"/>
  <c r="I1548"/>
  <c r="L1548" s="1"/>
  <c r="I1549"/>
  <c r="L1549" s="1"/>
  <c r="I1550"/>
  <c r="L1550" s="1"/>
  <c r="I1551"/>
  <c r="L1551" s="1"/>
  <c r="I1552"/>
  <c r="L1552" s="1"/>
  <c r="I1553"/>
  <c r="L1553" s="1"/>
  <c r="I1554"/>
  <c r="L1554" s="1"/>
  <c r="I1555"/>
  <c r="L1555" s="1"/>
  <c r="I1556"/>
  <c r="L1556" s="1"/>
  <c r="I1557"/>
  <c r="L1557" s="1"/>
  <c r="I1558"/>
  <c r="L1558" s="1"/>
  <c r="I1559"/>
  <c r="L1559" s="1"/>
  <c r="I1560"/>
  <c r="L1560" s="1"/>
  <c r="I1561"/>
  <c r="L1561" s="1"/>
  <c r="I1562"/>
  <c r="L1562" s="1"/>
  <c r="I1563"/>
  <c r="L1563" s="1"/>
  <c r="I1564"/>
  <c r="L1564" s="1"/>
  <c r="I1565"/>
  <c r="L1565" s="1"/>
  <c r="I1566"/>
  <c r="L1566" s="1"/>
  <c r="I1567"/>
  <c r="L1567" s="1"/>
  <c r="I1568"/>
  <c r="L1568" s="1"/>
  <c r="I1569"/>
  <c r="L1569" s="1"/>
  <c r="I1570"/>
  <c r="L1570" s="1"/>
  <c r="I1571"/>
  <c r="L1571" s="1"/>
  <c r="I1572"/>
  <c r="L1572" s="1"/>
  <c r="I1573"/>
  <c r="L1573" s="1"/>
  <c r="I1574"/>
  <c r="L1574" s="1"/>
  <c r="I1575"/>
  <c r="L1575" s="1"/>
  <c r="I1576"/>
  <c r="L1576" s="1"/>
  <c r="I1577"/>
  <c r="L1577" s="1"/>
  <c r="I1578"/>
  <c r="L1578" s="1"/>
  <c r="I1579"/>
  <c r="L1579" s="1"/>
  <c r="I1580"/>
  <c r="L1580" s="1"/>
  <c r="I1581"/>
  <c r="L1581" s="1"/>
  <c r="I1582"/>
  <c r="L1582" s="1"/>
  <c r="I1583"/>
  <c r="L1583" s="1"/>
  <c r="I1584"/>
  <c r="L1584" s="1"/>
  <c r="I1585"/>
  <c r="L1585" s="1"/>
  <c r="I1586"/>
  <c r="L1586" s="1"/>
  <c r="I1587"/>
  <c r="L1587" s="1"/>
  <c r="I1588"/>
  <c r="L1588" s="1"/>
  <c r="I1589"/>
  <c r="L1589" s="1"/>
  <c r="I1590"/>
  <c r="L1590" s="1"/>
  <c r="I1591"/>
  <c r="L1591" s="1"/>
  <c r="I1592"/>
  <c r="L1592" s="1"/>
  <c r="I1593"/>
  <c r="L1593" s="1"/>
  <c r="I1594"/>
  <c r="L1594" s="1"/>
  <c r="I1595"/>
  <c r="L1595" s="1"/>
  <c r="I1596"/>
  <c r="L1596" s="1"/>
  <c r="I1597"/>
  <c r="L1597" s="1"/>
  <c r="I1598"/>
  <c r="L1598" s="1"/>
  <c r="I1599"/>
  <c r="L1599" s="1"/>
  <c r="I1600"/>
  <c r="L1600" s="1"/>
  <c r="I1601"/>
  <c r="L1601" s="1"/>
  <c r="I1602"/>
  <c r="L1602" s="1"/>
  <c r="I1603"/>
  <c r="L1603" s="1"/>
  <c r="I1604"/>
  <c r="L1604" s="1"/>
  <c r="I1605"/>
  <c r="L1605" s="1"/>
  <c r="I1606"/>
  <c r="L1606" s="1"/>
  <c r="I1607"/>
  <c r="L1607" s="1"/>
  <c r="I1608"/>
  <c r="L1608" s="1"/>
  <c r="I1609"/>
  <c r="L1609" s="1"/>
  <c r="I1610"/>
  <c r="L1610" s="1"/>
  <c r="I1611"/>
  <c r="L1611" s="1"/>
  <c r="I1612"/>
  <c r="L1612" s="1"/>
  <c r="I1613"/>
  <c r="L1613" s="1"/>
  <c r="I1614"/>
  <c r="L1614" s="1"/>
  <c r="I1615"/>
  <c r="L1615" s="1"/>
  <c r="I1616"/>
  <c r="L1616" s="1"/>
  <c r="I1617"/>
  <c r="L1617" s="1"/>
  <c r="I1618"/>
  <c r="L1618" s="1"/>
  <c r="I1619"/>
  <c r="L1619" s="1"/>
  <c r="I1620"/>
  <c r="L1620" s="1"/>
  <c r="I1621"/>
  <c r="L1621" s="1"/>
  <c r="I1622"/>
  <c r="L1622" s="1"/>
  <c r="I1623"/>
  <c r="L1623" s="1"/>
  <c r="I1624"/>
  <c r="L1624" s="1"/>
  <c r="I1625"/>
  <c r="L1625" s="1"/>
  <c r="I1626"/>
  <c r="L1626" s="1"/>
  <c r="I1627"/>
  <c r="L1627" s="1"/>
  <c r="I1628"/>
  <c r="L1628" s="1"/>
  <c r="I1629"/>
  <c r="L1629" s="1"/>
  <c r="I1630"/>
  <c r="L1630" s="1"/>
  <c r="I1631"/>
  <c r="L1631" s="1"/>
  <c r="I1632"/>
  <c r="L1632" s="1"/>
  <c r="I1633"/>
  <c r="L1633" s="1"/>
  <c r="I1634"/>
  <c r="L1634" s="1"/>
  <c r="I1635"/>
  <c r="L1635" s="1"/>
  <c r="I1636"/>
  <c r="L1636" s="1"/>
  <c r="I1637"/>
  <c r="L1637" s="1"/>
  <c r="I1638"/>
  <c r="L1638" s="1"/>
  <c r="I1639"/>
  <c r="L1639" s="1"/>
  <c r="I1640"/>
  <c r="L1640" s="1"/>
  <c r="I1641"/>
  <c r="L1641" s="1"/>
  <c r="I1642"/>
  <c r="L1642" s="1"/>
  <c r="I1643"/>
  <c r="L1643" s="1"/>
  <c r="I1644"/>
  <c r="L1644" s="1"/>
  <c r="I1645"/>
  <c r="L1645" s="1"/>
  <c r="I1646"/>
  <c r="L1646" s="1"/>
  <c r="I1647"/>
  <c r="L1647" s="1"/>
  <c r="I1648"/>
  <c r="L1648" s="1"/>
  <c r="I1649"/>
  <c r="L1649" s="1"/>
  <c r="I1650"/>
  <c r="L1650" s="1"/>
  <c r="I1651"/>
  <c r="L1651" s="1"/>
  <c r="I1652"/>
  <c r="L1652" s="1"/>
  <c r="I1653"/>
  <c r="L1653" s="1"/>
  <c r="I1654"/>
  <c r="L1654" s="1"/>
  <c r="I1655"/>
  <c r="L1655" s="1"/>
  <c r="I1656"/>
  <c r="L1656" s="1"/>
  <c r="I1657"/>
  <c r="L1657" s="1"/>
  <c r="I1658"/>
  <c r="L1658" s="1"/>
  <c r="I1659"/>
  <c r="L1659" s="1"/>
  <c r="I1660"/>
  <c r="L1660" s="1"/>
  <c r="I1661"/>
  <c r="L1661" s="1"/>
  <c r="I1662"/>
  <c r="L1662" s="1"/>
  <c r="I1663"/>
  <c r="L1663" s="1"/>
  <c r="I1664"/>
  <c r="L1664" s="1"/>
  <c r="I1665"/>
  <c r="L1665" s="1"/>
  <c r="I1666"/>
  <c r="L1666" s="1"/>
  <c r="I1667"/>
  <c r="L1667" s="1"/>
  <c r="I1668"/>
  <c r="L1668" s="1"/>
  <c r="I1669"/>
  <c r="L1669" s="1"/>
  <c r="I1670"/>
  <c r="L1670" s="1"/>
  <c r="I1671"/>
  <c r="L1671" s="1"/>
  <c r="I1672"/>
  <c r="L1672" s="1"/>
  <c r="I1673"/>
  <c r="L1673" s="1"/>
  <c r="I1674"/>
  <c r="L1674" s="1"/>
  <c r="I1675"/>
  <c r="L1675" s="1"/>
  <c r="I1676"/>
  <c r="L1676" s="1"/>
  <c r="I1677"/>
  <c r="L1677" s="1"/>
  <c r="I1678"/>
  <c r="L1678" s="1"/>
  <c r="I1679"/>
  <c r="L1679" s="1"/>
  <c r="I1680"/>
  <c r="L1680" s="1"/>
  <c r="I1681"/>
  <c r="L1681" s="1"/>
  <c r="I1682"/>
  <c r="L1682" s="1"/>
  <c r="I1683"/>
  <c r="L1683" s="1"/>
  <c r="I1684"/>
  <c r="L1684" s="1"/>
  <c r="I1685"/>
  <c r="L1685" s="1"/>
  <c r="I1686"/>
  <c r="L1686" s="1"/>
  <c r="I1687"/>
  <c r="L1687" s="1"/>
  <c r="I1688"/>
  <c r="L1688" s="1"/>
  <c r="I1689"/>
  <c r="L1689" s="1"/>
  <c r="I1690"/>
  <c r="L1690" s="1"/>
  <c r="I1691"/>
  <c r="L1691" s="1"/>
  <c r="I1692"/>
  <c r="L1692" s="1"/>
  <c r="I1693"/>
  <c r="L1693" s="1"/>
  <c r="I1694"/>
  <c r="L1694" s="1"/>
  <c r="I1695"/>
  <c r="L1695" s="1"/>
  <c r="I1696"/>
  <c r="L1696" s="1"/>
  <c r="I1697"/>
  <c r="L1697" s="1"/>
  <c r="I1698"/>
  <c r="L1698" s="1"/>
  <c r="I1699"/>
  <c r="L1699" s="1"/>
  <c r="I1700"/>
  <c r="L1700" s="1"/>
  <c r="I1701"/>
  <c r="L1701" s="1"/>
  <c r="I1702"/>
  <c r="L1702" s="1"/>
  <c r="I1703"/>
  <c r="L1703" s="1"/>
  <c r="I1704"/>
  <c r="L1704" s="1"/>
  <c r="I1705"/>
  <c r="L1705" s="1"/>
  <c r="I1706"/>
  <c r="L1706" s="1"/>
  <c r="I1707"/>
  <c r="L1707" s="1"/>
  <c r="I1708"/>
  <c r="L1708" s="1"/>
  <c r="I1709"/>
  <c r="L1709" s="1"/>
  <c r="I1710"/>
  <c r="L1710" s="1"/>
  <c r="I1711"/>
  <c r="L1711" s="1"/>
  <c r="I1712"/>
  <c r="L1712" s="1"/>
  <c r="I1713"/>
  <c r="L1713" s="1"/>
  <c r="I1714"/>
  <c r="L1714" s="1"/>
  <c r="I1715"/>
  <c r="L1715" s="1"/>
  <c r="I1716"/>
  <c r="L1716" s="1"/>
  <c r="I1717"/>
  <c r="L1717" s="1"/>
  <c r="I1718"/>
  <c r="L1718" s="1"/>
  <c r="I1719"/>
  <c r="L1719" s="1"/>
  <c r="I1720"/>
  <c r="L1720" s="1"/>
  <c r="I1721"/>
  <c r="L1721" s="1"/>
  <c r="I1722"/>
  <c r="L1722" s="1"/>
  <c r="I1723"/>
  <c r="L1723" s="1"/>
  <c r="I1724"/>
  <c r="L1724" s="1"/>
  <c r="I1725"/>
  <c r="L1725" s="1"/>
  <c r="I1726"/>
  <c r="L1726" s="1"/>
  <c r="I1727"/>
  <c r="L1727" s="1"/>
  <c r="I1728"/>
  <c r="L1728" s="1"/>
  <c r="I1729"/>
  <c r="L1729" s="1"/>
  <c r="I1730"/>
  <c r="L1730" s="1"/>
  <c r="I1731"/>
  <c r="L1731" s="1"/>
  <c r="I1732"/>
  <c r="L1732" s="1"/>
  <c r="I1733"/>
  <c r="L1733" s="1"/>
  <c r="I1734"/>
  <c r="L1734" s="1"/>
  <c r="I1735"/>
  <c r="L1735" s="1"/>
  <c r="I1736"/>
  <c r="L1736" s="1"/>
  <c r="I1737"/>
  <c r="L1737" s="1"/>
  <c r="I1738"/>
  <c r="L1738" s="1"/>
  <c r="I1739"/>
  <c r="L1739" s="1"/>
  <c r="I1740"/>
  <c r="L1740" s="1"/>
  <c r="I1741"/>
  <c r="L1741" s="1"/>
  <c r="I1742"/>
  <c r="L1742" s="1"/>
  <c r="I1743"/>
  <c r="L1743" s="1"/>
  <c r="I1744"/>
  <c r="L1744" s="1"/>
  <c r="I1745"/>
  <c r="L1745" s="1"/>
  <c r="I1746"/>
  <c r="L1746" s="1"/>
  <c r="I1747"/>
  <c r="L1747" s="1"/>
  <c r="I1748"/>
  <c r="L1748" s="1"/>
  <c r="I1749"/>
  <c r="L1749" s="1"/>
  <c r="I1750"/>
  <c r="L1750" s="1"/>
  <c r="I1751"/>
  <c r="L1751" s="1"/>
  <c r="I1752"/>
  <c r="L1752" s="1"/>
  <c r="I1753"/>
  <c r="L1753" s="1"/>
  <c r="I1754"/>
  <c r="L1754" s="1"/>
  <c r="I1755"/>
  <c r="L1755" s="1"/>
  <c r="I1756"/>
  <c r="L1756" s="1"/>
  <c r="I1757"/>
  <c r="L1757" s="1"/>
  <c r="I1758"/>
  <c r="L1758" s="1"/>
  <c r="I1759"/>
  <c r="L1759" s="1"/>
  <c r="I1760"/>
  <c r="L1760" s="1"/>
  <c r="I1761"/>
  <c r="L1761" s="1"/>
  <c r="I1762"/>
  <c r="L1762" s="1"/>
  <c r="I1763"/>
  <c r="L1763" s="1"/>
  <c r="I1764"/>
  <c r="L1764" s="1"/>
  <c r="I1765"/>
  <c r="L1765" s="1"/>
  <c r="I1766"/>
  <c r="L1766" s="1"/>
  <c r="I1767"/>
  <c r="L1767" s="1"/>
  <c r="I1768"/>
  <c r="L1768" s="1"/>
  <c r="I1769"/>
  <c r="L1769" s="1"/>
  <c r="I1770"/>
  <c r="L1770" s="1"/>
  <c r="I1771"/>
  <c r="L1771" s="1"/>
  <c r="I1772"/>
  <c r="L1772" s="1"/>
  <c r="I1773"/>
  <c r="L1773" s="1"/>
  <c r="I1774"/>
  <c r="L1774" s="1"/>
  <c r="I1775"/>
  <c r="L1775" s="1"/>
  <c r="I1776"/>
  <c r="L1776" s="1"/>
  <c r="I1777"/>
  <c r="L1777" s="1"/>
  <c r="I1778"/>
  <c r="L1778" s="1"/>
  <c r="I1779"/>
  <c r="L1779" s="1"/>
  <c r="I1780"/>
  <c r="L1780" s="1"/>
  <c r="I1781"/>
  <c r="L1781" s="1"/>
  <c r="I1782"/>
  <c r="L1782" s="1"/>
  <c r="I1783"/>
  <c r="L1783" s="1"/>
  <c r="I1784"/>
  <c r="L1784" s="1"/>
  <c r="I1785"/>
  <c r="L1785" s="1"/>
  <c r="I1786"/>
  <c r="L1786" s="1"/>
  <c r="I1787"/>
  <c r="L1787" s="1"/>
  <c r="I1788"/>
  <c r="L1788" s="1"/>
  <c r="I1789"/>
  <c r="L1789" s="1"/>
  <c r="I1790"/>
  <c r="L1790" s="1"/>
  <c r="I1791"/>
  <c r="L1791" s="1"/>
  <c r="I1792"/>
  <c r="L1792" s="1"/>
  <c r="I1793"/>
  <c r="L1793" s="1"/>
  <c r="I1794"/>
  <c r="L1794" s="1"/>
  <c r="I1795"/>
  <c r="L1795" s="1"/>
  <c r="I1796"/>
  <c r="L1796" s="1"/>
  <c r="I1797"/>
  <c r="L1797" s="1"/>
  <c r="I1798"/>
  <c r="L1798" s="1"/>
  <c r="I1799"/>
  <c r="L1799" s="1"/>
  <c r="I1800"/>
  <c r="L1800" s="1"/>
  <c r="I1801"/>
  <c r="L1801" s="1"/>
  <c r="I1802"/>
  <c r="L1802" s="1"/>
  <c r="I1803"/>
  <c r="L1803" s="1"/>
  <c r="I1804"/>
  <c r="L1804" s="1"/>
  <c r="I1805"/>
  <c r="L1805" s="1"/>
  <c r="I1806"/>
  <c r="L1806" s="1"/>
  <c r="I1807"/>
  <c r="L1807" s="1"/>
  <c r="I1808"/>
  <c r="L1808" s="1"/>
  <c r="I1809"/>
  <c r="L1809" s="1"/>
  <c r="I1810"/>
  <c r="L1810" s="1"/>
  <c r="I1811"/>
  <c r="L1811" s="1"/>
  <c r="I1812"/>
  <c r="L1812" s="1"/>
  <c r="I1813"/>
  <c r="L1813" s="1"/>
  <c r="I1814"/>
  <c r="L1814" s="1"/>
  <c r="I1815"/>
  <c r="L1815" s="1"/>
  <c r="I1816"/>
  <c r="L1816" s="1"/>
  <c r="I1817"/>
  <c r="L1817" s="1"/>
  <c r="I1818"/>
  <c r="L1818" s="1"/>
  <c r="I1819"/>
  <c r="L1819" s="1"/>
  <c r="I1820"/>
  <c r="L1820" s="1"/>
  <c r="I1821"/>
  <c r="L1821" s="1"/>
  <c r="I1822"/>
  <c r="L1822" s="1"/>
  <c r="I1823"/>
  <c r="L1823" s="1"/>
  <c r="I1824"/>
  <c r="L1824" s="1"/>
  <c r="I1825"/>
  <c r="L1825" s="1"/>
  <c r="I1826"/>
  <c r="L1826" s="1"/>
  <c r="I1827"/>
  <c r="L1827" s="1"/>
  <c r="I1828"/>
  <c r="L1828" s="1"/>
  <c r="I1829"/>
  <c r="L1829" s="1"/>
  <c r="I1830"/>
  <c r="L1830" s="1"/>
  <c r="I1831"/>
  <c r="L1831" s="1"/>
  <c r="I1832"/>
  <c r="L1832" s="1"/>
  <c r="I1833"/>
  <c r="L1833" s="1"/>
  <c r="I1834"/>
  <c r="L1834" s="1"/>
  <c r="I1835"/>
  <c r="L1835" s="1"/>
  <c r="I1836"/>
  <c r="L1836" s="1"/>
  <c r="I1837"/>
  <c r="L1837" s="1"/>
  <c r="I1838"/>
  <c r="L1838" s="1"/>
  <c r="I1839"/>
  <c r="L1839" s="1"/>
  <c r="I1840"/>
  <c r="L1840" s="1"/>
  <c r="I1841"/>
  <c r="L1841" s="1"/>
  <c r="I1842"/>
  <c r="L1842" s="1"/>
  <c r="I1843"/>
  <c r="L1843" s="1"/>
  <c r="I1844"/>
  <c r="L1844" s="1"/>
  <c r="I1845"/>
  <c r="L1845" s="1"/>
  <c r="I1846"/>
  <c r="L1846" s="1"/>
  <c r="I1847"/>
  <c r="L1847" s="1"/>
  <c r="I1848"/>
  <c r="L1848" s="1"/>
  <c r="I1849"/>
  <c r="L1849" s="1"/>
  <c r="I1850"/>
  <c r="L1850" s="1"/>
  <c r="I1851"/>
  <c r="L1851" s="1"/>
  <c r="I1852"/>
  <c r="L1852" s="1"/>
  <c r="I1853"/>
  <c r="L1853" s="1"/>
  <c r="I1854"/>
  <c r="L1854" s="1"/>
  <c r="I1855"/>
  <c r="L1855" s="1"/>
  <c r="I1856"/>
  <c r="L1856" s="1"/>
  <c r="I1857"/>
  <c r="L1857" s="1"/>
  <c r="I1858"/>
  <c r="L1858" s="1"/>
  <c r="I1859"/>
  <c r="L1859" s="1"/>
  <c r="I1860"/>
  <c r="L1860" s="1"/>
  <c r="I1861"/>
  <c r="L1861" s="1"/>
  <c r="I1862"/>
  <c r="L1862" s="1"/>
  <c r="I1863"/>
  <c r="L1863" s="1"/>
  <c r="I1864"/>
  <c r="L1864" s="1"/>
  <c r="I1865"/>
  <c r="L1865" s="1"/>
  <c r="I1866"/>
  <c r="L1866" s="1"/>
  <c r="I1867"/>
  <c r="L1867" s="1"/>
  <c r="I1868"/>
  <c r="L1868" s="1"/>
  <c r="I1869"/>
  <c r="L1869" s="1"/>
  <c r="I1870"/>
  <c r="L1870" s="1"/>
  <c r="I1871"/>
  <c r="L1871" s="1"/>
  <c r="I1872"/>
  <c r="L1872" s="1"/>
  <c r="I1873"/>
  <c r="L1873" s="1"/>
  <c r="I1874"/>
  <c r="L1874" s="1"/>
  <c r="I1875"/>
  <c r="L1875" s="1"/>
  <c r="I1876"/>
  <c r="L1876" s="1"/>
  <c r="I1877"/>
  <c r="L1877" s="1"/>
  <c r="I1878"/>
  <c r="L1878" s="1"/>
  <c r="I1879"/>
  <c r="L1879" s="1"/>
  <c r="I1880"/>
  <c r="L1880" s="1"/>
  <c r="I1881"/>
  <c r="L1881" s="1"/>
  <c r="I1882"/>
  <c r="L1882" s="1"/>
  <c r="I1883"/>
  <c r="L1883" s="1"/>
  <c r="I1884"/>
  <c r="L1884" s="1"/>
  <c r="I1885"/>
  <c r="L1885" s="1"/>
  <c r="I1886"/>
  <c r="L1886" s="1"/>
  <c r="I1887"/>
  <c r="L1887" s="1"/>
  <c r="I1888"/>
  <c r="L1888" s="1"/>
  <c r="I1889"/>
  <c r="L1889" s="1"/>
  <c r="I1890"/>
  <c r="L1890" s="1"/>
  <c r="I1891"/>
  <c r="L1891" s="1"/>
  <c r="I1892"/>
  <c r="L1892" s="1"/>
  <c r="I1893"/>
  <c r="L1893" s="1"/>
  <c r="I1894"/>
  <c r="L1894" s="1"/>
  <c r="I1895"/>
  <c r="L1895" s="1"/>
  <c r="I1896"/>
  <c r="L1896" s="1"/>
  <c r="I1897"/>
  <c r="L1897" s="1"/>
  <c r="I1898"/>
  <c r="L1898" s="1"/>
  <c r="I1899"/>
  <c r="L1899" s="1"/>
  <c r="I1900"/>
  <c r="L1900" s="1"/>
  <c r="I1901"/>
  <c r="L1901" s="1"/>
  <c r="I1902"/>
  <c r="L1902" s="1"/>
  <c r="I1903"/>
  <c r="L1903" s="1"/>
  <c r="I1904"/>
  <c r="L1904" s="1"/>
  <c r="I1905"/>
  <c r="L1905" s="1"/>
  <c r="I1906"/>
  <c r="L1906" s="1"/>
  <c r="I1907"/>
  <c r="L1907" s="1"/>
  <c r="I1908"/>
  <c r="L1908" s="1"/>
  <c r="I1909"/>
  <c r="L1909" s="1"/>
  <c r="I1910"/>
  <c r="L1910" s="1"/>
  <c r="I1911"/>
  <c r="L1911" s="1"/>
  <c r="I1912"/>
  <c r="L1912" s="1"/>
  <c r="I1913"/>
  <c r="L1913" s="1"/>
  <c r="I1914"/>
  <c r="L1914" s="1"/>
  <c r="I1915"/>
  <c r="L1915" s="1"/>
  <c r="I1916"/>
  <c r="L1916" s="1"/>
  <c r="I1917"/>
  <c r="L1917" s="1"/>
  <c r="I1918"/>
  <c r="L1918" s="1"/>
  <c r="I1919"/>
  <c r="L1919" s="1"/>
  <c r="I1920"/>
  <c r="L1920" s="1"/>
  <c r="I1921"/>
  <c r="L1921" s="1"/>
  <c r="I1922"/>
  <c r="L1922" s="1"/>
  <c r="I1923"/>
  <c r="L1923" s="1"/>
  <c r="I1924"/>
  <c r="L1924" s="1"/>
  <c r="I1925"/>
  <c r="L1925" s="1"/>
  <c r="I1926"/>
  <c r="L1926" s="1"/>
  <c r="I1927"/>
  <c r="L1927" s="1"/>
  <c r="I1928"/>
  <c r="L1928" s="1"/>
  <c r="I1929"/>
  <c r="L1929" s="1"/>
  <c r="I1930"/>
  <c r="L1930" s="1"/>
  <c r="I1931"/>
  <c r="L1931" s="1"/>
  <c r="I1932"/>
  <c r="L1932" s="1"/>
  <c r="I1933"/>
  <c r="L1933" s="1"/>
  <c r="I1934"/>
  <c r="L1934" s="1"/>
  <c r="I1935"/>
  <c r="L1935" s="1"/>
  <c r="I1936"/>
  <c r="L1936" s="1"/>
  <c r="I1937"/>
  <c r="L1937" s="1"/>
  <c r="I1938"/>
  <c r="L1938" s="1"/>
  <c r="I1939"/>
  <c r="L1939" s="1"/>
  <c r="I1940"/>
  <c r="L1940" s="1"/>
  <c r="I1941"/>
  <c r="L1941" s="1"/>
  <c r="I1942"/>
  <c r="L1942" s="1"/>
  <c r="I1943"/>
  <c r="L1943" s="1"/>
  <c r="I1944"/>
  <c r="L1944" s="1"/>
  <c r="I1945"/>
  <c r="L1945" s="1"/>
  <c r="I1946"/>
  <c r="L1946" s="1"/>
  <c r="I1947"/>
  <c r="L1947" s="1"/>
  <c r="I1948"/>
  <c r="L1948" s="1"/>
  <c r="I1949"/>
  <c r="L1949" s="1"/>
  <c r="I1950"/>
  <c r="L1950" s="1"/>
  <c r="I1951"/>
  <c r="L1951" s="1"/>
  <c r="I1952"/>
  <c r="L1952" s="1"/>
  <c r="I1953"/>
  <c r="L1953" s="1"/>
  <c r="I1954"/>
  <c r="L1954" s="1"/>
  <c r="I1955"/>
  <c r="L1955" s="1"/>
  <c r="I1956"/>
  <c r="L1956" s="1"/>
  <c r="I1957"/>
  <c r="L1957" s="1"/>
  <c r="I1958"/>
  <c r="L1958" s="1"/>
  <c r="I1959"/>
  <c r="L1959" s="1"/>
  <c r="I1960"/>
  <c r="L1960" s="1"/>
  <c r="I1961"/>
  <c r="L1961" s="1"/>
  <c r="I1962"/>
  <c r="L1962" s="1"/>
  <c r="I1963"/>
  <c r="L1963" s="1"/>
  <c r="I1964"/>
  <c r="L1964" s="1"/>
  <c r="I1965"/>
  <c r="L1965" s="1"/>
  <c r="I1966"/>
  <c r="L1966" s="1"/>
  <c r="I1967"/>
  <c r="L1967" s="1"/>
  <c r="I1968"/>
  <c r="L1968" s="1"/>
  <c r="I1969"/>
  <c r="L1969" s="1"/>
  <c r="I1970"/>
  <c r="L1970" s="1"/>
  <c r="I1971"/>
  <c r="L1971" s="1"/>
  <c r="I1972"/>
  <c r="L1972" s="1"/>
  <c r="I1973"/>
  <c r="L1973" s="1"/>
  <c r="I1974"/>
  <c r="L1974" s="1"/>
  <c r="I1975"/>
  <c r="L1975" s="1"/>
  <c r="I1976"/>
  <c r="L1976" s="1"/>
  <c r="I1977"/>
  <c r="L1977" s="1"/>
  <c r="I1978"/>
  <c r="L1978" s="1"/>
  <c r="I1979"/>
  <c r="L1979" s="1"/>
  <c r="I1980"/>
  <c r="L1980" s="1"/>
  <c r="I1981"/>
  <c r="L1981" s="1"/>
  <c r="I1982"/>
  <c r="L1982" s="1"/>
  <c r="I1983"/>
  <c r="L1983" s="1"/>
  <c r="I1984"/>
  <c r="L1984" s="1"/>
  <c r="I1985"/>
  <c r="L1985" s="1"/>
  <c r="I1986"/>
  <c r="L1986" s="1"/>
  <c r="I1987"/>
  <c r="L1987" s="1"/>
  <c r="I1988"/>
  <c r="L1988" s="1"/>
  <c r="I1989"/>
  <c r="L1989" s="1"/>
  <c r="I1990"/>
  <c r="L1990" s="1"/>
  <c r="I1991"/>
  <c r="L1991" s="1"/>
  <c r="I1992"/>
  <c r="L1992" s="1"/>
  <c r="I1993"/>
  <c r="L1993" s="1"/>
  <c r="I1994"/>
  <c r="L1994" s="1"/>
  <c r="I1995"/>
  <c r="L1995" s="1"/>
  <c r="I1996"/>
  <c r="L1996" s="1"/>
  <c r="I1997"/>
  <c r="L1997" s="1"/>
  <c r="I1998"/>
  <c r="L1998" s="1"/>
  <c r="I1999"/>
  <c r="L1999" s="1"/>
  <c r="I2000"/>
  <c r="L2000" s="1"/>
  <c r="I2001"/>
  <c r="L2001" s="1"/>
  <c r="I2002"/>
  <c r="L2002" s="1"/>
  <c r="I2003"/>
  <c r="L2003" s="1"/>
  <c r="I2004"/>
  <c r="L2004" s="1"/>
  <c r="I2005"/>
  <c r="L2005" s="1"/>
  <c r="I2006"/>
  <c r="L2006" s="1"/>
  <c r="I2007"/>
  <c r="L2007" s="1"/>
  <c r="I2008"/>
  <c r="L2008" s="1"/>
  <c r="I2009"/>
  <c r="L2009" s="1"/>
  <c r="I2010"/>
  <c r="L2010" s="1"/>
  <c r="I2011"/>
  <c r="L2011" s="1"/>
  <c r="I2012"/>
  <c r="L2012" s="1"/>
  <c r="I2013"/>
  <c r="L2013" s="1"/>
  <c r="I2014"/>
  <c r="L2014" s="1"/>
  <c r="I2015"/>
  <c r="L2015" s="1"/>
  <c r="I2016"/>
  <c r="L2016" s="1"/>
  <c r="I2017"/>
  <c r="L2017" s="1"/>
  <c r="I2018"/>
  <c r="L2018" s="1"/>
  <c r="I2019"/>
  <c r="L2019" s="1"/>
  <c r="I2020"/>
  <c r="L2020" s="1"/>
  <c r="I2021"/>
  <c r="L2021" s="1"/>
  <c r="I2022"/>
  <c r="L2022" s="1"/>
  <c r="I2023"/>
  <c r="L2023" s="1"/>
  <c r="I2024"/>
  <c r="L2024" s="1"/>
  <c r="I2025"/>
  <c r="L2025" s="1"/>
  <c r="I2026"/>
  <c r="L2026" s="1"/>
  <c r="I2027"/>
  <c r="L2027" s="1"/>
  <c r="I2028"/>
  <c r="L2028" s="1"/>
  <c r="I2029"/>
  <c r="L2029" s="1"/>
  <c r="I2030"/>
  <c r="L2030" s="1"/>
  <c r="I2031"/>
  <c r="L2031" s="1"/>
  <c r="I2032"/>
  <c r="L2032" s="1"/>
  <c r="I2033"/>
  <c r="L2033" s="1"/>
  <c r="I2034"/>
  <c r="L2034" s="1"/>
  <c r="I2035"/>
  <c r="L2035" s="1"/>
  <c r="I2036"/>
  <c r="L2036" s="1"/>
  <c r="I2037"/>
  <c r="L2037" s="1"/>
  <c r="I2038"/>
  <c r="L2038" s="1"/>
  <c r="I2039"/>
  <c r="L2039" s="1"/>
  <c r="I2040"/>
  <c r="L2040" s="1"/>
  <c r="I2041"/>
  <c r="L2041" s="1"/>
  <c r="I2042"/>
  <c r="L2042" s="1"/>
  <c r="I2043"/>
  <c r="L2043" s="1"/>
  <c r="I2044"/>
  <c r="L2044" s="1"/>
  <c r="I2045"/>
  <c r="L2045" s="1"/>
  <c r="I2046"/>
  <c r="L2046" s="1"/>
  <c r="I2047"/>
  <c r="L2047" s="1"/>
  <c r="I2048"/>
  <c r="L2048" s="1"/>
  <c r="I2049"/>
  <c r="L2049" s="1"/>
  <c r="I2050"/>
  <c r="L2050" s="1"/>
  <c r="I2051"/>
  <c r="L2051" s="1"/>
  <c r="I2052"/>
  <c r="L2052" s="1"/>
  <c r="I2053"/>
  <c r="L2053" s="1"/>
  <c r="I2054"/>
  <c r="L2054" s="1"/>
  <c r="I2055"/>
  <c r="L2055" s="1"/>
  <c r="I2056"/>
  <c r="L2056" s="1"/>
  <c r="I2057"/>
  <c r="L2057" s="1"/>
  <c r="I2058"/>
  <c r="L2058" s="1"/>
  <c r="I2059"/>
  <c r="L2059" s="1"/>
  <c r="I2060"/>
  <c r="L2060" s="1"/>
  <c r="I2061"/>
  <c r="L2061" s="1"/>
  <c r="I2062"/>
  <c r="L2062" s="1"/>
  <c r="I2063"/>
  <c r="L2063" s="1"/>
  <c r="I2064"/>
  <c r="L2064" s="1"/>
  <c r="I2065"/>
  <c r="L2065" s="1"/>
  <c r="I2066"/>
  <c r="L2066" s="1"/>
  <c r="I2067"/>
  <c r="L2067" s="1"/>
  <c r="I2068"/>
  <c r="L2068" s="1"/>
  <c r="I2069"/>
  <c r="L2069" s="1"/>
  <c r="I2070"/>
  <c r="L2070" s="1"/>
  <c r="I2071"/>
  <c r="L2071" s="1"/>
  <c r="I2072"/>
  <c r="L2072" s="1"/>
  <c r="I2073"/>
  <c r="L2073" s="1"/>
  <c r="I2074"/>
  <c r="L2074" s="1"/>
  <c r="I2075"/>
  <c r="L2075" s="1"/>
  <c r="I2076"/>
  <c r="L2076" s="1"/>
  <c r="I2077"/>
  <c r="L2077" s="1"/>
  <c r="I2078"/>
  <c r="L2078" s="1"/>
  <c r="I2079"/>
  <c r="L2079" s="1"/>
  <c r="I2080"/>
  <c r="L2080" s="1"/>
  <c r="I2081"/>
  <c r="L2081" s="1"/>
  <c r="I2082"/>
  <c r="L2082" s="1"/>
  <c r="I2083"/>
  <c r="L2083" s="1"/>
  <c r="I2084"/>
  <c r="L2084" s="1"/>
  <c r="I2085"/>
  <c r="L2085" s="1"/>
  <c r="I3"/>
  <c r="L3" s="1"/>
  <c r="I4"/>
  <c r="L4" s="1"/>
  <c r="I5"/>
  <c r="L5" s="1"/>
  <c r="I6"/>
  <c r="L6" s="1"/>
  <c r="I7"/>
  <c r="L7" s="1"/>
  <c r="I8"/>
  <c r="I9"/>
  <c r="L9" s="1"/>
  <c r="I10"/>
  <c r="L10" s="1"/>
  <c r="I11"/>
  <c r="L11" s="1"/>
  <c r="I12"/>
  <c r="L12" s="1"/>
  <c r="I13"/>
  <c r="L13" s="1"/>
  <c r="I14"/>
  <c r="L14" s="1"/>
  <c r="I15"/>
  <c r="L15" s="1"/>
  <c r="I16"/>
  <c r="L16" s="1"/>
  <c r="I17"/>
  <c r="L17" s="1"/>
  <c r="I18"/>
  <c r="L18" s="1"/>
  <c r="I19"/>
  <c r="L19" s="1"/>
  <c r="I2"/>
  <c r="I57" i="32926" l="1"/>
  <c r="I819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L2" i="32918"/>
  <c r="I94" i="32926"/>
  <c r="I95" s="1"/>
  <c r="I96" s="1"/>
  <c r="I97" s="1"/>
  <c r="I30"/>
  <c r="I58"/>
  <c r="I104"/>
  <c r="I98"/>
  <c r="I99" s="1"/>
  <c r="I100" s="1"/>
  <c r="I101" s="1"/>
  <c r="I102" s="1"/>
  <c r="I64"/>
  <c r="I79"/>
  <c r="XFD1048575" i="32917"/>
  <c r="XFD1048576" s="1"/>
  <c r="A128"/>
  <c r="B128"/>
  <c r="C128"/>
  <c r="D128"/>
  <c r="E128"/>
  <c r="L128"/>
  <c r="M128"/>
  <c r="N128"/>
  <c r="O128"/>
  <c r="AE128"/>
  <c r="AF128"/>
  <c r="AL128"/>
  <c r="AU128"/>
  <c r="I80" i="32926" l="1"/>
  <c r="I81" s="1"/>
  <c r="I82" s="1"/>
  <c r="I83" s="1"/>
  <c r="I84" s="1"/>
  <c r="I85" s="1"/>
  <c r="I86" s="1"/>
  <c r="I87" s="1"/>
  <c r="I88" s="1"/>
  <c r="I89" s="1"/>
  <c r="I90" s="1"/>
  <c r="I91" s="1"/>
  <c r="I92" s="1"/>
  <c r="I65"/>
  <c r="I66" s="1"/>
  <c r="I67" s="1"/>
  <c r="I68" s="1"/>
  <c r="I69" s="1"/>
  <c r="I70" s="1"/>
  <c r="I71" s="1"/>
  <c r="I72" s="1"/>
  <c r="I73" s="1"/>
  <c r="I74" s="1"/>
  <c r="I75" s="1"/>
  <c r="I76" s="1"/>
  <c r="I77" s="1"/>
  <c r="I59"/>
  <c r="I105"/>
  <c r="I31"/>
  <c r="AL12" i="32917"/>
  <c r="S8"/>
  <c r="U8" s="1"/>
  <c r="W8" s="1"/>
  <c r="Y8" s="1"/>
  <c r="AA8" s="1"/>
  <c r="AC8" s="1"/>
  <c r="AU260"/>
  <c r="I32" i="32926" l="1"/>
  <c r="I106"/>
  <c r="I60"/>
  <c r="I61" s="1"/>
  <c r="I62" s="1"/>
  <c r="AU258" i="32917"/>
  <c r="AU259"/>
  <c r="AU257"/>
  <c r="AU255"/>
  <c r="AU251"/>
  <c r="AU256"/>
  <c r="AU253"/>
  <c r="AU249"/>
  <c r="AU233"/>
  <c r="AU221"/>
  <c r="AU219"/>
  <c r="AU247"/>
  <c r="AU11"/>
  <c r="AU245"/>
  <c r="AU241"/>
  <c r="AU235"/>
  <c r="AU227"/>
  <c r="AU223"/>
  <c r="AU217"/>
  <c r="AU215"/>
  <c r="AU213"/>
  <c r="AU211"/>
  <c r="AU209"/>
  <c r="AU207"/>
  <c r="AU205"/>
  <c r="AU203"/>
  <c r="AU201"/>
  <c r="AU199"/>
  <c r="AU197"/>
  <c r="AU195"/>
  <c r="AU193"/>
  <c r="AU191"/>
  <c r="AU189"/>
  <c r="AU187"/>
  <c r="AU185"/>
  <c r="AU183"/>
  <c r="AU181"/>
  <c r="AU179"/>
  <c r="AU177"/>
  <c r="AU175"/>
  <c r="AU173"/>
  <c r="AU171"/>
  <c r="AU169"/>
  <c r="AU167"/>
  <c r="AU165"/>
  <c r="AU163"/>
  <c r="AU161"/>
  <c r="AU159"/>
  <c r="AU157"/>
  <c r="AU155"/>
  <c r="AU153"/>
  <c r="AU151"/>
  <c r="AU149"/>
  <c r="AU147"/>
  <c r="AU145"/>
  <c r="AU143"/>
  <c r="AU141"/>
  <c r="AU139"/>
  <c r="AU137"/>
  <c r="AU135"/>
  <c r="AU133"/>
  <c r="AU131"/>
  <c r="AU129"/>
  <c r="AU127"/>
  <c r="AU125"/>
  <c r="AU123"/>
  <c r="AU121"/>
  <c r="AU119"/>
  <c r="AU117"/>
  <c r="AU115"/>
  <c r="AU113"/>
  <c r="AU111"/>
  <c r="AU109"/>
  <c r="AU107"/>
  <c r="AU105"/>
  <c r="AU103"/>
  <c r="AU101"/>
  <c r="AU99"/>
  <c r="AU97"/>
  <c r="AU95"/>
  <c r="AU93"/>
  <c r="AU91"/>
  <c r="AU89"/>
  <c r="AU87"/>
  <c r="AU85"/>
  <c r="AU83"/>
  <c r="AU81"/>
  <c r="AU79"/>
  <c r="AU77"/>
  <c r="AU75"/>
  <c r="AU73"/>
  <c r="AU71"/>
  <c r="AU69"/>
  <c r="AU67"/>
  <c r="AU65"/>
  <c r="AU63"/>
  <c r="AU61"/>
  <c r="AU59"/>
  <c r="AU57"/>
  <c r="AU55"/>
  <c r="AU53"/>
  <c r="AU51"/>
  <c r="AU49"/>
  <c r="AU47"/>
  <c r="AU45"/>
  <c r="AU43"/>
  <c r="AU41"/>
  <c r="AU39"/>
  <c r="AU37"/>
  <c r="AU35"/>
  <c r="AU33"/>
  <c r="AU31"/>
  <c r="AU29"/>
  <c r="AU27"/>
  <c r="AU25"/>
  <c r="AU23"/>
  <c r="AU21"/>
  <c r="AU19"/>
  <c r="AU17"/>
  <c r="AU15"/>
  <c r="AU13"/>
  <c r="AU243"/>
  <c r="AU239"/>
  <c r="AU237"/>
  <c r="AU231"/>
  <c r="AU229"/>
  <c r="AU225"/>
  <c r="AU254"/>
  <c r="AU252"/>
  <c r="AU250"/>
  <c r="AU248"/>
  <c r="AU246"/>
  <c r="AU244"/>
  <c r="AU242"/>
  <c r="AU240"/>
  <c r="AU238"/>
  <c r="AU236"/>
  <c r="AU234"/>
  <c r="AU232"/>
  <c r="AU230"/>
  <c r="AU228"/>
  <c r="AU226"/>
  <c r="AU224"/>
  <c r="AU222"/>
  <c r="AU220"/>
  <c r="AU218"/>
  <c r="AU216"/>
  <c r="AU214"/>
  <c r="AU212"/>
  <c r="AU210"/>
  <c r="AU208"/>
  <c r="AU206"/>
  <c r="AU204"/>
  <c r="AU202"/>
  <c r="AU200"/>
  <c r="AU198"/>
  <c r="AU196"/>
  <c r="AU194"/>
  <c r="AU192"/>
  <c r="AU190"/>
  <c r="AU188"/>
  <c r="AU186"/>
  <c r="AU184"/>
  <c r="AU182"/>
  <c r="AU180"/>
  <c r="AU178"/>
  <c r="AU176"/>
  <c r="AU174"/>
  <c r="AU172"/>
  <c r="AU170"/>
  <c r="AU168"/>
  <c r="AU166"/>
  <c r="AU164"/>
  <c r="AU162"/>
  <c r="AU160"/>
  <c r="AU158"/>
  <c r="AU156"/>
  <c r="AU154"/>
  <c r="AU152"/>
  <c r="AU150"/>
  <c r="AU148"/>
  <c r="AU146"/>
  <c r="AU144"/>
  <c r="AU142"/>
  <c r="AU140"/>
  <c r="AU138"/>
  <c r="AU136"/>
  <c r="AU134"/>
  <c r="AU132"/>
  <c r="AU130"/>
  <c r="AU126"/>
  <c r="AU124"/>
  <c r="AU122"/>
  <c r="AU120"/>
  <c r="AU118"/>
  <c r="AU116"/>
  <c r="AU114"/>
  <c r="AU112"/>
  <c r="AU110"/>
  <c r="AU108"/>
  <c r="AU106"/>
  <c r="AU104"/>
  <c r="AU102"/>
  <c r="AU100"/>
  <c r="AU98"/>
  <c r="AU96"/>
  <c r="AU94"/>
  <c r="AU92"/>
  <c r="AU90"/>
  <c r="AU88"/>
  <c r="AU86"/>
  <c r="AU84"/>
  <c r="AU82"/>
  <c r="AU80"/>
  <c r="AU78"/>
  <c r="AU76"/>
  <c r="AU74"/>
  <c r="AU72"/>
  <c r="AU70"/>
  <c r="AU68"/>
  <c r="AU66"/>
  <c r="AU64"/>
  <c r="AU62"/>
  <c r="AU60"/>
  <c r="AU58"/>
  <c r="AU56"/>
  <c r="AU54"/>
  <c r="AU52"/>
  <c r="AU50"/>
  <c r="AU48"/>
  <c r="AU46"/>
  <c r="AU44"/>
  <c r="AU42"/>
  <c r="AU40"/>
  <c r="AU38"/>
  <c r="AU36"/>
  <c r="AU34"/>
  <c r="AU32"/>
  <c r="AU30"/>
  <c r="AU28"/>
  <c r="AU26"/>
  <c r="AU24"/>
  <c r="AU22"/>
  <c r="AU20"/>
  <c r="AU18"/>
  <c r="AU16"/>
  <c r="AU14"/>
  <c r="AU12"/>
  <c r="AN10"/>
  <c r="AW10" s="1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E97"/>
  <c r="AF97"/>
  <c r="AE98"/>
  <c r="AF98"/>
  <c r="AE99"/>
  <c r="AF99"/>
  <c r="AE100"/>
  <c r="AF100"/>
  <c r="AE101"/>
  <c r="AF101"/>
  <c r="AE102"/>
  <c r="AF102"/>
  <c r="AE103"/>
  <c r="AF103"/>
  <c r="AE104"/>
  <c r="AF104"/>
  <c r="AE105"/>
  <c r="AF105"/>
  <c r="AE106"/>
  <c r="AF106"/>
  <c r="AE107"/>
  <c r="AF107"/>
  <c r="AE108"/>
  <c r="AF108"/>
  <c r="AE109"/>
  <c r="AF109"/>
  <c r="AE110"/>
  <c r="AF110"/>
  <c r="AE111"/>
  <c r="AF111"/>
  <c r="AE112"/>
  <c r="AF112"/>
  <c r="AE113"/>
  <c r="AF113"/>
  <c r="AE114"/>
  <c r="AF114"/>
  <c r="AE115"/>
  <c r="AF115"/>
  <c r="AE116"/>
  <c r="AF116"/>
  <c r="AE117"/>
  <c r="AF117"/>
  <c r="AE118"/>
  <c r="AF118"/>
  <c r="AE119"/>
  <c r="AF119"/>
  <c r="AE120"/>
  <c r="AF120"/>
  <c r="AE121"/>
  <c r="AF121"/>
  <c r="AE122"/>
  <c r="AF122"/>
  <c r="AE123"/>
  <c r="AF123"/>
  <c r="AE124"/>
  <c r="AF124"/>
  <c r="AE125"/>
  <c r="AF125"/>
  <c r="AE126"/>
  <c r="AF126"/>
  <c r="AE127"/>
  <c r="AF127"/>
  <c r="AE129"/>
  <c r="AF129"/>
  <c r="AE130"/>
  <c r="AF130"/>
  <c r="AE131"/>
  <c r="AF131"/>
  <c r="AE132"/>
  <c r="AF132"/>
  <c r="AE133"/>
  <c r="AF133"/>
  <c r="AE134"/>
  <c r="AF134"/>
  <c r="AE135"/>
  <c r="AF135"/>
  <c r="AE136"/>
  <c r="AF136"/>
  <c r="AE137"/>
  <c r="AF137"/>
  <c r="AE138"/>
  <c r="AF138"/>
  <c r="AE139"/>
  <c r="AF139"/>
  <c r="AE140"/>
  <c r="AF140"/>
  <c r="AE141"/>
  <c r="AF141"/>
  <c r="AE142"/>
  <c r="AF142"/>
  <c r="AE143"/>
  <c r="AF143"/>
  <c r="AE144"/>
  <c r="AF144"/>
  <c r="AE145"/>
  <c r="AF145"/>
  <c r="AE146"/>
  <c r="AF146"/>
  <c r="AE147"/>
  <c r="AF147"/>
  <c r="AE148"/>
  <c r="AF148"/>
  <c r="AE149"/>
  <c r="AF149"/>
  <c r="AE150"/>
  <c r="AF150"/>
  <c r="AE151"/>
  <c r="AF151"/>
  <c r="AE152"/>
  <c r="AF152"/>
  <c r="AE153"/>
  <c r="AF153"/>
  <c r="AE154"/>
  <c r="AF154"/>
  <c r="AE155"/>
  <c r="AF155"/>
  <c r="AE156"/>
  <c r="AF156"/>
  <c r="AE157"/>
  <c r="AF157"/>
  <c r="AE158"/>
  <c r="AF158"/>
  <c r="AE159"/>
  <c r="AF159"/>
  <c r="AE160"/>
  <c r="AF160"/>
  <c r="AE161"/>
  <c r="AF161"/>
  <c r="AE162"/>
  <c r="AF162"/>
  <c r="AE163"/>
  <c r="AF163"/>
  <c r="AE164"/>
  <c r="AF164"/>
  <c r="AE165"/>
  <c r="AF165"/>
  <c r="AE166"/>
  <c r="AF166"/>
  <c r="AE167"/>
  <c r="AF167"/>
  <c r="AE168"/>
  <c r="AF168"/>
  <c r="AE169"/>
  <c r="AF169"/>
  <c r="AE170"/>
  <c r="AF170"/>
  <c r="AE171"/>
  <c r="AF171"/>
  <c r="AE172"/>
  <c r="AF172"/>
  <c r="AE173"/>
  <c r="AF173"/>
  <c r="AE174"/>
  <c r="AF174"/>
  <c r="AE175"/>
  <c r="AF175"/>
  <c r="AE176"/>
  <c r="AF176"/>
  <c r="AE177"/>
  <c r="AF177"/>
  <c r="AE178"/>
  <c r="AF178"/>
  <c r="AE179"/>
  <c r="AF179"/>
  <c r="AE180"/>
  <c r="AF180"/>
  <c r="AE181"/>
  <c r="AF181"/>
  <c r="AE182"/>
  <c r="AF182"/>
  <c r="AE183"/>
  <c r="AF183"/>
  <c r="AE184"/>
  <c r="AF184"/>
  <c r="AE185"/>
  <c r="AF185"/>
  <c r="AE186"/>
  <c r="AF186"/>
  <c r="AE187"/>
  <c r="AF187"/>
  <c r="AE188"/>
  <c r="AF188"/>
  <c r="AE189"/>
  <c r="AF189"/>
  <c r="AE190"/>
  <c r="AF190"/>
  <c r="AE191"/>
  <c r="AF191"/>
  <c r="AE192"/>
  <c r="AF192"/>
  <c r="AE193"/>
  <c r="AF193"/>
  <c r="AE194"/>
  <c r="AF194"/>
  <c r="AE195"/>
  <c r="AF195"/>
  <c r="AE196"/>
  <c r="AF196"/>
  <c r="AE197"/>
  <c r="AF197"/>
  <c r="AE198"/>
  <c r="AF198"/>
  <c r="AE199"/>
  <c r="AF199"/>
  <c r="AE200"/>
  <c r="AF200"/>
  <c r="AE201"/>
  <c r="AF201"/>
  <c r="AE202"/>
  <c r="AF202"/>
  <c r="AE203"/>
  <c r="AF203"/>
  <c r="AE204"/>
  <c r="AF204"/>
  <c r="AE205"/>
  <c r="AF205"/>
  <c r="AE206"/>
  <c r="AF206"/>
  <c r="AE207"/>
  <c r="AF207"/>
  <c r="AE208"/>
  <c r="AF208"/>
  <c r="AE209"/>
  <c r="AF209"/>
  <c r="AE210"/>
  <c r="AF210"/>
  <c r="AE211"/>
  <c r="AF211"/>
  <c r="AE212"/>
  <c r="AF212"/>
  <c r="AE213"/>
  <c r="AF213"/>
  <c r="AE214"/>
  <c r="AF214"/>
  <c r="AE215"/>
  <c r="AF215"/>
  <c r="AE216"/>
  <c r="AF216"/>
  <c r="AE217"/>
  <c r="AF217"/>
  <c r="AE218"/>
  <c r="AF218"/>
  <c r="AE219"/>
  <c r="AF219"/>
  <c r="AE220"/>
  <c r="AF220"/>
  <c r="AE221"/>
  <c r="AF221"/>
  <c r="AE222"/>
  <c r="AF222"/>
  <c r="AE223"/>
  <c r="AF223"/>
  <c r="AE224"/>
  <c r="AF224"/>
  <c r="AE225"/>
  <c r="AF225"/>
  <c r="AE226"/>
  <c r="AF226"/>
  <c r="AE227"/>
  <c r="AF227"/>
  <c r="AE228"/>
  <c r="AF228"/>
  <c r="AE229"/>
  <c r="AF229"/>
  <c r="AE230"/>
  <c r="AF230"/>
  <c r="AE231"/>
  <c r="AF231"/>
  <c r="AE232"/>
  <c r="AF232"/>
  <c r="AE233"/>
  <c r="AF233"/>
  <c r="AE234"/>
  <c r="AF234"/>
  <c r="AE235"/>
  <c r="AF235"/>
  <c r="AE236"/>
  <c r="AF236"/>
  <c r="AE237"/>
  <c r="AF237"/>
  <c r="AE238"/>
  <c r="AF238"/>
  <c r="AE239"/>
  <c r="AF239"/>
  <c r="AE240"/>
  <c r="AF240"/>
  <c r="AE241"/>
  <c r="AF241"/>
  <c r="AE242"/>
  <c r="AF242"/>
  <c r="AE243"/>
  <c r="AF243"/>
  <c r="AE244"/>
  <c r="AF244"/>
  <c r="AE245"/>
  <c r="AF245"/>
  <c r="AE246"/>
  <c r="AF246"/>
  <c r="AE247"/>
  <c r="AF247"/>
  <c r="AE248"/>
  <c r="AF248"/>
  <c r="AE249"/>
  <c r="AF249"/>
  <c r="AE250"/>
  <c r="AF250"/>
  <c r="AE251"/>
  <c r="AF251"/>
  <c r="AE252"/>
  <c r="AF252"/>
  <c r="AE253"/>
  <c r="AF253"/>
  <c r="AE254"/>
  <c r="AF254"/>
  <c r="AE255"/>
  <c r="AF255"/>
  <c r="AE256"/>
  <c r="AF256"/>
  <c r="AE257"/>
  <c r="AF257"/>
  <c r="AE258"/>
  <c r="AF258"/>
  <c r="AE259"/>
  <c r="AF259"/>
  <c r="AE260"/>
  <c r="AF260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F11"/>
  <c r="AE11"/>
  <c r="M126"/>
  <c r="N126"/>
  <c r="O126"/>
  <c r="M127"/>
  <c r="N127"/>
  <c r="O127"/>
  <c r="M129"/>
  <c r="N129"/>
  <c r="O129"/>
  <c r="M130"/>
  <c r="N130"/>
  <c r="O130"/>
  <c r="M131"/>
  <c r="N131"/>
  <c r="O131"/>
  <c r="M132"/>
  <c r="N132"/>
  <c r="O132"/>
  <c r="M133"/>
  <c r="N133"/>
  <c r="O133"/>
  <c r="M134"/>
  <c r="N134"/>
  <c r="O134"/>
  <c r="M135"/>
  <c r="N135"/>
  <c r="O135"/>
  <c r="M136"/>
  <c r="N136"/>
  <c r="O136"/>
  <c r="M137"/>
  <c r="N137"/>
  <c r="O137"/>
  <c r="M138"/>
  <c r="N138"/>
  <c r="O138"/>
  <c r="M139"/>
  <c r="N139"/>
  <c r="O139"/>
  <c r="M140"/>
  <c r="N140"/>
  <c r="O140"/>
  <c r="M141"/>
  <c r="N141"/>
  <c r="O141"/>
  <c r="M142"/>
  <c r="N142"/>
  <c r="O142"/>
  <c r="M143"/>
  <c r="N143"/>
  <c r="O143"/>
  <c r="M144"/>
  <c r="N144"/>
  <c r="O144"/>
  <c r="M145"/>
  <c r="N145"/>
  <c r="O145"/>
  <c r="M146"/>
  <c r="N146"/>
  <c r="O146"/>
  <c r="M147"/>
  <c r="N147"/>
  <c r="O147"/>
  <c r="M148"/>
  <c r="N148"/>
  <c r="O148"/>
  <c r="M149"/>
  <c r="N149"/>
  <c r="O149"/>
  <c r="M150"/>
  <c r="N150"/>
  <c r="O150"/>
  <c r="M151"/>
  <c r="N151"/>
  <c r="O151"/>
  <c r="M152"/>
  <c r="N152"/>
  <c r="O152"/>
  <c r="M153"/>
  <c r="N153"/>
  <c r="O153"/>
  <c r="M154"/>
  <c r="N154"/>
  <c r="O154"/>
  <c r="M155"/>
  <c r="N155"/>
  <c r="O155"/>
  <c r="M156"/>
  <c r="N156"/>
  <c r="O156"/>
  <c r="M157"/>
  <c r="N157"/>
  <c r="O157"/>
  <c r="M158"/>
  <c r="N158"/>
  <c r="O158"/>
  <c r="M159"/>
  <c r="N159"/>
  <c r="O159"/>
  <c r="M160"/>
  <c r="N160"/>
  <c r="O160"/>
  <c r="M161"/>
  <c r="N161"/>
  <c r="O161"/>
  <c r="M162"/>
  <c r="N162"/>
  <c r="O162"/>
  <c r="M163"/>
  <c r="N163"/>
  <c r="O163"/>
  <c r="M164"/>
  <c r="N164"/>
  <c r="O164"/>
  <c r="M165"/>
  <c r="N165"/>
  <c r="O165"/>
  <c r="M166"/>
  <c r="N166"/>
  <c r="O166"/>
  <c r="M167"/>
  <c r="N167"/>
  <c r="O167"/>
  <c r="M168"/>
  <c r="N168"/>
  <c r="O168"/>
  <c r="M169"/>
  <c r="N169"/>
  <c r="O169"/>
  <c r="M170"/>
  <c r="N170"/>
  <c r="O170"/>
  <c r="M171"/>
  <c r="N171"/>
  <c r="O171"/>
  <c r="M172"/>
  <c r="N172"/>
  <c r="O172"/>
  <c r="M173"/>
  <c r="N173"/>
  <c r="O173"/>
  <c r="M174"/>
  <c r="N174"/>
  <c r="O174"/>
  <c r="M175"/>
  <c r="N175"/>
  <c r="O175"/>
  <c r="M176"/>
  <c r="N176"/>
  <c r="O176"/>
  <c r="M177"/>
  <c r="N177"/>
  <c r="O177"/>
  <c r="M178"/>
  <c r="N178"/>
  <c r="O178"/>
  <c r="M179"/>
  <c r="N179"/>
  <c r="O179"/>
  <c r="M180"/>
  <c r="N180"/>
  <c r="O180"/>
  <c r="M181"/>
  <c r="N181"/>
  <c r="O181"/>
  <c r="M182"/>
  <c r="N182"/>
  <c r="O182"/>
  <c r="M183"/>
  <c r="N183"/>
  <c r="O183"/>
  <c r="M184"/>
  <c r="N184"/>
  <c r="O184"/>
  <c r="M185"/>
  <c r="N185"/>
  <c r="O185"/>
  <c r="M186"/>
  <c r="N186"/>
  <c r="O186"/>
  <c r="M187"/>
  <c r="N187"/>
  <c r="O187"/>
  <c r="M188"/>
  <c r="N188"/>
  <c r="O188"/>
  <c r="M189"/>
  <c r="N189"/>
  <c r="O189"/>
  <c r="M190"/>
  <c r="N190"/>
  <c r="O190"/>
  <c r="M191"/>
  <c r="N191"/>
  <c r="O191"/>
  <c r="M192"/>
  <c r="N192"/>
  <c r="O192"/>
  <c r="M193"/>
  <c r="N193"/>
  <c r="O193"/>
  <c r="M194"/>
  <c r="N194"/>
  <c r="O194"/>
  <c r="M195"/>
  <c r="N195"/>
  <c r="O195"/>
  <c r="M196"/>
  <c r="N196"/>
  <c r="O196"/>
  <c r="M197"/>
  <c r="N197"/>
  <c r="O197"/>
  <c r="M198"/>
  <c r="N198"/>
  <c r="O198"/>
  <c r="M199"/>
  <c r="N199"/>
  <c r="O199"/>
  <c r="M200"/>
  <c r="N200"/>
  <c r="O200"/>
  <c r="M201"/>
  <c r="N201"/>
  <c r="O201"/>
  <c r="M202"/>
  <c r="N202"/>
  <c r="O202"/>
  <c r="M203"/>
  <c r="N203"/>
  <c r="O203"/>
  <c r="M204"/>
  <c r="N204"/>
  <c r="O204"/>
  <c r="M205"/>
  <c r="N205"/>
  <c r="O205"/>
  <c r="M206"/>
  <c r="N206"/>
  <c r="O206"/>
  <c r="M207"/>
  <c r="N207"/>
  <c r="O207"/>
  <c r="M208"/>
  <c r="N208"/>
  <c r="O208"/>
  <c r="M209"/>
  <c r="N209"/>
  <c r="O209"/>
  <c r="M210"/>
  <c r="N210"/>
  <c r="O210"/>
  <c r="M211"/>
  <c r="N211"/>
  <c r="O211"/>
  <c r="M212"/>
  <c r="N212"/>
  <c r="O212"/>
  <c r="M213"/>
  <c r="N213"/>
  <c r="O213"/>
  <c r="M214"/>
  <c r="N214"/>
  <c r="O214"/>
  <c r="M215"/>
  <c r="N215"/>
  <c r="O215"/>
  <c r="M216"/>
  <c r="N216"/>
  <c r="O216"/>
  <c r="M217"/>
  <c r="N217"/>
  <c r="O217"/>
  <c r="M218"/>
  <c r="N218"/>
  <c r="O218"/>
  <c r="M219"/>
  <c r="N219"/>
  <c r="O219"/>
  <c r="M220"/>
  <c r="N220"/>
  <c r="O220"/>
  <c r="M221"/>
  <c r="N221"/>
  <c r="O221"/>
  <c r="M222"/>
  <c r="N222"/>
  <c r="O222"/>
  <c r="M223"/>
  <c r="N223"/>
  <c r="O223"/>
  <c r="M224"/>
  <c r="N224"/>
  <c r="O224"/>
  <c r="M225"/>
  <c r="N225"/>
  <c r="O225"/>
  <c r="M226"/>
  <c r="N226"/>
  <c r="O226"/>
  <c r="M227"/>
  <c r="N227"/>
  <c r="O227"/>
  <c r="M228"/>
  <c r="N228"/>
  <c r="O228"/>
  <c r="M229"/>
  <c r="N229"/>
  <c r="O229"/>
  <c r="M230"/>
  <c r="N230"/>
  <c r="O230"/>
  <c r="M231"/>
  <c r="N231"/>
  <c r="O231"/>
  <c r="M232"/>
  <c r="N232"/>
  <c r="O232"/>
  <c r="M233"/>
  <c r="N233"/>
  <c r="O233"/>
  <c r="M234"/>
  <c r="N234"/>
  <c r="O234"/>
  <c r="M235"/>
  <c r="N235"/>
  <c r="O235"/>
  <c r="M236"/>
  <c r="N236"/>
  <c r="O236"/>
  <c r="M237"/>
  <c r="N237"/>
  <c r="O237"/>
  <c r="M238"/>
  <c r="N238"/>
  <c r="O238"/>
  <c r="M239"/>
  <c r="N239"/>
  <c r="O239"/>
  <c r="M240"/>
  <c r="N240"/>
  <c r="O240"/>
  <c r="M241"/>
  <c r="N241"/>
  <c r="O241"/>
  <c r="M242"/>
  <c r="N242"/>
  <c r="O242"/>
  <c r="M243"/>
  <c r="N243"/>
  <c r="O243"/>
  <c r="M244"/>
  <c r="N244"/>
  <c r="O244"/>
  <c r="M245"/>
  <c r="N245"/>
  <c r="O245"/>
  <c r="M246"/>
  <c r="N246"/>
  <c r="O246"/>
  <c r="M247"/>
  <c r="N247"/>
  <c r="O247"/>
  <c r="M248"/>
  <c r="N248"/>
  <c r="O248"/>
  <c r="M249"/>
  <c r="N249"/>
  <c r="O249"/>
  <c r="M250"/>
  <c r="N250"/>
  <c r="O250"/>
  <c r="M251"/>
  <c r="N251"/>
  <c r="O251"/>
  <c r="M252"/>
  <c r="N252"/>
  <c r="O252"/>
  <c r="M253"/>
  <c r="N253"/>
  <c r="O253"/>
  <c r="M254"/>
  <c r="N254"/>
  <c r="O254"/>
  <c r="M255"/>
  <c r="N255"/>
  <c r="O255"/>
  <c r="M256"/>
  <c r="N256"/>
  <c r="O256"/>
  <c r="M257"/>
  <c r="N257"/>
  <c r="O257"/>
  <c r="M258"/>
  <c r="N258"/>
  <c r="O258"/>
  <c r="M259"/>
  <c r="N259"/>
  <c r="O259"/>
  <c r="M260"/>
  <c r="N260"/>
  <c r="O260"/>
  <c r="L126"/>
  <c r="L127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I33" i="32926" l="1"/>
  <c r="I107"/>
  <c r="AO10" i="32917"/>
  <c r="AX10" s="1"/>
  <c r="I34" i="32926" l="1"/>
  <c r="I108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AP10" i="32917"/>
  <c r="AY10" s="1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60"/>
  <c r="AL61"/>
  <c r="AL62"/>
  <c r="AL63"/>
  <c r="AL64"/>
  <c r="AL65"/>
  <c r="AL66"/>
  <c r="AL67"/>
  <c r="AL68"/>
  <c r="AL69"/>
  <c r="AL70"/>
  <c r="AL71"/>
  <c r="AL72"/>
  <c r="AL73"/>
  <c r="AL74"/>
  <c r="AL75"/>
  <c r="AL76"/>
  <c r="AL77"/>
  <c r="AL78"/>
  <c r="AL79"/>
  <c r="AL80"/>
  <c r="AL81"/>
  <c r="AL82"/>
  <c r="AL83"/>
  <c r="AL84"/>
  <c r="AL85"/>
  <c r="AL86"/>
  <c r="AL87"/>
  <c r="AL88"/>
  <c r="AL89"/>
  <c r="AL90"/>
  <c r="AL91"/>
  <c r="AL92"/>
  <c r="AL93"/>
  <c r="AL94"/>
  <c r="AL9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AL161"/>
  <c r="AL162"/>
  <c r="AL163"/>
  <c r="AL164"/>
  <c r="AL165"/>
  <c r="AL166"/>
  <c r="AL167"/>
  <c r="AL168"/>
  <c r="AL169"/>
  <c r="AL170"/>
  <c r="AL171"/>
  <c r="AL172"/>
  <c r="AL173"/>
  <c r="AL174"/>
  <c r="AL175"/>
  <c r="AL176"/>
  <c r="AL177"/>
  <c r="AL178"/>
  <c r="AL179"/>
  <c r="AL180"/>
  <c r="AL181"/>
  <c r="AL182"/>
  <c r="AL183"/>
  <c r="AL184"/>
  <c r="AL185"/>
  <c r="AL186"/>
  <c r="AL187"/>
  <c r="AL188"/>
  <c r="AL189"/>
  <c r="AL190"/>
  <c r="AL191"/>
  <c r="AL192"/>
  <c r="AL193"/>
  <c r="AL194"/>
  <c r="AL195"/>
  <c r="AL196"/>
  <c r="AL197"/>
  <c r="AL198"/>
  <c r="AL199"/>
  <c r="AL200"/>
  <c r="AL201"/>
  <c r="AL202"/>
  <c r="AL203"/>
  <c r="AL204"/>
  <c r="AL205"/>
  <c r="AL206"/>
  <c r="AL207"/>
  <c r="AL208"/>
  <c r="AL209"/>
  <c r="AL210"/>
  <c r="AL211"/>
  <c r="AL212"/>
  <c r="AL213"/>
  <c r="AL214"/>
  <c r="AL215"/>
  <c r="AL216"/>
  <c r="AL217"/>
  <c r="AL218"/>
  <c r="AL219"/>
  <c r="AL220"/>
  <c r="AL221"/>
  <c r="AL222"/>
  <c r="AL223"/>
  <c r="AL224"/>
  <c r="AL225"/>
  <c r="AL226"/>
  <c r="AL227"/>
  <c r="AL228"/>
  <c r="AL229"/>
  <c r="AL230"/>
  <c r="AL231"/>
  <c r="AL232"/>
  <c r="AL233"/>
  <c r="AL234"/>
  <c r="AL235"/>
  <c r="AL236"/>
  <c r="AL237"/>
  <c r="AL238"/>
  <c r="AL239"/>
  <c r="AL240"/>
  <c r="AL241"/>
  <c r="AL242"/>
  <c r="AL243"/>
  <c r="AL244"/>
  <c r="AL245"/>
  <c r="AL246"/>
  <c r="AL247"/>
  <c r="AL248"/>
  <c r="AL249"/>
  <c r="AL250"/>
  <c r="AL251"/>
  <c r="AL252"/>
  <c r="AL253"/>
  <c r="AL254"/>
  <c r="AL255"/>
  <c r="AL256"/>
  <c r="AL257"/>
  <c r="AL258"/>
  <c r="AL259"/>
  <c r="AL260"/>
  <c r="AL13"/>
  <c r="AL14"/>
  <c r="AL15"/>
  <c r="AL16"/>
  <c r="AL17"/>
  <c r="AL18"/>
  <c r="AL19"/>
  <c r="AL20"/>
  <c r="AL21"/>
  <c r="AL22"/>
  <c r="AL23"/>
  <c r="AL24"/>
  <c r="AL11"/>
  <c r="L115" i="32926" l="1"/>
  <c r="N115" s="1"/>
  <c r="L1051"/>
  <c r="N1051" s="1"/>
  <c r="L1055"/>
  <c r="N1055" s="1"/>
  <c r="L1043"/>
  <c r="N1043" s="1"/>
  <c r="L1039"/>
  <c r="N1039" s="1"/>
  <c r="L1017"/>
  <c r="N1017" s="1"/>
  <c r="L999"/>
  <c r="N999" s="1"/>
  <c r="L1065"/>
  <c r="N1065" s="1"/>
  <c r="L1023"/>
  <c r="N1023" s="1"/>
  <c r="L1003"/>
  <c r="N1003" s="1"/>
  <c r="L983"/>
  <c r="N983" s="1"/>
  <c r="L1094"/>
  <c r="N1094" s="1"/>
  <c r="L1090"/>
  <c r="N1090" s="1"/>
  <c r="L1086"/>
  <c r="N1086" s="1"/>
  <c r="L1080"/>
  <c r="N1080" s="1"/>
  <c r="L1068"/>
  <c r="N1068" s="1"/>
  <c r="L119"/>
  <c r="N119" s="1"/>
  <c r="L1079"/>
  <c r="N1079" s="1"/>
  <c r="L1073"/>
  <c r="N1073" s="1"/>
  <c r="L1063"/>
  <c r="N1063" s="1"/>
  <c r="L1059"/>
  <c r="N1059" s="1"/>
  <c r="L1049"/>
  <c r="N1049" s="1"/>
  <c r="L1041"/>
  <c r="N1041" s="1"/>
  <c r="L1037"/>
  <c r="N1037" s="1"/>
  <c r="L1031"/>
  <c r="N1031" s="1"/>
  <c r="L1021"/>
  <c r="N1021" s="1"/>
  <c r="L1011"/>
  <c r="N1011" s="1"/>
  <c r="L997"/>
  <c r="N997" s="1"/>
  <c r="L987"/>
  <c r="N987" s="1"/>
  <c r="L977"/>
  <c r="N977" s="1"/>
  <c r="L973"/>
  <c r="N973" s="1"/>
  <c r="L967"/>
  <c r="N967" s="1"/>
  <c r="L961"/>
  <c r="N961" s="1"/>
  <c r="L957"/>
  <c r="N957" s="1"/>
  <c r="L955"/>
  <c r="N955" s="1"/>
  <c r="L949"/>
  <c r="N949" s="1"/>
  <c r="L945"/>
  <c r="N945" s="1"/>
  <c r="L941"/>
  <c r="N941" s="1"/>
  <c r="L937"/>
  <c r="N937" s="1"/>
  <c r="L931"/>
  <c r="N931" s="1"/>
  <c r="L927"/>
  <c r="N927" s="1"/>
  <c r="L921"/>
  <c r="N921" s="1"/>
  <c r="L917"/>
  <c r="N917" s="1"/>
  <c r="L911"/>
  <c r="N911" s="1"/>
  <c r="L907"/>
  <c r="N907" s="1"/>
  <c r="L901"/>
  <c r="N901" s="1"/>
  <c r="L897"/>
  <c r="N897" s="1"/>
  <c r="L891"/>
  <c r="N891" s="1"/>
  <c r="L888"/>
  <c r="N888" s="1"/>
  <c r="L884"/>
  <c r="N884" s="1"/>
  <c r="L880"/>
  <c r="N880" s="1"/>
  <c r="L874"/>
  <c r="N874" s="1"/>
  <c r="L870"/>
  <c r="N870" s="1"/>
  <c r="L864"/>
  <c r="N864" s="1"/>
  <c r="L858"/>
  <c r="N858" s="1"/>
  <c r="L856"/>
  <c r="N856" s="1"/>
  <c r="L852"/>
  <c r="N852" s="1"/>
  <c r="L848"/>
  <c r="N848" s="1"/>
  <c r="L844"/>
  <c r="N844" s="1"/>
  <c r="L843"/>
  <c r="N843" s="1"/>
  <c r="L841"/>
  <c r="N841" s="1"/>
  <c r="L835"/>
  <c r="N835" s="1"/>
  <c r="L831"/>
  <c r="N831" s="1"/>
  <c r="L825"/>
  <c r="N825" s="1"/>
  <c r="L821"/>
  <c r="N821" s="1"/>
  <c r="L813"/>
  <c r="N813" s="1"/>
  <c r="L809"/>
  <c r="N809" s="1"/>
  <c r="L805"/>
  <c r="N805" s="1"/>
  <c r="L799"/>
  <c r="N799" s="1"/>
  <c r="L795"/>
  <c r="N795" s="1"/>
  <c r="L789"/>
  <c r="N789" s="1"/>
  <c r="L785"/>
  <c r="N785" s="1"/>
  <c r="L779"/>
  <c r="N779" s="1"/>
  <c r="L775"/>
  <c r="N775" s="1"/>
  <c r="L769"/>
  <c r="N769" s="1"/>
  <c r="L765"/>
  <c r="N765" s="1"/>
  <c r="L759"/>
  <c r="N759" s="1"/>
  <c r="L755"/>
  <c r="N755" s="1"/>
  <c r="L749"/>
  <c r="N749" s="1"/>
  <c r="L745"/>
  <c r="N745" s="1"/>
  <c r="L739"/>
  <c r="N739" s="1"/>
  <c r="L735"/>
  <c r="N735" s="1"/>
  <c r="L729"/>
  <c r="N729" s="1"/>
  <c r="L725"/>
  <c r="N725" s="1"/>
  <c r="L721"/>
  <c r="N721" s="1"/>
  <c r="L715"/>
  <c r="N715" s="1"/>
  <c r="L711"/>
  <c r="N711" s="1"/>
  <c r="L705"/>
  <c r="N705" s="1"/>
  <c r="L701"/>
  <c r="N701" s="1"/>
  <c r="L695"/>
  <c r="N695" s="1"/>
  <c r="L691"/>
  <c r="N691" s="1"/>
  <c r="L685"/>
  <c r="N685" s="1"/>
  <c r="L681"/>
  <c r="N681" s="1"/>
  <c r="L675"/>
  <c r="N675" s="1"/>
  <c r="L669"/>
  <c r="N669" s="1"/>
  <c r="L663"/>
  <c r="N663" s="1"/>
  <c r="L659"/>
  <c r="N659" s="1"/>
  <c r="L655"/>
  <c r="N655" s="1"/>
  <c r="L649"/>
  <c r="N649" s="1"/>
  <c r="L645"/>
  <c r="N645" s="1"/>
  <c r="L639"/>
  <c r="N639" s="1"/>
  <c r="L633"/>
  <c r="N633" s="1"/>
  <c r="L629"/>
  <c r="N629" s="1"/>
  <c r="L623"/>
  <c r="N623" s="1"/>
  <c r="L619"/>
  <c r="N619" s="1"/>
  <c r="L615"/>
  <c r="N615" s="1"/>
  <c r="L611"/>
  <c r="N611" s="1"/>
  <c r="L604"/>
  <c r="N604" s="1"/>
  <c r="L600"/>
  <c r="N600" s="1"/>
  <c r="L599"/>
  <c r="N599" s="1"/>
  <c r="L596"/>
  <c r="N596" s="1"/>
  <c r="L595"/>
  <c r="N595" s="1"/>
  <c r="L592"/>
  <c r="N592" s="1"/>
  <c r="L591"/>
  <c r="N591" s="1"/>
  <c r="L588"/>
  <c r="N588" s="1"/>
  <c r="L587"/>
  <c r="N587" s="1"/>
  <c r="L584"/>
  <c r="N584" s="1"/>
  <c r="L583"/>
  <c r="N583" s="1"/>
  <c r="L580"/>
  <c r="N580" s="1"/>
  <c r="L579"/>
  <c r="N579" s="1"/>
  <c r="L576"/>
  <c r="N576" s="1"/>
  <c r="L575"/>
  <c r="N575" s="1"/>
  <c r="L568"/>
  <c r="N568" s="1"/>
  <c r="L564"/>
  <c r="N564" s="1"/>
  <c r="L560"/>
  <c r="N560" s="1"/>
  <c r="L556"/>
  <c r="N556" s="1"/>
  <c r="L555"/>
  <c r="N555" s="1"/>
  <c r="L552"/>
  <c r="N552" s="1"/>
  <c r="L551"/>
  <c r="N551" s="1"/>
  <c r="L548"/>
  <c r="N548" s="1"/>
  <c r="L547"/>
  <c r="N547" s="1"/>
  <c r="L544"/>
  <c r="N544" s="1"/>
  <c r="L543"/>
  <c r="N543" s="1"/>
  <c r="L536"/>
  <c r="N536" s="1"/>
  <c r="L532"/>
  <c r="N532" s="1"/>
  <c r="L528"/>
  <c r="N528" s="1"/>
  <c r="L527"/>
  <c r="N527" s="1"/>
  <c r="L263"/>
  <c r="N263" s="1"/>
  <c r="M253"/>
  <c r="L241"/>
  <c r="N241" s="1"/>
  <c r="L217"/>
  <c r="N217" s="1"/>
  <c r="M203"/>
  <c r="L193"/>
  <c r="N193" s="1"/>
  <c r="M183"/>
  <c r="L173"/>
  <c r="N173" s="1"/>
  <c r="L124"/>
  <c r="N124" s="1"/>
  <c r="L114"/>
  <c r="N114" s="1"/>
  <c r="L1084"/>
  <c r="N1084" s="1"/>
  <c r="L1074"/>
  <c r="N1074" s="1"/>
  <c r="L1064"/>
  <c r="N1064" s="1"/>
  <c r="L1060"/>
  <c r="N1060" s="1"/>
  <c r="L1054"/>
  <c r="N1054" s="1"/>
  <c r="L1050"/>
  <c r="N1050" s="1"/>
  <c r="L1042"/>
  <c r="N1042" s="1"/>
  <c r="L1038"/>
  <c r="N1038" s="1"/>
  <c r="L1026"/>
  <c r="N1026" s="1"/>
  <c r="L1022"/>
  <c r="N1022" s="1"/>
  <c r="L1016"/>
  <c r="N1016" s="1"/>
  <c r="L1012"/>
  <c r="N1012" s="1"/>
  <c r="L1006"/>
  <c r="N1006" s="1"/>
  <c r="L1002"/>
  <c r="N1002" s="1"/>
  <c r="L998"/>
  <c r="N998" s="1"/>
  <c r="L992"/>
  <c r="N992" s="1"/>
  <c r="L988"/>
  <c r="N988" s="1"/>
  <c r="L982"/>
  <c r="N982" s="1"/>
  <c r="L972"/>
  <c r="N972" s="1"/>
  <c r="L966"/>
  <c r="N966" s="1"/>
  <c r="L956"/>
  <c r="N956" s="1"/>
  <c r="L954"/>
  <c r="N954" s="1"/>
  <c r="L940"/>
  <c r="N940" s="1"/>
  <c r="L936"/>
  <c r="N936" s="1"/>
  <c r="L926"/>
  <c r="N926" s="1"/>
  <c r="L916"/>
  <c r="N916" s="1"/>
  <c r="L906"/>
  <c r="N906" s="1"/>
  <c r="L896"/>
  <c r="N896" s="1"/>
  <c r="L887"/>
  <c r="N887" s="1"/>
  <c r="L883"/>
  <c r="N883" s="1"/>
  <c r="L879"/>
  <c r="N879" s="1"/>
  <c r="L869"/>
  <c r="N869" s="1"/>
  <c r="L840"/>
  <c r="N840" s="1"/>
  <c r="L830"/>
  <c r="N830" s="1"/>
  <c r="L820"/>
  <c r="N820" s="1"/>
  <c r="L808"/>
  <c r="N808" s="1"/>
  <c r="L804"/>
  <c r="N804" s="1"/>
  <c r="L794"/>
  <c r="N794" s="1"/>
  <c r="L784"/>
  <c r="N784" s="1"/>
  <c r="L774"/>
  <c r="N774" s="1"/>
  <c r="L764"/>
  <c r="N764" s="1"/>
  <c r="L754"/>
  <c r="N754" s="1"/>
  <c r="L744"/>
  <c r="N744" s="1"/>
  <c r="L734"/>
  <c r="N734" s="1"/>
  <c r="L720"/>
  <c r="N720" s="1"/>
  <c r="L710"/>
  <c r="N710" s="1"/>
  <c r="L700"/>
  <c r="N700" s="1"/>
  <c r="L690"/>
  <c r="N690" s="1"/>
  <c r="L680"/>
  <c r="N680" s="1"/>
  <c r="L674"/>
  <c r="N674" s="1"/>
  <c r="L654"/>
  <c r="N654" s="1"/>
  <c r="L644"/>
  <c r="N644" s="1"/>
  <c r="L628"/>
  <c r="N628" s="1"/>
  <c r="L618"/>
  <c r="N618" s="1"/>
  <c r="L614"/>
  <c r="N614" s="1"/>
  <c r="L610"/>
  <c r="N610" s="1"/>
  <c r="L609"/>
  <c r="N609" s="1"/>
  <c r="L582"/>
  <c r="N582" s="1"/>
  <c r="L578"/>
  <c r="N578" s="1"/>
  <c r="L577"/>
  <c r="N577" s="1"/>
  <c r="L574"/>
  <c r="N574" s="1"/>
  <c r="L573"/>
  <c r="N573" s="1"/>
  <c r="L546"/>
  <c r="N546" s="1"/>
  <c r="L542"/>
  <c r="N542" s="1"/>
  <c r="L1085"/>
  <c r="N1085" s="1"/>
  <c r="L1061"/>
  <c r="N1061" s="1"/>
  <c r="L125"/>
  <c r="N125" s="1"/>
  <c r="L1045"/>
  <c r="N1045" s="1"/>
  <c r="M1043"/>
  <c r="L1027"/>
  <c r="N1027" s="1"/>
  <c r="L1007"/>
  <c r="N1007" s="1"/>
  <c r="M999"/>
  <c r="L989"/>
  <c r="N989" s="1"/>
  <c r="L1075"/>
  <c r="N1075" s="1"/>
  <c r="L1033"/>
  <c r="N1033" s="1"/>
  <c r="L1013"/>
  <c r="N1013" s="1"/>
  <c r="M1003"/>
  <c r="L993"/>
  <c r="N993" s="1"/>
  <c r="M983"/>
  <c r="M1073"/>
  <c r="M1049"/>
  <c r="M1021"/>
  <c r="M997"/>
  <c r="M955"/>
  <c r="M911"/>
  <c r="M907"/>
  <c r="M891"/>
  <c r="M888"/>
  <c r="M884"/>
  <c r="M852"/>
  <c r="M848"/>
  <c r="M844"/>
  <c r="M831"/>
  <c r="M799"/>
  <c r="M795"/>
  <c r="M785"/>
  <c r="M775"/>
  <c r="M759"/>
  <c r="M745"/>
  <c r="M739"/>
  <c r="M729"/>
  <c r="M725"/>
  <c r="M711"/>
  <c r="M701"/>
  <c r="M695"/>
  <c r="M691"/>
  <c r="M681"/>
  <c r="M669"/>
  <c r="M663"/>
  <c r="M655"/>
  <c r="M649"/>
  <c r="M629"/>
  <c r="M623"/>
  <c r="M611"/>
  <c r="M604"/>
  <c r="M595"/>
  <c r="M591"/>
  <c r="M556"/>
  <c r="M552"/>
  <c r="M551"/>
  <c r="M543"/>
  <c r="L253"/>
  <c r="N253" s="1"/>
  <c r="M241"/>
  <c r="L231"/>
  <c r="N231" s="1"/>
  <c r="M217"/>
  <c r="L203"/>
  <c r="N203" s="1"/>
  <c r="L183"/>
  <c r="N183" s="1"/>
  <c r="M1054"/>
  <c r="L1044"/>
  <c r="N1044" s="1"/>
  <c r="L1032"/>
  <c r="N1032" s="1"/>
  <c r="M1026"/>
  <c r="M1016"/>
  <c r="M982"/>
  <c r="M954"/>
  <c r="M906"/>
  <c r="M887"/>
  <c r="M883"/>
  <c r="M840"/>
  <c r="M808"/>
  <c r="M804"/>
  <c r="M794"/>
  <c r="M774"/>
  <c r="M710"/>
  <c r="M690"/>
  <c r="M680"/>
  <c r="M654"/>
  <c r="M610"/>
  <c r="M609"/>
  <c r="M577"/>
  <c r="L526"/>
  <c r="N526" s="1"/>
  <c r="L525"/>
  <c r="N525" s="1"/>
  <c r="L524"/>
  <c r="N524" s="1"/>
  <c r="L523"/>
  <c r="N523" s="1"/>
  <c r="L522"/>
  <c r="N522" s="1"/>
  <c r="L521"/>
  <c r="N521" s="1"/>
  <c r="L520"/>
  <c r="N520" s="1"/>
  <c r="L519"/>
  <c r="N519" s="1"/>
  <c r="L518"/>
  <c r="N518" s="1"/>
  <c r="L517"/>
  <c r="N517" s="1"/>
  <c r="L516"/>
  <c r="N516" s="1"/>
  <c r="L515"/>
  <c r="N515" s="1"/>
  <c r="L514"/>
  <c r="N514" s="1"/>
  <c r="L513"/>
  <c r="N513" s="1"/>
  <c r="L512"/>
  <c r="N512" s="1"/>
  <c r="L511"/>
  <c r="N511" s="1"/>
  <c r="L510"/>
  <c r="N510" s="1"/>
  <c r="L269"/>
  <c r="N269" s="1"/>
  <c r="M259"/>
  <c r="L247"/>
  <c r="N247" s="1"/>
  <c r="M237"/>
  <c r="L227"/>
  <c r="N227" s="1"/>
  <c r="M223"/>
  <c r="L213"/>
  <c r="N213" s="1"/>
  <c r="L199"/>
  <c r="N199" s="1"/>
  <c r="L179"/>
  <c r="N179" s="1"/>
  <c r="L165"/>
  <c r="N165" s="1"/>
  <c r="L267"/>
  <c r="N267" s="1"/>
  <c r="L257"/>
  <c r="N257" s="1"/>
  <c r="L251"/>
  <c r="N251" s="1"/>
  <c r="L245"/>
  <c r="N245" s="1"/>
  <c r="L235"/>
  <c r="N235" s="1"/>
  <c r="L225"/>
  <c r="N225" s="1"/>
  <c r="L221"/>
  <c r="N221" s="1"/>
  <c r="L211"/>
  <c r="N211" s="1"/>
  <c r="L207"/>
  <c r="N207" s="1"/>
  <c r="L197"/>
  <c r="N197" s="1"/>
  <c r="L187"/>
  <c r="N187" s="1"/>
  <c r="L177"/>
  <c r="N177" s="1"/>
  <c r="L167"/>
  <c r="N167" s="1"/>
  <c r="L163"/>
  <c r="N163" s="1"/>
  <c r="L162"/>
  <c r="N162" s="1"/>
  <c r="L161"/>
  <c r="N161" s="1"/>
  <c r="L160"/>
  <c r="N160" s="1"/>
  <c r="L159"/>
  <c r="N159" s="1"/>
  <c r="L158"/>
  <c r="N158" s="1"/>
  <c r="L157"/>
  <c r="N157" s="1"/>
  <c r="L156"/>
  <c r="N156" s="1"/>
  <c r="L155"/>
  <c r="N155" s="1"/>
  <c r="L154"/>
  <c r="N154" s="1"/>
  <c r="L153"/>
  <c r="N153" s="1"/>
  <c r="L152"/>
  <c r="N152" s="1"/>
  <c r="L151"/>
  <c r="N151" s="1"/>
  <c r="L150"/>
  <c r="N150" s="1"/>
  <c r="L149"/>
  <c r="N149" s="1"/>
  <c r="L148"/>
  <c r="N148" s="1"/>
  <c r="L147"/>
  <c r="N147" s="1"/>
  <c r="L146"/>
  <c r="N146" s="1"/>
  <c r="L145"/>
  <c r="N145" s="1"/>
  <c r="L144"/>
  <c r="N144" s="1"/>
  <c r="L143"/>
  <c r="N143" s="1"/>
  <c r="L142"/>
  <c r="N142" s="1"/>
  <c r="L141"/>
  <c r="N141" s="1"/>
  <c r="L140"/>
  <c r="N140" s="1"/>
  <c r="L139"/>
  <c r="N139" s="1"/>
  <c r="L138"/>
  <c r="N138" s="1"/>
  <c r="L137"/>
  <c r="N137" s="1"/>
  <c r="L136"/>
  <c r="N136" s="1"/>
  <c r="L135"/>
  <c r="N135" s="1"/>
  <c r="L134"/>
  <c r="N134" s="1"/>
  <c r="L133"/>
  <c r="N133" s="1"/>
  <c r="L132"/>
  <c r="N132" s="1"/>
  <c r="L131"/>
  <c r="N131" s="1"/>
  <c r="L130"/>
  <c r="N130" s="1"/>
  <c r="L129"/>
  <c r="N129" s="1"/>
  <c r="L509"/>
  <c r="N509" s="1"/>
  <c r="L508"/>
  <c r="N508" s="1"/>
  <c r="L507"/>
  <c r="N507" s="1"/>
  <c r="L506"/>
  <c r="N506" s="1"/>
  <c r="L505"/>
  <c r="N505" s="1"/>
  <c r="L504"/>
  <c r="N504" s="1"/>
  <c r="L503"/>
  <c r="N503" s="1"/>
  <c r="L502"/>
  <c r="N502" s="1"/>
  <c r="L501"/>
  <c r="N501" s="1"/>
  <c r="L500"/>
  <c r="N500" s="1"/>
  <c r="L499"/>
  <c r="N499" s="1"/>
  <c r="L498"/>
  <c r="N498" s="1"/>
  <c r="L497"/>
  <c r="N497" s="1"/>
  <c r="L496"/>
  <c r="N496" s="1"/>
  <c r="L495"/>
  <c r="N495" s="1"/>
  <c r="L494"/>
  <c r="N494" s="1"/>
  <c r="L493"/>
  <c r="N493" s="1"/>
  <c r="L492"/>
  <c r="N492" s="1"/>
  <c r="L491"/>
  <c r="N491" s="1"/>
  <c r="L490"/>
  <c r="N490" s="1"/>
  <c r="L489"/>
  <c r="N489" s="1"/>
  <c r="L488"/>
  <c r="N488" s="1"/>
  <c r="L487"/>
  <c r="N487" s="1"/>
  <c r="L486"/>
  <c r="N486" s="1"/>
  <c r="L485"/>
  <c r="N485" s="1"/>
  <c r="L484"/>
  <c r="N484" s="1"/>
  <c r="L483"/>
  <c r="N483" s="1"/>
  <c r="L482"/>
  <c r="N482" s="1"/>
  <c r="L481"/>
  <c r="N481" s="1"/>
  <c r="L480"/>
  <c r="N480" s="1"/>
  <c r="L479"/>
  <c r="N479" s="1"/>
  <c r="L478"/>
  <c r="N478" s="1"/>
  <c r="L477"/>
  <c r="N477" s="1"/>
  <c r="L476"/>
  <c r="N476" s="1"/>
  <c r="L475"/>
  <c r="N475" s="1"/>
  <c r="L474"/>
  <c r="N474" s="1"/>
  <c r="L473"/>
  <c r="N473" s="1"/>
  <c r="L472"/>
  <c r="N472" s="1"/>
  <c r="L471"/>
  <c r="N471" s="1"/>
  <c r="L470"/>
  <c r="N470" s="1"/>
  <c r="L469"/>
  <c r="N469" s="1"/>
  <c r="L468"/>
  <c r="N468" s="1"/>
  <c r="L467"/>
  <c r="N467" s="1"/>
  <c r="L466"/>
  <c r="N466" s="1"/>
  <c r="L465"/>
  <c r="N465" s="1"/>
  <c r="L464"/>
  <c r="N464" s="1"/>
  <c r="L463"/>
  <c r="N463" s="1"/>
  <c r="L462"/>
  <c r="N462" s="1"/>
  <c r="L461"/>
  <c r="N461" s="1"/>
  <c r="L460"/>
  <c r="N460" s="1"/>
  <c r="L459"/>
  <c r="N459" s="1"/>
  <c r="L458"/>
  <c r="N458" s="1"/>
  <c r="L457"/>
  <c r="N457" s="1"/>
  <c r="L456"/>
  <c r="N456" s="1"/>
  <c r="L455"/>
  <c r="N455" s="1"/>
  <c r="L454"/>
  <c r="N454" s="1"/>
  <c r="L453"/>
  <c r="N453" s="1"/>
  <c r="L452"/>
  <c r="N452" s="1"/>
  <c r="L451"/>
  <c r="N451" s="1"/>
  <c r="L450"/>
  <c r="N450" s="1"/>
  <c r="L449"/>
  <c r="N449" s="1"/>
  <c r="L448"/>
  <c r="N448" s="1"/>
  <c r="L447"/>
  <c r="N447" s="1"/>
  <c r="L446"/>
  <c r="N446" s="1"/>
  <c r="L445"/>
  <c r="N445" s="1"/>
  <c r="L444"/>
  <c r="N444" s="1"/>
  <c r="L443"/>
  <c r="N443" s="1"/>
  <c r="L442"/>
  <c r="N442" s="1"/>
  <c r="L441"/>
  <c r="N441" s="1"/>
  <c r="L440"/>
  <c r="N440" s="1"/>
  <c r="L439"/>
  <c r="N439" s="1"/>
  <c r="L438"/>
  <c r="N438" s="1"/>
  <c r="L437"/>
  <c r="N437" s="1"/>
  <c r="L436"/>
  <c r="N436" s="1"/>
  <c r="L435"/>
  <c r="N435" s="1"/>
  <c r="L434"/>
  <c r="N434" s="1"/>
  <c r="L433"/>
  <c r="N433" s="1"/>
  <c r="L432"/>
  <c r="N432" s="1"/>
  <c r="L431"/>
  <c r="N431" s="1"/>
  <c r="L430"/>
  <c r="N430" s="1"/>
  <c r="L429"/>
  <c r="N429" s="1"/>
  <c r="L428"/>
  <c r="N428" s="1"/>
  <c r="L427"/>
  <c r="N427" s="1"/>
  <c r="L426"/>
  <c r="N426" s="1"/>
  <c r="L425"/>
  <c r="N425" s="1"/>
  <c r="L424"/>
  <c r="N424" s="1"/>
  <c r="L423"/>
  <c r="N423" s="1"/>
  <c r="L422"/>
  <c r="N422" s="1"/>
  <c r="L421"/>
  <c r="N421" s="1"/>
  <c r="L420"/>
  <c r="N420" s="1"/>
  <c r="L419"/>
  <c r="N419" s="1"/>
  <c r="L418"/>
  <c r="N418" s="1"/>
  <c r="L417"/>
  <c r="N417" s="1"/>
  <c r="L416"/>
  <c r="N416" s="1"/>
  <c r="L415"/>
  <c r="N415" s="1"/>
  <c r="L414"/>
  <c r="N414" s="1"/>
  <c r="L413"/>
  <c r="N413" s="1"/>
  <c r="L412"/>
  <c r="N412" s="1"/>
  <c r="L411"/>
  <c r="N411" s="1"/>
  <c r="L410"/>
  <c r="N410" s="1"/>
  <c r="L409"/>
  <c r="N409" s="1"/>
  <c r="L408"/>
  <c r="N408" s="1"/>
  <c r="L407"/>
  <c r="N407" s="1"/>
  <c r="L406"/>
  <c r="N406" s="1"/>
  <c r="L405"/>
  <c r="N405" s="1"/>
  <c r="L404"/>
  <c r="N404" s="1"/>
  <c r="L403"/>
  <c r="N403" s="1"/>
  <c r="L402"/>
  <c r="N402" s="1"/>
  <c r="L401"/>
  <c r="N401" s="1"/>
  <c r="L400"/>
  <c r="N400" s="1"/>
  <c r="L399"/>
  <c r="N399" s="1"/>
  <c r="L398"/>
  <c r="N398" s="1"/>
  <c r="L397"/>
  <c r="N397" s="1"/>
  <c r="L396"/>
  <c r="N396" s="1"/>
  <c r="L395"/>
  <c r="N395" s="1"/>
  <c r="L394"/>
  <c r="N394" s="1"/>
  <c r="L393"/>
  <c r="N393" s="1"/>
  <c r="L392"/>
  <c r="N392" s="1"/>
  <c r="L391"/>
  <c r="N391" s="1"/>
  <c r="L390"/>
  <c r="N390" s="1"/>
  <c r="L389"/>
  <c r="N389" s="1"/>
  <c r="L388"/>
  <c r="N388" s="1"/>
  <c r="L387"/>
  <c r="N387" s="1"/>
  <c r="L386"/>
  <c r="N386" s="1"/>
  <c r="L385"/>
  <c r="N385" s="1"/>
  <c r="L384"/>
  <c r="N384" s="1"/>
  <c r="L383"/>
  <c r="N383" s="1"/>
  <c r="L382"/>
  <c r="N382" s="1"/>
  <c r="L381"/>
  <c r="N381" s="1"/>
  <c r="L380"/>
  <c r="N380" s="1"/>
  <c r="L379"/>
  <c r="N379" s="1"/>
  <c r="L378"/>
  <c r="N378" s="1"/>
  <c r="L377"/>
  <c r="N377" s="1"/>
  <c r="L376"/>
  <c r="N376" s="1"/>
  <c r="L375"/>
  <c r="N375" s="1"/>
  <c r="L374"/>
  <c r="N374" s="1"/>
  <c r="L373"/>
  <c r="N373" s="1"/>
  <c r="L372"/>
  <c r="N372" s="1"/>
  <c r="L371"/>
  <c r="N371" s="1"/>
  <c r="L370"/>
  <c r="N370" s="1"/>
  <c r="L369"/>
  <c r="N369" s="1"/>
  <c r="L368"/>
  <c r="N368" s="1"/>
  <c r="L367"/>
  <c r="N367" s="1"/>
  <c r="L366"/>
  <c r="N366" s="1"/>
  <c r="L365"/>
  <c r="N365" s="1"/>
  <c r="L364"/>
  <c r="N364" s="1"/>
  <c r="L363"/>
  <c r="N363" s="1"/>
  <c r="L362"/>
  <c r="N362" s="1"/>
  <c r="L361"/>
  <c r="N361" s="1"/>
  <c r="L360"/>
  <c r="N360" s="1"/>
  <c r="L359"/>
  <c r="N359" s="1"/>
  <c r="L358"/>
  <c r="N358" s="1"/>
  <c r="L357"/>
  <c r="N357" s="1"/>
  <c r="L356"/>
  <c r="N356" s="1"/>
  <c r="L355"/>
  <c r="N355" s="1"/>
  <c r="L354"/>
  <c r="N354" s="1"/>
  <c r="L353"/>
  <c r="N353" s="1"/>
  <c r="L352"/>
  <c r="N352" s="1"/>
  <c r="L351"/>
  <c r="N351" s="1"/>
  <c r="L350"/>
  <c r="N350" s="1"/>
  <c r="L349"/>
  <c r="N349" s="1"/>
  <c r="L348"/>
  <c r="N348" s="1"/>
  <c r="L347"/>
  <c r="N347" s="1"/>
  <c r="L346"/>
  <c r="N346" s="1"/>
  <c r="L345"/>
  <c r="N345" s="1"/>
  <c r="L344"/>
  <c r="N344" s="1"/>
  <c r="L343"/>
  <c r="N343" s="1"/>
  <c r="L342"/>
  <c r="N342" s="1"/>
  <c r="L341"/>
  <c r="N341" s="1"/>
  <c r="L340"/>
  <c r="N340" s="1"/>
  <c r="L339"/>
  <c r="N339" s="1"/>
  <c r="L338"/>
  <c r="N338" s="1"/>
  <c r="L337"/>
  <c r="N337" s="1"/>
  <c r="L336"/>
  <c r="N336" s="1"/>
  <c r="L335"/>
  <c r="N335" s="1"/>
  <c r="L334"/>
  <c r="N334" s="1"/>
  <c r="L333"/>
  <c r="N333" s="1"/>
  <c r="L332"/>
  <c r="N332" s="1"/>
  <c r="L331"/>
  <c r="N331" s="1"/>
  <c r="L330"/>
  <c r="N330" s="1"/>
  <c r="L329"/>
  <c r="N329" s="1"/>
  <c r="L328"/>
  <c r="N328" s="1"/>
  <c r="L327"/>
  <c r="N327" s="1"/>
  <c r="L326"/>
  <c r="N326" s="1"/>
  <c r="L325"/>
  <c r="N325" s="1"/>
  <c r="L324"/>
  <c r="N324" s="1"/>
  <c r="L323"/>
  <c r="N323" s="1"/>
  <c r="L322"/>
  <c r="N322" s="1"/>
  <c r="L321"/>
  <c r="N321" s="1"/>
  <c r="L320"/>
  <c r="N320" s="1"/>
  <c r="L319"/>
  <c r="N319" s="1"/>
  <c r="L318"/>
  <c r="N318" s="1"/>
  <c r="L317"/>
  <c r="N317" s="1"/>
  <c r="L316"/>
  <c r="N316" s="1"/>
  <c r="L315"/>
  <c r="N315" s="1"/>
  <c r="L314"/>
  <c r="N314" s="1"/>
  <c r="L313"/>
  <c r="N313" s="1"/>
  <c r="L312"/>
  <c r="N312" s="1"/>
  <c r="L311"/>
  <c r="N311" s="1"/>
  <c r="L310"/>
  <c r="N310" s="1"/>
  <c r="L309"/>
  <c r="N309" s="1"/>
  <c r="L308"/>
  <c r="N308" s="1"/>
  <c r="L307"/>
  <c r="N307" s="1"/>
  <c r="L306"/>
  <c r="N306" s="1"/>
  <c r="L305"/>
  <c r="N305" s="1"/>
  <c r="L304"/>
  <c r="N304" s="1"/>
  <c r="L303"/>
  <c r="N303" s="1"/>
  <c r="L302"/>
  <c r="N302" s="1"/>
  <c r="L301"/>
  <c r="N301" s="1"/>
  <c r="L300"/>
  <c r="N300" s="1"/>
  <c r="L299"/>
  <c r="N299" s="1"/>
  <c r="L298"/>
  <c r="N298" s="1"/>
  <c r="L297"/>
  <c r="N297" s="1"/>
  <c r="L296"/>
  <c r="N296" s="1"/>
  <c r="L295"/>
  <c r="N295" s="1"/>
  <c r="L294"/>
  <c r="N294" s="1"/>
  <c r="L293"/>
  <c r="N293" s="1"/>
  <c r="L292"/>
  <c r="N292" s="1"/>
  <c r="L291"/>
  <c r="N291" s="1"/>
  <c r="L290"/>
  <c r="N290" s="1"/>
  <c r="L289"/>
  <c r="N289" s="1"/>
  <c r="L288"/>
  <c r="N288" s="1"/>
  <c r="L287"/>
  <c r="N287" s="1"/>
  <c r="L286"/>
  <c r="N286" s="1"/>
  <c r="L285"/>
  <c r="N285" s="1"/>
  <c r="L284"/>
  <c r="N284" s="1"/>
  <c r="L283"/>
  <c r="N283" s="1"/>
  <c r="L282"/>
  <c r="N282" s="1"/>
  <c r="L281"/>
  <c r="N281" s="1"/>
  <c r="L280"/>
  <c r="N280" s="1"/>
  <c r="L279"/>
  <c r="N279" s="1"/>
  <c r="L278"/>
  <c r="N278" s="1"/>
  <c r="L277"/>
  <c r="N277" s="1"/>
  <c r="L272"/>
  <c r="N272" s="1"/>
  <c r="L268"/>
  <c r="N268" s="1"/>
  <c r="L262"/>
  <c r="N262" s="1"/>
  <c r="L258"/>
  <c r="N258" s="1"/>
  <c r="L252"/>
  <c r="N252" s="1"/>
  <c r="L246"/>
  <c r="N246" s="1"/>
  <c r="L240"/>
  <c r="N240" s="1"/>
  <c r="L236"/>
  <c r="N236" s="1"/>
  <c r="L230"/>
  <c r="N230" s="1"/>
  <c r="L226"/>
  <c r="N226" s="1"/>
  <c r="L222"/>
  <c r="N222" s="1"/>
  <c r="L216"/>
  <c r="N216" s="1"/>
  <c r="L212"/>
  <c r="N212" s="1"/>
  <c r="L208"/>
  <c r="N208" s="1"/>
  <c r="L202"/>
  <c r="N202" s="1"/>
  <c r="L198"/>
  <c r="N198" s="1"/>
  <c r="L192"/>
  <c r="N192" s="1"/>
  <c r="L188"/>
  <c r="N188" s="1"/>
  <c r="L182"/>
  <c r="N182" s="1"/>
  <c r="L178"/>
  <c r="N178" s="1"/>
  <c r="L172"/>
  <c r="N172" s="1"/>
  <c r="L168"/>
  <c r="N168" s="1"/>
  <c r="L164"/>
  <c r="N164" s="1"/>
  <c r="L541"/>
  <c r="N541" s="1"/>
  <c r="M525"/>
  <c r="M522"/>
  <c r="M521"/>
  <c r="M520"/>
  <c r="M519"/>
  <c r="M518"/>
  <c r="M269"/>
  <c r="L259"/>
  <c r="N259" s="1"/>
  <c r="L237"/>
  <c r="N237" s="1"/>
  <c r="M227"/>
  <c r="L223"/>
  <c r="N223" s="1"/>
  <c r="L209"/>
  <c r="N209" s="1"/>
  <c r="M199"/>
  <c r="L189"/>
  <c r="N189" s="1"/>
  <c r="M179"/>
  <c r="L169"/>
  <c r="N169" s="1"/>
  <c r="M257"/>
  <c r="M235"/>
  <c r="M221"/>
  <c r="M207"/>
  <c r="M197"/>
  <c r="M187"/>
  <c r="M167"/>
  <c r="M163"/>
  <c r="M162"/>
  <c r="M160"/>
  <c r="M159"/>
  <c r="M156"/>
  <c r="M155"/>
  <c r="M151"/>
  <c r="M150"/>
  <c r="M147"/>
  <c r="M132"/>
  <c r="M504"/>
  <c r="M500"/>
  <c r="M499"/>
  <c r="M496"/>
  <c r="M494"/>
  <c r="M493"/>
  <c r="M485"/>
  <c r="M482"/>
  <c r="M481"/>
  <c r="M478"/>
  <c r="M477"/>
  <c r="M476"/>
  <c r="M475"/>
  <c r="M473"/>
  <c r="M472"/>
  <c r="M468"/>
  <c r="M467"/>
  <c r="M463"/>
  <c r="M462"/>
  <c r="M461"/>
  <c r="M457"/>
  <c r="M456"/>
  <c r="M452"/>
  <c r="M448"/>
  <c r="M436"/>
  <c r="M431"/>
  <c r="M425"/>
  <c r="M421"/>
  <c r="M406"/>
  <c r="M405"/>
  <c r="M401"/>
  <c r="M396"/>
  <c r="M392"/>
  <c r="M391"/>
  <c r="M387"/>
  <c r="M386"/>
  <c r="M382"/>
  <c r="M381"/>
  <c r="M376"/>
  <c r="M372"/>
  <c r="M371"/>
  <c r="M368"/>
  <c r="M367"/>
  <c r="M365"/>
  <c r="M364"/>
  <c r="M354"/>
  <c r="M353"/>
  <c r="M352"/>
  <c r="M350"/>
  <c r="M349"/>
  <c r="M345"/>
  <c r="M344"/>
  <c r="M339"/>
  <c r="M336"/>
  <c r="M335"/>
  <c r="M334"/>
  <c r="M333"/>
  <c r="M332"/>
  <c r="M330"/>
  <c r="M320"/>
  <c r="M319"/>
  <c r="M316"/>
  <c r="M312"/>
  <c r="M306"/>
  <c r="M302"/>
  <c r="M301"/>
  <c r="M297"/>
  <c r="M296"/>
  <c r="M291"/>
  <c r="M286"/>
  <c r="M282"/>
  <c r="M258"/>
  <c r="M252"/>
  <c r="M240"/>
  <c r="M236"/>
  <c r="M222"/>
  <c r="M216"/>
  <c r="M202"/>
  <c r="M198"/>
  <c r="M182"/>
  <c r="M168"/>
  <c r="M164"/>
  <c r="M23"/>
  <c r="L41"/>
  <c r="L120"/>
  <c r="N120" s="1"/>
  <c r="L890"/>
  <c r="N890" s="1"/>
  <c r="L8"/>
  <c r="M18"/>
  <c r="L46"/>
  <c r="L885"/>
  <c r="N885" s="1"/>
  <c r="L529"/>
  <c r="N529" s="1"/>
  <c r="L549"/>
  <c r="N549" s="1"/>
  <c r="L565"/>
  <c r="N565" s="1"/>
  <c r="M581"/>
  <c r="L597"/>
  <c r="N597" s="1"/>
  <c r="L616"/>
  <c r="N616" s="1"/>
  <c r="M624"/>
  <c r="L634"/>
  <c r="N634" s="1"/>
  <c r="M646"/>
  <c r="L656"/>
  <c r="N656" s="1"/>
  <c r="M664"/>
  <c r="L676"/>
  <c r="N676" s="1"/>
  <c r="L696"/>
  <c r="N696" s="1"/>
  <c r="L716"/>
  <c r="N716" s="1"/>
  <c r="L736"/>
  <c r="N736" s="1"/>
  <c r="L756"/>
  <c r="N756" s="1"/>
  <c r="M766"/>
  <c r="L776"/>
  <c r="N776" s="1"/>
  <c r="M786"/>
  <c r="L796"/>
  <c r="N796" s="1"/>
  <c r="L814"/>
  <c r="N814" s="1"/>
  <c r="L836"/>
  <c r="N836" s="1"/>
  <c r="L853"/>
  <c r="N853" s="1"/>
  <c r="L871"/>
  <c r="N871" s="1"/>
  <c r="M881"/>
  <c r="L892"/>
  <c r="N892" s="1"/>
  <c r="M902"/>
  <c r="L912"/>
  <c r="N912" s="1"/>
  <c r="L932"/>
  <c r="N932" s="1"/>
  <c r="L950"/>
  <c r="N950" s="1"/>
  <c r="L974"/>
  <c r="N974" s="1"/>
  <c r="M180"/>
  <c r="L200"/>
  <c r="N200" s="1"/>
  <c r="M214"/>
  <c r="L228"/>
  <c r="N228" s="1"/>
  <c r="L270"/>
  <c r="N270" s="1"/>
  <c r="L1091"/>
  <c r="N1091" s="1"/>
  <c r="L194"/>
  <c r="N194" s="1"/>
  <c r="M218"/>
  <c r="L242"/>
  <c r="N242" s="1"/>
  <c r="M264"/>
  <c r="L994"/>
  <c r="N994" s="1"/>
  <c r="L1034"/>
  <c r="N1034" s="1"/>
  <c r="L1000"/>
  <c r="N1000" s="1"/>
  <c r="L1056"/>
  <c r="N1056" s="1"/>
  <c r="L116"/>
  <c r="N116" s="1"/>
  <c r="L13"/>
  <c r="L545"/>
  <c r="N545" s="1"/>
  <c r="L553"/>
  <c r="N553" s="1"/>
  <c r="L569"/>
  <c r="N569" s="1"/>
  <c r="M585"/>
  <c r="L593"/>
  <c r="N593" s="1"/>
  <c r="M601"/>
  <c r="L612"/>
  <c r="N612" s="1"/>
  <c r="M620"/>
  <c r="L630"/>
  <c r="N630" s="1"/>
  <c r="M640"/>
  <c r="L650"/>
  <c r="N650" s="1"/>
  <c r="M660"/>
  <c r="L670"/>
  <c r="N670" s="1"/>
  <c r="M682"/>
  <c r="L692"/>
  <c r="N692" s="1"/>
  <c r="L712"/>
  <c r="N712" s="1"/>
  <c r="L730"/>
  <c r="N730" s="1"/>
  <c r="L750"/>
  <c r="N750" s="1"/>
  <c r="M760"/>
  <c r="L770"/>
  <c r="N770" s="1"/>
  <c r="L790"/>
  <c r="N790" s="1"/>
  <c r="M800"/>
  <c r="L810"/>
  <c r="N810" s="1"/>
  <c r="L832"/>
  <c r="N832" s="1"/>
  <c r="L857"/>
  <c r="N857" s="1"/>
  <c r="L865"/>
  <c r="N865" s="1"/>
  <c r="L889"/>
  <c r="N889" s="1"/>
  <c r="L898"/>
  <c r="N898" s="1"/>
  <c r="M908"/>
  <c r="L918"/>
  <c r="N918" s="1"/>
  <c r="L938"/>
  <c r="N938" s="1"/>
  <c r="M946"/>
  <c r="L958"/>
  <c r="N958" s="1"/>
  <c r="L978"/>
  <c r="N978" s="1"/>
  <c r="L190"/>
  <c r="N190" s="1"/>
  <c r="M238"/>
  <c r="L260"/>
  <c r="N260" s="1"/>
  <c r="L1087"/>
  <c r="N1087" s="1"/>
  <c r="L204"/>
  <c r="N204" s="1"/>
  <c r="M232"/>
  <c r="L254"/>
  <c r="N254" s="1"/>
  <c r="L1004"/>
  <c r="N1004" s="1"/>
  <c r="L1066"/>
  <c r="N1066" s="1"/>
  <c r="L1008"/>
  <c r="N1008" s="1"/>
  <c r="M1028"/>
  <c r="L1046"/>
  <c r="N1046" s="1"/>
  <c r="L1062"/>
  <c r="N1062" s="1"/>
  <c r="L800"/>
  <c r="N800" s="1"/>
  <c r="L822"/>
  <c r="N822" s="1"/>
  <c r="L842"/>
  <c r="N842" s="1"/>
  <c r="M889"/>
  <c r="M898"/>
  <c r="M918"/>
  <c r="M958"/>
  <c r="L968"/>
  <c r="N968" s="1"/>
  <c r="L210"/>
  <c r="N210" s="1"/>
  <c r="L238"/>
  <c r="N238" s="1"/>
  <c r="L1069"/>
  <c r="N1069" s="1"/>
  <c r="L1095"/>
  <c r="N1095" s="1"/>
  <c r="M254"/>
  <c r="L984"/>
  <c r="N984" s="1"/>
  <c r="L23"/>
  <c r="M41"/>
  <c r="M890"/>
  <c r="M8"/>
  <c r="L18"/>
  <c r="L81"/>
  <c r="M46"/>
  <c r="M885"/>
  <c r="L537"/>
  <c r="N537" s="1"/>
  <c r="L557"/>
  <c r="N557" s="1"/>
  <c r="M565"/>
  <c r="L581"/>
  <c r="N581" s="1"/>
  <c r="L589"/>
  <c r="N589" s="1"/>
  <c r="L605"/>
  <c r="N605" s="1"/>
  <c r="L624"/>
  <c r="N624" s="1"/>
  <c r="L646"/>
  <c r="N646" s="1"/>
  <c r="L664"/>
  <c r="N664" s="1"/>
  <c r="M676"/>
  <c r="L686"/>
  <c r="N686" s="1"/>
  <c r="M696"/>
  <c r="L706"/>
  <c r="N706" s="1"/>
  <c r="L726"/>
  <c r="N726" s="1"/>
  <c r="L746"/>
  <c r="N746" s="1"/>
  <c r="M756"/>
  <c r="L766"/>
  <c r="N766" s="1"/>
  <c r="L786"/>
  <c r="N786" s="1"/>
  <c r="M796"/>
  <c r="L806"/>
  <c r="N806" s="1"/>
  <c r="L826"/>
  <c r="N826" s="1"/>
  <c r="L845"/>
  <c r="N845" s="1"/>
  <c r="M853"/>
  <c r="L859"/>
  <c r="N859" s="1"/>
  <c r="L881"/>
  <c r="N881" s="1"/>
  <c r="M892"/>
  <c r="L902"/>
  <c r="N902" s="1"/>
  <c r="M912"/>
  <c r="L922"/>
  <c r="N922" s="1"/>
  <c r="M932"/>
  <c r="L942"/>
  <c r="N942" s="1"/>
  <c r="L962"/>
  <c r="N962" s="1"/>
  <c r="M974"/>
  <c r="L166"/>
  <c r="N166" s="1"/>
  <c r="L180"/>
  <c r="N180" s="1"/>
  <c r="M200"/>
  <c r="L214"/>
  <c r="N214" s="1"/>
  <c r="L248"/>
  <c r="N248" s="1"/>
  <c r="M270"/>
  <c r="L1081"/>
  <c r="N1081" s="1"/>
  <c r="L174"/>
  <c r="N174" s="1"/>
  <c r="M194"/>
  <c r="L218"/>
  <c r="N218" s="1"/>
  <c r="L264"/>
  <c r="N264" s="1"/>
  <c r="L1014"/>
  <c r="N1014" s="1"/>
  <c r="L1076"/>
  <c r="N1076" s="1"/>
  <c r="M1000"/>
  <c r="L1018"/>
  <c r="N1018" s="1"/>
  <c r="L1040"/>
  <c r="N1040" s="1"/>
  <c r="M1056"/>
  <c r="L1052"/>
  <c r="N1052" s="1"/>
  <c r="L51"/>
  <c r="L273"/>
  <c r="N273" s="1"/>
  <c r="L533"/>
  <c r="N533" s="1"/>
  <c r="L561"/>
  <c r="N561" s="1"/>
  <c r="M569"/>
  <c r="L585"/>
  <c r="N585" s="1"/>
  <c r="L601"/>
  <c r="N601" s="1"/>
  <c r="M612"/>
  <c r="L620"/>
  <c r="N620" s="1"/>
  <c r="M630"/>
  <c r="L640"/>
  <c r="N640" s="1"/>
  <c r="L660"/>
  <c r="N660" s="1"/>
  <c r="L682"/>
  <c r="N682" s="1"/>
  <c r="L702"/>
  <c r="N702" s="1"/>
  <c r="M712"/>
  <c r="L722"/>
  <c r="N722" s="1"/>
  <c r="L740"/>
  <c r="N740" s="1"/>
  <c r="L760"/>
  <c r="N760" s="1"/>
  <c r="L780"/>
  <c r="N780" s="1"/>
  <c r="M810"/>
  <c r="M832"/>
  <c r="L849"/>
  <c r="N849" s="1"/>
  <c r="L875"/>
  <c r="N875" s="1"/>
  <c r="L908"/>
  <c r="N908" s="1"/>
  <c r="L928"/>
  <c r="N928" s="1"/>
  <c r="L946"/>
  <c r="N946" s="1"/>
  <c r="L170"/>
  <c r="N170" s="1"/>
  <c r="L224"/>
  <c r="N224" s="1"/>
  <c r="M260"/>
  <c r="M1087"/>
  <c r="L184"/>
  <c r="N184" s="1"/>
  <c r="L232"/>
  <c r="N232" s="1"/>
  <c r="L1024"/>
  <c r="N1024" s="1"/>
  <c r="L990"/>
  <c r="N990" s="1"/>
  <c r="L1028"/>
  <c r="N1028" s="1"/>
  <c r="L126"/>
  <c r="N126" s="1"/>
  <c r="L71"/>
  <c r="L53"/>
  <c r="M43"/>
  <c r="M83"/>
  <c r="L205"/>
  <c r="N205" s="1"/>
  <c r="M1088"/>
  <c r="L261"/>
  <c r="N261" s="1"/>
  <c r="L191"/>
  <c r="N191" s="1"/>
  <c r="L979"/>
  <c r="N979" s="1"/>
  <c r="L939"/>
  <c r="N939" s="1"/>
  <c r="L919"/>
  <c r="N919" s="1"/>
  <c r="M899"/>
  <c r="L866"/>
  <c r="N866" s="1"/>
  <c r="M833"/>
  <c r="L811"/>
  <c r="N811" s="1"/>
  <c r="L771"/>
  <c r="N771" s="1"/>
  <c r="M751"/>
  <c r="L731"/>
  <c r="N731" s="1"/>
  <c r="M713"/>
  <c r="L693"/>
  <c r="N693" s="1"/>
  <c r="L651"/>
  <c r="N651" s="1"/>
  <c r="M631"/>
  <c r="L613"/>
  <c r="N613" s="1"/>
  <c r="L594"/>
  <c r="N594" s="1"/>
  <c r="L1057"/>
  <c r="N1057" s="1"/>
  <c r="M1092"/>
  <c r="L201"/>
  <c r="N201" s="1"/>
  <c r="L975"/>
  <c r="N975" s="1"/>
  <c r="L933"/>
  <c r="N933" s="1"/>
  <c r="L893"/>
  <c r="N893" s="1"/>
  <c r="L854"/>
  <c r="N854" s="1"/>
  <c r="L777"/>
  <c r="N777" s="1"/>
  <c r="M757"/>
  <c r="M717"/>
  <c r="L697"/>
  <c r="N697" s="1"/>
  <c r="L657"/>
  <c r="N657" s="1"/>
  <c r="L82"/>
  <c r="L24"/>
  <c r="L109"/>
  <c r="L99"/>
  <c r="L9"/>
  <c r="L274"/>
  <c r="N274" s="1"/>
  <c r="L127"/>
  <c r="N127" s="1"/>
  <c r="L991"/>
  <c r="N991" s="1"/>
  <c r="L185"/>
  <c r="N185" s="1"/>
  <c r="L171"/>
  <c r="N171" s="1"/>
  <c r="M947"/>
  <c r="L929"/>
  <c r="N929" s="1"/>
  <c r="L823"/>
  <c r="N823" s="1"/>
  <c r="L781"/>
  <c r="N781" s="1"/>
  <c r="L741"/>
  <c r="N741" s="1"/>
  <c r="M683"/>
  <c r="M602"/>
  <c r="L586"/>
  <c r="N586" s="1"/>
  <c r="L562"/>
  <c r="N562" s="1"/>
  <c r="M175"/>
  <c r="L1082"/>
  <c r="N1082" s="1"/>
  <c r="L215"/>
  <c r="N215" s="1"/>
  <c r="L963"/>
  <c r="N963" s="1"/>
  <c r="L923"/>
  <c r="N923" s="1"/>
  <c r="L827"/>
  <c r="N827" s="1"/>
  <c r="M807"/>
  <c r="L767"/>
  <c r="N767" s="1"/>
  <c r="L727"/>
  <c r="N727" s="1"/>
  <c r="L647"/>
  <c r="N647" s="1"/>
  <c r="L606"/>
  <c r="N606" s="1"/>
  <c r="M47"/>
  <c r="L42"/>
  <c r="M53"/>
  <c r="L43"/>
  <c r="L83"/>
  <c r="L121"/>
  <c r="N121" s="1"/>
  <c r="L1047"/>
  <c r="N1047" s="1"/>
  <c r="L1088"/>
  <c r="N1088" s="1"/>
  <c r="M261"/>
  <c r="M191"/>
  <c r="M979"/>
  <c r="L959"/>
  <c r="N959" s="1"/>
  <c r="L899"/>
  <c r="N899" s="1"/>
  <c r="L833"/>
  <c r="N833" s="1"/>
  <c r="M811"/>
  <c r="L791"/>
  <c r="N791" s="1"/>
  <c r="L751"/>
  <c r="N751" s="1"/>
  <c r="M731"/>
  <c r="L713"/>
  <c r="N713" s="1"/>
  <c r="L671"/>
  <c r="N671" s="1"/>
  <c r="L631"/>
  <c r="N631" s="1"/>
  <c r="M613"/>
  <c r="M570"/>
  <c r="L554"/>
  <c r="N554" s="1"/>
  <c r="L52"/>
  <c r="L117"/>
  <c r="N117" s="1"/>
  <c r="M1057"/>
  <c r="L1001"/>
  <c r="N1001" s="1"/>
  <c r="L1035"/>
  <c r="N1035" s="1"/>
  <c r="L243"/>
  <c r="N243" s="1"/>
  <c r="M195"/>
  <c r="L1092"/>
  <c r="N1092" s="1"/>
  <c r="M201"/>
  <c r="M975"/>
  <c r="L951"/>
  <c r="N951" s="1"/>
  <c r="M933"/>
  <c r="L913"/>
  <c r="N913" s="1"/>
  <c r="M893"/>
  <c r="L872"/>
  <c r="N872" s="1"/>
  <c r="M854"/>
  <c r="L837"/>
  <c r="N837" s="1"/>
  <c r="L797"/>
  <c r="N797" s="1"/>
  <c r="M777"/>
  <c r="L757"/>
  <c r="N757" s="1"/>
  <c r="M737"/>
  <c r="L717"/>
  <c r="N717" s="1"/>
  <c r="L677"/>
  <c r="N677" s="1"/>
  <c r="M657"/>
  <c r="L635"/>
  <c r="N635" s="1"/>
  <c r="M598"/>
  <c r="L550"/>
  <c r="N550" s="1"/>
  <c r="L530"/>
  <c r="N530" s="1"/>
  <c r="L19"/>
  <c r="M24"/>
  <c r="L1067"/>
  <c r="N1067" s="1"/>
  <c r="L1005"/>
  <c r="N1005" s="1"/>
  <c r="L255"/>
  <c r="N255" s="1"/>
  <c r="M49"/>
  <c r="M9"/>
  <c r="M48"/>
  <c r="M274"/>
  <c r="M886"/>
  <c r="M127"/>
  <c r="L1029"/>
  <c r="N1029" s="1"/>
  <c r="M1025"/>
  <c r="L233"/>
  <c r="N233" s="1"/>
  <c r="L1070"/>
  <c r="N1070" s="1"/>
  <c r="M239"/>
  <c r="M969"/>
  <c r="L947"/>
  <c r="N947" s="1"/>
  <c r="M929"/>
  <c r="L909"/>
  <c r="N909" s="1"/>
  <c r="M876"/>
  <c r="L850"/>
  <c r="N850" s="1"/>
  <c r="M823"/>
  <c r="L801"/>
  <c r="N801" s="1"/>
  <c r="L761"/>
  <c r="N761" s="1"/>
  <c r="M741"/>
  <c r="L723"/>
  <c r="N723" s="1"/>
  <c r="M703"/>
  <c r="L683"/>
  <c r="N683" s="1"/>
  <c r="M661"/>
  <c r="L641"/>
  <c r="N641" s="1"/>
  <c r="M621"/>
  <c r="L602"/>
  <c r="N602" s="1"/>
  <c r="L534"/>
  <c r="N534" s="1"/>
  <c r="L14"/>
  <c r="L1053"/>
  <c r="N1053" s="1"/>
  <c r="L1019"/>
  <c r="N1019" s="1"/>
  <c r="M1077"/>
  <c r="L1015"/>
  <c r="N1015" s="1"/>
  <c r="L265"/>
  <c r="N265" s="1"/>
  <c r="M219"/>
  <c r="L175"/>
  <c r="N175" s="1"/>
  <c r="M1082"/>
  <c r="L249"/>
  <c r="N249" s="1"/>
  <c r="L943"/>
  <c r="N943" s="1"/>
  <c r="M923"/>
  <c r="L903"/>
  <c r="N903" s="1"/>
  <c r="L846"/>
  <c r="N846" s="1"/>
  <c r="L807"/>
  <c r="N807" s="1"/>
  <c r="L787"/>
  <c r="N787" s="1"/>
  <c r="L747"/>
  <c r="N747" s="1"/>
  <c r="L707"/>
  <c r="N707" s="1"/>
  <c r="M687"/>
  <c r="L665"/>
  <c r="N665" s="1"/>
  <c r="M647"/>
  <c r="L625"/>
  <c r="N625" s="1"/>
  <c r="M606"/>
  <c r="L590"/>
  <c r="N590" s="1"/>
  <c r="L558"/>
  <c r="N558" s="1"/>
  <c r="L47"/>
  <c r="M42"/>
  <c r="L570"/>
  <c r="N570" s="1"/>
  <c r="M1001"/>
  <c r="L995"/>
  <c r="N995" s="1"/>
  <c r="L195"/>
  <c r="N195" s="1"/>
  <c r="L271"/>
  <c r="N271" s="1"/>
  <c r="L229"/>
  <c r="N229" s="1"/>
  <c r="M951"/>
  <c r="M913"/>
  <c r="M872"/>
  <c r="M837"/>
  <c r="L815"/>
  <c r="N815" s="1"/>
  <c r="M797"/>
  <c r="L737"/>
  <c r="N737" s="1"/>
  <c r="L617"/>
  <c r="N617" s="1"/>
  <c r="L598"/>
  <c r="N598" s="1"/>
  <c r="L566"/>
  <c r="N566" s="1"/>
  <c r="M19"/>
  <c r="L1009"/>
  <c r="N1009" s="1"/>
  <c r="M255"/>
  <c r="L49"/>
  <c r="L48"/>
  <c r="L886"/>
  <c r="N886" s="1"/>
  <c r="M1029"/>
  <c r="L1025"/>
  <c r="N1025" s="1"/>
  <c r="L985"/>
  <c r="N985" s="1"/>
  <c r="M233"/>
  <c r="L239"/>
  <c r="N239" s="1"/>
  <c r="L969"/>
  <c r="N969" s="1"/>
  <c r="M909"/>
  <c r="L876"/>
  <c r="N876" s="1"/>
  <c r="M850"/>
  <c r="M761"/>
  <c r="M723"/>
  <c r="L703"/>
  <c r="N703" s="1"/>
  <c r="L661"/>
  <c r="N661" s="1"/>
  <c r="M641"/>
  <c r="L621"/>
  <c r="N621" s="1"/>
  <c r="M1053"/>
  <c r="L1077"/>
  <c r="N1077" s="1"/>
  <c r="M265"/>
  <c r="L219"/>
  <c r="N219" s="1"/>
  <c r="L181"/>
  <c r="N181" s="1"/>
  <c r="M903"/>
  <c r="L882"/>
  <c r="N882" s="1"/>
  <c r="L860"/>
  <c r="N860" s="1"/>
  <c r="M707"/>
  <c r="L687"/>
  <c r="N687" s="1"/>
  <c r="M665"/>
  <c r="L538"/>
  <c r="N538" s="1"/>
  <c r="M86"/>
  <c r="L90"/>
  <c r="L50"/>
  <c r="L110"/>
  <c r="L84"/>
  <c r="L10"/>
  <c r="L122"/>
  <c r="N122" s="1"/>
  <c r="M626"/>
  <c r="L100"/>
  <c r="L54"/>
  <c r="L66"/>
  <c r="L76"/>
  <c r="M45"/>
  <c r="M275"/>
  <c r="L607"/>
  <c r="N607" s="1"/>
  <c r="L728"/>
  <c r="N728" s="1"/>
  <c r="L768"/>
  <c r="N768" s="1"/>
  <c r="L828"/>
  <c r="N828" s="1"/>
  <c r="M861"/>
  <c r="L924"/>
  <c r="N924" s="1"/>
  <c r="L1083"/>
  <c r="N1083" s="1"/>
  <c r="L220"/>
  <c r="N220" s="1"/>
  <c r="L1078"/>
  <c r="N1078" s="1"/>
  <c r="M15"/>
  <c r="M742"/>
  <c r="L782"/>
  <c r="N782" s="1"/>
  <c r="M824"/>
  <c r="M877"/>
  <c r="L930"/>
  <c r="N930" s="1"/>
  <c r="L970"/>
  <c r="N970" s="1"/>
  <c r="M186"/>
  <c r="M986"/>
  <c r="M128"/>
  <c r="L20"/>
  <c r="L567"/>
  <c r="N567" s="1"/>
  <c r="L658"/>
  <c r="N658" s="1"/>
  <c r="L698"/>
  <c r="N698" s="1"/>
  <c r="M778"/>
  <c r="M816"/>
  <c r="L855"/>
  <c r="N855" s="1"/>
  <c r="L894"/>
  <c r="N894" s="1"/>
  <c r="M934"/>
  <c r="L976"/>
  <c r="N976" s="1"/>
  <c r="L196"/>
  <c r="N196" s="1"/>
  <c r="L996"/>
  <c r="N996" s="1"/>
  <c r="L1058"/>
  <c r="N1058" s="1"/>
  <c r="L571"/>
  <c r="N571" s="1"/>
  <c r="L694"/>
  <c r="N694" s="1"/>
  <c r="L732"/>
  <c r="N732" s="1"/>
  <c r="L812"/>
  <c r="N812" s="1"/>
  <c r="L867"/>
  <c r="N867" s="1"/>
  <c r="M980"/>
  <c r="L206"/>
  <c r="N206" s="1"/>
  <c r="L44"/>
  <c r="L559"/>
  <c r="N559" s="1"/>
  <c r="L666"/>
  <c r="N666" s="1"/>
  <c r="L748"/>
  <c r="N748" s="1"/>
  <c r="L788"/>
  <c r="N788" s="1"/>
  <c r="L847"/>
  <c r="N847" s="1"/>
  <c r="L904"/>
  <c r="N904" s="1"/>
  <c r="M250"/>
  <c r="M1020"/>
  <c r="L684"/>
  <c r="N684" s="1"/>
  <c r="L724"/>
  <c r="N724" s="1"/>
  <c r="L762"/>
  <c r="N762" s="1"/>
  <c r="L851"/>
  <c r="N851" s="1"/>
  <c r="L910"/>
  <c r="N910" s="1"/>
  <c r="L948"/>
  <c r="N948" s="1"/>
  <c r="L1071"/>
  <c r="N1071" s="1"/>
  <c r="M256"/>
  <c r="M25"/>
  <c r="L531"/>
  <c r="N531" s="1"/>
  <c r="L636"/>
  <c r="N636" s="1"/>
  <c r="M678"/>
  <c r="L718"/>
  <c r="N718" s="1"/>
  <c r="M798"/>
  <c r="L873"/>
  <c r="N873" s="1"/>
  <c r="L914"/>
  <c r="N914" s="1"/>
  <c r="M952"/>
  <c r="L1093"/>
  <c r="N1093" s="1"/>
  <c r="L244"/>
  <c r="N244" s="1"/>
  <c r="L118"/>
  <c r="N118" s="1"/>
  <c r="L632"/>
  <c r="N632" s="1"/>
  <c r="L672"/>
  <c r="N672" s="1"/>
  <c r="M714"/>
  <c r="M752"/>
  <c r="L792"/>
  <c r="N792" s="1"/>
  <c r="M834"/>
  <c r="L86"/>
  <c r="M50"/>
  <c r="M84"/>
  <c r="M10"/>
  <c r="M122"/>
  <c r="L626"/>
  <c r="N626" s="1"/>
  <c r="M54"/>
  <c r="M66"/>
  <c r="M76"/>
  <c r="L72"/>
  <c r="L45"/>
  <c r="L275"/>
  <c r="N275" s="1"/>
  <c r="L539"/>
  <c r="N539" s="1"/>
  <c r="M607"/>
  <c r="L648"/>
  <c r="N648" s="1"/>
  <c r="L688"/>
  <c r="N688" s="1"/>
  <c r="M728"/>
  <c r="M828"/>
  <c r="L861"/>
  <c r="N861" s="1"/>
  <c r="M924"/>
  <c r="L964"/>
  <c r="N964" s="1"/>
  <c r="M1083"/>
  <c r="M220"/>
  <c r="M1078"/>
  <c r="L15"/>
  <c r="L563"/>
  <c r="N563" s="1"/>
  <c r="L622"/>
  <c r="N622" s="1"/>
  <c r="L662"/>
  <c r="N662" s="1"/>
  <c r="L704"/>
  <c r="N704" s="1"/>
  <c r="L742"/>
  <c r="N742" s="1"/>
  <c r="M782"/>
  <c r="L824"/>
  <c r="N824" s="1"/>
  <c r="L877"/>
  <c r="N877" s="1"/>
  <c r="M970"/>
  <c r="L186"/>
  <c r="N186" s="1"/>
  <c r="L986"/>
  <c r="N986" s="1"/>
  <c r="L128"/>
  <c r="N128" s="1"/>
  <c r="L1010"/>
  <c r="N1010" s="1"/>
  <c r="M20"/>
  <c r="M658"/>
  <c r="M698"/>
  <c r="L738"/>
  <c r="N738" s="1"/>
  <c r="L778"/>
  <c r="N778" s="1"/>
  <c r="L816"/>
  <c r="N816" s="1"/>
  <c r="M855"/>
  <c r="M894"/>
  <c r="L934"/>
  <c r="N934" s="1"/>
  <c r="M1058"/>
  <c r="L652"/>
  <c r="N652" s="1"/>
  <c r="M694"/>
  <c r="M732"/>
  <c r="L772"/>
  <c r="N772" s="1"/>
  <c r="M812"/>
  <c r="L920"/>
  <c r="N920" s="1"/>
  <c r="L980"/>
  <c r="N980" s="1"/>
  <c r="M206"/>
  <c r="M44"/>
  <c r="M666"/>
  <c r="L708"/>
  <c r="N708" s="1"/>
  <c r="M847"/>
  <c r="M904"/>
  <c r="L944"/>
  <c r="N944" s="1"/>
  <c r="L250"/>
  <c r="N250" s="1"/>
  <c r="L176"/>
  <c r="N176" s="1"/>
  <c r="L266"/>
  <c r="N266" s="1"/>
  <c r="L1020"/>
  <c r="N1020" s="1"/>
  <c r="L535"/>
  <c r="N535" s="1"/>
  <c r="L603"/>
  <c r="N603" s="1"/>
  <c r="L642"/>
  <c r="N642" s="1"/>
  <c r="M762"/>
  <c r="L802"/>
  <c r="N802" s="1"/>
  <c r="M851"/>
  <c r="M910"/>
  <c r="L234"/>
  <c r="N234" s="1"/>
  <c r="L1030"/>
  <c r="N1030" s="1"/>
  <c r="L256"/>
  <c r="N256" s="1"/>
  <c r="L25"/>
  <c r="L678"/>
  <c r="N678" s="1"/>
  <c r="M718"/>
  <c r="L758"/>
  <c r="N758" s="1"/>
  <c r="L798"/>
  <c r="N798" s="1"/>
  <c r="L838"/>
  <c r="N838" s="1"/>
  <c r="M873"/>
  <c r="M914"/>
  <c r="L952"/>
  <c r="N952" s="1"/>
  <c r="M244"/>
  <c r="L1036"/>
  <c r="N1036" s="1"/>
  <c r="L714"/>
  <c r="N714" s="1"/>
  <c r="L752"/>
  <c r="N752" s="1"/>
  <c r="M792"/>
  <c r="L834"/>
  <c r="N834" s="1"/>
  <c r="L900"/>
  <c r="N900" s="1"/>
  <c r="L960"/>
  <c r="N960" s="1"/>
  <c r="L1089"/>
  <c r="N1089" s="1"/>
  <c r="L1048"/>
  <c r="N1048" s="1"/>
  <c r="M900"/>
  <c r="M67"/>
  <c r="L101"/>
  <c r="M111"/>
  <c r="M11"/>
  <c r="M915"/>
  <c r="M637"/>
  <c r="L1072"/>
  <c r="N1072" s="1"/>
  <c r="L763"/>
  <c r="N763" s="1"/>
  <c r="L905"/>
  <c r="N905" s="1"/>
  <c r="L667"/>
  <c r="N667" s="1"/>
  <c r="M733"/>
  <c r="L16"/>
  <c r="L925"/>
  <c r="N925" s="1"/>
  <c r="L829"/>
  <c r="N829" s="1"/>
  <c r="L608"/>
  <c r="N608" s="1"/>
  <c r="L73"/>
  <c r="L40"/>
  <c r="L87"/>
  <c r="L77"/>
  <c r="L55"/>
  <c r="M61"/>
  <c r="L95"/>
  <c r="L85"/>
  <c r="L28"/>
  <c r="L88"/>
  <c r="L276"/>
  <c r="N276" s="1"/>
  <c r="L753"/>
  <c r="N753" s="1"/>
  <c r="L953"/>
  <c r="N953" s="1"/>
  <c r="L839"/>
  <c r="N839" s="1"/>
  <c r="L679"/>
  <c r="N679" s="1"/>
  <c r="L26"/>
  <c r="M803"/>
  <c r="M643"/>
  <c r="M935"/>
  <c r="M21"/>
  <c r="M743"/>
  <c r="M862"/>
  <c r="L689"/>
  <c r="N689" s="1"/>
  <c r="L540"/>
  <c r="N540" s="1"/>
  <c r="L627"/>
  <c r="N627" s="1"/>
  <c r="L91"/>
  <c r="L67"/>
  <c r="N67" s="1"/>
  <c r="L111"/>
  <c r="L11"/>
  <c r="N11" s="1"/>
  <c r="L74"/>
  <c r="L92"/>
  <c r="N92" s="1"/>
  <c r="L123"/>
  <c r="N123" s="1"/>
  <c r="L793"/>
  <c r="N793" s="1"/>
  <c r="L673"/>
  <c r="N673" s="1"/>
  <c r="L915"/>
  <c r="N915" s="1"/>
  <c r="L719"/>
  <c r="N719" s="1"/>
  <c r="L637"/>
  <c r="N637" s="1"/>
  <c r="M1072"/>
  <c r="M763"/>
  <c r="M905"/>
  <c r="M667"/>
  <c r="L868"/>
  <c r="N868" s="1"/>
  <c r="L733"/>
  <c r="N733" s="1"/>
  <c r="L572"/>
  <c r="N572" s="1"/>
  <c r="L895"/>
  <c r="N895" s="1"/>
  <c r="L699"/>
  <c r="N699" s="1"/>
  <c r="L971"/>
  <c r="N971" s="1"/>
  <c r="L783"/>
  <c r="N783" s="1"/>
  <c r="M16"/>
  <c r="M829"/>
  <c r="M73"/>
  <c r="M40"/>
  <c r="M87"/>
  <c r="M77"/>
  <c r="L61"/>
  <c r="M28"/>
  <c r="M26"/>
  <c r="L803"/>
  <c r="N803" s="1"/>
  <c r="L643"/>
  <c r="N643" s="1"/>
  <c r="L709"/>
  <c r="N709" s="1"/>
  <c r="L981"/>
  <c r="N981" s="1"/>
  <c r="L773"/>
  <c r="N773" s="1"/>
  <c r="L653"/>
  <c r="N653" s="1"/>
  <c r="L935"/>
  <c r="N935" s="1"/>
  <c r="L817"/>
  <c r="N817" s="1"/>
  <c r="L21"/>
  <c r="N21" s="1"/>
  <c r="L878"/>
  <c r="N878" s="1"/>
  <c r="L743"/>
  <c r="N743" s="1"/>
  <c r="L965"/>
  <c r="N965" s="1"/>
  <c r="L862"/>
  <c r="N862" s="1"/>
  <c r="M627"/>
  <c r="L78"/>
  <c r="N78" s="1"/>
  <c r="L75"/>
  <c r="N75" s="1"/>
  <c r="L113"/>
  <c r="N113" s="1"/>
  <c r="L69"/>
  <c r="N69" s="1"/>
  <c r="L29"/>
  <c r="N29" s="1"/>
  <c r="L63"/>
  <c r="N63" s="1"/>
  <c r="L22"/>
  <c r="L27"/>
  <c r="N27" s="1"/>
  <c r="L62"/>
  <c r="L668"/>
  <c r="N668" s="1"/>
  <c r="L112"/>
  <c r="N112" s="1"/>
  <c r="L68"/>
  <c r="N68" s="1"/>
  <c r="M56"/>
  <c r="M93"/>
  <c r="M12"/>
  <c r="M97"/>
  <c r="M818"/>
  <c r="L96"/>
  <c r="N96" s="1"/>
  <c r="L17"/>
  <c r="N17" s="1"/>
  <c r="L638"/>
  <c r="N638" s="1"/>
  <c r="L102"/>
  <c r="N102" s="1"/>
  <c r="M69"/>
  <c r="M29"/>
  <c r="M63"/>
  <c r="M22"/>
  <c r="M27"/>
  <c r="M668"/>
  <c r="M112"/>
  <c r="M68"/>
  <c r="L56"/>
  <c r="N56" s="1"/>
  <c r="L93"/>
  <c r="N93" s="1"/>
  <c r="L12"/>
  <c r="L103"/>
  <c r="N103" s="1"/>
  <c r="L89"/>
  <c r="L97"/>
  <c r="N97" s="1"/>
  <c r="L863"/>
  <c r="N863" s="1"/>
  <c r="L818"/>
  <c r="N818" s="1"/>
  <c r="M96"/>
  <c r="L64"/>
  <c r="N64" s="1"/>
  <c r="L58"/>
  <c r="N58" s="1"/>
  <c r="M30"/>
  <c r="M57"/>
  <c r="M64"/>
  <c r="L79"/>
  <c r="N79" s="1"/>
  <c r="L98"/>
  <c r="N98" s="1"/>
  <c r="L104"/>
  <c r="N104" s="1"/>
  <c r="L30"/>
  <c r="N30" s="1"/>
  <c r="L57"/>
  <c r="L70"/>
  <c r="N70" s="1"/>
  <c r="L94"/>
  <c r="L819"/>
  <c r="N819" s="1"/>
  <c r="L105"/>
  <c r="L65"/>
  <c r="N65" s="1"/>
  <c r="L31"/>
  <c r="L59"/>
  <c r="N59" s="1"/>
  <c r="L80"/>
  <c r="M65"/>
  <c r="M31"/>
  <c r="M80"/>
  <c r="L106"/>
  <c r="L60"/>
  <c r="N60" s="1"/>
  <c r="L32"/>
  <c r="N32" s="1"/>
  <c r="M60"/>
  <c r="M32"/>
  <c r="M107"/>
  <c r="M33"/>
  <c r="L107"/>
  <c r="N107" s="1"/>
  <c r="L33"/>
  <c r="N33" s="1"/>
  <c r="M34"/>
  <c r="L34"/>
  <c r="L108"/>
  <c r="N108" s="1"/>
  <c r="N51"/>
  <c r="N13"/>
  <c r="N46"/>
  <c r="N41"/>
  <c r="N81"/>
  <c r="N8"/>
  <c r="N47"/>
  <c r="N42"/>
  <c r="N40"/>
  <c r="N24"/>
  <c r="N20"/>
  <c r="N16"/>
  <c r="N25"/>
  <c r="N48"/>
  <c r="N43"/>
  <c r="N82"/>
  <c r="N22"/>
  <c r="N18"/>
  <c r="N14"/>
  <c r="N23"/>
  <c r="N19"/>
  <c r="N15"/>
  <c r="N52"/>
  <c r="N26"/>
  <c r="N44"/>
  <c r="N83"/>
  <c r="N71"/>
  <c r="N53"/>
  <c r="N99"/>
  <c r="N9"/>
  <c r="N109"/>
  <c r="N49"/>
  <c r="N84"/>
  <c r="N10"/>
  <c r="N86"/>
  <c r="N90"/>
  <c r="N50"/>
  <c r="N110"/>
  <c r="N100"/>
  <c r="N66"/>
  <c r="N87"/>
  <c r="N91"/>
  <c r="N73"/>
  <c r="N45"/>
  <c r="N54"/>
  <c r="N76"/>
  <c r="N72"/>
  <c r="N85"/>
  <c r="N88"/>
  <c r="N55"/>
  <c r="N61"/>
  <c r="N95"/>
  <c r="N101"/>
  <c r="N111"/>
  <c r="N62"/>
  <c r="N28"/>
  <c r="N74"/>
  <c r="N77"/>
  <c r="N89"/>
  <c r="N57"/>
  <c r="N12"/>
  <c r="N80"/>
  <c r="N94"/>
  <c r="N31"/>
  <c r="N105"/>
  <c r="N106"/>
  <c r="I35"/>
  <c r="N34"/>
  <c r="AQ10" i="32917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M35" i="32926" l="1"/>
  <c r="L35"/>
  <c r="N35" s="1"/>
  <c r="I36"/>
  <c r="I37" s="1"/>
  <c r="N124" i="32917"/>
  <c r="M125"/>
  <c r="O125"/>
  <c r="L125"/>
  <c r="M124"/>
  <c r="O124"/>
  <c r="N125"/>
  <c r="L124"/>
  <c r="N123"/>
  <c r="L123"/>
  <c r="M123"/>
  <c r="O123"/>
  <c r="N121"/>
  <c r="M122"/>
  <c r="O122"/>
  <c r="L121"/>
  <c r="M121"/>
  <c r="O121"/>
  <c r="N122"/>
  <c r="L122"/>
  <c r="N113"/>
  <c r="M114"/>
  <c r="O114"/>
  <c r="N115"/>
  <c r="M116"/>
  <c r="O116"/>
  <c r="N117"/>
  <c r="M118"/>
  <c r="O118"/>
  <c r="N119"/>
  <c r="M120"/>
  <c r="O120"/>
  <c r="L114"/>
  <c r="L116"/>
  <c r="L118"/>
  <c r="L120"/>
  <c r="M113"/>
  <c r="O113"/>
  <c r="N114"/>
  <c r="M115"/>
  <c r="O115"/>
  <c r="N116"/>
  <c r="M117"/>
  <c r="O117"/>
  <c r="N118"/>
  <c r="M119"/>
  <c r="O119"/>
  <c r="N120"/>
  <c r="L113"/>
  <c r="L115"/>
  <c r="L117"/>
  <c r="L119"/>
  <c r="N111"/>
  <c r="M112"/>
  <c r="O112"/>
  <c r="L112"/>
  <c r="M111"/>
  <c r="O111"/>
  <c r="N112"/>
  <c r="L111"/>
  <c r="AZ10"/>
  <c r="AR10"/>
  <c r="BA10" s="1"/>
  <c r="N109"/>
  <c r="M110"/>
  <c r="O110"/>
  <c r="L110"/>
  <c r="M109"/>
  <c r="O109"/>
  <c r="N110"/>
  <c r="L109"/>
  <c r="N108"/>
  <c r="L108"/>
  <c r="M108"/>
  <c r="O108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59"/>
  <c r="L61"/>
  <c r="L63"/>
  <c r="L65"/>
  <c r="L67"/>
  <c r="L69"/>
  <c r="L71"/>
  <c r="L73"/>
  <c r="L75"/>
  <c r="L77"/>
  <c r="L79"/>
  <c r="L81"/>
  <c r="L83"/>
  <c r="L85"/>
  <c r="L87"/>
  <c r="L89"/>
  <c r="L91"/>
  <c r="L93"/>
  <c r="L95"/>
  <c r="L97"/>
  <c r="L99"/>
  <c r="L101"/>
  <c r="L103"/>
  <c r="L105"/>
  <c r="L107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L22"/>
  <c r="L24"/>
  <c r="L26"/>
  <c r="L28"/>
  <c r="L30"/>
  <c r="L32"/>
  <c r="L34"/>
  <c r="L36"/>
  <c r="L38"/>
  <c r="L40"/>
  <c r="L42"/>
  <c r="L44"/>
  <c r="L46"/>
  <c r="L48"/>
  <c r="L50"/>
  <c r="L52"/>
  <c r="L54"/>
  <c r="L56"/>
  <c r="L58"/>
  <c r="L60"/>
  <c r="L62"/>
  <c r="L64"/>
  <c r="L66"/>
  <c r="L68"/>
  <c r="L70"/>
  <c r="L72"/>
  <c r="L74"/>
  <c r="L76"/>
  <c r="L78"/>
  <c r="L80"/>
  <c r="L82"/>
  <c r="L84"/>
  <c r="L86"/>
  <c r="L88"/>
  <c r="L90"/>
  <c r="L92"/>
  <c r="L94"/>
  <c r="L96"/>
  <c r="L98"/>
  <c r="L100"/>
  <c r="L102"/>
  <c r="L104"/>
  <c r="L106"/>
  <c r="M21"/>
  <c r="N22"/>
  <c r="N24"/>
  <c r="N26"/>
  <c r="N28"/>
  <c r="N30"/>
  <c r="N32"/>
  <c r="N34"/>
  <c r="N36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20"/>
  <c r="O21"/>
  <c r="O23"/>
  <c r="O25"/>
  <c r="O27"/>
  <c r="O29"/>
  <c r="O31"/>
  <c r="O33"/>
  <c r="O35"/>
  <c r="O37"/>
  <c r="O39"/>
  <c r="O41"/>
  <c r="O43"/>
  <c r="O45"/>
  <c r="O47"/>
  <c r="O49"/>
  <c r="O51"/>
  <c r="O53"/>
  <c r="O55"/>
  <c r="O57"/>
  <c r="O59"/>
  <c r="O61"/>
  <c r="O63"/>
  <c r="O65"/>
  <c r="O67"/>
  <c r="O69"/>
  <c r="O71"/>
  <c r="O73"/>
  <c r="O75"/>
  <c r="O77"/>
  <c r="O79"/>
  <c r="O81"/>
  <c r="O83"/>
  <c r="O85"/>
  <c r="O87"/>
  <c r="O89"/>
  <c r="O91"/>
  <c r="O93"/>
  <c r="O95"/>
  <c r="O97"/>
  <c r="O99"/>
  <c r="O101"/>
  <c r="O103"/>
  <c r="O105"/>
  <c r="O107"/>
  <c r="L20"/>
  <c r="N21"/>
  <c r="N23"/>
  <c r="N25"/>
  <c r="N27"/>
  <c r="N29"/>
  <c r="N31"/>
  <c r="N33"/>
  <c r="N35"/>
  <c r="N37"/>
  <c r="N39"/>
  <c r="N41"/>
  <c r="N43"/>
  <c r="N45"/>
  <c r="N47"/>
  <c r="N49"/>
  <c r="N51"/>
  <c r="N53"/>
  <c r="N55"/>
  <c r="N57"/>
  <c r="N59"/>
  <c r="N61"/>
  <c r="N63"/>
  <c r="N65"/>
  <c r="N67"/>
  <c r="N69"/>
  <c r="N71"/>
  <c r="N73"/>
  <c r="N75"/>
  <c r="N77"/>
  <c r="N79"/>
  <c r="N81"/>
  <c r="N83"/>
  <c r="N85"/>
  <c r="N87"/>
  <c r="N89"/>
  <c r="N91"/>
  <c r="N93"/>
  <c r="N95"/>
  <c r="N97"/>
  <c r="N99"/>
  <c r="N101"/>
  <c r="N103"/>
  <c r="N105"/>
  <c r="N107"/>
  <c r="M20"/>
  <c r="O20"/>
  <c r="O22"/>
  <c r="O24"/>
  <c r="O26"/>
  <c r="O28"/>
  <c r="O30"/>
  <c r="O32"/>
  <c r="O34"/>
  <c r="O36"/>
  <c r="O38"/>
  <c r="O40"/>
  <c r="O42"/>
  <c r="O44"/>
  <c r="O46"/>
  <c r="O48"/>
  <c r="O50"/>
  <c r="O52"/>
  <c r="O54"/>
  <c r="O56"/>
  <c r="O58"/>
  <c r="O60"/>
  <c r="O62"/>
  <c r="O64"/>
  <c r="O66"/>
  <c r="O68"/>
  <c r="O70"/>
  <c r="O72"/>
  <c r="O74"/>
  <c r="O76"/>
  <c r="O78"/>
  <c r="O80"/>
  <c r="O82"/>
  <c r="O84"/>
  <c r="O86"/>
  <c r="O88"/>
  <c r="O90"/>
  <c r="O92"/>
  <c r="O94"/>
  <c r="O96"/>
  <c r="O98"/>
  <c r="O100"/>
  <c r="O102"/>
  <c r="O104"/>
  <c r="O106"/>
  <c r="N19"/>
  <c r="M19"/>
  <c r="O19"/>
  <c r="L19"/>
  <c r="N18"/>
  <c r="L18"/>
  <c r="M18"/>
  <c r="O18"/>
  <c r="N17"/>
  <c r="M17"/>
  <c r="O17"/>
  <c r="L17"/>
  <c r="N16"/>
  <c r="L16"/>
  <c r="M16"/>
  <c r="O16"/>
  <c r="N15"/>
  <c r="M15"/>
  <c r="O15"/>
  <c r="L15"/>
  <c r="N14"/>
  <c r="L14"/>
  <c r="M14"/>
  <c r="O14"/>
  <c r="N13"/>
  <c r="M13"/>
  <c r="O13"/>
  <c r="L13"/>
  <c r="N12"/>
  <c r="L12"/>
  <c r="M12"/>
  <c r="O12"/>
  <c r="N11"/>
  <c r="L11"/>
  <c r="M11"/>
  <c r="O11"/>
  <c r="M1055" i="32926" l="1"/>
  <c r="M945"/>
  <c r="M931"/>
  <c r="M124"/>
  <c r="M1050"/>
  <c r="M998"/>
  <c r="M820"/>
  <c r="M784"/>
  <c r="M618"/>
  <c r="M152"/>
  <c r="M509"/>
  <c r="M360"/>
  <c r="M346"/>
  <c r="M298"/>
  <c r="M283"/>
  <c r="M188"/>
  <c r="M557"/>
  <c r="M561"/>
  <c r="M702"/>
  <c r="M730"/>
  <c r="M688"/>
  <c r="M622"/>
  <c r="M571"/>
  <c r="M748"/>
  <c r="M636"/>
  <c r="M1089"/>
  <c r="M608"/>
  <c r="M1039"/>
  <c r="M825"/>
  <c r="M809"/>
  <c r="M517"/>
  <c r="M251"/>
  <c r="M412"/>
  <c r="M407"/>
  <c r="M402"/>
  <c r="M397"/>
  <c r="M341"/>
  <c r="M331"/>
  <c r="M293"/>
  <c r="M849"/>
  <c r="M1034"/>
  <c r="M566"/>
  <c r="M677"/>
  <c r="M92"/>
  <c r="M839"/>
  <c r="M102"/>
  <c r="M106"/>
  <c r="M753"/>
  <c r="M62"/>
  <c r="M1017"/>
  <c r="M1094"/>
  <c r="M1079"/>
  <c r="M1063"/>
  <c r="M592"/>
  <c r="M1074"/>
  <c r="M1022"/>
  <c r="M628"/>
  <c r="M578"/>
  <c r="M169"/>
  <c r="M134"/>
  <c r="M474"/>
  <c r="M458"/>
  <c r="M447"/>
  <c r="M442"/>
  <c r="M432"/>
  <c r="M361"/>
  <c r="M303"/>
  <c r="M208"/>
  <c r="M174"/>
  <c r="M597"/>
  <c r="M117"/>
  <c r="M771"/>
  <c r="M963"/>
  <c r="M860"/>
  <c r="M249"/>
  <c r="M708"/>
  <c r="M948"/>
  <c r="M1027"/>
  <c r="M1068"/>
  <c r="M901"/>
  <c r="M841"/>
  <c r="M548"/>
  <c r="M1084"/>
  <c r="M830"/>
  <c r="M213"/>
  <c r="M161"/>
  <c r="M144"/>
  <c r="M139"/>
  <c r="M495"/>
  <c r="M437"/>
  <c r="M422"/>
  <c r="M417"/>
  <c r="M366"/>
  <c r="M351"/>
  <c r="M329"/>
  <c r="M313"/>
  <c r="M722"/>
  <c r="M740"/>
  <c r="M656"/>
  <c r="M776"/>
  <c r="M228"/>
  <c r="M791"/>
  <c r="M530"/>
  <c r="M697"/>
  <c r="M642"/>
  <c r="M74"/>
  <c r="M953"/>
  <c r="I38"/>
  <c r="I39" s="1"/>
  <c r="L37"/>
  <c r="N37" s="1"/>
  <c r="M37"/>
  <c r="M133"/>
  <c r="M430"/>
  <c r="M420"/>
  <c r="M388"/>
  <c r="M378"/>
  <c r="M340"/>
  <c r="M326"/>
  <c r="M292"/>
  <c r="M1015"/>
  <c r="M229"/>
  <c r="M617"/>
  <c r="M215"/>
  <c r="M882"/>
  <c r="M1005"/>
  <c r="M590"/>
  <c r="M1010"/>
  <c r="M266"/>
  <c r="M1048"/>
  <c r="M768"/>
  <c r="M196"/>
  <c r="M724"/>
  <c r="M793"/>
  <c r="M971"/>
  <c r="M709"/>
  <c r="M55"/>
  <c r="M276"/>
  <c r="M679"/>
  <c r="M540"/>
  <c r="M576"/>
  <c r="M516"/>
  <c r="M501"/>
  <c r="M483"/>
  <c r="M469"/>
  <c r="M449"/>
  <c r="M383"/>
  <c r="M373"/>
  <c r="M359"/>
  <c r="M321"/>
  <c r="M311"/>
  <c r="M281"/>
  <c r="M939"/>
  <c r="M271"/>
  <c r="M991"/>
  <c r="M586"/>
  <c r="M181"/>
  <c r="M648"/>
  <c r="M662"/>
  <c r="M738"/>
  <c r="M176"/>
  <c r="M603"/>
  <c r="M234"/>
  <c r="M758"/>
  <c r="M930"/>
  <c r="M976"/>
  <c r="M996"/>
  <c r="M1093"/>
  <c r="M123"/>
  <c r="M868"/>
  <c r="M783"/>
  <c r="M981"/>
  <c r="M878"/>
  <c r="M925"/>
  <c r="M85"/>
  <c r="M689"/>
  <c r="M863"/>
  <c r="M638"/>
  <c r="M94"/>
  <c r="M108"/>
  <c r="M75"/>
  <c r="M17"/>
  <c r="M819"/>
  <c r="M36"/>
  <c r="L36"/>
  <c r="N36" s="1"/>
  <c r="AS10" i="32917"/>
  <c r="L39" i="32926" l="1"/>
  <c r="N39" s="1"/>
  <c r="M39"/>
  <c r="M38"/>
  <c r="L38"/>
  <c r="N38" s="1"/>
  <c r="AT10" i="32917"/>
  <c r="BC10" s="1"/>
  <c r="BB10"/>
  <c r="M1051" i="32926" l="1"/>
  <c r="M1086"/>
  <c r="M715"/>
  <c r="M1042"/>
  <c r="M869"/>
  <c r="M515"/>
  <c r="M154"/>
  <c r="M408"/>
  <c r="M342"/>
  <c r="M289"/>
  <c r="M605"/>
  <c r="M845"/>
  <c r="M928"/>
  <c r="M126"/>
  <c r="M1004"/>
  <c r="M529"/>
  <c r="M116"/>
  <c r="M1035"/>
  <c r="M1009"/>
  <c r="M562"/>
  <c r="M1030"/>
  <c r="M672"/>
  <c r="M699"/>
  <c r="M1061"/>
  <c r="M989"/>
  <c r="M937"/>
  <c r="M749"/>
  <c r="M744"/>
  <c r="M523"/>
  <c r="M514"/>
  <c r="M148"/>
  <c r="M451"/>
  <c r="M343"/>
  <c r="M338"/>
  <c r="M328"/>
  <c r="M284"/>
  <c r="M806"/>
  <c r="M822"/>
  <c r="M184"/>
  <c r="M190"/>
  <c r="M1046"/>
  <c r="M871"/>
  <c r="M994"/>
  <c r="M1062"/>
  <c r="M1067"/>
  <c r="M995"/>
  <c r="M99"/>
  <c r="M185"/>
  <c r="M632"/>
  <c r="M572"/>
  <c r="M78"/>
  <c r="M58"/>
  <c r="M870"/>
  <c r="M558"/>
  <c r="M538"/>
  <c r="M563"/>
  <c r="M805"/>
  <c r="M121"/>
  <c r="M534"/>
  <c r="M398"/>
  <c r="M920"/>
  <c r="M567"/>
  <c r="M98"/>
  <c r="M393"/>
  <c r="M1036"/>
  <c r="M1085"/>
  <c r="M821"/>
  <c r="M596"/>
  <c r="M764"/>
  <c r="M524"/>
  <c r="M510"/>
  <c r="M450"/>
  <c r="M404"/>
  <c r="M327"/>
  <c r="M294"/>
  <c r="M285"/>
  <c r="M280"/>
  <c r="M726"/>
  <c r="M248"/>
  <c r="M990"/>
  <c r="M938"/>
  <c r="M1008"/>
  <c r="M716"/>
  <c r="M650"/>
  <c r="M1047"/>
  <c r="M919"/>
  <c r="M781"/>
  <c r="M539"/>
  <c r="M817"/>
  <c r="M79"/>
  <c r="M125"/>
  <c r="M835"/>
  <c r="M568"/>
  <c r="M189"/>
  <c r="M247"/>
  <c r="M153"/>
  <c r="M505"/>
  <c r="M435"/>
  <c r="M295"/>
  <c r="M290"/>
  <c r="M279"/>
  <c r="M1052"/>
  <c r="M984"/>
  <c r="M1066"/>
  <c r="M836"/>
  <c r="M242"/>
  <c r="M243"/>
  <c r="M651"/>
  <c r="M985"/>
  <c r="M727"/>
  <c r="M684"/>
  <c r="M88"/>
  <c r="M89"/>
  <c r="M103"/>
  <c r="M59"/>
  <c r="M750"/>
  <c r="M553"/>
  <c r="M846"/>
  <c r="M1041"/>
  <c r="M619"/>
  <c r="M149"/>
  <c r="M490"/>
  <c r="M673"/>
  <c r="M506"/>
  <c r="M403"/>
  <c r="M1040"/>
  <c r="M1080"/>
  <c r="M639"/>
  <c r="M588"/>
  <c r="M575"/>
  <c r="M555"/>
  <c r="M574"/>
  <c r="M158"/>
  <c r="M140"/>
  <c r="M492"/>
  <c r="M460"/>
  <c r="M454"/>
  <c r="M434"/>
  <c r="M429"/>
  <c r="M418"/>
  <c r="M363"/>
  <c r="M358"/>
  <c r="M325"/>
  <c r="M309"/>
  <c r="M746"/>
  <c r="M942"/>
  <c r="M1076"/>
  <c r="M842"/>
  <c r="M1024"/>
  <c r="M950"/>
  <c r="M593"/>
  <c r="M692"/>
  <c r="M959"/>
  <c r="M1070"/>
  <c r="M866"/>
  <c r="M693"/>
  <c r="M635"/>
  <c r="M943"/>
  <c r="M100"/>
  <c r="M788"/>
  <c r="M101"/>
  <c r="M1065"/>
  <c r="M584"/>
  <c r="M1064"/>
  <c r="M471"/>
  <c r="M455"/>
  <c r="M443"/>
  <c r="M428"/>
  <c r="M357"/>
  <c r="M347"/>
  <c r="M324"/>
  <c r="M304"/>
  <c r="M246"/>
  <c r="M170"/>
  <c r="M1069"/>
  <c r="M549"/>
  <c r="M736"/>
  <c r="M671"/>
  <c r="M801"/>
  <c r="M767"/>
  <c r="M747"/>
  <c r="M652"/>
  <c r="M802"/>
  <c r="M1071"/>
  <c r="M895"/>
  <c r="M511"/>
  <c r="M444"/>
  <c r="M545"/>
  <c r="M487"/>
  <c r="M965"/>
  <c r="M113"/>
  <c r="M1013"/>
  <c r="M897"/>
  <c r="M843"/>
  <c r="M580"/>
  <c r="M560"/>
  <c r="M544"/>
  <c r="M1060"/>
  <c r="M896"/>
  <c r="M209"/>
  <c r="M245"/>
  <c r="M145"/>
  <c r="M136"/>
  <c r="M131"/>
  <c r="M486"/>
  <c r="M470"/>
  <c r="M438"/>
  <c r="M423"/>
  <c r="M413"/>
  <c r="M348"/>
  <c r="M314"/>
  <c r="M305"/>
  <c r="M299"/>
  <c r="M589"/>
  <c r="M826"/>
  <c r="M1081"/>
  <c r="M1014"/>
  <c r="M1018"/>
  <c r="M224"/>
  <c r="M616"/>
  <c r="M670"/>
  <c r="M204"/>
  <c r="M1019"/>
  <c r="M625"/>
  <c r="M205"/>
  <c r="M827"/>
  <c r="M554"/>
  <c r="M787"/>
  <c r="M772"/>
  <c r="M838"/>
  <c r="M559"/>
  <c r="M70"/>
  <c r="M1075"/>
  <c r="M1023"/>
  <c r="M1059"/>
  <c r="M949"/>
  <c r="M579"/>
  <c r="M1038"/>
  <c r="M526"/>
  <c r="M165"/>
  <c r="M157"/>
  <c r="M135"/>
  <c r="M459"/>
  <c r="M453"/>
  <c r="M439"/>
  <c r="M433"/>
  <c r="M424"/>
  <c r="M419"/>
  <c r="M377"/>
  <c r="M362"/>
  <c r="M315"/>
  <c r="M310"/>
  <c r="M300"/>
  <c r="M166"/>
  <c r="M210"/>
  <c r="M1095"/>
  <c r="M1091"/>
  <c r="M594"/>
  <c r="M171"/>
  <c r="M964"/>
  <c r="M867"/>
  <c r="M719"/>
  <c r="M653"/>
  <c r="M141"/>
  <c r="M414"/>
  <c r="M550"/>
  <c r="M704"/>
  <c r="M535"/>
  <c r="M118"/>
  <c r="M773"/>
  <c r="M146"/>
  <c r="M491"/>
  <c r="M944"/>
  <c r="M960"/>
  <c r="M531"/>
  <c r="M231"/>
  <c r="M115"/>
  <c r="M977"/>
  <c r="M957"/>
  <c r="M921"/>
  <c r="M864"/>
  <c r="M813"/>
  <c r="M755"/>
  <c r="M705"/>
  <c r="M675"/>
  <c r="M633"/>
  <c r="M599"/>
  <c r="M583"/>
  <c r="M536"/>
  <c r="M263"/>
  <c r="M173"/>
  <c r="M1012"/>
  <c r="M992"/>
  <c r="M936"/>
  <c r="M754"/>
  <c r="M674"/>
  <c r="M582"/>
  <c r="M542"/>
  <c r="M211"/>
  <c r="M143"/>
  <c r="M137"/>
  <c r="M129"/>
  <c r="M498"/>
  <c r="M484"/>
  <c r="M466"/>
  <c r="M446"/>
  <c r="M440"/>
  <c r="M426"/>
  <c r="M416"/>
  <c r="M410"/>
  <c r="M390"/>
  <c r="M384"/>
  <c r="M370"/>
  <c r="M322"/>
  <c r="M308"/>
  <c r="M288"/>
  <c r="M272"/>
  <c r="M230"/>
  <c r="M192"/>
  <c r="M81"/>
  <c r="M51"/>
  <c r="M968"/>
  <c r="M857"/>
  <c r="M13"/>
  <c r="M770"/>
  <c r="M52"/>
  <c r="M14"/>
  <c r="M90"/>
  <c r="M95"/>
  <c r="M1033"/>
  <c r="M1032"/>
  <c r="M119"/>
  <c r="M1011"/>
  <c r="M973"/>
  <c r="M927"/>
  <c r="M880"/>
  <c r="M789"/>
  <c r="M769"/>
  <c r="M659"/>
  <c r="M532"/>
  <c r="M1006"/>
  <c r="M972"/>
  <c r="M940"/>
  <c r="M879"/>
  <c r="M700"/>
  <c r="M546"/>
  <c r="M267"/>
  <c r="M142"/>
  <c r="M130"/>
  <c r="M503"/>
  <c r="M497"/>
  <c r="M489"/>
  <c r="M441"/>
  <c r="M415"/>
  <c r="M409"/>
  <c r="M399"/>
  <c r="M385"/>
  <c r="M379"/>
  <c r="M337"/>
  <c r="M287"/>
  <c r="M277"/>
  <c r="M226"/>
  <c r="M686"/>
  <c r="M859"/>
  <c r="M962"/>
  <c r="M273"/>
  <c r="M875"/>
  <c r="M814"/>
  <c r="M71"/>
  <c r="M109"/>
  <c r="M91"/>
  <c r="M105"/>
  <c r="M706"/>
  <c r="M634"/>
  <c r="M865"/>
  <c r="M104"/>
  <c r="M1007"/>
  <c r="M1044"/>
  <c r="M1037"/>
  <c r="M967"/>
  <c r="M941"/>
  <c r="M874"/>
  <c r="M856"/>
  <c r="M765"/>
  <c r="M735"/>
  <c r="M685"/>
  <c r="M645"/>
  <c r="M615"/>
  <c r="M587"/>
  <c r="M564"/>
  <c r="M528"/>
  <c r="M193"/>
  <c r="M114"/>
  <c r="M1002"/>
  <c r="M966"/>
  <c r="M916"/>
  <c r="M734"/>
  <c r="M644"/>
  <c r="M573"/>
  <c r="M513"/>
  <c r="M225"/>
  <c r="M177"/>
  <c r="M508"/>
  <c r="M502"/>
  <c r="M488"/>
  <c r="M480"/>
  <c r="M464"/>
  <c r="M400"/>
  <c r="M394"/>
  <c r="M380"/>
  <c r="M374"/>
  <c r="M356"/>
  <c r="M318"/>
  <c r="M278"/>
  <c r="M262"/>
  <c r="M212"/>
  <c r="M172"/>
  <c r="M537"/>
  <c r="M533"/>
  <c r="M790"/>
  <c r="M120"/>
  <c r="M978"/>
  <c r="M815"/>
  <c r="M72"/>
  <c r="M110"/>
  <c r="M1045"/>
  <c r="M993"/>
  <c r="M1090"/>
  <c r="M1031"/>
  <c r="M987"/>
  <c r="M961"/>
  <c r="M917"/>
  <c r="M858"/>
  <c r="M779"/>
  <c r="M721"/>
  <c r="M600"/>
  <c r="M547"/>
  <c r="M527"/>
  <c r="M988"/>
  <c r="M956"/>
  <c r="M926"/>
  <c r="M720"/>
  <c r="M614"/>
  <c r="M541"/>
  <c r="M512"/>
  <c r="M138"/>
  <c r="M507"/>
  <c r="M479"/>
  <c r="M465"/>
  <c r="M445"/>
  <c r="M427"/>
  <c r="M411"/>
  <c r="M395"/>
  <c r="M389"/>
  <c r="M375"/>
  <c r="M369"/>
  <c r="M355"/>
  <c r="M323"/>
  <c r="M317"/>
  <c r="M307"/>
  <c r="M268"/>
  <c r="M178"/>
  <c r="M922"/>
  <c r="M780"/>
  <c r="M82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<sst xmlns="http://schemas.openxmlformats.org/spreadsheetml/2006/main" count="18018" uniqueCount="1475">
  <si>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</si>
  <si>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</si>
  <si>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</si>
  <si>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</si>
  <si>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</si>
  <si>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</si>
  <si>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</si>
  <si>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</si>
  <si>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</si>
  <si>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</si>
  <si>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</si>
  <si>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</si>
  <si>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</si>
  <si>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</si>
  <si>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</si>
  <si>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</si>
  <si>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</si>
  <si>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</si>
  <si>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</si>
  <si>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</si>
  <si>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</si>
  <si>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</si>
  <si>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</si>
  <si>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</si>
  <si>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</si>
  <si>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</si>
  <si>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</si>
  <si>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</si>
  <si>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</si>
  <si>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</si>
  <si>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</si>
  <si>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</si>
  <si>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</si>
  <si>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</si>
  <si>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</si>
  <si>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</si>
  <si>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</si>
  <si>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</si>
  <si>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</si>
  <si>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</si>
  <si>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</si>
  <si>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</si>
  <si>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</si>
  <si>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</si>
  <si>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</si>
  <si>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</si>
  <si>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</si>
  <si>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</si>
  <si>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</si>
  <si>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</si>
  <si>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</si>
  <si>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</si>
  <si>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</si>
  <si>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</si>
  <si>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</si>
  <si>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</si>
  <si>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</si>
  <si>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</si>
  <si>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</si>
  <si>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</si>
  <si>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</si>
  <si>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</si>
  <si>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</si>
  <si>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</si>
  <si>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</si>
  <si>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</si>
  <si>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</si>
  <si>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</si>
  <si>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</si>
  <si>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</si>
  <si>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</si>
  <si>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</si>
  <si>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</si>
  <si>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</si>
  <si>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</si>
  <si>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</si>
  <si>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</si>
  <si>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</si>
  <si>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</si>
  <si>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</si>
  <si>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</si>
  <si>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</si>
  <si>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</si>
  <si>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</si>
  <si>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</si>
  <si>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</si>
  <si>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</si>
  <si>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</si>
  <si>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</si>
  <si>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</si>
  <si>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</si>
  <si>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</si>
  <si>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</si>
  <si>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</si>
  <si>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</si>
  <si>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</si>
  <si>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</si>
  <si>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</si>
  <si>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</si>
  <si>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</si>
  <si>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</si>
  <si>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</si>
  <si>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</si>
  <si>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</si>
  <si>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</si>
  <si>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</si>
  <si>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</si>
  <si>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</si>
  <si>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</si>
  <si>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</si>
  <si>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</si>
  <si>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</si>
  <si>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</si>
  <si>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</si>
  <si>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</si>
  <si>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</si>
  <si>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</si>
  <si>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</si>
  <si>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</si>
  <si>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</si>
  <si>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</si>
  <si>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</si>
  <si>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</si>
  <si>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</si>
  <si>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</si>
  <si>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</si>
  <si>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</si>
  <si>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</si>
  <si>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</si>
  <si>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</si>
  <si>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</si>
  <si>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</si>
  <si>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</si>
  <si>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</si>
  <si>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</si>
  <si>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</si>
  <si>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</si>
  <si>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</si>
  <si>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</si>
  <si>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</si>
  <si>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</si>
  <si>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</si>
  <si>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</si>
  <si>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</si>
  <si>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</si>
  <si>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</si>
  <si>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</si>
  <si>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</si>
  <si>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</si>
  <si>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</si>
  <si>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</si>
  <si>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</si>
  <si>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</si>
  <si>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</si>
  <si>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</si>
  <si>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</si>
  <si>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</si>
  <si>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</si>
  <si>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</si>
  <si>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</si>
  <si>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</si>
  <si>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</si>
  <si>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</si>
  <si>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</si>
  <si>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</si>
  <si>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</si>
  <si>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</si>
  <si>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</si>
  <si>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</si>
  <si>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</si>
  <si>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</si>
  <si>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</si>
  <si>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</si>
  <si>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</si>
  <si>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</si>
  <si>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</si>
  <si>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</si>
  <si>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</si>
  <si>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</si>
  <si>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</si>
  <si>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</si>
  <si>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</si>
  <si>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</si>
  <si>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</si>
  <si>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</si>
  <si>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</si>
  <si>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</si>
  <si>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</si>
  <si>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</si>
  <si>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</si>
  <si>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</si>
  <si>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</si>
  <si>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</si>
  <si>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</si>
  <si>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</si>
  <si>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</si>
  <si>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</si>
  <si>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</si>
  <si>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</si>
  <si>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</si>
  <si>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</si>
  <si>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</si>
  <si>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</si>
  <si>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</si>
  <si>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</si>
  <si>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</si>
  <si>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</si>
  <si>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</si>
  <si>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</si>
  <si>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</si>
  <si>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</si>
  <si>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</si>
  <si>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</si>
  <si>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</si>
  <si>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</si>
  <si>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</si>
  <si>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</si>
  <si>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</si>
  <si>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</si>
  <si>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</si>
  <si>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</si>
  <si>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</si>
  <si>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</si>
  <si>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</si>
  <si>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</si>
  <si>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</si>
  <si>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</si>
  <si>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</si>
  <si>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</si>
  <si>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</si>
  <si>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</si>
  <si>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</si>
  <si>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</si>
  <si>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</si>
  <si>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</si>
  <si>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</si>
  <si>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</si>
  <si>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</si>
  <si>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</si>
  <si>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</si>
  <si>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</si>
  <si>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</si>
  <si>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</si>
  <si>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</si>
  <si>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</si>
  <si>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</si>
  <si>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</si>
  <si>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</si>
  <si>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</si>
  <si>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</si>
  <si>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</si>
  <si>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</si>
  <si>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</si>
  <si>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</si>
  <si>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</si>
  <si>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</si>
  <si>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</si>
  <si>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</si>
  <si>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</si>
  <si>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</si>
  <si>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</si>
  <si>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</si>
  <si>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</si>
  <si>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</si>
  <si>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</si>
  <si>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</si>
  <si>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</si>
  <si>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</si>
  <si>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</si>
  <si>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</si>
  <si>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</si>
  <si>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</si>
  <si>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</si>
  <si>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</si>
  <si>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</si>
  <si>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</si>
  <si>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</si>
  <si>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</si>
  <si>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</si>
  <si>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</si>
  <si>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</si>
  <si>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</si>
  <si>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</si>
  <si>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</si>
  <si>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</si>
  <si>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</si>
  <si>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</si>
  <si>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</si>
  <si>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</si>
  <si>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</si>
  <si>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</si>
  <si>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</si>
  <si>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</si>
  <si>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</si>
  <si>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</si>
  <si>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</si>
  <si>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</si>
  <si>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</si>
  <si>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</si>
  <si>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</si>
  <si>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</si>
  <si>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</si>
  <si>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</si>
  <si>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</si>
  <si>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</si>
  <si>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</si>
  <si>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</si>
  <si>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</si>
  <si>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</si>
  <si>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</si>
  <si>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</si>
  <si>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</si>
  <si>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</si>
  <si>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</si>
  <si>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</si>
  <si>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</si>
  <si>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</si>
  <si>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</si>
  <si>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</si>
  <si>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</si>
  <si>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</si>
  <si>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</si>
  <si>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</si>
  <si>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</si>
  <si>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</si>
  <si>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</si>
  <si>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</si>
  <si>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</si>
  <si>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</si>
  <si>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</si>
  <si>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</si>
  <si>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</si>
  <si>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</si>
  <si>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</si>
  <si>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</si>
  <si>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</si>
  <si>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</si>
  <si>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</si>
  <si>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</si>
  <si>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</si>
  <si>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</si>
  <si>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</si>
  <si>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</si>
  <si>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</si>
  <si>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</si>
  <si>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</si>
  <si>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</si>
  <si>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</si>
  <si>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</si>
  <si>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</si>
  <si>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</si>
  <si>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</si>
  <si>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</si>
  <si>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</si>
  <si>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</si>
  <si>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</si>
  <si>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</si>
  <si>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</si>
  <si>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</si>
  <si>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</si>
  <si>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</si>
  <si>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</si>
  <si>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</si>
  <si>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</si>
  <si>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</si>
  <si>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</si>
  <si>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</si>
  <si>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</si>
  <si>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</si>
  <si>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</si>
  <si>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</si>
  <si>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</si>
  <si>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</si>
  <si>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</si>
  <si>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</si>
  <si>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</si>
  <si>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</si>
  <si>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</si>
  <si>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</si>
  <si>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</si>
  <si>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</si>
  <si>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</si>
  <si>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</si>
  <si>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</si>
  <si>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</si>
  <si>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</si>
  <si>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</si>
  <si>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</si>
  <si>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</si>
  <si>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</si>
  <si>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</si>
  <si>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</si>
  <si>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</si>
  <si>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</si>
  <si>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</si>
  <si>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</si>
  <si>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</si>
  <si>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</si>
  <si>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</si>
  <si>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</si>
  <si>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</si>
  <si>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</si>
  <si>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</si>
  <si>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</si>
  <si>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</si>
  <si>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</si>
  <si>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</si>
  <si>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</si>
  <si>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</si>
  <si>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</si>
  <si>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</si>
  <si>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</si>
  <si>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</si>
  <si>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</si>
  <si>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</si>
  <si>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</si>
  <si>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</si>
  <si>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</si>
  <si>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</si>
  <si>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</si>
  <si>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</si>
  <si>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</si>
  <si>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</si>
  <si>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</si>
  <si>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</si>
  <si>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</si>
  <si>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</si>
  <si>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</si>
  <si>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</si>
  <si>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</si>
  <si>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</si>
  <si>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</si>
  <si>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</si>
  <si>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</si>
  <si>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</si>
  <si>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</si>
  <si>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</si>
  <si>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</si>
  <si>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</si>
  <si>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</si>
  <si>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</si>
  <si>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</si>
  <si>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</si>
  <si>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</si>
  <si>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</si>
  <si>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</si>
  <si>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</si>
  <si>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</si>
  <si>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</si>
  <si>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</si>
  <si>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</si>
  <si>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</si>
  <si>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</si>
  <si>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</si>
  <si>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</si>
  <si>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</si>
  <si>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</si>
  <si>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</si>
  <si>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</si>
  <si>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</si>
  <si>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</si>
  <si>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</si>
  <si>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</si>
  <si>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</si>
  <si>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</si>
  <si>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</si>
  <si>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</si>
  <si>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</si>
  <si>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</si>
  <si>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</si>
  <si>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</si>
  <si>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</si>
  <si>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</si>
  <si>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</si>
  <si>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</si>
  <si>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</si>
  <si>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</si>
  <si>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</si>
  <si>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</si>
  <si>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</si>
  <si>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</si>
  <si>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</si>
  <si>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</si>
  <si>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</si>
  <si>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</si>
  <si>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</si>
  <si>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</si>
  <si>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</si>
  <si>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</si>
  <si>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</si>
  <si>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</si>
  <si>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</si>
  <si>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</si>
  <si>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</si>
  <si>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</si>
  <si>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</si>
  <si>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</si>
  <si>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</si>
  <si>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</si>
  <si>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</si>
  <si>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</si>
  <si>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</si>
  <si>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</si>
  <si>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</si>
  <si>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</si>
  <si>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</si>
  <si>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</si>
  <si>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</si>
  <si>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</si>
  <si>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</si>
  <si>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</si>
  <si>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</si>
  <si>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</si>
  <si>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</si>
  <si>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</si>
  <si>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</si>
  <si>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</si>
  <si>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</si>
  <si>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</si>
  <si>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</si>
  <si>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</si>
  <si>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</si>
  <si>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</si>
  <si>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</si>
  <si>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</si>
  <si>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</si>
  <si>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</si>
  <si>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</si>
  <si>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</si>
  <si>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</si>
  <si>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</si>
  <si>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</si>
  <si>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</si>
  <si>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</si>
  <si>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</si>
  <si>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</si>
  <si>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</si>
  <si>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</si>
  <si>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</si>
  <si>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</si>
  <si>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</si>
  <si>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</si>
  <si>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</si>
  <si>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</si>
  <si>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</si>
  <si>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</si>
  <si>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</si>
  <si>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</si>
  <si>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</si>
  <si>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</si>
  <si>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</si>
  <si>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</si>
  <si>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</si>
  <si>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</si>
  <si>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</si>
  <si>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</si>
  <si>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</si>
  <si>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</si>
  <si>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</si>
  <si>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</si>
  <si>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</si>
  <si>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</si>
  <si>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</si>
  <si>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</si>
  <si>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</si>
  <si>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</si>
  <si>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</si>
  <si>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</si>
  <si>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</si>
  <si>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</si>
  <si>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</si>
  <si>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</si>
  <si>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</si>
  <si>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</si>
  <si>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</si>
  <si>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</si>
  <si>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</si>
  <si>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</si>
  <si>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</si>
  <si>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</si>
  <si>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</si>
  <si>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</si>
  <si>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</si>
  <si>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</si>
  <si>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</si>
  <si>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</si>
  <si>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</si>
  <si>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</si>
  <si>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</si>
  <si>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</si>
  <si>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</si>
  <si>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</si>
  <si>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</si>
  <si>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</si>
  <si>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</si>
  <si>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</si>
  <si>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</si>
  <si>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</si>
  <si>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</si>
  <si>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</si>
  <si>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</si>
  <si>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</si>
  <si>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</si>
  <si>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</si>
  <si>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</si>
  <si>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</si>
  <si>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</si>
  <si>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</si>
  <si>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</si>
  <si>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</si>
  <si>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</si>
  <si>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</si>
  <si>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</si>
  <si>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</si>
  <si>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</si>
  <si>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</si>
  <si>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</si>
  <si>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</si>
  <si>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</si>
  <si>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</si>
  <si>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</si>
  <si>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</si>
  <si>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</si>
  <si>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</si>
  <si>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</si>
  <si>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</si>
  <si>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</si>
  <si>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</si>
  <si>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</si>
  <si>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</si>
  <si>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</si>
  <si>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</si>
  <si>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</si>
  <si>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</si>
  <si>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</si>
  <si>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</si>
  <si>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</si>
  <si>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</si>
  <si>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</si>
  <si>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</si>
  <si>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</si>
  <si>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</si>
  <si>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</si>
  <si>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</si>
  <si>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</si>
  <si>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</si>
  <si>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</si>
  <si>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</si>
  <si>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</si>
  <si>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</si>
  <si>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</si>
  <si>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</si>
  <si>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</si>
  <si>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</si>
  <si>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</si>
  <si>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</si>
  <si>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</si>
  <si>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</si>
  <si>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</si>
  <si>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</si>
  <si>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</si>
  <si>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</si>
  <si>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</si>
  <si>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</si>
  <si>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</si>
  <si>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</si>
  <si>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</si>
  <si>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</si>
  <si>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</si>
  <si>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</si>
  <si>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</si>
  <si>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</si>
  <si>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</si>
  <si>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</si>
  <si>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</si>
  <si>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</si>
  <si>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</si>
  <si>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</si>
  <si>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</si>
  <si>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</si>
  <si>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</si>
  <si>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</si>
  <si>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</si>
  <si>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</si>
  <si>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</si>
  <si>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</si>
  <si>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</si>
  <si>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</si>
  <si>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</si>
  <si>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</si>
  <si>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</si>
  <si>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</si>
  <si>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</si>
  <si>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</si>
  <si>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</si>
  <si>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</si>
  <si>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</si>
  <si>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</si>
  <si>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</si>
  <si>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</si>
  <si>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</si>
  <si>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</si>
  <si>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</si>
  <si>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</si>
  <si>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</si>
  <si>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</si>
  <si>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</si>
  <si>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</si>
  <si>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</si>
  <si>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</si>
  <si>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</si>
  <si>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</si>
  <si>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</si>
  <si>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</si>
  <si>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</si>
  <si>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</si>
  <si>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</si>
  <si>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</si>
  <si>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</si>
  <si>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</si>
  <si>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</si>
  <si>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</si>
  <si>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</si>
  <si>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</si>
  <si>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</si>
  <si>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</si>
  <si>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</si>
  <si>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</si>
  <si>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</si>
  <si>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</si>
  <si>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</si>
  <si>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</si>
  <si>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</si>
  <si>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</si>
  <si>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</si>
  <si>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</si>
  <si>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</si>
  <si>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</si>
  <si>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</si>
  <si>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</si>
  <si>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</si>
  <si>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</si>
  <si>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</si>
  <si>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</si>
  <si>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</si>
  <si>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</si>
  <si>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</si>
  <si>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</si>
  <si>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</si>
  <si>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</si>
  <si>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</si>
  <si>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</si>
  <si>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</si>
  <si>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</si>
  <si>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</si>
  <si>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</si>
  <si>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</si>
  <si>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</si>
  <si>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</si>
  <si>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</si>
  <si>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</si>
  <si>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</si>
  <si>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</si>
  <si>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</si>
  <si>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</si>
  <si>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</si>
  <si>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</si>
  <si>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</si>
  <si>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</si>
  <si>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</si>
  <si>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</si>
  <si>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</si>
  <si>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</si>
  <si>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</si>
  <si>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</si>
  <si>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</si>
  <si>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</si>
  <si>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</si>
  <si>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</si>
  <si>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</si>
  <si>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</si>
  <si>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</si>
  <si>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</si>
  <si>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</si>
  <si>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</si>
  <si>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</si>
  <si>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</si>
  <si>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</si>
  <si>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</si>
  <si>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</si>
  <si>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</si>
  <si>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</si>
  <si>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</si>
  <si>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</si>
  <si>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</si>
  <si>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</si>
  <si>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</si>
  <si>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</si>
  <si>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</si>
  <si>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</si>
  <si>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</si>
  <si>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</si>
  <si>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</si>
  <si>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</si>
  <si>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</si>
  <si>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</si>
  <si>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</si>
  <si>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</si>
  <si>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</si>
  <si>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</si>
  <si>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</si>
  <si>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</si>
  <si>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</si>
  <si>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</si>
  <si>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</si>
  <si>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</si>
  <si>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</si>
  <si>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</si>
  <si>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</si>
  <si>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</si>
  <si>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</si>
  <si>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</si>
  <si>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</si>
  <si>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</si>
  <si>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</si>
  <si>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</si>
  <si>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</si>
  <si>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</si>
  <si>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</si>
  <si>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</si>
  <si>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</si>
  <si>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</si>
  <si>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</si>
  <si>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</si>
  <si>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</si>
  <si>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</si>
  <si>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</si>
  <si>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</si>
  <si>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</si>
  <si>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</si>
  <si>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</si>
  <si>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</si>
  <si>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</si>
  <si>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</si>
  <si>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</si>
  <si>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</si>
  <si>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</si>
  <si>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</si>
  <si>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</si>
  <si>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</si>
  <si>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</si>
  <si>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</si>
  <si>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</si>
  <si>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</si>
  <si>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</si>
  <si>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</si>
  <si>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</si>
  <si>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</si>
  <si>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</si>
  <si>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</si>
  <si>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</si>
  <si>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</si>
  <si>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</si>
  <si>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</si>
  <si>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</si>
  <si>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</si>
  <si>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</si>
  <si>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</si>
  <si>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</si>
  <si>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</si>
  <si>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</si>
  <si>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</si>
  <si>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</si>
  <si>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</si>
  <si>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</si>
  <si>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</si>
  <si>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</si>
  <si>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</si>
  <si>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</si>
  <si>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</si>
  <si>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</si>
  <si>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</si>
  <si>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</si>
  <si>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</si>
  <si>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</si>
  <si>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</si>
  <si>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</si>
  <si>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</si>
  <si>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</si>
  <si>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</si>
  <si>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</si>
  <si>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</si>
  <si>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</si>
  <si>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</si>
  <si>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</si>
  <si>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</si>
  <si>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</si>
  <si>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</si>
  <si>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</si>
  <si>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</si>
  <si>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</si>
  <si>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</si>
  <si>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</si>
  <si>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</si>
  <si>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</si>
  <si>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</si>
  <si>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</si>
  <si>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</si>
  <si>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</si>
  <si>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</si>
  <si>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</si>
  <si>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</si>
  <si>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</si>
  <si>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</si>
  <si>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</si>
  <si>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</si>
  <si>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</si>
  <si>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</si>
  <si>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</si>
  <si>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</si>
  <si>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</si>
  <si>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</si>
  <si>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</si>
  <si>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</si>
  <si>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</si>
  <si>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</si>
  <si>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</si>
  <si>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</si>
  <si>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</si>
  <si>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</si>
  <si>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</si>
  <si>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</si>
  <si>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</si>
  <si>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</si>
  <si>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</si>
  <si>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</si>
  <si>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</si>
  <si>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</si>
  <si>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</si>
  <si>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</si>
  <si>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</si>
  <si>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</si>
  <si>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</si>
  <si>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</si>
  <si>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</si>
  <si>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</si>
  <si>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</si>
  <si>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</si>
  <si>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</si>
  <si>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</si>
  <si>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</si>
  <si>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</si>
  <si>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</si>
  <si>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</si>
  <si>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</si>
  <si>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</si>
  <si>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</si>
  <si>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</si>
  <si>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</si>
  <si>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</si>
  <si>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</si>
  <si>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</si>
  <si>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</si>
  <si>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</si>
  <si>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</si>
  <si>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</si>
  <si>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</si>
  <si>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</si>
  <si>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</si>
  <si>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</si>
  <si>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</si>
  <si>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</si>
  <si>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</si>
  <si>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</si>
  <si>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</si>
  <si>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</si>
  <si>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</si>
  <si>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</si>
  <si>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</si>
  <si>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</si>
  <si>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</si>
  <si>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</si>
  <si>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</si>
  <si>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</si>
  <si>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</si>
  <si>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</si>
  <si>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</si>
  <si>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</si>
  <si>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</si>
  <si>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</si>
  <si>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</si>
  <si>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</si>
  <si>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</si>
  <si>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</si>
  <si>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</si>
  <si>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</si>
  <si>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</si>
  <si>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</si>
  <si>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</si>
  <si>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</si>
  <si>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</si>
  <si>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</si>
  <si>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</si>
  <si>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</si>
  <si>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</si>
  <si>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</si>
  <si>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</si>
  <si>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</si>
  <si>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</si>
  <si>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</si>
  <si>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</si>
  <si>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</si>
  <si>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</si>
  <si>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</si>
  <si>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</si>
  <si>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</si>
  <si>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</si>
  <si>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</si>
  <si>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</si>
  <si>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</si>
  <si>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</si>
  <si>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</si>
  <si>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</si>
  <si>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</si>
  <si>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</si>
  <si>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</si>
  <si>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</si>
  <si>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</si>
  <si>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</si>
  <si>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</si>
  <si>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</si>
  <si>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</si>
  <si>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</si>
  <si>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</si>
  <si>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</si>
  <si>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</si>
  <si>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</si>
  <si>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</si>
  <si>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</si>
  <si>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</si>
  <si>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</si>
  <si>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</si>
  <si>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</si>
  <si>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</si>
  <si>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</si>
  <si>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</si>
  <si>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</si>
  <si>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</si>
  <si>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</si>
  <si>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</si>
  <si>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</si>
  <si>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</si>
  <si>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</si>
  <si>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</si>
  <si>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</si>
  <si>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</si>
  <si>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</si>
  <si>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</si>
  <si>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</si>
  <si>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</si>
  <si>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</si>
  <si>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</si>
  <si>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</si>
  <si>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</si>
  <si>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</si>
  <si>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</si>
  <si>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</si>
  <si>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</si>
  <si>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</si>
  <si>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</si>
  <si>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</si>
  <si>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</si>
  <si>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</si>
  <si>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</si>
  <si>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</si>
  <si>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</si>
  <si>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</si>
  <si>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</si>
  <si>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</si>
  <si>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</si>
  <si>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</si>
  <si>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</si>
  <si>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</si>
  <si>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</si>
  <si>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</si>
  <si>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</si>
  <si>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</si>
  <si>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</si>
  <si>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</si>
  <si>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</si>
  <si>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</si>
  <si>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</si>
  <si>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</si>
  <si>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</si>
  <si>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</si>
  <si>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</si>
  <si>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</si>
  <si>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</si>
  <si>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</si>
  <si>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</si>
  <si>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</si>
  <si>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</si>
  <si>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</si>
  <si>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</si>
  <si>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</si>
  <si>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</si>
  <si>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</si>
  <si>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</si>
  <si>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</si>
  <si>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</si>
  <si>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</si>
  <si>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</si>
  <si>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</si>
  <si>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</si>
  <si>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</si>
  <si>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</si>
  <si>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</si>
  <si>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</si>
  <si>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</si>
  <si>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</si>
  <si>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</si>
  <si>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</si>
  <si>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</si>
  <si>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</si>
  <si>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</si>
  <si>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</si>
  <si>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</si>
  <si>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</si>
  <si>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</si>
  <si>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</si>
  <si>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</si>
  <si>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</si>
  <si>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</si>
  <si>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</si>
  <si>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</si>
  <si>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</si>
  <si>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</si>
  <si>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</si>
  <si>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</si>
  <si>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</si>
  <si>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</si>
  <si>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</si>
  <si>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</si>
  <si>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</si>
  <si>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</si>
  <si>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</si>
  <si>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</si>
  <si>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</si>
  <si>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</si>
  <si>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</si>
  <si>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</si>
  <si>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</si>
  <si>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</si>
  <si>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</si>
  <si>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</si>
  <si>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</si>
  <si>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</si>
  <si>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</si>
  <si>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</si>
  <si>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</si>
  <si>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</si>
  <si>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</si>
  <si>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</si>
  <si>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</si>
  <si>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</si>
  <si>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</si>
  <si>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</si>
  <si>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</si>
  <si>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</si>
  <si>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</si>
  <si>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</si>
  <si>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</si>
  <si>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</si>
  <si>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</si>
  <si>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</si>
  <si>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</si>
  <si>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</si>
  <si>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</si>
  <si>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</si>
  <si>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</si>
  <si>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</si>
  <si>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</si>
  <si>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</si>
  <si>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</si>
  <si>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</si>
  <si>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</si>
  <si>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</si>
  <si>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</si>
  <si>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</si>
  <si>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</si>
  <si>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</si>
  <si>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</si>
  <si>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</si>
  <si>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</si>
  <si>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</si>
  <si>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</si>
  <si>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</si>
  <si>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</si>
  <si>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</si>
  <si>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</si>
  <si>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</si>
  <si>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</si>
  <si>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</si>
  <si>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</si>
  <si>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</si>
  <si>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</si>
  <si>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</si>
  <si>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</si>
  <si>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</si>
  <si>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</si>
  <si>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</si>
  <si>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</si>
  <si>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</si>
  <si>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</si>
  <si>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</si>
  <si>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</si>
  <si>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</si>
  <si>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</si>
  <si>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</si>
  <si>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</si>
  <si>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</si>
  <si>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</si>
  <si>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</si>
  <si>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</si>
  <si>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</si>
  <si>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</si>
  <si>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</si>
  <si>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</si>
  <si>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</si>
  <si>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</si>
  <si>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</si>
  <si>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</si>
  <si>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</si>
  <si>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</si>
  <si>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</si>
  <si>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</si>
  <si>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</si>
  <si>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</si>
  <si>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</si>
  <si>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</si>
  <si>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</si>
  <si>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</si>
  <si>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</si>
  <si>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</si>
  <si>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</si>
  <si>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</si>
  <si>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</si>
  <si>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</si>
  <si>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</si>
  <si>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</si>
  <si>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</si>
  <si>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</si>
  <si>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</si>
  <si>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</si>
  <si>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</si>
  <si>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</si>
  <si>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</si>
  <si>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</si>
  <si>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</si>
  <si>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</si>
  <si>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</si>
  <si>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</si>
  <si>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</si>
  <si>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</si>
  <si>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</si>
  <si>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</si>
  <si>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</si>
  <si>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</si>
  <si>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</si>
  <si>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</si>
  <si>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</si>
  <si>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</si>
  <si>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</si>
  <si>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</si>
  <si>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</si>
  <si>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</si>
  <si>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</si>
  <si>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</si>
  <si>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</si>
  <si>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</si>
  <si>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</si>
  <si>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</si>
  <si>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</si>
  <si>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</si>
  <si>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</si>
  <si>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</si>
  <si>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</si>
  <si>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</si>
  <si>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</si>
  <si>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</si>
  <si>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</si>
  <si>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</si>
  <si>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</si>
  <si>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</si>
  <si>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</si>
  <si>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</si>
  <si>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</si>
  <si>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</si>
  <si>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</si>
  <si>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</si>
  <si>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</si>
  <si>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</si>
  <si>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</si>
  <si>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</si>
  <si>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</si>
  <si>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</si>
  <si>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</si>
  <si>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</si>
  <si>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</si>
  <si>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</si>
  <si>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ZUBICUETA</t>
  </si>
  <si>
    <t xml:space="preserve">NICOLAS </t>
  </si>
  <si>
    <t>NICOLAS NARVAI ZUBICUETA</t>
  </si>
  <si>
    <t>NARVAI ZUBICUETA NICOLAS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</si>
  <si>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</si>
  <si>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</si>
  <si>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</si>
  <si>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</si>
  <si>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</si>
  <si>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</si>
  <si>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</si>
  <si>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</si>
  <si>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</si>
  <si>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</si>
  <si>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</si>
  <si>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</si>
  <si>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</si>
  <si>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</si>
  <si>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</si>
  <si>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</si>
  <si>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</si>
  <si>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</si>
  <si>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</si>
  <si>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</si>
  <si>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</si>
  <si>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Llegada</t>
  </si>
  <si>
    <t>Salida</t>
  </si>
  <si>
    <t>Admin</t>
  </si>
  <si>
    <t>Trainee</t>
  </si>
  <si>
    <t>ZURA</t>
  </si>
  <si>
    <t>Operario Almacenamiento</t>
  </si>
  <si>
    <t>23.040.236-1</t>
  </si>
  <si>
    <t>11.267.622-8</t>
  </si>
  <si>
    <t xml:space="preserve">JOSE </t>
  </si>
  <si>
    <t>JOSE MATURANA RIOS</t>
  </si>
  <si>
    <t>MATURANA RIOS JOSE</t>
  </si>
  <si>
    <t>16.558.908-4</t>
  </si>
  <si>
    <t xml:space="preserve">ROJAS </t>
  </si>
  <si>
    <t>MARCELO ROJAS MUÑOZ</t>
  </si>
  <si>
    <t>ROJAS MUÑOZ MARCELO</t>
  </si>
  <si>
    <t>16.380.050-0</t>
  </si>
  <si>
    <t>Nº pers2.</t>
  </si>
  <si>
    <t>preparacion planta</t>
  </si>
  <si>
    <t>mantencion</t>
  </si>
  <si>
    <t>HORAS 100</t>
  </si>
  <si>
    <t>Horas extras Sap</t>
  </si>
  <si>
    <t>Lunes</t>
  </si>
  <si>
    <t>Martes</t>
  </si>
  <si>
    <t>Miércoles</t>
  </si>
  <si>
    <t>Jueves</t>
  </si>
  <si>
    <t>Viernes</t>
  </si>
  <si>
    <t>Sábado</t>
  </si>
  <si>
    <t>Domingo</t>
  </si>
  <si>
    <t>Mes</t>
  </si>
  <si>
    <t>Variable</t>
  </si>
  <si>
    <t>Junio</t>
  </si>
  <si>
    <t>Enero</t>
  </si>
  <si>
    <t>Febrero</t>
  </si>
  <si>
    <t>Marzo</t>
  </si>
  <si>
    <t>Abril</t>
  </si>
  <si>
    <t>Mayo</t>
  </si>
  <si>
    <t>Julio</t>
  </si>
  <si>
    <t>Agosto</t>
  </si>
  <si>
    <t>Septiembre</t>
  </si>
  <si>
    <t>Octubre</t>
  </si>
  <si>
    <t>Noviembre</t>
  </si>
  <si>
    <t>Diciembre</t>
  </si>
  <si>
    <t>14.005.685-7</t>
  </si>
  <si>
    <t>17.926.694-6</t>
  </si>
  <si>
    <t>DENIS</t>
  </si>
  <si>
    <t>JAEL DENNISSE</t>
  </si>
  <si>
    <t>JAEL DENNISSE DENIS ESCOBAR</t>
  </si>
  <si>
    <t>DENIS ESCOBAR DENNISSE JAEL</t>
  </si>
  <si>
    <t>16.478.330-8</t>
  </si>
  <si>
    <t>CATALAN</t>
  </si>
  <si>
    <t>DAVID ALEJANDRO ALVAREZ CATALAN</t>
  </si>
  <si>
    <t>ALVAREZ CATALAN DAVID ALEJANDRO</t>
  </si>
  <si>
    <t>16.149.604-9</t>
  </si>
  <si>
    <t>15.446.103-5</t>
  </si>
  <si>
    <t xml:space="preserve">ESPINOZA </t>
  </si>
  <si>
    <t xml:space="preserve">SERRANO </t>
  </si>
  <si>
    <t xml:space="preserve">ERIKA </t>
  </si>
  <si>
    <t>ERIKA PATRICIA ESPINOZA SERRANO</t>
  </si>
  <si>
    <t>ADMINISTRATIVO</t>
  </si>
  <si>
    <t>17.849.530-5</t>
  </si>
  <si>
    <t xml:space="preserve">ORELLANA </t>
  </si>
  <si>
    <t>EDUARDO ANDRES ORELLANA VERA</t>
  </si>
  <si>
    <t>15.718.343-5</t>
  </si>
  <si>
    <t>SETIEN</t>
  </si>
  <si>
    <t xml:space="preserve">PAMELA </t>
  </si>
  <si>
    <t>PAMELA BELEN SETIEN VERA</t>
  </si>
  <si>
    <t>16.724.323-1</t>
  </si>
  <si>
    <t xml:space="preserve">UBILLA </t>
  </si>
  <si>
    <t>DENISSE</t>
  </si>
  <si>
    <t>DENISSE BEATRIZ UBILLA RODRIGUEZ</t>
  </si>
  <si>
    <t>P10</t>
  </si>
  <si>
    <t>P20</t>
  </si>
  <si>
    <t>00.00.0000</t>
  </si>
  <si>
    <t>EDUARDO A</t>
  </si>
  <si>
    <t>ANDRES</t>
  </si>
  <si>
    <t>HERREROS</t>
  </si>
  <si>
    <t>INFANTE</t>
  </si>
  <si>
    <t>JOSE FERNANDO</t>
  </si>
  <si>
    <t>MAURICIO ESTEBAN</t>
  </si>
  <si>
    <t>ALEX JOHN</t>
  </si>
  <si>
    <t>GABRIEL ANTONIO</t>
  </si>
  <si>
    <t>CANDIA</t>
  </si>
  <si>
    <t>NICOLAS ORLANDO</t>
  </si>
  <si>
    <t>ALEJANDRO PATRICIO</t>
  </si>
  <si>
    <t>JUAN HUMBERTO</t>
  </si>
  <si>
    <t>MANUEL ROBERTO</t>
  </si>
  <si>
    <t>MAULEN</t>
  </si>
  <si>
    <t>JONATHAN JESUS</t>
  </si>
  <si>
    <t>ALBERTO AGUSTIN</t>
  </si>
  <si>
    <t>MARCELO ALEJANDRO</t>
  </si>
  <si>
    <t>DAVID ALEJANDRO</t>
  </si>
  <si>
    <t>MARCELO EDUARDO</t>
  </si>
  <si>
    <t>ISAAC ELIU</t>
  </si>
  <si>
    <t>GAVELO</t>
  </si>
  <si>
    <t>CRISTOPHER ANDRES</t>
  </si>
  <si>
    <t>-</t>
  </si>
  <si>
    <t>17.669.014-3</t>
  </si>
  <si>
    <t>NARANJO</t>
  </si>
  <si>
    <t>GUIDO</t>
  </si>
  <si>
    <t>GUIDO NARANJO</t>
  </si>
  <si>
    <t>NARANJO GUIDO</t>
  </si>
  <si>
    <t>27.06.2011</t>
  </si>
  <si>
    <t>28.06.2011</t>
  </si>
  <si>
    <t>29.06.2011</t>
  </si>
  <si>
    <t>30.06.2011</t>
  </si>
  <si>
    <t>01.07.2011</t>
  </si>
  <si>
    <t>02.07.2011</t>
  </si>
  <si>
    <t>03.07.2011</t>
  </si>
  <si>
    <t>15.449.281-k</t>
  </si>
  <si>
    <t>Suma de Hora</t>
  </si>
  <si>
    <t>RUT</t>
  </si>
  <si>
    <t>horas a trabajar</t>
  </si>
  <si>
    <t>No esta ingresado</t>
  </si>
  <si>
    <t>Horas trabajadas</t>
  </si>
  <si>
    <t>rut</t>
  </si>
  <si>
    <t>Horas extras informadas</t>
  </si>
  <si>
    <t>Porcentaje</t>
  </si>
  <si>
    <t>Status</t>
  </si>
  <si>
    <t>Recepción de insumos fuera de horario</t>
  </si>
  <si>
    <t xml:space="preserve">Preparacion de inventario </t>
  </si>
  <si>
    <t>Control programa diario</t>
  </si>
  <si>
    <t>Preparación insumo Lo Espejo</t>
  </si>
  <si>
    <t>Control  y Gestion Bodega insumo</t>
  </si>
  <si>
    <t>Control Inventario</t>
  </si>
  <si>
    <t>Control prepicking y almacenamientos</t>
  </si>
  <si>
    <t>Cubre turno por licencia de R. Rojas</t>
  </si>
  <si>
    <t>Preparación de insumos para inicio de planta</t>
  </si>
  <si>
    <t>Cubre turno por falta de personal</t>
  </si>
  <si>
    <t>Trabajo extraprogramatico. (cubre turno)</t>
  </si>
  <si>
    <t xml:space="preserve">Control Consumos </t>
  </si>
  <si>
    <t>Control y gestión de cápsulas (picking)</t>
  </si>
  <si>
    <t>Trabajo extraprogramatico. (a espera de insumos)</t>
  </si>
  <si>
    <t>Control y gestión de cajones de madera</t>
  </si>
  <si>
    <t>Supervisor Abastecimiento</t>
  </si>
  <si>
    <t>Cubre turno por licencia de N. Figueroa</t>
  </si>
  <si>
    <t>Control y gestión de  Corchos</t>
  </si>
  <si>
    <t>Control prepicking</t>
  </si>
  <si>
    <t>#N/A</t>
  </si>
  <si>
    <t/>
  </si>
  <si>
    <t>Sin turtno ing</t>
  </si>
</sst>
</file>

<file path=xl/styles.xml><?xml version="1.0" encoding="utf-8"?>
<styleSheet xmlns="http://schemas.openxmlformats.org/spreadsheetml/2006/main">
  <numFmts count="5">
    <numFmt numFmtId="164" formatCode="_-[$€-2]* #,##0.00_-;\-[$€-2]* #,##0.00_-;_-[$€-2]* &quot;-&quot;??_-"/>
    <numFmt numFmtId="165" formatCode="dd/mmmm/yyyy"/>
    <numFmt numFmtId="166" formatCode="########\-#"/>
    <numFmt numFmtId="167" formatCode="mmmm"/>
    <numFmt numFmtId="168" formatCode="[$-F400]h:mm:ss\ AM/PM"/>
  </numFmts>
  <fonts count="39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  <font>
      <b/>
      <sz val="10"/>
      <name val="Arial"/>
      <family val="2"/>
    </font>
    <font>
      <sz val="9"/>
      <name val="Comic Sans MS"/>
      <family val="4"/>
    </font>
    <font>
      <sz val="8"/>
      <name val="Comic Sans MS"/>
      <family val="4"/>
    </font>
    <font>
      <b/>
      <sz val="8"/>
      <color rgb="FFFF0000"/>
      <name val="Comic Sans MS"/>
      <family val="4"/>
    </font>
    <font>
      <b/>
      <sz val="8"/>
      <color theme="1"/>
      <name val="Comic Sans MS"/>
      <family val="4"/>
    </font>
    <font>
      <sz val="8"/>
      <color rgb="FFFF0000"/>
      <name val="Comic Sans MS"/>
      <family val="4"/>
    </font>
    <font>
      <sz val="10"/>
      <name val="Arial"/>
    </font>
    <font>
      <b/>
      <sz val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92D050"/>
        <bgColor indexed="8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5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4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  <xf numFmtId="9" fontId="37" fillId="0" borderId="0" applyFont="0" applyFill="0" applyBorder="0" applyAlignment="0" applyProtection="0"/>
  </cellStyleXfs>
  <cellXfs count="110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1" xfId="0" applyFont="1" applyFill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Fill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0" fontId="0" fillId="0" borderId="0" xfId="0" pivotButton="1"/>
    <xf numFmtId="0" fontId="21" fillId="32" borderId="11" xfId="0" applyFont="1" applyFill="1" applyBorder="1" applyAlignment="1">
      <alignment horizontal="center"/>
    </xf>
    <xf numFmtId="46" fontId="0" fillId="0" borderId="11" xfId="0" applyNumberFormat="1" applyBorder="1" applyAlignment="1">
      <alignment horizontal="center"/>
    </xf>
    <xf numFmtId="0" fontId="0" fillId="0" borderId="0" xfId="0" applyFill="1"/>
    <xf numFmtId="165" fontId="0" fillId="0" borderId="0" xfId="0" applyNumberFormat="1"/>
    <xf numFmtId="165" fontId="0" fillId="0" borderId="11" xfId="0" applyNumberFormat="1" applyBorder="1"/>
    <xf numFmtId="0" fontId="1" fillId="0" borderId="0" xfId="0" applyFont="1"/>
    <xf numFmtId="0" fontId="0" fillId="0" borderId="0" xfId="0" applyAlignment="1">
      <alignment horizontal="center"/>
    </xf>
    <xf numFmtId="0" fontId="31" fillId="0" borderId="0" xfId="0" applyFont="1"/>
    <xf numFmtId="0" fontId="31" fillId="0" borderId="11" xfId="0" applyFont="1" applyBorder="1"/>
    <xf numFmtId="0" fontId="33" fillId="0" borderId="11" xfId="0" applyFont="1" applyFill="1" applyBorder="1" applyAlignment="1">
      <alignment horizontal="left"/>
    </xf>
    <xf numFmtId="0" fontId="33" fillId="28" borderId="11" xfId="0" applyFont="1" applyFill="1" applyBorder="1" applyAlignment="1">
      <alignment horizontal="left"/>
    </xf>
    <xf numFmtId="0" fontId="32" fillId="28" borderId="11" xfId="0" applyFont="1" applyFill="1" applyBorder="1" applyAlignment="1">
      <alignment horizontal="left"/>
    </xf>
    <xf numFmtId="0" fontId="33" fillId="0" borderId="11" xfId="0" applyFont="1" applyFill="1" applyBorder="1"/>
    <xf numFmtId="0" fontId="32" fillId="0" borderId="11" xfId="0" applyFont="1" applyFill="1" applyBorder="1" applyAlignment="1">
      <alignment horizontal="left"/>
    </xf>
    <xf numFmtId="0" fontId="33" fillId="0" borderId="17" xfId="0" applyFont="1" applyFill="1" applyBorder="1" applyAlignment="1">
      <alignment horizontal="left"/>
    </xf>
    <xf numFmtId="0" fontId="0" fillId="0" borderId="11" xfId="0" applyFill="1" applyBorder="1"/>
    <xf numFmtId="167" fontId="0" fillId="0" borderId="0" xfId="0" applyNumberFormat="1"/>
    <xf numFmtId="168" fontId="0" fillId="0" borderId="0" xfId="0" applyNumberFormat="1"/>
    <xf numFmtId="0" fontId="27" fillId="32" borderId="11" xfId="0" applyFont="1" applyFill="1" applyBorder="1" applyAlignment="1">
      <alignment horizontal="right"/>
    </xf>
    <xf numFmtId="0" fontId="27" fillId="32" borderId="11" xfId="0" applyNumberFormat="1" applyFont="1" applyFill="1" applyBorder="1" applyAlignment="1">
      <alignment horizontal="right"/>
    </xf>
    <xf numFmtId="0" fontId="30" fillId="32" borderId="11" xfId="0" applyFont="1" applyFill="1" applyBorder="1" applyAlignment="1">
      <alignment horizontal="center"/>
    </xf>
    <xf numFmtId="0" fontId="30" fillId="32" borderId="19" xfId="0" applyFont="1" applyFill="1" applyBorder="1" applyAlignment="1">
      <alignment horizontal="center"/>
    </xf>
    <xf numFmtId="166" fontId="31" fillId="0" borderId="11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31" fillId="0" borderId="11" xfId="0" applyFont="1" applyBorder="1" applyAlignment="1">
      <alignment horizontal="center"/>
    </xf>
    <xf numFmtId="0" fontId="36" fillId="0" borderId="11" xfId="0" applyFont="1" applyFill="1" applyBorder="1" applyAlignment="1">
      <alignment horizontal="center"/>
    </xf>
    <xf numFmtId="0" fontId="0" fillId="28" borderId="0" xfId="0" applyFill="1"/>
    <xf numFmtId="21" fontId="0" fillId="28" borderId="0" xfId="0" applyNumberFormat="1" applyFill="1"/>
    <xf numFmtId="0" fontId="0" fillId="28" borderId="11" xfId="0" applyFill="1" applyBorder="1"/>
    <xf numFmtId="0" fontId="21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28" borderId="11" xfId="0" applyFont="1" applyFill="1" applyBorder="1" applyAlignment="1">
      <alignment horizontal="center"/>
    </xf>
    <xf numFmtId="0" fontId="21" fillId="28" borderId="0" xfId="0" applyFont="1" applyFill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34" borderId="11" xfId="0" applyFont="1" applyFill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31" fillId="0" borderId="11" xfId="0" applyFont="1" applyFill="1" applyBorder="1" applyAlignment="1">
      <alignment horizontal="center"/>
    </xf>
    <xf numFmtId="21" fontId="0" fillId="0" borderId="0" xfId="0" applyNumberFormat="1"/>
    <xf numFmtId="0" fontId="29" fillId="0" borderId="11" xfId="0" applyFont="1" applyFill="1" applyBorder="1" applyAlignment="1">
      <alignment horizontal="center"/>
    </xf>
    <xf numFmtId="0" fontId="34" fillId="0" borderId="11" xfId="0" applyFont="1" applyFill="1" applyBorder="1" applyAlignment="1">
      <alignment horizontal="center"/>
    </xf>
    <xf numFmtId="0" fontId="35" fillId="0" borderId="11" xfId="0" applyFont="1" applyFill="1" applyBorder="1" applyAlignment="1">
      <alignment horizontal="center"/>
    </xf>
    <xf numFmtId="1" fontId="21" fillId="0" borderId="11" xfId="0" applyNumberFormat="1" applyFont="1" applyBorder="1" applyAlignment="1">
      <alignment horizontal="center"/>
    </xf>
    <xf numFmtId="0" fontId="26" fillId="30" borderId="11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/>
    </xf>
    <xf numFmtId="168" fontId="0" fillId="0" borderId="0" xfId="0" pivotButton="1" applyNumberFormat="1"/>
    <xf numFmtId="0" fontId="38" fillId="33" borderId="0" xfId="0" applyFont="1" applyFill="1" applyAlignment="1">
      <alignment horizontal="center"/>
    </xf>
    <xf numFmtId="0" fontId="38" fillId="33" borderId="0" xfId="0" applyFont="1" applyFill="1"/>
    <xf numFmtId="0" fontId="0" fillId="33" borderId="0" xfId="0" applyFont="1" applyFill="1" applyAlignment="1">
      <alignment horizontal="center"/>
    </xf>
    <xf numFmtId="0" fontId="0" fillId="33" borderId="0" xfId="0" applyFont="1" applyFill="1"/>
    <xf numFmtId="0" fontId="25" fillId="30" borderId="16" xfId="0" applyFont="1" applyFill="1" applyBorder="1"/>
    <xf numFmtId="168" fontId="0" fillId="33" borderId="0" xfId="0" applyNumberFormat="1" applyFill="1"/>
    <xf numFmtId="0" fontId="0" fillId="0" borderId="0" xfId="0" applyFont="1"/>
    <xf numFmtId="2" fontId="0" fillId="0" borderId="0" xfId="0" applyNumberFormat="1"/>
    <xf numFmtId="168" fontId="1" fillId="0" borderId="0" xfId="0" applyNumberFormat="1" applyFont="1"/>
    <xf numFmtId="9" fontId="0" fillId="0" borderId="0" xfId="44" applyFont="1"/>
    <xf numFmtId="0" fontId="35" fillId="35" borderId="11" xfId="0" applyFont="1" applyFill="1" applyBorder="1" applyAlignment="1">
      <alignment horizontal="center"/>
    </xf>
    <xf numFmtId="0" fontId="34" fillId="36" borderId="11" xfId="0" applyFont="1" applyFill="1" applyBorder="1" applyAlignment="1">
      <alignment horizontal="center"/>
    </xf>
    <xf numFmtId="0" fontId="38" fillId="33" borderId="0" xfId="0" applyFont="1" applyFill="1" applyAlignment="1">
      <alignment horizontal="left"/>
    </xf>
    <xf numFmtId="0" fontId="0" fillId="33" borderId="0" xfId="0" applyFont="1" applyFill="1" applyAlignment="1">
      <alignment horizontal="left"/>
    </xf>
    <xf numFmtId="168" fontId="0" fillId="0" borderId="0" xfId="0" applyNumberFormat="1" applyFill="1"/>
    <xf numFmtId="0" fontId="0" fillId="0" borderId="0" xfId="0" applyNumberFormat="1" applyFill="1"/>
    <xf numFmtId="0" fontId="0" fillId="0" borderId="0" xfId="0" applyNumberFormat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5" fontId="29" fillId="24" borderId="16" xfId="0" applyNumberFormat="1" applyFont="1" applyFill="1" applyBorder="1" applyAlignment="1">
      <alignment horizontal="center"/>
    </xf>
    <xf numFmtId="165" fontId="29" fillId="24" borderId="15" xfId="0" applyNumberFormat="1" applyFont="1" applyFill="1" applyBorder="1" applyAlignment="1">
      <alignment horizontal="center"/>
    </xf>
    <xf numFmtId="0" fontId="0" fillId="0" borderId="15" xfId="0" applyBorder="1" applyAlignment="1">
      <alignment horizontal="center"/>
    </xf>
  </cellXfs>
  <cellStyles count="45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Porcentual" xfId="44" builtinId="5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4">
    <dxf>
      <numFmt numFmtId="168" formatCode="[$-F400]h:mm:ss\ AM/PM"/>
    </dxf>
    <dxf>
      <numFmt numFmtId="168" formatCode="[$-F400]h:mm:ss\ AM/PM"/>
    </dxf>
    <dxf>
      <numFmt numFmtId="168" formatCode="[$-F400]h:mm:ss\ AM/PM"/>
    </dxf>
    <dxf>
      <numFmt numFmtId="168" formatCode="[$-F400]h:mm:ss\ AM/P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iempo" refreshedDate="40735.661553703707" createdVersion="3" refreshedVersion="3" minRefreshableVersion="3" recordCount="2762">
  <cacheSource type="worksheet">
    <worksheetSource ref="A1:L20000" sheet="Informe Kelly"/>
  </cacheSource>
  <cacheFields count="12">
    <cacheField name="Nº pers." numFmtId="0">
      <sharedItems containsString="0" containsBlank="1" containsNumber="1" containsInteger="1" minValue="4776546" maxValue="23040236"/>
    </cacheField>
    <cacheField name="Nombre de pila" numFmtId="0">
      <sharedItems containsBlank="1"/>
    </cacheField>
    <cacheField name="Apellido paterno" numFmtId="0">
      <sharedItems containsBlank="1"/>
    </cacheField>
    <cacheField name="Apellido materno" numFmtId="0">
      <sharedItems containsBlank="1"/>
    </cacheField>
    <cacheField name="Fe.lóg." numFmtId="0">
      <sharedItems containsBlank="1" count="9">
        <s v="01.07.2011"/>
        <s v="02.07.2011"/>
        <s v="28.06.2011"/>
        <s v="29.06.2011"/>
        <s v="30.06.2011"/>
        <s v="00.00.0000"/>
        <s v="27.06.2011"/>
        <s v="03.07.2011"/>
        <m/>
      </sharedItems>
    </cacheField>
    <cacheField name="Hora" numFmtId="0">
      <sharedItems containsNonDate="0" containsDate="1" containsString="0" containsBlank="1" minDate="1899-12-30T00:00:00" maxDate="1899-12-30T23:57:22"/>
    </cacheField>
    <cacheField name="CHT" numFmtId="0">
      <sharedItems containsBlank="1"/>
    </cacheField>
    <cacheField name="Clase hecho temporal" numFmtId="0">
      <sharedItems containsBlank="1" count="3">
        <s v="Salida"/>
        <s v="Llegada"/>
        <m/>
      </sharedItems>
    </cacheField>
    <cacheField name="RUT" numFmtId="0">
      <sharedItems containsBlank="1" count="263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7.975.267-3"/>
        <s v="08.025.043-6"/>
        <s v="08.085.825-6"/>
        <s v="08.110.698-3"/>
        <s v="08.161.344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585.356-2"/>
        <s v="08.618.882-1"/>
        <s v="08.634.737-7"/>
        <s v="08.733.235-7"/>
        <s v="08.771.787-9"/>
        <s v="08.809.784-K"/>
        <s v="08.881.760-5"/>
        <s v="08.962.599-8"/>
        <s v="9.004.326-9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08.532-K"/>
        <s v="09.613.720-6"/>
        <s v="09.741.880-2"/>
        <s v="09.748.915-7"/>
        <s v="09.774.031-3"/>
        <s v="09.806.171-1"/>
        <s v="09.832.710-K"/>
        <s v="09.839.411-7"/>
        <s v="09.878.189-7"/>
        <s v="9.905.897-8"/>
        <s v="09.957.527-1"/>
        <s v="09.959.939-1"/>
        <s v="09.960.185-K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37.908-8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054.986-5"/>
        <s v="11.123.851-0"/>
        <s v="11.124.307-7"/>
        <s v="11.165.105-1"/>
        <s v="11.267.594-9"/>
        <s v="11.267.622-8"/>
        <s v="11.268.136-1"/>
        <s v="11.306.351-3"/>
        <s v="11.325.204-9"/>
        <s v="11.347.053-4"/>
        <s v="11.370.436-5"/>
        <s v="11.394.356-4"/>
        <s v="11.476.853-7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1.994.656-5"/>
        <s v="12.020.450-5"/>
        <s v="12.051.254-4"/>
        <s v="12.093.149-0"/>
        <s v="12.093.228-4"/>
        <s v="12.175.753-2"/>
        <s v="12.210.109-0"/>
        <s v="12.392.999-3"/>
        <s v="12.410.690-7"/>
        <s v="12.500.119-K"/>
        <s v="12.501.307-4"/>
        <s v="12.504.270-8"/>
        <s v="12.647.009-6"/>
        <s v="12.674.806-K"/>
        <s v="12.677.439-7"/>
        <s v="12.688.280-7"/>
        <s v="12.690.098-8"/>
        <s v="12719073-9"/>
        <s v="12.740.284-1"/>
        <s v="12.828.475-3"/>
        <s v="12.896.000-7"/>
        <s v="12.896.236-0"/>
        <s v="12.896.866-0"/>
        <s v="12.897.839-9"/>
        <s v="12.898.844-0"/>
        <s v="12.934.132-7"/>
        <s v="13.045.231-0"/>
        <s v="13.077.995-6"/>
        <s v="13.079.999-K"/>
        <s v="13.100.464-8"/>
        <s v="13.236.100-2"/>
        <s v="13.284.475-5"/>
        <s v="13.284.709-6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05.685-7"/>
        <s v="14.017.495-5"/>
        <s v="14.095.347-4"/>
        <s v="14.151.454-7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4.595.059-7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.149.604-9"/>
        <s v="16.169.301-4"/>
        <s v="16.191.666-8"/>
        <s v="16.266.817-K"/>
        <s v="16.266.873-0"/>
        <s v="16.267.560-5"/>
        <s v="16.268.829-4"/>
        <s v="16.296.340-6"/>
        <s v="16.380.050-0"/>
        <s v="16.408.490-6"/>
        <s v="16.413.939-5"/>
        <s v="16.441.340-3"/>
        <s v="16.441.596-1"/>
        <s v="16.478.330-8"/>
        <s v="16.558.908-4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546.614-2"/>
        <s v="17.609.782-5"/>
        <s v="17.755.770-6"/>
        <s v="17.926.694-6"/>
        <s v="17.929.108-8"/>
        <s v="18.045.411-k"/>
        <s v="18.074.081-3"/>
        <s v="18.187.438-4"/>
        <s v="18.364.293-6"/>
        <s v="20.342.651-8"/>
        <s v="21.318.186-6"/>
        <s v="21.516.766-6"/>
        <s v="22.637.242-3"/>
        <s v="23.040.236-1"/>
        <e v="#N/A"/>
        <m/>
      </sharedItems>
    </cacheField>
    <cacheField name="Nombre" numFmtId="0">
      <sharedItems containsBlank="1" count="263">
        <s v="EUGENIO  OLEKSIUK  SEKOWSKA"/>
        <s v="CARLOS  FIGUEROA  NILO"/>
        <s v="LUIS  DUARTE  BECERRA"/>
        <s v="BLANCA  FUENTES  YAÑEZ"/>
        <s v="NELSON  GALAZ  DEL PINO"/>
        <s v="RAÚL   MARTINEZ  VASQUEZ"/>
        <s v="JUAN MANUEL  GUERRERO  MONTANO"/>
        <s v="NELLY E.  FIGUEROA  PAVEZ"/>
        <s v="GUILLERMO  PINO  QUINTANILLA"/>
        <s v="ARTURO BERNABE  CURIN  MILLAN"/>
        <s v="PATRICIA  FUENTES  YAÑEZ"/>
        <s v="FERNANDO  DURAN  SOTO"/>
        <s v="EDUARDO   ABARCA  JARA"/>
        <s v="ORLANDINO GUMERCINDO  TAPIA  OLIVARES"/>
        <s v="CARLOS  PINO  MARTINEZ"/>
        <s v="JUAN RAMON  PALMA  SEREÑO"/>
        <s v="JUAN RAMON  CABELLO  DIAZ"/>
        <s v="ISAIAS  PLAZA  ALFARO"/>
        <s v="HECTOR ENRIQUE  SALAZAR  VIDELA"/>
        <s v="FIDEL  FUENZALIDA  ADASME"/>
        <s v="JORGE PATRICIO  NARVAI  RIVERA"/>
        <s v="JUAN FCO.  CERNA  CONTRERAS"/>
        <s v="JOSE MANUEL  QUIROZ  VENEGAS"/>
        <s v="OSCAR ALFREDO  ALBORNOZ  ROA"/>
        <s v="RUBEN A  VIDAL  ORMAZABAL"/>
        <s v="ANA MARITZA  JORQUERA  DURAN"/>
        <s v="ELOY ENRIQUE  PALMA  SEREÑO"/>
        <s v="PATRICIO HERNAN  CUEVAS  ORDENES"/>
        <s v="CARLOS  CERONI  PIZARRO"/>
        <s v="JULIO CESAR  PINTO  FLORES"/>
        <s v="MIGUEL  SALAS  VALENZUELA"/>
        <s v="JOSE  RAMIREZ  ROJAS"/>
        <s v="MARCOS A  RUBIO  CASTRO"/>
        <s v="MIGUEL ANGEL  DIAZ  CASTRO"/>
        <s v="WILSON  GARRIDO  ACEVEDO"/>
        <s v="GLORIA  GONZALEZ  MASIAS"/>
        <s v="RAUL  LEIVA  CASTILLO"/>
        <s v="ACISCLO ANTONIO  SANHUEZA  CUBILLOS"/>
        <s v="XIMENA DEL ROSARIO  GUZMAN  CASTAÑEDA"/>
        <s v="ELIANA RITA  ESTRADA  ESTRADA"/>
        <s v="MARIO DEL TRANSITO  ACEVEDO  MARTINEZ"/>
        <s v="JUAN  SALINAS  CUEVAS"/>
        <s v="HUMBERTO GERMAN  ESCOBAR  GUTIERREZ"/>
        <s v="JORGE MANUEL  OSORIO  OSORIO"/>
        <s v="LEONARDO ALFREDO  ARANCIBIA  VILLARROEL"/>
        <s v="JUAN  ARRIAGADA  JARA"/>
        <s v="PACIFICO  CARRERA  MAUREIRA"/>
        <s v="BRAULIO GUILLERMO  CASANOVA  SALINAS"/>
        <s v="BRIGIDA DEL CARMEN  CARES  LOPEZ"/>
        <s v="JUAN A  CASTAÑEDA  SANHUEZA"/>
        <s v="OSCAR E.  MORALES  ZAPATA"/>
        <s v="VICTOR H.  SANDOVAL  ACUÑA"/>
        <s v="RAFAEL  RODRIGUEZ  CISTERNA"/>
        <s v="EXEQUIEL  FUENZALIDA  VALENZUELA"/>
        <s v="PABLO FLORENTINO  JIMENEZ  PAINECURA"/>
        <s v="CARLOS ANTONIO  AGUILERA  LABRIN"/>
        <s v="MANUEL ORLANDO  VEGA  LEYTON"/>
        <s v="HUGO SIMON  GONZALEZ  MUÑOZ"/>
        <s v="ANDRES EDUARDO  LORCA  FARIAS"/>
        <s v="PABLO HORACIO  GARCIA  DIAZ"/>
        <s v="DARIO RODOLFO  GONZALEZ  DEL VALLE"/>
        <s v="SERGIO SEGUNDO  MARDONES  ALVARADO"/>
        <s v="JORGE  BAEZA  REYES"/>
        <s v="JOSE FRANCISCO  LEON  NUÑEZ"/>
        <s v="SANDRA  ARANGUIZ  ALIAGA"/>
        <s v="LUIS ALBERTO  ROJAS  GONZALEZ"/>
        <s v="LUIS RICARDO  PALMA  SEREÑO"/>
        <s v="MARCO ANTONIO  MUÑOZ  BUGUEÑO"/>
        <s v="MANUEL  ORTIZ  CONTRERAS"/>
        <s v="MIGUEL FRANCISCO  GALLARDO  CASTRO"/>
        <s v="LUIS  PEZO  ANRIQUEZ"/>
        <s v="ANGELA  MUÑOZ  GONZALEZ"/>
        <s v="LAURA CECILIA  REINOSO  SALAS"/>
        <s v="VICTOR MANUEL  HENRIQUEZ  FLORES"/>
        <s v="VICTOR  CACERES  VASQUEZ"/>
        <s v="VICTOR MANUEL  RIOS  MIRANDA"/>
        <s v="OMAR FCO.  CARO  RODRIGUEZ"/>
        <s v="VICTOR MANUEL  RUBIO  AYALA"/>
        <s v="GUILLERMO  LEON  GALVEZ"/>
        <s v="JUAN PABLO  HERREROS   INFANTE "/>
        <s v="JUAN LISANDRO  DURAN  MUÑOZ"/>
        <s v="LEONOR VARINIA  VENEGAS  SANCHEZ"/>
        <s v="ERIC PATRICIO  ARANCIBIA  QUINTANA"/>
        <s v="FRANKLIN LEONEL  HERNANDEZ  CESPEDES"/>
        <s v="MARCO  MOLINA  FERNANDEZ"/>
        <s v="LUIS ABRAHAM  QUIROGA  GARCIA"/>
        <s v="ELIZABETH  CONCHA  VALDEBENITO"/>
        <s v="TERESA DE LAS NIEVES  BUSTOS  JARA"/>
        <s v="MIGUEL ALBERTO  MELLA  FRIAS"/>
        <s v="RAUL  RAMIREZ  VASQUEZ"/>
        <s v="FELIX  EXEQUIEL  ARSENDIGA  PALMA"/>
        <s v="QUINTIN ROBERTO  HERNANDEZ  GONZALEZ"/>
        <s v="ANGELA ADELA  REYES  LARA"/>
        <s v="RICARDO V.  VIDAL  ATENAS"/>
        <s v="CARLOS ALEJANDRO  MORA  MORA"/>
        <s v="MARCO ANTONIO  VARGAS  MORENO"/>
        <s v="DANIEL  VALENZUELA   AREVALO"/>
        <s v="ARMANDO  ORELLANA  OLIVARES"/>
        <s v="DANIEL PATRICIO  SANCHEZ  VASQUEZ"/>
        <s v="RODOLFO ALBERTO  ALVEAR  GONZALEZ"/>
        <s v="RICARDO  SANTANA  PEREZ"/>
        <s v="ELVIO  VALDENEGRO  GARRIDO"/>
        <s v="MARCO ANTONIO  MADRID  PINTO"/>
        <s v="CRISTIAN  DIAZ  HENRIQUEZ"/>
        <s v="LUIS RAFAEL  PALMA  MIRANDA"/>
        <s v="HERNANDO  RIVEROS  RIFFO"/>
        <s v="JUAN ENRIQUE  LEIVA  MUÑOZ"/>
        <s v="CLAUDIA  PALAVECINOS  SEPULVEDA"/>
        <s v="MAURICIO  VALLE  GONZALEZ"/>
        <s v="JOSE ENRIQUE  MUÑOZ  QUENPUL"/>
        <s v="CECILIA  DIAZ  POBLETE"/>
        <s v="JOAQUIN  ESPINOZA  MORENO"/>
        <s v="JOSE MATURANA RIOS"/>
        <s v="MARIA ANGELICA  CRUCES  AGUILERA"/>
        <s v="RUBEN MARCO  MANQUIAN  NORIEGA"/>
        <s v="LUIS ALBERTO  ALVARADO  MARTINEZ"/>
        <s v="LUISA ISABEL  CRUZ  ROMERO"/>
        <s v="LUIS HUMBERTO  MARDONES  ALVARADO"/>
        <s v="ANGELICA VICTORIA  DIAZ  MUÑOZ"/>
        <s v="ALEJANDRA  RIVERA  PANES"/>
        <s v="CLAUDIO  CORTES  ULLOA"/>
        <s v="LUIS  NARVAI  DIAZ"/>
        <s v="PAOLO CESAR  IBAÑEZ  GRANIFO"/>
        <s v="JUAN RAMON  SALAMANCA  VIDAL"/>
        <s v="CLAUDIO ARTURO  MUÑOZ  MUÑOZ"/>
        <s v="SIXTO PATRICIO  CORTES  HERRERA"/>
        <s v="ALEXIS ANTONIO  NARVAI  DIAZ"/>
        <s v="CESAR OMAR  TORRES  FARIAS"/>
        <s v="CARLOS  LEMUS  VELIZ"/>
        <s v="LUIS  FERNANDEZ  MELLA"/>
        <s v="MARIA E  MOSCOSO  LOPEZ"/>
        <s v="ROBERTO  PINEDA  PEREZ"/>
        <s v="MAURICIO  NOVA  FIGUEROA"/>
        <s v="ANGEL GUILLERMO  CONTRERAS  CORTES"/>
        <s v="CRISTIAN  ARANCIBIA  NIETO"/>
        <s v="MARIO  MESIAS  PALMA"/>
        <s v="ROBERTO FERNANDO  ESCOBAR  RIVERA"/>
        <s v="CARLOS  TAPIA  CANTILLANA"/>
        <s v="SIMON ANDRES  CARRASCO  CID"/>
        <s v="FREDDY  SANCHEZ  TORRES"/>
        <s v="MARCELO ANTONIO  ARAYA  FUENTES"/>
        <s v="ROSEMARY  LAGOS  RUBIO"/>
        <s v="PAULO  SALAZAR  FREYHOFER"/>
        <s v="MARCO  CARDENAS  ULLOA"/>
        <s v="ANDRES RAUL  AEDO  MUÑOZ"/>
        <s v="VERONICA ANDREA  RIVERA  VARGAS"/>
        <s v="RODRIGO  MORALES  OLGUIN"/>
        <s v="ALEX  EYZAGUIRRE  LARA"/>
        <s v="JUAN CARLOS  MARCHANT  RAMIREZ"/>
        <s v="ELSON GONZALO  NARVAI  DIAZ"/>
        <s v="IGNACIO ANDRES  SERRANO  VEGA"/>
        <s v="GABRIEL   CANDIA   MUÑOZ"/>
        <s v="EDDIE LUIS  SOTO  SOTO"/>
        <s v="SOLEDAD ALEJANDRA  BECERRA  QUEZADA"/>
        <s v="DANIEL H.  PALMA  CLARO"/>
        <s v="VICTOR IVAN  NITOR  TORRES"/>
        <s v="FELIPE  ARANCIBIA  SILVA"/>
        <s v="FRANCISCO ANTONIO  MARTINEZ  OSSES"/>
        <s v="MAGALY ANDREA  SEPULVEDA  ARAVENA"/>
        <s v="JOSE A.  GALLARDO  OYARCE"/>
        <s v="MARCO ANTONIO  BUSTAMANTE  GONZALEZ"/>
        <s v="ESTEBAN  OSORIO  LUCERO"/>
        <s v="KATHERINE ANDREA  MUÑOZ  RAMIREZ"/>
        <s v="JUAN OSVALDO  TOLEDO  YEVENES"/>
        <s v="JORGE  POBLETE  RIVEROS"/>
        <s v="RICARDO  CHAVEZ  FARIÑA"/>
        <s v="MIGUEL  MALDONADO  DIAZ"/>
        <s v="DAVID  MOYA  BEROIZA"/>
        <s v="CLAUDIO  RETAMALES  SEPULVEDA"/>
        <s v="OSCAR MAURICIO  BERRIOS  LOPEZ"/>
        <s v="EDUARDO  SALINAS  MARIN"/>
        <s v="JULIO HERNAN  OYANEDEL  COFRE"/>
        <s v="NOLBERTO  VILLAFAÑA  IBAÑEZ"/>
        <s v="PATRICIO  MORALES  NUÑEZ"/>
        <s v="MARCELINO JHONATTAN  SANCHEZ  TORRES"/>
        <s v="GONZALO  LEDESMA  ARRIAGADA"/>
        <s v="MARIA ELIANA  MILLAN  HERRERA"/>
        <s v="AMERICO  NORESE  GUAJARDO"/>
        <s v="MARION RAQUEL  MARIN  MOSCOSO"/>
        <s v="FELIPE  ZAVALA  ARAVENA"/>
        <s v="JOSE LUIS  SEPULVEDA  ANTILEO"/>
        <s v="MAURICIO  ALLENDES  VARGAS"/>
        <s v="EMILIO  URETA  PAREDES"/>
        <s v="DANIEL NEFTALI  ITURRIAGA  ORELLANA"/>
        <s v="MAURICIO ANDRES  BUSTAMANTE  GONZALEZ"/>
        <s v="LUIS  MATURANA  SANDOVAL"/>
        <s v="GERARDO ALBERTO  RODRIGUEZ  TORO"/>
        <s v="NICOLAS NARVAI ZUBICUETA"/>
        <s v="CARLOS EUGENIO  OYARCE  DIAZ"/>
        <s v="ANDRES NICOLAS  CAÑOLES  VERA"/>
        <s v="RODRIGO ESTEBAN  LOPEZ  CERVERA"/>
        <s v="JORGE ANDRES  DEL RIO  TRONCOSO"/>
        <s v="OSCAR EDUARDO  VERA  PALAVECINO"/>
        <s v="GUILLERMO ANTONIO  REYES  FUENZALIDA"/>
        <s v="CESAR  TAPIA  IBARRA"/>
        <s v="ALEJANDRO  SANHUEZA  SOTO"/>
        <s v="LUIS ROBERTO  BERRIOS  LOPEZ"/>
        <s v="HECTOR MANUEL  DURAN  HENRIQUEZ"/>
        <s v="ARIEL A.  HERRERA  PALMA"/>
        <s v="AMERICO ANDRES  RUBIO  GUZMAN"/>
        <s v="YESENIA DE LOURDES  DIAZ  GALVEZ"/>
        <s v="LUIS  MARDONES  ROJAS"/>
        <s v="LEONARDO  VASQUEZ  MONTECINO"/>
        <s v="JUAN  GUERRERO  MALIO"/>
        <s v="LUIS  VALENZUELA  DIAZ"/>
        <s v="JULIO  NADEAU  JOFRE"/>
        <s v="MARICEL ANDREA  BRAVO  SALAMANCA"/>
        <s v="ROBERTO MARIO  VALDERRAMA  CAÑAS"/>
        <s v="MANUEL  MAULEN   GUTIERREZ"/>
        <s v="MAURICIO ALEJANDRO  RETAMAL  ACUÑA"/>
        <s v="MIGUEL ANTONIO  PLAZA  ARAYA"/>
        <s v="FELIPE ANDRES  MACAYA  MOSCOSO"/>
        <s v="ROBERTO FABIAN  DURAN  MIRANDA"/>
        <s v="ROBERTO  DURAN  BRAVO"/>
        <s v="CESAR  CERNA  VARGAS"/>
        <s v="JUAN PABLO  PALMA  VERA"/>
        <s v="ALEXIS  ORIAS  ORIAS"/>
        <s v="LUIS ALBERTO  SALINAS  SALDIAS"/>
        <s v="ALEJANDRO ANDRES  JAQUE  VARGAS"/>
        <s v="VICTOR  REYES  GALVEZ"/>
        <s v="JONATHAN  ESPINOZA  MORENO"/>
        <s v="EMERSON  GALLARDO  LUCERO"/>
        <s v="RODRIGO  POBLETE  SANDOVAL"/>
        <s v="JOSE MAURICIO  ÑANCUCHEO  MARIQUEO"/>
        <s v="KAREN FABIOLA  ALARCON  SILVA"/>
        <s v="RODRIGO ALEJANDRO  PEREZ  PADILLA"/>
        <s v="CARLOS  MONTANARES  MONTANARES"/>
        <s v="BRAULIO SEBASTIAN  VICENCIO  ALVEAR"/>
        <s v="ALBERTO  MORALES  DIAZ"/>
        <s v="FRANCISCO JAVIER  RIQUELME  GONZALEZ"/>
        <s v="MARCELO  FLORES  ARANDA"/>
        <s v="JUAN MIGUEL  POZO  CAMPOS"/>
        <s v="FABIAN  ESPINOZA  MATURANA"/>
        <s v="LUIS HERNAN  CACERES  ORMAZABAL"/>
        <s v="DAYANA PAULETTE  VIDAL  OTAROLA"/>
        <s v="DAVID ALEJANDRO ALVAREZ CATALAN"/>
        <s v="MARCELO ROJAS MUÑOZ"/>
        <s v="VICTOR ALFONSO  MARTINEZ  RIVERA"/>
        <s v="LORENZO ARTURO  SANDOVAL  ALTAMIRANO"/>
        <s v="CAMILO ALEXANDER  CARVAJAL  APPELGREN"/>
        <s v="NATALIA BELEN  REYES  ESPINOZA"/>
        <s v="OLIVER HANS  BUGUEÑO  MEDEL"/>
        <s v="JUAN DIEGO ALEXIS  GARCES  MUÑOZ"/>
        <s v="ARIEL ALFREDO  GALVEZ  CERNA"/>
        <s v="RODRIGO ALEJANDRO  ROJAS  SALAMANCA"/>
        <s v="FRANCISCO JAVIER  CASTILLO  AHUMADA"/>
        <s v="FELIPE ANDRES  PALACIOS  VENEGAS"/>
        <s v="ISAAC MARTINEZ"/>
        <s v="CRISTIAN DANIEL  ALVAREZ  REYES"/>
        <s v="CRISTIAN EDUARDO  MEZA  MEZA"/>
        <s v="JAEL DENNISSE DENIS ESCOBAR"/>
        <s v="CRISTIAN ALFREDO  DONOSO  SANTIBAÑEZ"/>
        <s v="RICARDO ANDRES GONZALES GONZALES"/>
        <s v="MATIAS ANDRES  REYES  SERRANO"/>
        <s v="NICOLAS FRANCISCO GAVELO DEVIA"/>
        <s v="CRISTOPHER ANDRES ZUÑIGA CACERES"/>
        <s v="CARLOS PATRICIO  PEREZ  SALAZAR"/>
        <s v="CLAUDIO ALBERTO  DONOSO  ROSAS"/>
        <s v="LUIS  VALDEZ  WERNLI"/>
        <s v="MARISOL  ALVAREZ  CONTRERAS"/>
        <s v="SEBASTIAN PEREZ"/>
        <e v="#N/A"/>
        <m/>
      </sharedItems>
    </cacheField>
    <cacheField name="Turno" numFmtId="0">
      <sharedItems containsBlank="1" containsMixedTypes="1" containsNumber="1" containsInteger="1" minValue="0" maxValue="0" count="7">
        <s v="Turno B"/>
        <s v="Turno C"/>
        <s v=""/>
        <s v="Turno A"/>
        <s v="Sin turtno ing"/>
        <m/>
        <n v="0" u="1"/>
      </sharedItems>
    </cacheField>
    <cacheField name="horas a trabajar" numFmtId="0">
      <sharedItems containsDate="1" containsBlank="1" containsMixedTypes="1" minDate="1899-12-30T00:00:00" maxDate="1899-12-30T09:00:00" count="5">
        <d v="1899-12-30T07:30:00"/>
        <d v="1899-12-30T09:00:00"/>
        <e v="#N/A"/>
        <m/>
        <d v="1899-12-30T00:00:00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62">
  <r>
    <n v="4776546"/>
    <s v="EUGENIO"/>
    <s v="OLEKSIUK"/>
    <s v="SEKOWSKA"/>
    <x v="0"/>
    <d v="1899-12-30T22:49:14"/>
    <s v="P20"/>
    <x v="0"/>
    <x v="0"/>
    <x v="0"/>
    <x v="0"/>
    <x v="0"/>
  </r>
  <r>
    <n v="4776546"/>
    <s v="EUGENIO"/>
    <s v="OLEKSIUK"/>
    <s v="SEKOWSKA"/>
    <x v="0"/>
    <d v="1899-12-30T14:35:31"/>
    <s v="P10"/>
    <x v="1"/>
    <x v="0"/>
    <x v="0"/>
    <x v="0"/>
    <x v="0"/>
  </r>
  <r>
    <n v="4776546"/>
    <s v="EUGENIO"/>
    <s v="OLEKSIUK"/>
    <s v="SEKOWSKA"/>
    <x v="1"/>
    <d v="1899-12-30T22:54:00"/>
    <s v="P20"/>
    <x v="0"/>
    <x v="0"/>
    <x v="0"/>
    <x v="0"/>
    <x v="0"/>
  </r>
  <r>
    <n v="4776546"/>
    <s v="EUGENIO"/>
    <s v="OLEKSIUK"/>
    <s v="SEKOWSKA"/>
    <x v="1"/>
    <d v="1899-12-30T14:41:36"/>
    <s v="P10"/>
    <x v="1"/>
    <x v="0"/>
    <x v="0"/>
    <x v="0"/>
    <x v="0"/>
  </r>
  <r>
    <n v="4776546"/>
    <s v="EUGENIO"/>
    <s v="OLEKSIUK"/>
    <s v="SEKOWSKA"/>
    <x v="2"/>
    <d v="1899-12-30T22:46:41"/>
    <s v="P20"/>
    <x v="0"/>
    <x v="0"/>
    <x v="0"/>
    <x v="0"/>
    <x v="0"/>
  </r>
  <r>
    <n v="4776546"/>
    <s v="EUGENIO"/>
    <s v="OLEKSIUK"/>
    <s v="SEKOWSKA"/>
    <x v="2"/>
    <d v="1899-12-30T14:31:57"/>
    <s v="P10"/>
    <x v="1"/>
    <x v="0"/>
    <x v="0"/>
    <x v="0"/>
    <x v="0"/>
  </r>
  <r>
    <n v="4776546"/>
    <s v="EUGENIO"/>
    <s v="OLEKSIUK"/>
    <s v="SEKOWSKA"/>
    <x v="3"/>
    <d v="1899-12-30T22:47:01"/>
    <s v="P20"/>
    <x v="0"/>
    <x v="0"/>
    <x v="0"/>
    <x v="0"/>
    <x v="0"/>
  </r>
  <r>
    <n v="4776546"/>
    <s v="EUGENIO"/>
    <s v="OLEKSIUK"/>
    <s v="SEKOWSKA"/>
    <x v="3"/>
    <d v="1899-12-30T14:33:15"/>
    <s v="P10"/>
    <x v="1"/>
    <x v="0"/>
    <x v="0"/>
    <x v="0"/>
    <x v="0"/>
  </r>
  <r>
    <n v="4776546"/>
    <s v="EUGENIO"/>
    <s v="OLEKSIUK"/>
    <s v="SEKOWSKA"/>
    <x v="4"/>
    <d v="1899-12-30T22:51:14"/>
    <s v="P20"/>
    <x v="0"/>
    <x v="0"/>
    <x v="0"/>
    <x v="0"/>
    <x v="0"/>
  </r>
  <r>
    <n v="4776546"/>
    <s v="EUGENIO"/>
    <s v="OLEKSIUK"/>
    <s v="SEKOWSKA"/>
    <x v="4"/>
    <d v="1899-12-30T14:33:39"/>
    <s v="P10"/>
    <x v="1"/>
    <x v="0"/>
    <x v="0"/>
    <x v="0"/>
    <x v="0"/>
  </r>
  <r>
    <n v="5080993"/>
    <s v="CARLOS"/>
    <s v="FIGUEROA"/>
    <s v="NILO"/>
    <x v="0"/>
    <d v="1899-12-30T07:34:37"/>
    <s v="P20"/>
    <x v="0"/>
    <x v="1"/>
    <x v="1"/>
    <x v="1"/>
    <x v="1"/>
  </r>
  <r>
    <n v="5080993"/>
    <s v="CARLOS"/>
    <s v="FIGUEROA"/>
    <s v="NILO"/>
    <x v="0"/>
    <d v="1899-12-30T22:08:08"/>
    <s v="P10"/>
    <x v="1"/>
    <x v="1"/>
    <x v="1"/>
    <x v="1"/>
    <x v="1"/>
  </r>
  <r>
    <n v="5080993"/>
    <s v="CARLOS"/>
    <s v="FIGUEROA"/>
    <s v="NILO"/>
    <x v="1"/>
    <d v="1899-12-30T07:33:08"/>
    <s v="P20"/>
    <x v="0"/>
    <x v="1"/>
    <x v="1"/>
    <x v="1"/>
    <x v="1"/>
  </r>
  <r>
    <n v="5080993"/>
    <s v="CARLOS"/>
    <s v="FIGUEROA"/>
    <s v="NILO"/>
    <x v="2"/>
    <d v="1899-12-30T22:07:12"/>
    <s v="P10"/>
    <x v="1"/>
    <x v="1"/>
    <x v="1"/>
    <x v="1"/>
    <x v="1"/>
  </r>
  <r>
    <n v="5080993"/>
    <s v="CARLOS"/>
    <s v="FIGUEROA"/>
    <s v="NILO"/>
    <x v="3"/>
    <d v="1899-12-30T07:36:09"/>
    <s v="P20"/>
    <x v="0"/>
    <x v="1"/>
    <x v="1"/>
    <x v="1"/>
    <x v="1"/>
  </r>
  <r>
    <n v="5080993"/>
    <s v="CARLOS"/>
    <s v="FIGUEROA"/>
    <s v="NILO"/>
    <x v="3"/>
    <d v="1899-12-30T22:01:48"/>
    <s v="P10"/>
    <x v="1"/>
    <x v="1"/>
    <x v="1"/>
    <x v="1"/>
    <x v="1"/>
  </r>
  <r>
    <n v="5080993"/>
    <s v="CARLOS"/>
    <s v="FIGUEROA"/>
    <s v="NILO"/>
    <x v="4"/>
    <d v="1899-12-30T07:33:38"/>
    <s v="P20"/>
    <x v="0"/>
    <x v="1"/>
    <x v="1"/>
    <x v="1"/>
    <x v="1"/>
  </r>
  <r>
    <n v="5080993"/>
    <s v="CARLOS"/>
    <s v="FIGUEROA"/>
    <s v="NILO"/>
    <x v="4"/>
    <d v="1899-12-30T22:12:19"/>
    <s v="P10"/>
    <x v="1"/>
    <x v="1"/>
    <x v="1"/>
    <x v="1"/>
    <x v="1"/>
  </r>
  <r>
    <n v="5267317"/>
    <s v="LUIS"/>
    <s v="DUARTE"/>
    <s v="BECERRA"/>
    <x v="5"/>
    <d v="1899-12-30T00:00:00"/>
    <m/>
    <x v="2"/>
    <x v="2"/>
    <x v="2"/>
    <x v="2"/>
    <x v="2"/>
  </r>
  <r>
    <n v="5281950"/>
    <s v="BLANCA"/>
    <s v="FUENTES"/>
    <s v="YAÑEZ"/>
    <x v="0"/>
    <d v="1899-12-30T15:17:36"/>
    <s v="P20"/>
    <x v="0"/>
    <x v="3"/>
    <x v="3"/>
    <x v="3"/>
    <x v="0"/>
  </r>
  <r>
    <n v="5281950"/>
    <s v="BLANCA"/>
    <s v="FUENTES"/>
    <s v="YAÑEZ"/>
    <x v="0"/>
    <d v="1899-12-30T06:58:31"/>
    <s v="P10"/>
    <x v="1"/>
    <x v="3"/>
    <x v="3"/>
    <x v="3"/>
    <x v="0"/>
  </r>
  <r>
    <n v="5281950"/>
    <s v="BLANCA"/>
    <s v="FUENTES"/>
    <s v="YAÑEZ"/>
    <x v="1"/>
    <d v="1899-12-30T15:13:13"/>
    <s v="P20"/>
    <x v="0"/>
    <x v="3"/>
    <x v="3"/>
    <x v="3"/>
    <x v="0"/>
  </r>
  <r>
    <n v="5281950"/>
    <s v="BLANCA"/>
    <s v="FUENTES"/>
    <s v="YAÑEZ"/>
    <x v="1"/>
    <d v="1899-12-30T06:57:29"/>
    <s v="P10"/>
    <x v="1"/>
    <x v="3"/>
    <x v="3"/>
    <x v="3"/>
    <x v="0"/>
  </r>
  <r>
    <n v="5281950"/>
    <s v="BLANCA"/>
    <s v="FUENTES"/>
    <s v="YAÑEZ"/>
    <x v="2"/>
    <d v="1899-12-30T15:16:03"/>
    <s v="P20"/>
    <x v="0"/>
    <x v="3"/>
    <x v="3"/>
    <x v="3"/>
    <x v="0"/>
  </r>
  <r>
    <n v="5281950"/>
    <s v="BLANCA"/>
    <s v="FUENTES"/>
    <s v="YAÑEZ"/>
    <x v="2"/>
    <d v="1899-12-30T06:59:20"/>
    <s v="P10"/>
    <x v="1"/>
    <x v="3"/>
    <x v="3"/>
    <x v="3"/>
    <x v="0"/>
  </r>
  <r>
    <n v="5281950"/>
    <s v="BLANCA"/>
    <s v="FUENTES"/>
    <s v="YAÑEZ"/>
    <x v="3"/>
    <d v="1899-12-30T15:14:35"/>
    <s v="P20"/>
    <x v="0"/>
    <x v="3"/>
    <x v="3"/>
    <x v="3"/>
    <x v="0"/>
  </r>
  <r>
    <n v="5281950"/>
    <s v="BLANCA"/>
    <s v="FUENTES"/>
    <s v="YAÑEZ"/>
    <x v="3"/>
    <d v="1899-12-30T06:58:03"/>
    <s v="P10"/>
    <x v="1"/>
    <x v="3"/>
    <x v="3"/>
    <x v="3"/>
    <x v="0"/>
  </r>
  <r>
    <n v="5281950"/>
    <s v="BLANCA"/>
    <s v="FUENTES"/>
    <s v="YAÑEZ"/>
    <x v="4"/>
    <d v="1899-12-30T15:14:44"/>
    <s v="P20"/>
    <x v="0"/>
    <x v="3"/>
    <x v="3"/>
    <x v="3"/>
    <x v="0"/>
  </r>
  <r>
    <n v="5281950"/>
    <s v="BLANCA"/>
    <s v="FUENTES"/>
    <s v="YAÑEZ"/>
    <x v="4"/>
    <d v="1899-12-30T07:05:15"/>
    <s v="P10"/>
    <x v="1"/>
    <x v="3"/>
    <x v="3"/>
    <x v="3"/>
    <x v="0"/>
  </r>
  <r>
    <n v="5428350"/>
    <s v="NELSON"/>
    <s v="GALAZ"/>
    <s v="DEL PINO"/>
    <x v="0"/>
    <d v="1899-12-30T14:59:38"/>
    <s v="P20"/>
    <x v="0"/>
    <x v="4"/>
    <x v="4"/>
    <x v="0"/>
    <x v="0"/>
  </r>
  <r>
    <n v="5428350"/>
    <s v="NELSON"/>
    <s v="GALAZ"/>
    <s v="DEL PINO"/>
    <x v="0"/>
    <d v="1899-12-30T07:06:50"/>
    <s v="P10"/>
    <x v="1"/>
    <x v="4"/>
    <x v="4"/>
    <x v="3"/>
    <x v="0"/>
  </r>
  <r>
    <n v="5428350"/>
    <s v="NELSON"/>
    <s v="GALAZ"/>
    <s v="DEL PINO"/>
    <x v="1"/>
    <d v="1899-12-30T15:02:14"/>
    <s v="P20"/>
    <x v="0"/>
    <x v="4"/>
    <x v="4"/>
    <x v="3"/>
    <x v="0"/>
  </r>
  <r>
    <n v="5428350"/>
    <s v="NELSON"/>
    <s v="GALAZ"/>
    <s v="DEL PINO"/>
    <x v="1"/>
    <d v="1899-12-30T06:55:56"/>
    <s v="P10"/>
    <x v="1"/>
    <x v="4"/>
    <x v="4"/>
    <x v="3"/>
    <x v="0"/>
  </r>
  <r>
    <n v="5428350"/>
    <s v="NELSON"/>
    <s v="GALAZ"/>
    <s v="DEL PINO"/>
    <x v="2"/>
    <d v="1899-12-30T14:59:20"/>
    <s v="P20"/>
    <x v="0"/>
    <x v="4"/>
    <x v="4"/>
    <x v="0"/>
    <x v="0"/>
  </r>
  <r>
    <n v="5428350"/>
    <s v="NELSON"/>
    <s v="GALAZ"/>
    <s v="DEL PINO"/>
    <x v="2"/>
    <d v="1899-12-30T06:58:53"/>
    <s v="P10"/>
    <x v="1"/>
    <x v="4"/>
    <x v="4"/>
    <x v="3"/>
    <x v="0"/>
  </r>
  <r>
    <n v="5428350"/>
    <s v="NELSON"/>
    <s v="GALAZ"/>
    <s v="DEL PINO"/>
    <x v="3"/>
    <d v="1899-12-30T15:02:01"/>
    <s v="P20"/>
    <x v="0"/>
    <x v="4"/>
    <x v="4"/>
    <x v="3"/>
    <x v="0"/>
  </r>
  <r>
    <n v="5428350"/>
    <s v="NELSON"/>
    <s v="GALAZ"/>
    <s v="DEL PINO"/>
    <x v="3"/>
    <d v="1899-12-30T07:02:11"/>
    <s v="P10"/>
    <x v="1"/>
    <x v="4"/>
    <x v="4"/>
    <x v="3"/>
    <x v="0"/>
  </r>
  <r>
    <n v="5428350"/>
    <s v="NELSON"/>
    <s v="GALAZ"/>
    <s v="DEL PINO"/>
    <x v="4"/>
    <d v="1899-12-30T15:00:20"/>
    <s v="P20"/>
    <x v="0"/>
    <x v="4"/>
    <x v="4"/>
    <x v="2"/>
    <x v="2"/>
  </r>
  <r>
    <n v="5428350"/>
    <s v="NELSON"/>
    <s v="GALAZ"/>
    <s v="DEL PINO"/>
    <x v="4"/>
    <d v="1899-12-30T06:53:43"/>
    <s v="P10"/>
    <x v="1"/>
    <x v="4"/>
    <x v="4"/>
    <x v="3"/>
    <x v="0"/>
  </r>
  <r>
    <n v="5738427"/>
    <s v="RAUL"/>
    <s v="MARTINEZ"/>
    <s v="VASQUEZ"/>
    <x v="2"/>
    <d v="1899-12-30T14:55:10"/>
    <s v="P20"/>
    <x v="0"/>
    <x v="5"/>
    <x v="5"/>
    <x v="0"/>
    <x v="0"/>
  </r>
  <r>
    <n v="5738427"/>
    <s v="RAUL"/>
    <s v="MARTINEZ"/>
    <s v="VASQUEZ"/>
    <x v="2"/>
    <d v="1899-12-30T07:00:32"/>
    <s v="P10"/>
    <x v="1"/>
    <x v="5"/>
    <x v="5"/>
    <x v="3"/>
    <x v="0"/>
  </r>
  <r>
    <n v="5738427"/>
    <s v="RAUL"/>
    <s v="MARTINEZ"/>
    <s v="VASQUEZ"/>
    <x v="3"/>
    <d v="1899-12-30T14:56:42"/>
    <s v="P20"/>
    <x v="0"/>
    <x v="5"/>
    <x v="5"/>
    <x v="0"/>
    <x v="0"/>
  </r>
  <r>
    <n v="5738427"/>
    <s v="RAUL"/>
    <s v="MARTINEZ"/>
    <s v="VASQUEZ"/>
    <x v="3"/>
    <d v="1899-12-30T06:59:06"/>
    <s v="P10"/>
    <x v="1"/>
    <x v="5"/>
    <x v="5"/>
    <x v="3"/>
    <x v="0"/>
  </r>
  <r>
    <n v="5921603"/>
    <s v="JUAN MANUEL"/>
    <s v="GUERRERO"/>
    <s v="MONTANO"/>
    <x v="0"/>
    <d v="1899-12-30T17:29:46"/>
    <s v="P20"/>
    <x v="0"/>
    <x v="6"/>
    <x v="6"/>
    <x v="3"/>
    <x v="0"/>
  </r>
  <r>
    <n v="5921603"/>
    <s v="JUAN MANUEL"/>
    <s v="GUERRERO"/>
    <s v="MONTANO"/>
    <x v="0"/>
    <d v="1899-12-30T07:03:33"/>
    <s v="P10"/>
    <x v="1"/>
    <x v="6"/>
    <x v="6"/>
    <x v="3"/>
    <x v="0"/>
  </r>
  <r>
    <n v="5921603"/>
    <s v="JUAN MANUEL"/>
    <s v="GUERRERO"/>
    <s v="MONTANO"/>
    <x v="2"/>
    <d v="1899-12-30T17:33:16"/>
    <s v="P20"/>
    <x v="0"/>
    <x v="6"/>
    <x v="6"/>
    <x v="3"/>
    <x v="0"/>
  </r>
  <r>
    <n v="5921603"/>
    <s v="JUAN MANUEL"/>
    <s v="GUERRERO"/>
    <s v="MONTANO"/>
    <x v="2"/>
    <d v="1899-12-30T07:04:55"/>
    <s v="P10"/>
    <x v="1"/>
    <x v="6"/>
    <x v="6"/>
    <x v="3"/>
    <x v="0"/>
  </r>
  <r>
    <n v="5921603"/>
    <s v="JUAN MANUEL"/>
    <s v="GUERRERO"/>
    <s v="MONTANO"/>
    <x v="3"/>
    <d v="1899-12-30T17:33:57"/>
    <s v="P20"/>
    <x v="0"/>
    <x v="6"/>
    <x v="6"/>
    <x v="3"/>
    <x v="0"/>
  </r>
  <r>
    <n v="5921603"/>
    <s v="JUAN MANUEL"/>
    <s v="GUERRERO"/>
    <s v="MONTANO"/>
    <x v="3"/>
    <d v="1899-12-30T07:04:37"/>
    <s v="P10"/>
    <x v="1"/>
    <x v="6"/>
    <x v="6"/>
    <x v="3"/>
    <x v="0"/>
  </r>
  <r>
    <n v="5921603"/>
    <s v="JUAN MANUEL"/>
    <s v="GUERRERO"/>
    <s v="MONTANO"/>
    <x v="4"/>
    <d v="1899-12-30T17:32:43"/>
    <s v="P20"/>
    <x v="0"/>
    <x v="6"/>
    <x v="6"/>
    <x v="3"/>
    <x v="0"/>
  </r>
  <r>
    <n v="5921603"/>
    <s v="JUAN MANUEL"/>
    <s v="GUERRERO"/>
    <s v="MONTANO"/>
    <x v="4"/>
    <d v="1899-12-30T07:02:56"/>
    <s v="P10"/>
    <x v="1"/>
    <x v="6"/>
    <x v="6"/>
    <x v="3"/>
    <x v="0"/>
  </r>
  <r>
    <n v="5989878"/>
    <s v="NELLY E."/>
    <s v="FIGUEROA"/>
    <s v="PAVEZ"/>
    <x v="5"/>
    <d v="1899-12-30T00:00:00"/>
    <m/>
    <x v="2"/>
    <x v="7"/>
    <x v="7"/>
    <x v="4"/>
    <x v="2"/>
  </r>
  <r>
    <n v="6010169"/>
    <s v="GUILLERMO"/>
    <s v="PINO"/>
    <s v="QUINTANILLA"/>
    <x v="0"/>
    <d v="1899-12-30T17:34:30"/>
    <s v="P20"/>
    <x v="0"/>
    <x v="8"/>
    <x v="8"/>
    <x v="3"/>
    <x v="0"/>
  </r>
  <r>
    <n v="6010169"/>
    <s v="GUILLERMO"/>
    <s v="PINO"/>
    <s v="QUINTANILLA"/>
    <x v="0"/>
    <d v="1899-12-30T06:57:51"/>
    <s v="P10"/>
    <x v="1"/>
    <x v="8"/>
    <x v="8"/>
    <x v="3"/>
    <x v="0"/>
  </r>
  <r>
    <n v="6010169"/>
    <s v="GUILLERMO"/>
    <s v="PINO"/>
    <s v="QUINTANILLA"/>
    <x v="1"/>
    <d v="1899-12-30T15:14:23"/>
    <s v="P20"/>
    <x v="0"/>
    <x v="8"/>
    <x v="8"/>
    <x v="3"/>
    <x v="0"/>
  </r>
  <r>
    <n v="6010169"/>
    <s v="GUILLERMO"/>
    <s v="PINO"/>
    <s v="QUINTANILLA"/>
    <x v="1"/>
    <d v="1899-12-30T06:56:51"/>
    <s v="P10"/>
    <x v="1"/>
    <x v="8"/>
    <x v="8"/>
    <x v="3"/>
    <x v="0"/>
  </r>
  <r>
    <n v="6010169"/>
    <s v="GUILLERMO"/>
    <s v="PINO"/>
    <s v="QUINTANILLA"/>
    <x v="2"/>
    <d v="1899-12-30T17:33:29"/>
    <s v="P20"/>
    <x v="0"/>
    <x v="8"/>
    <x v="8"/>
    <x v="3"/>
    <x v="0"/>
  </r>
  <r>
    <n v="6010169"/>
    <s v="GUILLERMO"/>
    <s v="PINO"/>
    <s v="QUINTANILLA"/>
    <x v="2"/>
    <d v="1899-12-30T06:58:45"/>
    <s v="P10"/>
    <x v="1"/>
    <x v="8"/>
    <x v="8"/>
    <x v="3"/>
    <x v="0"/>
  </r>
  <r>
    <n v="6010169"/>
    <s v="GUILLERMO"/>
    <s v="PINO"/>
    <s v="QUINTANILLA"/>
    <x v="3"/>
    <d v="1899-12-30T17:33:12"/>
    <s v="P20"/>
    <x v="0"/>
    <x v="8"/>
    <x v="8"/>
    <x v="3"/>
    <x v="0"/>
  </r>
  <r>
    <n v="6010169"/>
    <s v="GUILLERMO"/>
    <s v="PINO"/>
    <s v="QUINTANILLA"/>
    <x v="3"/>
    <d v="1899-12-30T06:57:18"/>
    <s v="P10"/>
    <x v="1"/>
    <x v="8"/>
    <x v="8"/>
    <x v="3"/>
    <x v="0"/>
  </r>
  <r>
    <n v="6010169"/>
    <s v="GUILLERMO"/>
    <s v="PINO"/>
    <s v="QUINTANILLA"/>
    <x v="4"/>
    <d v="1899-12-30T17:37:16"/>
    <s v="P20"/>
    <x v="0"/>
    <x v="8"/>
    <x v="8"/>
    <x v="3"/>
    <x v="0"/>
  </r>
  <r>
    <n v="6010169"/>
    <s v="GUILLERMO"/>
    <s v="PINO"/>
    <s v="QUINTANILLA"/>
    <x v="4"/>
    <d v="1899-12-30T06:55:24"/>
    <s v="P10"/>
    <x v="1"/>
    <x v="8"/>
    <x v="8"/>
    <x v="3"/>
    <x v="0"/>
  </r>
  <r>
    <n v="6143912"/>
    <s v="ARTURO BERNABE"/>
    <s v="CURIN"/>
    <s v="MILLAN"/>
    <x v="0"/>
    <d v="1899-12-30T17:38:36"/>
    <s v="P20"/>
    <x v="0"/>
    <x v="9"/>
    <x v="9"/>
    <x v="3"/>
    <x v="0"/>
  </r>
  <r>
    <n v="6143912"/>
    <s v="ARTURO BERNABE"/>
    <s v="CURIN"/>
    <s v="MILLAN"/>
    <x v="0"/>
    <d v="1899-12-30T07:06:11"/>
    <s v="P10"/>
    <x v="1"/>
    <x v="9"/>
    <x v="9"/>
    <x v="3"/>
    <x v="0"/>
  </r>
  <r>
    <n v="6143912"/>
    <s v="ARTURO BERNABE"/>
    <s v="CURIN"/>
    <s v="MILLAN"/>
    <x v="2"/>
    <d v="1899-12-30T17:35:26"/>
    <s v="P20"/>
    <x v="0"/>
    <x v="9"/>
    <x v="9"/>
    <x v="3"/>
    <x v="0"/>
  </r>
  <r>
    <n v="6143912"/>
    <s v="ARTURO BERNABE"/>
    <s v="CURIN"/>
    <s v="MILLAN"/>
    <x v="2"/>
    <d v="1899-12-30T07:03:32"/>
    <s v="P10"/>
    <x v="1"/>
    <x v="9"/>
    <x v="9"/>
    <x v="3"/>
    <x v="0"/>
  </r>
  <r>
    <n v="6143912"/>
    <s v="ARTURO BERNABE"/>
    <s v="CURIN"/>
    <s v="MILLAN"/>
    <x v="3"/>
    <d v="1899-12-30T17:34:28"/>
    <s v="P20"/>
    <x v="0"/>
    <x v="9"/>
    <x v="9"/>
    <x v="3"/>
    <x v="0"/>
  </r>
  <r>
    <n v="6143912"/>
    <s v="ARTURO BERNABE"/>
    <s v="CURIN"/>
    <s v="MILLAN"/>
    <x v="3"/>
    <d v="1899-12-30T06:57:24"/>
    <s v="P10"/>
    <x v="1"/>
    <x v="9"/>
    <x v="9"/>
    <x v="3"/>
    <x v="0"/>
  </r>
  <r>
    <n v="6143912"/>
    <s v="ARTURO BERNABE"/>
    <s v="CURIN"/>
    <s v="MILLAN"/>
    <x v="4"/>
    <d v="1899-12-30T17:33:51"/>
    <s v="P20"/>
    <x v="0"/>
    <x v="9"/>
    <x v="9"/>
    <x v="3"/>
    <x v="0"/>
  </r>
  <r>
    <n v="6143912"/>
    <s v="ARTURO BERNABE"/>
    <s v="CURIN"/>
    <s v="MILLAN"/>
    <x v="4"/>
    <d v="1899-12-30T07:03:52"/>
    <s v="P10"/>
    <x v="1"/>
    <x v="9"/>
    <x v="9"/>
    <x v="3"/>
    <x v="0"/>
  </r>
  <r>
    <n v="6187914"/>
    <s v="PATRICIA"/>
    <s v="FUENTES"/>
    <s v="YAÑEZ"/>
    <x v="0"/>
    <d v="1899-12-30T07:43:57"/>
    <s v="P20"/>
    <x v="0"/>
    <x v="10"/>
    <x v="10"/>
    <x v="1"/>
    <x v="1"/>
  </r>
  <r>
    <n v="6187914"/>
    <s v="PATRICIA"/>
    <s v="FUENTES"/>
    <s v="YAÑEZ"/>
    <x v="0"/>
    <d v="1899-12-30T22:05:25"/>
    <s v="P10"/>
    <x v="1"/>
    <x v="10"/>
    <x v="10"/>
    <x v="1"/>
    <x v="1"/>
  </r>
  <r>
    <n v="6187914"/>
    <s v="PATRICIA"/>
    <s v="FUENTES"/>
    <s v="YAÑEZ"/>
    <x v="1"/>
    <d v="1899-12-30T07:45:43"/>
    <s v="P20"/>
    <x v="0"/>
    <x v="10"/>
    <x v="10"/>
    <x v="1"/>
    <x v="1"/>
  </r>
  <r>
    <n v="6187914"/>
    <s v="PATRICIA"/>
    <s v="FUENTES"/>
    <s v="YAÑEZ"/>
    <x v="2"/>
    <d v="1899-12-30T22:02:01"/>
    <s v="P10"/>
    <x v="1"/>
    <x v="10"/>
    <x v="10"/>
    <x v="1"/>
    <x v="1"/>
  </r>
  <r>
    <n v="6187914"/>
    <s v="PATRICIA"/>
    <s v="FUENTES"/>
    <s v="YAÑEZ"/>
    <x v="3"/>
    <d v="1899-12-30T07:43:02"/>
    <s v="P20"/>
    <x v="0"/>
    <x v="10"/>
    <x v="10"/>
    <x v="1"/>
    <x v="1"/>
  </r>
  <r>
    <n v="6187914"/>
    <s v="PATRICIA"/>
    <s v="FUENTES"/>
    <s v="YAÑEZ"/>
    <x v="3"/>
    <d v="1899-12-30T22:04:40"/>
    <s v="P10"/>
    <x v="1"/>
    <x v="10"/>
    <x v="10"/>
    <x v="1"/>
    <x v="1"/>
  </r>
  <r>
    <n v="6187914"/>
    <s v="PATRICIA"/>
    <s v="FUENTES"/>
    <s v="YAÑEZ"/>
    <x v="4"/>
    <d v="1899-12-30T07:43:11"/>
    <s v="P20"/>
    <x v="0"/>
    <x v="10"/>
    <x v="10"/>
    <x v="1"/>
    <x v="1"/>
  </r>
  <r>
    <n v="6187914"/>
    <s v="PATRICIA"/>
    <s v="FUENTES"/>
    <s v="YAÑEZ"/>
    <x v="4"/>
    <d v="1899-12-30T22:01:51"/>
    <s v="P10"/>
    <x v="1"/>
    <x v="10"/>
    <x v="10"/>
    <x v="1"/>
    <x v="1"/>
  </r>
  <r>
    <n v="6326657"/>
    <s v="FERNANDO"/>
    <s v="DURAN"/>
    <s v="SOTO"/>
    <x v="0"/>
    <d v="1899-12-30T14:59:12"/>
    <s v="P20"/>
    <x v="0"/>
    <x v="11"/>
    <x v="11"/>
    <x v="0"/>
    <x v="0"/>
  </r>
  <r>
    <n v="6326657"/>
    <s v="FERNANDO"/>
    <s v="DURAN"/>
    <s v="SOTO"/>
    <x v="0"/>
    <d v="1899-12-30T07:09:43"/>
    <s v="P10"/>
    <x v="1"/>
    <x v="11"/>
    <x v="11"/>
    <x v="3"/>
    <x v="0"/>
  </r>
  <r>
    <n v="6326657"/>
    <s v="FERNANDO"/>
    <s v="DURAN"/>
    <s v="SOTO"/>
    <x v="1"/>
    <d v="1899-12-30T14:55:44"/>
    <s v="P20"/>
    <x v="0"/>
    <x v="11"/>
    <x v="11"/>
    <x v="0"/>
    <x v="0"/>
  </r>
  <r>
    <n v="6326657"/>
    <s v="FERNANDO"/>
    <s v="DURAN"/>
    <s v="SOTO"/>
    <x v="1"/>
    <d v="1899-12-30T07:12:54"/>
    <s v="P10"/>
    <x v="1"/>
    <x v="11"/>
    <x v="11"/>
    <x v="3"/>
    <x v="0"/>
  </r>
  <r>
    <n v="6326657"/>
    <s v="FERNANDO"/>
    <s v="DURAN"/>
    <s v="SOTO"/>
    <x v="2"/>
    <d v="1899-12-30T14:56:17"/>
    <s v="P20"/>
    <x v="0"/>
    <x v="11"/>
    <x v="11"/>
    <x v="0"/>
    <x v="0"/>
  </r>
  <r>
    <n v="6326657"/>
    <s v="FERNANDO"/>
    <s v="DURAN"/>
    <s v="SOTO"/>
    <x v="2"/>
    <d v="1899-12-30T07:08:42"/>
    <s v="P10"/>
    <x v="1"/>
    <x v="11"/>
    <x v="11"/>
    <x v="3"/>
    <x v="0"/>
  </r>
  <r>
    <n v="6326657"/>
    <s v="FERNANDO"/>
    <s v="DURAN"/>
    <s v="SOTO"/>
    <x v="3"/>
    <d v="1899-12-30T15:01:24"/>
    <s v="P20"/>
    <x v="0"/>
    <x v="11"/>
    <x v="11"/>
    <x v="3"/>
    <x v="0"/>
  </r>
  <r>
    <n v="6326657"/>
    <s v="FERNANDO"/>
    <s v="DURAN"/>
    <s v="SOTO"/>
    <x v="3"/>
    <d v="1899-12-30T07:06:48"/>
    <s v="P10"/>
    <x v="1"/>
    <x v="11"/>
    <x v="11"/>
    <x v="3"/>
    <x v="0"/>
  </r>
  <r>
    <n v="6326657"/>
    <s v="FERNANDO"/>
    <s v="DURAN"/>
    <s v="SOTO"/>
    <x v="4"/>
    <d v="1899-12-30T14:58:33"/>
    <s v="P20"/>
    <x v="0"/>
    <x v="11"/>
    <x v="11"/>
    <x v="0"/>
    <x v="0"/>
  </r>
  <r>
    <n v="6326657"/>
    <s v="FERNANDO"/>
    <s v="DURAN"/>
    <s v="SOTO"/>
    <x v="4"/>
    <d v="1899-12-30T07:10:19"/>
    <s v="P10"/>
    <x v="1"/>
    <x v="11"/>
    <x v="11"/>
    <x v="3"/>
    <x v="0"/>
  </r>
  <r>
    <n v="6434911"/>
    <s v="EDUARDO A"/>
    <s v="ABARCA"/>
    <s v="JARA"/>
    <x v="5"/>
    <d v="1899-12-30T00:00:00"/>
    <m/>
    <x v="2"/>
    <x v="12"/>
    <x v="12"/>
    <x v="2"/>
    <x v="2"/>
  </r>
  <r>
    <n v="6467952"/>
    <s v="ORLANDINO GUMERCINDO"/>
    <s v="TAPIA"/>
    <s v="OLIVARES"/>
    <x v="0"/>
    <d v="1899-12-30T22:46:46"/>
    <s v="P20"/>
    <x v="0"/>
    <x v="13"/>
    <x v="13"/>
    <x v="0"/>
    <x v="0"/>
  </r>
  <r>
    <n v="6467952"/>
    <s v="ORLANDINO GUMERCINDO"/>
    <s v="TAPIA"/>
    <s v="OLIVARES"/>
    <x v="0"/>
    <d v="1899-12-30T14:34:30"/>
    <s v="P10"/>
    <x v="1"/>
    <x v="13"/>
    <x v="13"/>
    <x v="0"/>
    <x v="0"/>
  </r>
  <r>
    <n v="6467952"/>
    <s v="ORLANDINO GUMERCINDO"/>
    <s v="TAPIA"/>
    <s v="OLIVARES"/>
    <x v="1"/>
    <d v="1899-12-30T22:45:37"/>
    <s v="P20"/>
    <x v="0"/>
    <x v="13"/>
    <x v="13"/>
    <x v="0"/>
    <x v="0"/>
  </r>
  <r>
    <n v="6467952"/>
    <s v="ORLANDINO GUMERCINDO"/>
    <s v="TAPIA"/>
    <s v="OLIVARES"/>
    <x v="1"/>
    <d v="1899-12-30T14:39:50"/>
    <s v="P10"/>
    <x v="1"/>
    <x v="13"/>
    <x v="13"/>
    <x v="0"/>
    <x v="0"/>
  </r>
  <r>
    <n v="6467952"/>
    <s v="ORLANDINO GUMERCINDO"/>
    <s v="TAPIA"/>
    <s v="OLIVARES"/>
    <x v="2"/>
    <d v="1899-12-30T22:47:44"/>
    <s v="P20"/>
    <x v="0"/>
    <x v="13"/>
    <x v="13"/>
    <x v="0"/>
    <x v="0"/>
  </r>
  <r>
    <n v="6467952"/>
    <s v="ORLANDINO GUMERCINDO"/>
    <s v="TAPIA"/>
    <s v="OLIVARES"/>
    <x v="2"/>
    <d v="1899-12-30T14:36:56"/>
    <s v="P10"/>
    <x v="1"/>
    <x v="13"/>
    <x v="13"/>
    <x v="0"/>
    <x v="0"/>
  </r>
  <r>
    <n v="6467952"/>
    <s v="ORLANDINO GUMERCINDO"/>
    <s v="TAPIA"/>
    <s v="OLIVARES"/>
    <x v="3"/>
    <d v="1899-12-30T22:42:36"/>
    <s v="P20"/>
    <x v="0"/>
    <x v="13"/>
    <x v="13"/>
    <x v="0"/>
    <x v="0"/>
  </r>
  <r>
    <n v="6467952"/>
    <s v="ORLANDINO GUMERCINDO"/>
    <s v="TAPIA"/>
    <s v="OLIVARES"/>
    <x v="3"/>
    <d v="1899-12-30T14:36:23"/>
    <s v="P10"/>
    <x v="1"/>
    <x v="13"/>
    <x v="13"/>
    <x v="0"/>
    <x v="0"/>
  </r>
  <r>
    <n v="6467952"/>
    <s v="ORLANDINO GUMERCINDO"/>
    <s v="TAPIA"/>
    <s v="OLIVARES"/>
    <x v="4"/>
    <d v="1899-12-30T22:44:02"/>
    <s v="P20"/>
    <x v="0"/>
    <x v="13"/>
    <x v="13"/>
    <x v="0"/>
    <x v="0"/>
  </r>
  <r>
    <n v="6467952"/>
    <s v="ORLANDINO GUMERCINDO"/>
    <s v="TAPIA"/>
    <s v="OLIVARES"/>
    <x v="4"/>
    <d v="1899-12-30T14:36:02"/>
    <s v="P10"/>
    <x v="1"/>
    <x v="13"/>
    <x v="13"/>
    <x v="0"/>
    <x v="0"/>
  </r>
  <r>
    <n v="6528911"/>
    <s v="CARLOS"/>
    <s v="PINO"/>
    <s v="MARTINEZ"/>
    <x v="0"/>
    <d v="1899-12-30T15:14:08"/>
    <s v="P20"/>
    <x v="0"/>
    <x v="14"/>
    <x v="14"/>
    <x v="3"/>
    <x v="0"/>
  </r>
  <r>
    <n v="6528911"/>
    <s v="CARLOS"/>
    <s v="PINO"/>
    <s v="MARTINEZ"/>
    <x v="0"/>
    <d v="1899-12-30T07:02:57"/>
    <s v="P10"/>
    <x v="1"/>
    <x v="14"/>
    <x v="14"/>
    <x v="3"/>
    <x v="0"/>
  </r>
  <r>
    <n v="6528911"/>
    <s v="CARLOS"/>
    <s v="PINO"/>
    <s v="MARTINEZ"/>
    <x v="1"/>
    <d v="1899-12-30T15:04:42"/>
    <s v="P20"/>
    <x v="0"/>
    <x v="14"/>
    <x v="14"/>
    <x v="3"/>
    <x v="0"/>
  </r>
  <r>
    <n v="6528911"/>
    <s v="CARLOS"/>
    <s v="PINO"/>
    <s v="MARTINEZ"/>
    <x v="1"/>
    <d v="1899-12-30T07:00:26"/>
    <s v="P10"/>
    <x v="1"/>
    <x v="14"/>
    <x v="14"/>
    <x v="3"/>
    <x v="0"/>
  </r>
  <r>
    <n v="6528911"/>
    <s v="CARLOS"/>
    <s v="PINO"/>
    <s v="MARTINEZ"/>
    <x v="2"/>
    <d v="1899-12-30T15:09:52"/>
    <s v="P20"/>
    <x v="0"/>
    <x v="14"/>
    <x v="14"/>
    <x v="3"/>
    <x v="0"/>
  </r>
  <r>
    <n v="6528911"/>
    <s v="CARLOS"/>
    <s v="PINO"/>
    <s v="MARTINEZ"/>
    <x v="2"/>
    <d v="1899-12-30T07:02:50"/>
    <s v="P10"/>
    <x v="1"/>
    <x v="14"/>
    <x v="14"/>
    <x v="3"/>
    <x v="0"/>
  </r>
  <r>
    <n v="6528911"/>
    <s v="CARLOS"/>
    <s v="PINO"/>
    <s v="MARTINEZ"/>
    <x v="3"/>
    <d v="1899-12-30T15:06:43"/>
    <s v="P20"/>
    <x v="0"/>
    <x v="14"/>
    <x v="14"/>
    <x v="3"/>
    <x v="0"/>
  </r>
  <r>
    <n v="6528911"/>
    <s v="CARLOS"/>
    <s v="PINO"/>
    <s v="MARTINEZ"/>
    <x v="3"/>
    <d v="1899-12-30T07:00:13"/>
    <s v="P10"/>
    <x v="1"/>
    <x v="14"/>
    <x v="14"/>
    <x v="3"/>
    <x v="0"/>
  </r>
  <r>
    <n v="6528911"/>
    <s v="CARLOS"/>
    <s v="PINO"/>
    <s v="MARTINEZ"/>
    <x v="4"/>
    <d v="1899-12-30T15:04:04"/>
    <s v="P20"/>
    <x v="0"/>
    <x v="14"/>
    <x v="14"/>
    <x v="3"/>
    <x v="0"/>
  </r>
  <r>
    <n v="6528911"/>
    <s v="CARLOS"/>
    <s v="PINO"/>
    <s v="MARTINEZ"/>
    <x v="4"/>
    <d v="1899-12-30T07:00:04"/>
    <s v="P10"/>
    <x v="1"/>
    <x v="14"/>
    <x v="14"/>
    <x v="3"/>
    <x v="0"/>
  </r>
  <r>
    <n v="6646724"/>
    <s v="JUAN RAMON"/>
    <s v="PALMA"/>
    <s v="SEREÑO"/>
    <x v="0"/>
    <d v="1899-12-30T22:45:37"/>
    <s v="P20"/>
    <x v="0"/>
    <x v="15"/>
    <x v="15"/>
    <x v="0"/>
    <x v="0"/>
  </r>
  <r>
    <n v="6646724"/>
    <s v="JUAN RAMON"/>
    <s v="PALMA"/>
    <s v="SEREÑO"/>
    <x v="0"/>
    <d v="1899-12-30T14:22:55"/>
    <s v="P10"/>
    <x v="1"/>
    <x v="15"/>
    <x v="15"/>
    <x v="0"/>
    <x v="0"/>
  </r>
  <r>
    <n v="6646724"/>
    <s v="JUAN RAMON"/>
    <s v="PALMA"/>
    <s v="SEREÑO"/>
    <x v="1"/>
    <d v="1899-12-30T22:30:31"/>
    <s v="P20"/>
    <x v="0"/>
    <x v="15"/>
    <x v="15"/>
    <x v="0"/>
    <x v="0"/>
  </r>
  <r>
    <n v="6646724"/>
    <s v="JUAN RAMON"/>
    <s v="PALMA"/>
    <s v="SEREÑO"/>
    <x v="1"/>
    <d v="1899-12-30T14:32:48"/>
    <s v="P10"/>
    <x v="1"/>
    <x v="15"/>
    <x v="15"/>
    <x v="0"/>
    <x v="0"/>
  </r>
  <r>
    <n v="6646724"/>
    <s v="JUAN RAMON"/>
    <s v="PALMA"/>
    <s v="SEREÑO"/>
    <x v="2"/>
    <d v="1899-12-30T22:48:28"/>
    <s v="P20"/>
    <x v="0"/>
    <x v="15"/>
    <x v="15"/>
    <x v="0"/>
    <x v="0"/>
  </r>
  <r>
    <n v="6646724"/>
    <s v="JUAN RAMON"/>
    <s v="PALMA"/>
    <s v="SEREÑO"/>
    <x v="2"/>
    <d v="1899-12-30T14:20:15"/>
    <s v="P10"/>
    <x v="1"/>
    <x v="15"/>
    <x v="15"/>
    <x v="0"/>
    <x v="0"/>
  </r>
  <r>
    <n v="6646724"/>
    <s v="JUAN RAMON"/>
    <s v="PALMA"/>
    <s v="SEREÑO"/>
    <x v="3"/>
    <d v="1899-12-30T22:32:18"/>
    <s v="P20"/>
    <x v="0"/>
    <x v="15"/>
    <x v="15"/>
    <x v="0"/>
    <x v="0"/>
  </r>
  <r>
    <n v="6646724"/>
    <s v="JUAN RAMON"/>
    <s v="PALMA"/>
    <s v="SEREÑO"/>
    <x v="3"/>
    <d v="1899-12-30T14:38:38"/>
    <s v="P10"/>
    <x v="1"/>
    <x v="15"/>
    <x v="15"/>
    <x v="0"/>
    <x v="0"/>
  </r>
  <r>
    <n v="6646724"/>
    <s v="JUAN RAMON"/>
    <s v="PALMA"/>
    <s v="SEREÑO"/>
    <x v="4"/>
    <d v="1899-12-30T22:48:33"/>
    <s v="P20"/>
    <x v="0"/>
    <x v="15"/>
    <x v="15"/>
    <x v="0"/>
    <x v="0"/>
  </r>
  <r>
    <n v="6646724"/>
    <s v="JUAN RAMON"/>
    <s v="PALMA"/>
    <s v="SEREÑO"/>
    <x v="4"/>
    <d v="1899-12-30T14:20:54"/>
    <s v="P10"/>
    <x v="1"/>
    <x v="15"/>
    <x v="15"/>
    <x v="0"/>
    <x v="0"/>
  </r>
  <r>
    <n v="6933508"/>
    <s v="JUAN RAMON"/>
    <s v="CABELLO"/>
    <s v="DIAZ"/>
    <x v="5"/>
    <d v="1899-12-30T00:00:00"/>
    <m/>
    <x v="2"/>
    <x v="16"/>
    <x v="16"/>
    <x v="2"/>
    <x v="2"/>
  </r>
  <r>
    <n v="6940813"/>
    <s v="ISAIAS"/>
    <s v="PLAZA"/>
    <s v="ALFARO"/>
    <x v="0"/>
    <d v="1899-12-30T15:30:58"/>
    <s v="P20"/>
    <x v="0"/>
    <x v="17"/>
    <x v="17"/>
    <x v="3"/>
    <x v="0"/>
  </r>
  <r>
    <n v="6940813"/>
    <s v="ISAIAS"/>
    <s v="PLAZA"/>
    <s v="ALFARO"/>
    <x v="0"/>
    <d v="1899-12-30T07:11:56"/>
    <s v="P10"/>
    <x v="1"/>
    <x v="17"/>
    <x v="17"/>
    <x v="3"/>
    <x v="0"/>
  </r>
  <r>
    <n v="6940813"/>
    <s v="ISAIAS"/>
    <s v="PLAZA"/>
    <s v="ALFARO"/>
    <x v="1"/>
    <d v="1899-12-30T15:21:34"/>
    <s v="P20"/>
    <x v="0"/>
    <x v="17"/>
    <x v="17"/>
    <x v="3"/>
    <x v="0"/>
  </r>
  <r>
    <n v="6940813"/>
    <s v="ISAIAS"/>
    <s v="PLAZA"/>
    <s v="ALFARO"/>
    <x v="1"/>
    <d v="1899-12-30T07:02:48"/>
    <s v="P10"/>
    <x v="1"/>
    <x v="17"/>
    <x v="17"/>
    <x v="3"/>
    <x v="0"/>
  </r>
  <r>
    <n v="6940813"/>
    <s v="ISAIAS"/>
    <s v="PLAZA"/>
    <s v="ALFARO"/>
    <x v="2"/>
    <d v="1899-12-30T15:38:09"/>
    <s v="P20"/>
    <x v="0"/>
    <x v="17"/>
    <x v="17"/>
    <x v="3"/>
    <x v="0"/>
  </r>
  <r>
    <n v="6940813"/>
    <s v="ISAIAS"/>
    <s v="PLAZA"/>
    <s v="ALFARO"/>
    <x v="2"/>
    <d v="1899-12-30T07:00:59"/>
    <s v="P10"/>
    <x v="1"/>
    <x v="17"/>
    <x v="17"/>
    <x v="3"/>
    <x v="0"/>
  </r>
  <r>
    <n v="6940813"/>
    <s v="ISAIAS"/>
    <s v="PLAZA"/>
    <s v="ALFARO"/>
    <x v="3"/>
    <d v="1899-12-30T15:15:28"/>
    <s v="P20"/>
    <x v="0"/>
    <x v="17"/>
    <x v="17"/>
    <x v="3"/>
    <x v="0"/>
  </r>
  <r>
    <n v="6940813"/>
    <s v="ISAIAS"/>
    <s v="PLAZA"/>
    <s v="ALFARO"/>
    <x v="3"/>
    <d v="1899-12-30T07:06:31"/>
    <s v="P10"/>
    <x v="1"/>
    <x v="17"/>
    <x v="17"/>
    <x v="3"/>
    <x v="0"/>
  </r>
  <r>
    <n v="6940813"/>
    <s v="ISAIAS"/>
    <s v="PLAZA"/>
    <s v="ALFARO"/>
    <x v="4"/>
    <d v="1899-12-30T15:49:16"/>
    <s v="P20"/>
    <x v="0"/>
    <x v="17"/>
    <x v="17"/>
    <x v="3"/>
    <x v="0"/>
  </r>
  <r>
    <n v="6940813"/>
    <s v="ISAIAS"/>
    <s v="PLAZA"/>
    <s v="ALFARO"/>
    <x v="4"/>
    <d v="1899-12-30T07:02:37"/>
    <s v="P10"/>
    <x v="1"/>
    <x v="17"/>
    <x v="17"/>
    <x v="3"/>
    <x v="0"/>
  </r>
  <r>
    <n v="7009784"/>
    <s v="HECTOR ENRIQUE"/>
    <s v="SALAZAR"/>
    <s v="VIDELA"/>
    <x v="0"/>
    <d v="1899-12-30T07:31:54"/>
    <s v="P20"/>
    <x v="0"/>
    <x v="18"/>
    <x v="18"/>
    <x v="1"/>
    <x v="1"/>
  </r>
  <r>
    <n v="7009784"/>
    <s v="HECTOR ENRIQUE"/>
    <s v="SALAZAR"/>
    <s v="VIDELA"/>
    <x v="0"/>
    <d v="1899-12-30T22:06:06"/>
    <s v="P10"/>
    <x v="1"/>
    <x v="18"/>
    <x v="18"/>
    <x v="1"/>
    <x v="1"/>
  </r>
  <r>
    <n v="7009784"/>
    <s v="HECTOR ENRIQUE"/>
    <s v="SALAZAR"/>
    <s v="VIDELA"/>
    <x v="1"/>
    <d v="1899-12-30T07:30:21"/>
    <s v="P20"/>
    <x v="0"/>
    <x v="18"/>
    <x v="18"/>
    <x v="1"/>
    <x v="1"/>
  </r>
  <r>
    <n v="7009784"/>
    <s v="HECTOR ENRIQUE"/>
    <s v="SALAZAR"/>
    <s v="VIDELA"/>
    <x v="2"/>
    <d v="1899-12-30T22:02:22"/>
    <s v="P10"/>
    <x v="1"/>
    <x v="18"/>
    <x v="18"/>
    <x v="1"/>
    <x v="1"/>
  </r>
  <r>
    <n v="7009784"/>
    <s v="HECTOR ENRIQUE"/>
    <s v="SALAZAR"/>
    <s v="VIDELA"/>
    <x v="3"/>
    <d v="1899-12-30T07:35:58"/>
    <s v="P20"/>
    <x v="0"/>
    <x v="18"/>
    <x v="18"/>
    <x v="1"/>
    <x v="1"/>
  </r>
  <r>
    <n v="7009784"/>
    <s v="HECTOR ENRIQUE"/>
    <s v="SALAZAR"/>
    <s v="VIDELA"/>
    <x v="3"/>
    <d v="1899-12-30T22:05:31"/>
    <s v="P10"/>
    <x v="1"/>
    <x v="18"/>
    <x v="18"/>
    <x v="1"/>
    <x v="1"/>
  </r>
  <r>
    <n v="7009784"/>
    <s v="HECTOR ENRIQUE"/>
    <s v="SALAZAR"/>
    <s v="VIDELA"/>
    <x v="4"/>
    <d v="1899-12-30T07:33:09"/>
    <s v="P20"/>
    <x v="0"/>
    <x v="18"/>
    <x v="18"/>
    <x v="1"/>
    <x v="1"/>
  </r>
  <r>
    <n v="7009784"/>
    <s v="HECTOR ENRIQUE"/>
    <s v="SALAZAR"/>
    <s v="VIDELA"/>
    <x v="4"/>
    <d v="1899-12-30T22:03:18"/>
    <s v="P10"/>
    <x v="1"/>
    <x v="18"/>
    <x v="18"/>
    <x v="1"/>
    <x v="1"/>
  </r>
  <r>
    <n v="7023216"/>
    <s v="FIDEL"/>
    <s v="FUENZALIDA"/>
    <s v="ADASME"/>
    <x v="0"/>
    <d v="1899-12-30T15:21:41"/>
    <s v="P20"/>
    <x v="0"/>
    <x v="19"/>
    <x v="19"/>
    <x v="3"/>
    <x v="0"/>
  </r>
  <r>
    <n v="7023216"/>
    <s v="FIDEL"/>
    <s v="FUENZALIDA"/>
    <s v="ADASME"/>
    <x v="0"/>
    <d v="1899-12-30T07:03:46"/>
    <s v="P10"/>
    <x v="1"/>
    <x v="19"/>
    <x v="19"/>
    <x v="3"/>
    <x v="0"/>
  </r>
  <r>
    <n v="7023216"/>
    <s v="FIDEL"/>
    <s v="FUENZALIDA"/>
    <s v="ADASME"/>
    <x v="1"/>
    <d v="1899-12-30T15:22:07"/>
    <s v="P20"/>
    <x v="0"/>
    <x v="19"/>
    <x v="19"/>
    <x v="3"/>
    <x v="0"/>
  </r>
  <r>
    <n v="7023216"/>
    <s v="FIDEL"/>
    <s v="FUENZALIDA"/>
    <s v="ADASME"/>
    <x v="1"/>
    <d v="1899-12-30T07:03:03"/>
    <s v="P10"/>
    <x v="1"/>
    <x v="19"/>
    <x v="19"/>
    <x v="3"/>
    <x v="0"/>
  </r>
  <r>
    <n v="7023216"/>
    <s v="FIDEL"/>
    <s v="FUENZALIDA"/>
    <s v="ADASME"/>
    <x v="2"/>
    <d v="1899-12-30T15:17:14"/>
    <s v="P20"/>
    <x v="0"/>
    <x v="19"/>
    <x v="19"/>
    <x v="3"/>
    <x v="0"/>
  </r>
  <r>
    <n v="7023216"/>
    <s v="FIDEL"/>
    <s v="FUENZALIDA"/>
    <s v="ADASME"/>
    <x v="2"/>
    <d v="1899-12-30T07:04:59"/>
    <s v="P10"/>
    <x v="1"/>
    <x v="19"/>
    <x v="19"/>
    <x v="3"/>
    <x v="0"/>
  </r>
  <r>
    <n v="7023216"/>
    <s v="FIDEL"/>
    <s v="FUENZALIDA"/>
    <s v="ADASME"/>
    <x v="3"/>
    <d v="1899-12-30T15:15:45"/>
    <s v="P20"/>
    <x v="0"/>
    <x v="19"/>
    <x v="19"/>
    <x v="3"/>
    <x v="0"/>
  </r>
  <r>
    <n v="7023216"/>
    <s v="FIDEL"/>
    <s v="FUENZALIDA"/>
    <s v="ADASME"/>
    <x v="3"/>
    <d v="1899-12-30T07:04:53"/>
    <s v="P10"/>
    <x v="1"/>
    <x v="19"/>
    <x v="19"/>
    <x v="3"/>
    <x v="0"/>
  </r>
  <r>
    <n v="7023216"/>
    <s v="FIDEL"/>
    <s v="FUENZALIDA"/>
    <s v="ADASME"/>
    <x v="4"/>
    <d v="1899-12-30T15:18:41"/>
    <s v="P20"/>
    <x v="0"/>
    <x v="19"/>
    <x v="19"/>
    <x v="3"/>
    <x v="0"/>
  </r>
  <r>
    <n v="7023216"/>
    <s v="FIDEL"/>
    <s v="FUENZALIDA"/>
    <s v="ADASME"/>
    <x v="4"/>
    <d v="1899-12-30T07:03:03"/>
    <s v="P10"/>
    <x v="1"/>
    <x v="19"/>
    <x v="19"/>
    <x v="3"/>
    <x v="0"/>
  </r>
  <r>
    <n v="7481602"/>
    <s v="JORGE PATRICIO"/>
    <s v="NARVAI"/>
    <s v="RIVERA"/>
    <x v="0"/>
    <d v="1899-12-30T15:16:55"/>
    <s v="P20"/>
    <x v="0"/>
    <x v="20"/>
    <x v="20"/>
    <x v="3"/>
    <x v="0"/>
  </r>
  <r>
    <n v="7481602"/>
    <s v="JORGE PATRICIO"/>
    <s v="NARVAI"/>
    <s v="RIVERA"/>
    <x v="0"/>
    <d v="1899-12-30T07:06:05"/>
    <s v="P10"/>
    <x v="1"/>
    <x v="20"/>
    <x v="20"/>
    <x v="3"/>
    <x v="0"/>
  </r>
  <r>
    <n v="7481602"/>
    <s v="JORGE PATRICIO"/>
    <s v="NARVAI"/>
    <s v="RIVERA"/>
    <x v="1"/>
    <d v="1899-12-30T15:19:27"/>
    <s v="P20"/>
    <x v="0"/>
    <x v="20"/>
    <x v="20"/>
    <x v="3"/>
    <x v="0"/>
  </r>
  <r>
    <n v="7481602"/>
    <s v="JORGE PATRICIO"/>
    <s v="NARVAI"/>
    <s v="RIVERA"/>
    <x v="1"/>
    <d v="1899-12-30T06:57:44"/>
    <s v="P10"/>
    <x v="1"/>
    <x v="20"/>
    <x v="20"/>
    <x v="3"/>
    <x v="0"/>
  </r>
  <r>
    <n v="7481602"/>
    <s v="JORGE PATRICIO"/>
    <s v="NARVAI"/>
    <s v="RIVERA"/>
    <x v="2"/>
    <d v="1899-12-30T15:15:49"/>
    <s v="P20"/>
    <x v="0"/>
    <x v="20"/>
    <x v="20"/>
    <x v="3"/>
    <x v="0"/>
  </r>
  <r>
    <n v="7481602"/>
    <s v="JORGE PATRICIO"/>
    <s v="NARVAI"/>
    <s v="RIVERA"/>
    <x v="2"/>
    <d v="1899-12-30T06:59:04"/>
    <s v="P10"/>
    <x v="1"/>
    <x v="20"/>
    <x v="20"/>
    <x v="3"/>
    <x v="0"/>
  </r>
  <r>
    <n v="7481602"/>
    <s v="JORGE PATRICIO"/>
    <s v="NARVAI"/>
    <s v="RIVERA"/>
    <x v="3"/>
    <d v="1899-12-30T15:15:14"/>
    <s v="P20"/>
    <x v="0"/>
    <x v="20"/>
    <x v="20"/>
    <x v="3"/>
    <x v="0"/>
  </r>
  <r>
    <n v="7481602"/>
    <s v="JORGE PATRICIO"/>
    <s v="NARVAI"/>
    <s v="RIVERA"/>
    <x v="3"/>
    <d v="1899-12-30T06:57:57"/>
    <s v="P10"/>
    <x v="1"/>
    <x v="20"/>
    <x v="20"/>
    <x v="3"/>
    <x v="0"/>
  </r>
  <r>
    <n v="7481602"/>
    <s v="JORGE PATRICIO"/>
    <s v="NARVAI"/>
    <s v="RIVERA"/>
    <x v="4"/>
    <d v="1899-12-30T15:13:36"/>
    <s v="P20"/>
    <x v="0"/>
    <x v="20"/>
    <x v="20"/>
    <x v="3"/>
    <x v="0"/>
  </r>
  <r>
    <n v="7481602"/>
    <s v="JORGE PATRICIO"/>
    <s v="NARVAI"/>
    <s v="RIVERA"/>
    <x v="4"/>
    <d v="1899-12-30T07:04:54"/>
    <s v="P10"/>
    <x v="1"/>
    <x v="20"/>
    <x v="20"/>
    <x v="3"/>
    <x v="0"/>
  </r>
  <r>
    <n v="7717451"/>
    <s v="JUAN FCO."/>
    <s v="CERNA"/>
    <s v="CONTRERAS"/>
    <x v="0"/>
    <d v="1899-12-30T13:06:46"/>
    <s v="P20"/>
    <x v="0"/>
    <x v="21"/>
    <x v="21"/>
    <x v="2"/>
    <x v="2"/>
  </r>
  <r>
    <n v="7717451"/>
    <s v="JUAN FCO."/>
    <s v="CERNA"/>
    <s v="CONTRERAS"/>
    <x v="0"/>
    <d v="1899-12-30T06:31:53"/>
    <s v="P10"/>
    <x v="1"/>
    <x v="21"/>
    <x v="21"/>
    <x v="3"/>
    <x v="0"/>
  </r>
  <r>
    <n v="7717451"/>
    <s v="JUAN FCO."/>
    <s v="CERNA"/>
    <s v="CONTRERAS"/>
    <x v="2"/>
    <d v="1899-12-30T17:16:40"/>
    <s v="P20"/>
    <x v="0"/>
    <x v="21"/>
    <x v="21"/>
    <x v="3"/>
    <x v="0"/>
  </r>
  <r>
    <n v="7717451"/>
    <s v="JUAN FCO."/>
    <s v="CERNA"/>
    <s v="CONTRERAS"/>
    <x v="2"/>
    <d v="1899-12-30T06:34:05"/>
    <s v="P10"/>
    <x v="1"/>
    <x v="21"/>
    <x v="21"/>
    <x v="3"/>
    <x v="0"/>
  </r>
  <r>
    <n v="7717451"/>
    <s v="JUAN FCO."/>
    <s v="CERNA"/>
    <s v="CONTRERAS"/>
    <x v="3"/>
    <d v="1899-12-30T17:09:19"/>
    <s v="P20"/>
    <x v="0"/>
    <x v="21"/>
    <x v="21"/>
    <x v="3"/>
    <x v="0"/>
  </r>
  <r>
    <n v="7717451"/>
    <s v="JUAN FCO."/>
    <s v="CERNA"/>
    <s v="CONTRERAS"/>
    <x v="3"/>
    <d v="1899-12-30T06:28:08"/>
    <s v="P10"/>
    <x v="1"/>
    <x v="21"/>
    <x v="21"/>
    <x v="3"/>
    <x v="0"/>
  </r>
  <r>
    <n v="7717451"/>
    <s v="JUAN FCO."/>
    <s v="CERNA"/>
    <s v="CONTRERAS"/>
    <x v="4"/>
    <d v="1899-12-30T17:17:16"/>
    <s v="P20"/>
    <x v="0"/>
    <x v="21"/>
    <x v="21"/>
    <x v="3"/>
    <x v="0"/>
  </r>
  <r>
    <n v="7717451"/>
    <s v="JUAN FCO."/>
    <s v="CERNA"/>
    <s v="CONTRERAS"/>
    <x v="4"/>
    <d v="1899-12-30T06:33:44"/>
    <s v="P10"/>
    <x v="1"/>
    <x v="21"/>
    <x v="21"/>
    <x v="3"/>
    <x v="0"/>
  </r>
  <r>
    <n v="7721223"/>
    <s v="JOSE MANUEL"/>
    <s v="QUIROZ"/>
    <s v="VENEGAS"/>
    <x v="0"/>
    <d v="1899-12-30T15:08:48"/>
    <s v="P20"/>
    <x v="0"/>
    <x v="22"/>
    <x v="22"/>
    <x v="4"/>
    <x v="2"/>
  </r>
  <r>
    <n v="7721223"/>
    <s v="JOSE MANUEL"/>
    <s v="QUIROZ"/>
    <s v="VENEGAS"/>
    <x v="0"/>
    <d v="1899-12-30T06:36:31"/>
    <s v="P10"/>
    <x v="1"/>
    <x v="22"/>
    <x v="22"/>
    <x v="4"/>
    <x v="2"/>
  </r>
  <r>
    <n v="7721223"/>
    <s v="JOSE MANUEL"/>
    <s v="QUIROZ"/>
    <s v="VENEGAS"/>
    <x v="1"/>
    <d v="1899-12-30T15:06:42"/>
    <s v="P20"/>
    <x v="0"/>
    <x v="22"/>
    <x v="22"/>
    <x v="4"/>
    <x v="2"/>
  </r>
  <r>
    <n v="7721223"/>
    <s v="JOSE MANUEL"/>
    <s v="QUIROZ"/>
    <s v="VENEGAS"/>
    <x v="1"/>
    <d v="1899-12-30T06:47:16"/>
    <s v="P10"/>
    <x v="1"/>
    <x v="22"/>
    <x v="22"/>
    <x v="4"/>
    <x v="2"/>
  </r>
  <r>
    <n v="7721223"/>
    <s v="JOSE MANUEL"/>
    <s v="QUIROZ"/>
    <s v="VENEGAS"/>
    <x v="2"/>
    <d v="1899-12-30T15:08:34"/>
    <s v="P20"/>
    <x v="0"/>
    <x v="22"/>
    <x v="22"/>
    <x v="4"/>
    <x v="2"/>
  </r>
  <r>
    <n v="7721223"/>
    <s v="JOSE MANUEL"/>
    <s v="QUIROZ"/>
    <s v="VENEGAS"/>
    <x v="2"/>
    <d v="1899-12-30T06:37:26"/>
    <s v="P10"/>
    <x v="1"/>
    <x v="22"/>
    <x v="22"/>
    <x v="4"/>
    <x v="2"/>
  </r>
  <r>
    <n v="7721223"/>
    <s v="JOSE MANUEL"/>
    <s v="QUIROZ"/>
    <s v="VENEGAS"/>
    <x v="3"/>
    <d v="1899-12-30T15:05:37"/>
    <s v="P20"/>
    <x v="0"/>
    <x v="22"/>
    <x v="22"/>
    <x v="4"/>
    <x v="2"/>
  </r>
  <r>
    <n v="7721223"/>
    <s v="JOSE MANUEL"/>
    <s v="QUIROZ"/>
    <s v="VENEGAS"/>
    <x v="3"/>
    <d v="1899-12-30T06:43:12"/>
    <s v="P10"/>
    <x v="1"/>
    <x v="22"/>
    <x v="22"/>
    <x v="4"/>
    <x v="2"/>
  </r>
  <r>
    <n v="7721223"/>
    <s v="JOSE MANUEL"/>
    <s v="QUIROZ"/>
    <s v="VENEGAS"/>
    <x v="4"/>
    <d v="1899-12-30T15:07:50"/>
    <s v="P20"/>
    <x v="0"/>
    <x v="22"/>
    <x v="22"/>
    <x v="4"/>
    <x v="2"/>
  </r>
  <r>
    <n v="7721223"/>
    <s v="JOSE MANUEL"/>
    <s v="QUIROZ"/>
    <s v="VENEGAS"/>
    <x v="4"/>
    <d v="1899-12-30T06:43:04"/>
    <s v="P10"/>
    <x v="1"/>
    <x v="22"/>
    <x v="22"/>
    <x v="4"/>
    <x v="2"/>
  </r>
  <r>
    <n v="7760886"/>
    <s v="OSCAR ALFREDO"/>
    <s v="ALBORNOZ"/>
    <s v="ROA"/>
    <x v="0"/>
    <d v="1899-12-30T18:25:28"/>
    <s v="P20"/>
    <x v="0"/>
    <x v="23"/>
    <x v="23"/>
    <x v="4"/>
    <x v="2"/>
  </r>
  <r>
    <n v="7760886"/>
    <s v="OSCAR ALFREDO"/>
    <s v="ALBORNOZ"/>
    <s v="ROA"/>
    <x v="0"/>
    <d v="1899-12-30T08:13:45"/>
    <s v="P10"/>
    <x v="1"/>
    <x v="23"/>
    <x v="23"/>
    <x v="4"/>
    <x v="2"/>
  </r>
  <r>
    <n v="7760886"/>
    <s v="OSCAR ALFREDO"/>
    <s v="ALBORNOZ"/>
    <s v="ROA"/>
    <x v="2"/>
    <d v="1899-12-30T08:58:18"/>
    <s v="P20"/>
    <x v="0"/>
    <x v="23"/>
    <x v="23"/>
    <x v="4"/>
    <x v="2"/>
  </r>
  <r>
    <n v="7760886"/>
    <s v="OSCAR ALFREDO"/>
    <s v="ALBORNOZ"/>
    <s v="ROA"/>
    <x v="2"/>
    <d v="1899-12-30T07:22:38"/>
    <s v="P10"/>
    <x v="1"/>
    <x v="23"/>
    <x v="23"/>
    <x v="4"/>
    <x v="2"/>
  </r>
  <r>
    <n v="7760886"/>
    <s v="OSCAR ALFREDO"/>
    <s v="ALBORNOZ"/>
    <s v="ROA"/>
    <x v="3"/>
    <d v="1899-12-30T17:24:06"/>
    <s v="P20"/>
    <x v="0"/>
    <x v="23"/>
    <x v="23"/>
    <x v="4"/>
    <x v="2"/>
  </r>
  <r>
    <n v="7760886"/>
    <s v="OSCAR ALFREDO"/>
    <s v="ALBORNOZ"/>
    <s v="ROA"/>
    <x v="3"/>
    <d v="1899-12-30T07:13:03"/>
    <s v="P10"/>
    <x v="1"/>
    <x v="23"/>
    <x v="23"/>
    <x v="4"/>
    <x v="2"/>
  </r>
  <r>
    <n v="7760886"/>
    <s v="OSCAR ALFREDO"/>
    <s v="ALBORNOZ"/>
    <s v="ROA"/>
    <x v="4"/>
    <d v="1899-12-30T19:26:44"/>
    <s v="P20"/>
    <x v="0"/>
    <x v="23"/>
    <x v="23"/>
    <x v="4"/>
    <x v="2"/>
  </r>
  <r>
    <n v="7760886"/>
    <s v="OSCAR ALFREDO"/>
    <s v="ALBORNOZ"/>
    <s v="ROA"/>
    <x v="4"/>
    <d v="1899-12-30T13:06:00"/>
    <s v="P10"/>
    <x v="1"/>
    <x v="23"/>
    <x v="23"/>
    <x v="4"/>
    <x v="2"/>
  </r>
  <r>
    <n v="7807741"/>
    <s v="RUBEN A"/>
    <s v="VIDAL"/>
    <s v="ORMAZABAL"/>
    <x v="0"/>
    <d v="1899-12-30T22:28:24"/>
    <s v="P20"/>
    <x v="0"/>
    <x v="24"/>
    <x v="24"/>
    <x v="1"/>
    <x v="1"/>
  </r>
  <r>
    <n v="7807741"/>
    <s v="RUBEN A"/>
    <s v="VIDAL"/>
    <s v="ORMAZABAL"/>
    <x v="0"/>
    <d v="1899-12-30T14:41:18"/>
    <s v="P10"/>
    <x v="1"/>
    <x v="24"/>
    <x v="24"/>
    <x v="0"/>
    <x v="0"/>
  </r>
  <r>
    <n v="7807741"/>
    <s v="RUBEN A"/>
    <s v="VIDAL"/>
    <s v="ORMAZABAL"/>
    <x v="1"/>
    <d v="1899-12-30T22:30:00"/>
    <s v="P20"/>
    <x v="0"/>
    <x v="24"/>
    <x v="24"/>
    <x v="2"/>
    <x v="2"/>
  </r>
  <r>
    <n v="7807741"/>
    <s v="RUBEN A"/>
    <s v="VIDAL"/>
    <s v="ORMAZABAL"/>
    <x v="1"/>
    <d v="1899-12-30T14:46:08"/>
    <s v="P10"/>
    <x v="1"/>
    <x v="24"/>
    <x v="24"/>
    <x v="0"/>
    <x v="0"/>
  </r>
  <r>
    <n v="7807741"/>
    <s v="RUBEN A"/>
    <s v="VIDAL"/>
    <s v="ORMAZABAL"/>
    <x v="2"/>
    <d v="1899-12-30T22:30:07"/>
    <s v="P20"/>
    <x v="0"/>
    <x v="24"/>
    <x v="24"/>
    <x v="0"/>
    <x v="0"/>
  </r>
  <r>
    <n v="7807741"/>
    <s v="RUBEN A"/>
    <s v="VIDAL"/>
    <s v="ORMAZABAL"/>
    <x v="2"/>
    <d v="1899-12-30T14:42:43"/>
    <s v="P10"/>
    <x v="1"/>
    <x v="24"/>
    <x v="24"/>
    <x v="0"/>
    <x v="0"/>
  </r>
  <r>
    <n v="7807741"/>
    <s v="RUBEN A"/>
    <s v="VIDAL"/>
    <s v="ORMAZABAL"/>
    <x v="3"/>
    <d v="1899-12-30T22:28:49"/>
    <s v="P20"/>
    <x v="0"/>
    <x v="24"/>
    <x v="24"/>
    <x v="1"/>
    <x v="1"/>
  </r>
  <r>
    <n v="7807741"/>
    <s v="RUBEN A"/>
    <s v="VIDAL"/>
    <s v="ORMAZABAL"/>
    <x v="3"/>
    <d v="1899-12-30T14:41:17"/>
    <s v="P10"/>
    <x v="1"/>
    <x v="24"/>
    <x v="24"/>
    <x v="0"/>
    <x v="0"/>
  </r>
  <r>
    <n v="7807741"/>
    <s v="RUBEN A"/>
    <s v="VIDAL"/>
    <s v="ORMAZABAL"/>
    <x v="4"/>
    <d v="1899-12-30T22:30:23"/>
    <s v="P20"/>
    <x v="0"/>
    <x v="24"/>
    <x v="24"/>
    <x v="0"/>
    <x v="0"/>
  </r>
  <r>
    <n v="7807741"/>
    <s v="RUBEN A"/>
    <s v="VIDAL"/>
    <s v="ORMAZABAL"/>
    <x v="4"/>
    <d v="1899-12-30T14:41:15"/>
    <s v="P10"/>
    <x v="1"/>
    <x v="24"/>
    <x v="24"/>
    <x v="0"/>
    <x v="0"/>
  </r>
  <r>
    <n v="7815068"/>
    <s v="ANA MARITZA"/>
    <s v="JORQUERA"/>
    <s v="DURAN"/>
    <x v="0"/>
    <d v="1899-12-30T07:47:28"/>
    <s v="P20"/>
    <x v="0"/>
    <x v="25"/>
    <x v="25"/>
    <x v="1"/>
    <x v="1"/>
  </r>
  <r>
    <n v="7815068"/>
    <s v="ANA MARITZA"/>
    <s v="JORQUERA"/>
    <s v="DURAN"/>
    <x v="0"/>
    <d v="1899-12-30T19:09:09"/>
    <s v="P10"/>
    <x v="1"/>
    <x v="25"/>
    <x v="25"/>
    <x v="1"/>
    <x v="1"/>
  </r>
  <r>
    <n v="7815068"/>
    <s v="ANA MARITZA"/>
    <s v="JORQUERA"/>
    <s v="DURAN"/>
    <x v="1"/>
    <d v="1899-12-30T07:47:09"/>
    <s v="P20"/>
    <x v="0"/>
    <x v="25"/>
    <x v="25"/>
    <x v="1"/>
    <x v="1"/>
  </r>
  <r>
    <n v="7815068"/>
    <s v="ANA MARITZA"/>
    <s v="JORQUERA"/>
    <s v="DURAN"/>
    <x v="2"/>
    <d v="1899-12-30T22:01:21"/>
    <s v="P10"/>
    <x v="1"/>
    <x v="25"/>
    <x v="25"/>
    <x v="1"/>
    <x v="1"/>
  </r>
  <r>
    <n v="7815068"/>
    <s v="ANA MARITZA"/>
    <s v="JORQUERA"/>
    <s v="DURAN"/>
    <x v="3"/>
    <d v="1899-12-30T07:47:46"/>
    <s v="P20"/>
    <x v="0"/>
    <x v="25"/>
    <x v="25"/>
    <x v="1"/>
    <x v="1"/>
  </r>
  <r>
    <n v="7815068"/>
    <s v="ANA MARITZA"/>
    <s v="JORQUERA"/>
    <s v="DURAN"/>
    <x v="3"/>
    <d v="1899-12-30T22:03:22"/>
    <s v="P10"/>
    <x v="1"/>
    <x v="25"/>
    <x v="25"/>
    <x v="1"/>
    <x v="1"/>
  </r>
  <r>
    <n v="7815068"/>
    <s v="ANA MARITZA"/>
    <s v="JORQUERA"/>
    <s v="DURAN"/>
    <x v="4"/>
    <d v="1899-12-30T07:48:52"/>
    <s v="P20"/>
    <x v="0"/>
    <x v="25"/>
    <x v="25"/>
    <x v="1"/>
    <x v="1"/>
  </r>
  <r>
    <n v="7815068"/>
    <s v="ANA MARITZA"/>
    <s v="JORQUERA"/>
    <s v="DURAN"/>
    <x v="4"/>
    <d v="1899-12-30T19:25:47"/>
    <s v="P10"/>
    <x v="1"/>
    <x v="25"/>
    <x v="25"/>
    <x v="1"/>
    <x v="1"/>
  </r>
  <r>
    <n v="7815083"/>
    <s v="ELOY ENRIQUE"/>
    <s v="PALMA"/>
    <s v="SEREÑO"/>
    <x v="5"/>
    <d v="1899-12-30T00:00:00"/>
    <m/>
    <x v="2"/>
    <x v="26"/>
    <x v="26"/>
    <x v="2"/>
    <x v="2"/>
  </r>
  <r>
    <n v="7815607"/>
    <s v="PATRICIO HERNAN"/>
    <s v="CUEVAS"/>
    <s v="ORDENES"/>
    <x v="0"/>
    <d v="1899-12-30T22:49:42"/>
    <s v="P20"/>
    <x v="0"/>
    <x v="27"/>
    <x v="27"/>
    <x v="0"/>
    <x v="0"/>
  </r>
  <r>
    <n v="7815607"/>
    <s v="PATRICIO HERNAN"/>
    <s v="CUEVAS"/>
    <s v="ORDENES"/>
    <x v="0"/>
    <d v="1899-12-30T14:32:37"/>
    <s v="P10"/>
    <x v="1"/>
    <x v="27"/>
    <x v="27"/>
    <x v="0"/>
    <x v="0"/>
  </r>
  <r>
    <n v="7815607"/>
    <s v="PATRICIO HERNAN"/>
    <s v="CUEVAS"/>
    <s v="ORDENES"/>
    <x v="1"/>
    <d v="1899-12-30T22:36:50"/>
    <s v="P20"/>
    <x v="0"/>
    <x v="27"/>
    <x v="27"/>
    <x v="0"/>
    <x v="0"/>
  </r>
  <r>
    <n v="7815607"/>
    <s v="PATRICIO HERNAN"/>
    <s v="CUEVAS"/>
    <s v="ORDENES"/>
    <x v="1"/>
    <d v="1899-12-30T14:35:45"/>
    <s v="P10"/>
    <x v="1"/>
    <x v="27"/>
    <x v="27"/>
    <x v="0"/>
    <x v="0"/>
  </r>
  <r>
    <n v="7815607"/>
    <s v="PATRICIO HERNAN"/>
    <s v="CUEVAS"/>
    <s v="ORDENES"/>
    <x v="2"/>
    <d v="1899-12-30T22:43:29"/>
    <s v="P20"/>
    <x v="0"/>
    <x v="27"/>
    <x v="27"/>
    <x v="0"/>
    <x v="0"/>
  </r>
  <r>
    <n v="7815607"/>
    <s v="PATRICIO HERNAN"/>
    <s v="CUEVAS"/>
    <s v="ORDENES"/>
    <x v="2"/>
    <d v="1899-12-30T16:40:18"/>
    <s v="P10"/>
    <x v="1"/>
    <x v="27"/>
    <x v="27"/>
    <x v="0"/>
    <x v="0"/>
  </r>
  <r>
    <n v="7815607"/>
    <s v="PATRICIO HERNAN"/>
    <s v="CUEVAS"/>
    <s v="ORDENES"/>
    <x v="3"/>
    <d v="1899-12-30T22:46:45"/>
    <s v="P20"/>
    <x v="0"/>
    <x v="27"/>
    <x v="27"/>
    <x v="0"/>
    <x v="0"/>
  </r>
  <r>
    <n v="7815607"/>
    <s v="PATRICIO HERNAN"/>
    <s v="CUEVAS"/>
    <s v="ORDENES"/>
    <x v="3"/>
    <d v="1899-12-30T14:30:13"/>
    <s v="P10"/>
    <x v="1"/>
    <x v="27"/>
    <x v="27"/>
    <x v="0"/>
    <x v="0"/>
  </r>
  <r>
    <n v="7815607"/>
    <s v="PATRICIO HERNAN"/>
    <s v="CUEVAS"/>
    <s v="ORDENES"/>
    <x v="4"/>
    <d v="1899-12-30T22:41:44"/>
    <s v="P20"/>
    <x v="0"/>
    <x v="27"/>
    <x v="27"/>
    <x v="0"/>
    <x v="0"/>
  </r>
  <r>
    <n v="7815607"/>
    <s v="PATRICIO HERNAN"/>
    <s v="CUEVAS"/>
    <s v="ORDENES"/>
    <x v="4"/>
    <d v="1899-12-30T14:24:52"/>
    <s v="P10"/>
    <x v="1"/>
    <x v="27"/>
    <x v="27"/>
    <x v="0"/>
    <x v="0"/>
  </r>
  <r>
    <n v="7816535"/>
    <s v="CARLOS"/>
    <s v="CERONI"/>
    <s v="PIZARRO"/>
    <x v="0"/>
    <d v="1899-12-30T19:42:24"/>
    <s v="P20"/>
    <x v="0"/>
    <x v="28"/>
    <x v="28"/>
    <x v="0"/>
    <x v="0"/>
  </r>
  <r>
    <n v="7816535"/>
    <s v="CARLOS"/>
    <s v="CERONI"/>
    <s v="PIZARRO"/>
    <x v="0"/>
    <d v="1899-12-30T07:15:42"/>
    <s v="P10"/>
    <x v="1"/>
    <x v="28"/>
    <x v="28"/>
    <x v="0"/>
    <x v="0"/>
  </r>
  <r>
    <n v="7816535"/>
    <s v="CARLOS"/>
    <s v="CERONI"/>
    <s v="PIZARRO"/>
    <x v="1"/>
    <d v="1899-12-30T20:04:57"/>
    <s v="P20"/>
    <x v="0"/>
    <x v="28"/>
    <x v="28"/>
    <x v="0"/>
    <x v="0"/>
  </r>
  <r>
    <n v="7816535"/>
    <s v="CARLOS"/>
    <s v="CERONI"/>
    <s v="PIZARRO"/>
    <x v="1"/>
    <d v="1899-12-30T07:29:44"/>
    <s v="P10"/>
    <x v="1"/>
    <x v="28"/>
    <x v="28"/>
    <x v="0"/>
    <x v="0"/>
  </r>
  <r>
    <n v="7816535"/>
    <s v="CARLOS"/>
    <s v="CERONI"/>
    <s v="PIZARRO"/>
    <x v="2"/>
    <d v="1899-12-30T22:35:44"/>
    <s v="P20"/>
    <x v="0"/>
    <x v="28"/>
    <x v="28"/>
    <x v="0"/>
    <x v="0"/>
  </r>
  <r>
    <n v="7816535"/>
    <s v="CARLOS"/>
    <s v="CERONI"/>
    <s v="PIZARRO"/>
    <x v="2"/>
    <d v="1899-12-30T12:24:34"/>
    <s v="P10"/>
    <x v="1"/>
    <x v="28"/>
    <x v="28"/>
    <x v="0"/>
    <x v="0"/>
  </r>
  <r>
    <n v="7816535"/>
    <s v="CARLOS"/>
    <s v="CERONI"/>
    <s v="PIZARRO"/>
    <x v="3"/>
    <d v="1899-12-30T22:34:35"/>
    <s v="P20"/>
    <x v="0"/>
    <x v="28"/>
    <x v="28"/>
    <x v="0"/>
    <x v="0"/>
  </r>
  <r>
    <n v="7816535"/>
    <s v="CARLOS"/>
    <s v="CERONI"/>
    <s v="PIZARRO"/>
    <x v="3"/>
    <d v="1899-12-30T12:13:14"/>
    <s v="P10"/>
    <x v="1"/>
    <x v="28"/>
    <x v="28"/>
    <x v="0"/>
    <x v="0"/>
  </r>
  <r>
    <n v="7816535"/>
    <s v="CARLOS"/>
    <s v="CERONI"/>
    <s v="PIZARRO"/>
    <x v="4"/>
    <d v="1899-12-30T19:40:46"/>
    <s v="P20"/>
    <x v="0"/>
    <x v="28"/>
    <x v="28"/>
    <x v="0"/>
    <x v="0"/>
  </r>
  <r>
    <n v="7816535"/>
    <s v="CARLOS"/>
    <s v="CERONI"/>
    <s v="PIZARRO"/>
    <x v="4"/>
    <d v="1899-12-30T07:21:31"/>
    <s v="P10"/>
    <x v="1"/>
    <x v="28"/>
    <x v="28"/>
    <x v="0"/>
    <x v="0"/>
  </r>
  <r>
    <n v="7816805"/>
    <s v="JULIO CESAR"/>
    <s v="PINTO"/>
    <s v="FLORES"/>
    <x v="0"/>
    <d v="1899-12-30T16:54:51"/>
    <s v="P20"/>
    <x v="0"/>
    <x v="29"/>
    <x v="29"/>
    <x v="3"/>
    <x v="0"/>
  </r>
  <r>
    <n v="7816805"/>
    <s v="JULIO CESAR"/>
    <s v="PINTO"/>
    <s v="FLORES"/>
    <x v="0"/>
    <d v="1899-12-30T06:59:10"/>
    <s v="P10"/>
    <x v="1"/>
    <x v="29"/>
    <x v="29"/>
    <x v="3"/>
    <x v="0"/>
  </r>
  <r>
    <n v="7816805"/>
    <s v="JULIO CESAR"/>
    <s v="PINTO"/>
    <s v="FLORES"/>
    <x v="1"/>
    <d v="1899-12-30T16:57:20"/>
    <s v="P20"/>
    <x v="0"/>
    <x v="29"/>
    <x v="29"/>
    <x v="3"/>
    <x v="0"/>
  </r>
  <r>
    <n v="7816805"/>
    <s v="JULIO CESAR"/>
    <s v="PINTO"/>
    <s v="FLORES"/>
    <x v="1"/>
    <d v="1899-12-30T06:57:17"/>
    <s v="P10"/>
    <x v="1"/>
    <x v="29"/>
    <x v="29"/>
    <x v="3"/>
    <x v="0"/>
  </r>
  <r>
    <n v="7816805"/>
    <s v="JULIO CESAR"/>
    <s v="PINTO"/>
    <s v="FLORES"/>
    <x v="2"/>
    <d v="1899-12-30T17:23:50"/>
    <s v="P20"/>
    <x v="0"/>
    <x v="29"/>
    <x v="29"/>
    <x v="3"/>
    <x v="0"/>
  </r>
  <r>
    <n v="7816805"/>
    <s v="JULIO CESAR"/>
    <s v="PINTO"/>
    <s v="FLORES"/>
    <x v="2"/>
    <d v="1899-12-30T06:57:01"/>
    <s v="P10"/>
    <x v="1"/>
    <x v="29"/>
    <x v="29"/>
    <x v="3"/>
    <x v="0"/>
  </r>
  <r>
    <n v="7816805"/>
    <s v="JULIO CESAR"/>
    <s v="PINTO"/>
    <s v="FLORES"/>
    <x v="3"/>
    <d v="1899-12-30T17:06:25"/>
    <s v="P20"/>
    <x v="0"/>
    <x v="29"/>
    <x v="29"/>
    <x v="3"/>
    <x v="0"/>
  </r>
  <r>
    <n v="7816805"/>
    <s v="JULIO CESAR"/>
    <s v="PINTO"/>
    <s v="FLORES"/>
    <x v="3"/>
    <d v="1899-12-30T06:55:26"/>
    <s v="P10"/>
    <x v="1"/>
    <x v="29"/>
    <x v="29"/>
    <x v="3"/>
    <x v="0"/>
  </r>
  <r>
    <n v="7816805"/>
    <s v="JULIO CESAR"/>
    <s v="PINTO"/>
    <s v="FLORES"/>
    <x v="4"/>
    <d v="1899-12-30T17:17:21"/>
    <s v="P20"/>
    <x v="0"/>
    <x v="29"/>
    <x v="29"/>
    <x v="3"/>
    <x v="0"/>
  </r>
  <r>
    <n v="7816805"/>
    <s v="JULIO CESAR"/>
    <s v="PINTO"/>
    <s v="FLORES"/>
    <x v="4"/>
    <d v="1899-12-30T06:59:28"/>
    <s v="P10"/>
    <x v="1"/>
    <x v="29"/>
    <x v="29"/>
    <x v="3"/>
    <x v="0"/>
  </r>
  <r>
    <n v="7832770"/>
    <s v="MIGUEL"/>
    <s v="SALAS"/>
    <s v="VALENZUELA"/>
    <x v="0"/>
    <d v="1899-12-30T07:40:06"/>
    <s v="P20"/>
    <x v="0"/>
    <x v="30"/>
    <x v="30"/>
    <x v="1"/>
    <x v="1"/>
  </r>
  <r>
    <n v="7832770"/>
    <s v="MIGUEL"/>
    <s v="SALAS"/>
    <s v="VALENZUELA"/>
    <x v="0"/>
    <d v="1899-12-30T21:27:43"/>
    <s v="P10"/>
    <x v="1"/>
    <x v="30"/>
    <x v="30"/>
    <x v="1"/>
    <x v="1"/>
  </r>
  <r>
    <n v="7832770"/>
    <s v="MIGUEL"/>
    <s v="SALAS"/>
    <s v="VALENZUELA"/>
    <x v="1"/>
    <d v="1899-12-30T07:45:21"/>
    <s v="P20"/>
    <x v="0"/>
    <x v="30"/>
    <x v="30"/>
    <x v="1"/>
    <x v="1"/>
  </r>
  <r>
    <n v="7832770"/>
    <s v="MIGUEL"/>
    <s v="SALAS"/>
    <s v="VALENZUELA"/>
    <x v="2"/>
    <d v="1899-12-30T21:21:59"/>
    <s v="P10"/>
    <x v="1"/>
    <x v="30"/>
    <x v="30"/>
    <x v="1"/>
    <x v="1"/>
  </r>
  <r>
    <n v="7832770"/>
    <s v="MIGUEL"/>
    <s v="SALAS"/>
    <s v="VALENZUELA"/>
    <x v="3"/>
    <d v="1899-12-30T07:40:48"/>
    <s v="P20"/>
    <x v="0"/>
    <x v="30"/>
    <x v="30"/>
    <x v="1"/>
    <x v="1"/>
  </r>
  <r>
    <n v="7832770"/>
    <s v="MIGUEL"/>
    <s v="SALAS"/>
    <s v="VALENZUELA"/>
    <x v="3"/>
    <d v="1899-12-30T21:30:49"/>
    <s v="P10"/>
    <x v="1"/>
    <x v="30"/>
    <x v="30"/>
    <x v="1"/>
    <x v="1"/>
  </r>
  <r>
    <n v="7832770"/>
    <s v="MIGUEL"/>
    <s v="SALAS"/>
    <s v="VALENZUELA"/>
    <x v="4"/>
    <d v="1899-12-30T07:42:43"/>
    <s v="P20"/>
    <x v="0"/>
    <x v="30"/>
    <x v="30"/>
    <x v="1"/>
    <x v="1"/>
  </r>
  <r>
    <n v="7832770"/>
    <s v="MIGUEL"/>
    <s v="SALAS"/>
    <s v="VALENZUELA"/>
    <x v="4"/>
    <d v="1899-12-30T21:16:24"/>
    <s v="P10"/>
    <x v="1"/>
    <x v="30"/>
    <x v="30"/>
    <x v="1"/>
    <x v="1"/>
  </r>
  <r>
    <n v="7913597"/>
    <s v="JOSE"/>
    <s v="RAMIREZ"/>
    <s v="ROJAS"/>
    <x v="0"/>
    <d v="1899-12-30T22:44:58"/>
    <s v="P20"/>
    <x v="0"/>
    <x v="31"/>
    <x v="31"/>
    <x v="0"/>
    <x v="0"/>
  </r>
  <r>
    <n v="7913597"/>
    <s v="JOSE"/>
    <s v="RAMIREZ"/>
    <s v="ROJAS"/>
    <x v="0"/>
    <d v="1899-12-30T14:33:59"/>
    <s v="P10"/>
    <x v="1"/>
    <x v="31"/>
    <x v="31"/>
    <x v="0"/>
    <x v="0"/>
  </r>
  <r>
    <n v="7913597"/>
    <s v="JOSE"/>
    <s v="RAMIREZ"/>
    <s v="ROJAS"/>
    <x v="1"/>
    <d v="1899-12-30T22:43:48"/>
    <s v="P20"/>
    <x v="0"/>
    <x v="31"/>
    <x v="31"/>
    <x v="0"/>
    <x v="0"/>
  </r>
  <r>
    <n v="7913597"/>
    <s v="JOSE"/>
    <s v="RAMIREZ"/>
    <s v="ROJAS"/>
    <x v="1"/>
    <d v="1899-12-30T14:37:05"/>
    <s v="P10"/>
    <x v="1"/>
    <x v="31"/>
    <x v="31"/>
    <x v="0"/>
    <x v="0"/>
  </r>
  <r>
    <n v="7913597"/>
    <s v="JOSE"/>
    <s v="RAMIREZ"/>
    <s v="ROJAS"/>
    <x v="2"/>
    <d v="1899-12-30T22:44:32"/>
    <s v="P20"/>
    <x v="0"/>
    <x v="31"/>
    <x v="31"/>
    <x v="0"/>
    <x v="0"/>
  </r>
  <r>
    <n v="7913597"/>
    <s v="JOSE"/>
    <s v="RAMIREZ"/>
    <s v="ROJAS"/>
    <x v="2"/>
    <d v="1899-12-30T14:33:51"/>
    <s v="P10"/>
    <x v="1"/>
    <x v="31"/>
    <x v="31"/>
    <x v="0"/>
    <x v="0"/>
  </r>
  <r>
    <n v="7913597"/>
    <s v="JOSE"/>
    <s v="RAMIREZ"/>
    <s v="ROJAS"/>
    <x v="3"/>
    <d v="1899-12-30T22:41:00"/>
    <s v="P20"/>
    <x v="0"/>
    <x v="31"/>
    <x v="31"/>
    <x v="0"/>
    <x v="0"/>
  </r>
  <r>
    <n v="7913597"/>
    <s v="JOSE"/>
    <s v="RAMIREZ"/>
    <s v="ROJAS"/>
    <x v="3"/>
    <d v="1899-12-30T14:37:10"/>
    <s v="P10"/>
    <x v="1"/>
    <x v="31"/>
    <x v="31"/>
    <x v="0"/>
    <x v="0"/>
  </r>
  <r>
    <n v="7913597"/>
    <s v="JOSE"/>
    <s v="RAMIREZ"/>
    <s v="ROJAS"/>
    <x v="4"/>
    <d v="1899-12-30T22:42:31"/>
    <s v="P20"/>
    <x v="0"/>
    <x v="31"/>
    <x v="31"/>
    <x v="0"/>
    <x v="0"/>
  </r>
  <r>
    <n v="7913597"/>
    <s v="JOSE"/>
    <s v="RAMIREZ"/>
    <s v="ROJAS"/>
    <x v="4"/>
    <d v="1899-12-30T14:34:36"/>
    <s v="P10"/>
    <x v="1"/>
    <x v="31"/>
    <x v="31"/>
    <x v="0"/>
    <x v="0"/>
  </r>
  <r>
    <n v="7916907"/>
    <s v="MARCOS A"/>
    <s v="RUBIO"/>
    <s v="CASTRO"/>
    <x v="6"/>
    <d v="1899-12-30T23:47:03"/>
    <s v="P10"/>
    <x v="1"/>
    <x v="32"/>
    <x v="32"/>
    <x v="3"/>
    <x v="0"/>
  </r>
  <r>
    <n v="7916907"/>
    <s v="MARCOS A"/>
    <s v="RUBIO"/>
    <s v="CASTRO"/>
    <x v="2"/>
    <d v="1899-12-30T08:09:22"/>
    <s v="P20"/>
    <x v="0"/>
    <x v="32"/>
    <x v="32"/>
    <x v="3"/>
    <x v="0"/>
  </r>
  <r>
    <n v="7916907"/>
    <s v="MARCOS A"/>
    <s v="RUBIO"/>
    <s v="CASTRO"/>
    <x v="3"/>
    <d v="1899-12-30T18:52:52"/>
    <s v="P20"/>
    <x v="0"/>
    <x v="32"/>
    <x v="32"/>
    <x v="3"/>
    <x v="0"/>
  </r>
  <r>
    <n v="7916907"/>
    <s v="MARCOS A"/>
    <s v="RUBIO"/>
    <s v="CASTRO"/>
    <x v="3"/>
    <d v="1899-12-30T07:28:54"/>
    <s v="P10"/>
    <x v="1"/>
    <x v="32"/>
    <x v="32"/>
    <x v="3"/>
    <x v="0"/>
  </r>
  <r>
    <n v="7944613"/>
    <s v="MIGUEL ANGEL"/>
    <s v="DIAZ"/>
    <s v="CASTRO"/>
    <x v="0"/>
    <d v="1899-12-30T00:23:42"/>
    <s v="P20"/>
    <x v="0"/>
    <x v="33"/>
    <x v="33"/>
    <x v="0"/>
    <x v="0"/>
  </r>
  <r>
    <n v="7944613"/>
    <s v="MIGUEL ANGEL"/>
    <s v="DIAZ"/>
    <s v="CASTRO"/>
    <x v="0"/>
    <d v="1899-12-30T22:42:28"/>
    <s v="P20"/>
    <x v="0"/>
    <x v="33"/>
    <x v="33"/>
    <x v="0"/>
    <x v="0"/>
  </r>
  <r>
    <n v="7944613"/>
    <s v="MIGUEL ANGEL"/>
    <s v="DIAZ"/>
    <s v="CASTRO"/>
    <x v="0"/>
    <d v="1899-12-30T14:47:46"/>
    <s v="P10"/>
    <x v="1"/>
    <x v="33"/>
    <x v="33"/>
    <x v="0"/>
    <x v="0"/>
  </r>
  <r>
    <n v="7944613"/>
    <s v="MIGUEL ANGEL"/>
    <s v="DIAZ"/>
    <s v="CASTRO"/>
    <x v="1"/>
    <d v="1899-12-30T21:57:54"/>
    <s v="P20"/>
    <x v="0"/>
    <x v="33"/>
    <x v="33"/>
    <x v="0"/>
    <x v="0"/>
  </r>
  <r>
    <n v="7944613"/>
    <s v="MIGUEL ANGEL"/>
    <s v="DIAZ"/>
    <s v="CASTRO"/>
    <x v="1"/>
    <d v="1899-12-30T14:50:51"/>
    <s v="P10"/>
    <x v="1"/>
    <x v="33"/>
    <x v="33"/>
    <x v="0"/>
    <x v="0"/>
  </r>
  <r>
    <n v="7944613"/>
    <s v="MIGUEL ANGEL"/>
    <s v="DIAZ"/>
    <s v="CASTRO"/>
    <x v="2"/>
    <d v="1899-12-30T22:47:51"/>
    <s v="P20"/>
    <x v="0"/>
    <x v="33"/>
    <x v="33"/>
    <x v="0"/>
    <x v="0"/>
  </r>
  <r>
    <n v="7944613"/>
    <s v="MIGUEL ANGEL"/>
    <s v="DIAZ"/>
    <s v="CASTRO"/>
    <x v="2"/>
    <d v="1899-12-30T14:33:43"/>
    <s v="P10"/>
    <x v="1"/>
    <x v="33"/>
    <x v="33"/>
    <x v="0"/>
    <x v="0"/>
  </r>
  <r>
    <n v="7944613"/>
    <s v="MIGUEL ANGEL"/>
    <s v="DIAZ"/>
    <s v="CASTRO"/>
    <x v="3"/>
    <d v="1899-12-30T14:35:33"/>
    <s v="P10"/>
    <x v="1"/>
    <x v="33"/>
    <x v="33"/>
    <x v="0"/>
    <x v="0"/>
  </r>
  <r>
    <n v="7944613"/>
    <s v="MIGUEL ANGEL"/>
    <s v="DIAZ"/>
    <s v="CASTRO"/>
    <x v="4"/>
    <d v="1899-12-30T00:14:27"/>
    <s v="P20"/>
    <x v="0"/>
    <x v="33"/>
    <x v="33"/>
    <x v="0"/>
    <x v="0"/>
  </r>
  <r>
    <n v="7944613"/>
    <s v="MIGUEL ANGEL"/>
    <s v="DIAZ"/>
    <s v="CASTRO"/>
    <x v="4"/>
    <d v="1899-12-30T14:34:56"/>
    <s v="P10"/>
    <x v="1"/>
    <x v="33"/>
    <x v="33"/>
    <x v="0"/>
    <x v="0"/>
  </r>
  <r>
    <n v="7974375"/>
    <s v="WILSON"/>
    <s v="GARRIDO"/>
    <s v="ACEVEDO"/>
    <x v="0"/>
    <d v="1899-12-30T17:11:51"/>
    <s v="P20"/>
    <x v="0"/>
    <x v="34"/>
    <x v="34"/>
    <x v="3"/>
    <x v="0"/>
  </r>
  <r>
    <n v="7974375"/>
    <s v="WILSON"/>
    <s v="GARRIDO"/>
    <s v="ACEVEDO"/>
    <x v="0"/>
    <d v="1899-12-30T07:29:42"/>
    <s v="P10"/>
    <x v="1"/>
    <x v="34"/>
    <x v="34"/>
    <x v="3"/>
    <x v="0"/>
  </r>
  <r>
    <n v="7974375"/>
    <s v="WILSON"/>
    <s v="GARRIDO"/>
    <s v="ACEVEDO"/>
    <x v="1"/>
    <d v="1899-12-30T17:11:06"/>
    <s v="P20"/>
    <x v="0"/>
    <x v="34"/>
    <x v="34"/>
    <x v="3"/>
    <x v="0"/>
  </r>
  <r>
    <n v="7974375"/>
    <s v="WILSON"/>
    <s v="GARRIDO"/>
    <s v="ACEVEDO"/>
    <x v="1"/>
    <d v="1899-12-30T07:26:50"/>
    <s v="P10"/>
    <x v="1"/>
    <x v="34"/>
    <x v="34"/>
    <x v="3"/>
    <x v="0"/>
  </r>
  <r>
    <n v="7974375"/>
    <s v="WILSON"/>
    <s v="GARRIDO"/>
    <s v="ACEVEDO"/>
    <x v="2"/>
    <d v="1899-12-30T17:34:09"/>
    <s v="P20"/>
    <x v="0"/>
    <x v="34"/>
    <x v="34"/>
    <x v="3"/>
    <x v="0"/>
  </r>
  <r>
    <n v="7974375"/>
    <s v="WILSON"/>
    <s v="GARRIDO"/>
    <s v="ACEVEDO"/>
    <x v="2"/>
    <d v="1899-12-30T07:28:39"/>
    <s v="P10"/>
    <x v="1"/>
    <x v="34"/>
    <x v="34"/>
    <x v="3"/>
    <x v="0"/>
  </r>
  <r>
    <n v="7974375"/>
    <s v="WILSON"/>
    <s v="GARRIDO"/>
    <s v="ACEVEDO"/>
    <x v="3"/>
    <d v="1899-12-30T17:40:14"/>
    <s v="P20"/>
    <x v="0"/>
    <x v="34"/>
    <x v="34"/>
    <x v="3"/>
    <x v="0"/>
  </r>
  <r>
    <n v="7974375"/>
    <s v="WILSON"/>
    <s v="GARRIDO"/>
    <s v="ACEVEDO"/>
    <x v="3"/>
    <d v="1899-12-30T07:30:57"/>
    <s v="P10"/>
    <x v="1"/>
    <x v="34"/>
    <x v="34"/>
    <x v="3"/>
    <x v="0"/>
  </r>
  <r>
    <n v="7974375"/>
    <s v="WILSON"/>
    <s v="GARRIDO"/>
    <s v="ACEVEDO"/>
    <x v="4"/>
    <d v="1899-12-30T17:12:41"/>
    <s v="P20"/>
    <x v="0"/>
    <x v="34"/>
    <x v="34"/>
    <x v="3"/>
    <x v="0"/>
  </r>
  <r>
    <n v="7974375"/>
    <s v="WILSON"/>
    <s v="GARRIDO"/>
    <s v="ACEVEDO"/>
    <x v="4"/>
    <d v="1899-12-30T07:24:45"/>
    <s v="P10"/>
    <x v="1"/>
    <x v="34"/>
    <x v="34"/>
    <x v="3"/>
    <x v="0"/>
  </r>
  <r>
    <n v="7975267"/>
    <s v="GLORIA"/>
    <s v="GONZALEZ"/>
    <s v="MASIAS"/>
    <x v="0"/>
    <d v="1899-12-30T15:16:48"/>
    <s v="P20"/>
    <x v="0"/>
    <x v="35"/>
    <x v="35"/>
    <x v="3"/>
    <x v="0"/>
  </r>
  <r>
    <n v="7975267"/>
    <s v="GLORIA"/>
    <s v="GONZALEZ"/>
    <s v="MASIAS"/>
    <x v="0"/>
    <d v="1899-12-30T06:59:05"/>
    <s v="P10"/>
    <x v="1"/>
    <x v="35"/>
    <x v="35"/>
    <x v="3"/>
    <x v="0"/>
  </r>
  <r>
    <n v="7975267"/>
    <s v="GLORIA"/>
    <s v="GONZALEZ"/>
    <s v="MASIAS"/>
    <x v="1"/>
    <d v="1899-12-30T15:20:23"/>
    <s v="P20"/>
    <x v="0"/>
    <x v="35"/>
    <x v="35"/>
    <x v="3"/>
    <x v="0"/>
  </r>
  <r>
    <n v="7975267"/>
    <s v="GLORIA"/>
    <s v="GONZALEZ"/>
    <s v="MASIAS"/>
    <x v="1"/>
    <d v="1899-12-30T06:57:12"/>
    <s v="P10"/>
    <x v="1"/>
    <x v="35"/>
    <x v="35"/>
    <x v="3"/>
    <x v="0"/>
  </r>
  <r>
    <n v="7975267"/>
    <s v="GLORIA"/>
    <s v="GONZALEZ"/>
    <s v="MASIAS"/>
    <x v="2"/>
    <d v="1899-12-30T15:20:24"/>
    <s v="P20"/>
    <x v="0"/>
    <x v="35"/>
    <x v="35"/>
    <x v="3"/>
    <x v="0"/>
  </r>
  <r>
    <n v="7975267"/>
    <s v="GLORIA"/>
    <s v="GONZALEZ"/>
    <s v="MASIAS"/>
    <x v="2"/>
    <d v="1899-12-30T06:56:57"/>
    <s v="P10"/>
    <x v="1"/>
    <x v="35"/>
    <x v="35"/>
    <x v="3"/>
    <x v="0"/>
  </r>
  <r>
    <n v="7975267"/>
    <s v="GLORIA"/>
    <s v="GONZALEZ"/>
    <s v="MASIAS"/>
    <x v="3"/>
    <d v="1899-12-30T15:17:25"/>
    <s v="P20"/>
    <x v="0"/>
    <x v="35"/>
    <x v="35"/>
    <x v="3"/>
    <x v="0"/>
  </r>
  <r>
    <n v="7975267"/>
    <s v="GLORIA"/>
    <s v="GONZALEZ"/>
    <s v="MASIAS"/>
    <x v="3"/>
    <d v="1899-12-30T06:55:21"/>
    <s v="P10"/>
    <x v="1"/>
    <x v="35"/>
    <x v="35"/>
    <x v="3"/>
    <x v="0"/>
  </r>
  <r>
    <n v="7975267"/>
    <s v="GLORIA"/>
    <s v="GONZALEZ"/>
    <s v="MASIAS"/>
    <x v="4"/>
    <d v="1899-12-30T15:19:24"/>
    <s v="P20"/>
    <x v="0"/>
    <x v="35"/>
    <x v="35"/>
    <x v="3"/>
    <x v="0"/>
  </r>
  <r>
    <n v="7975267"/>
    <s v="GLORIA"/>
    <s v="GONZALEZ"/>
    <s v="MASIAS"/>
    <x v="4"/>
    <d v="1899-12-30T06:59:24"/>
    <s v="P10"/>
    <x v="1"/>
    <x v="35"/>
    <x v="35"/>
    <x v="3"/>
    <x v="0"/>
  </r>
  <r>
    <n v="8025043"/>
    <s v="RAUL"/>
    <s v="LEIVA"/>
    <s v="CASTILLO"/>
    <x v="0"/>
    <d v="1899-12-30T07:51:01"/>
    <s v="P20"/>
    <x v="0"/>
    <x v="36"/>
    <x v="36"/>
    <x v="1"/>
    <x v="1"/>
  </r>
  <r>
    <n v="8025043"/>
    <s v="RAUL"/>
    <s v="LEIVA"/>
    <s v="CASTILLO"/>
    <x v="0"/>
    <d v="1899-12-30T22:03:00"/>
    <s v="P10"/>
    <x v="1"/>
    <x v="36"/>
    <x v="36"/>
    <x v="1"/>
    <x v="1"/>
  </r>
  <r>
    <n v="8025043"/>
    <s v="RAUL"/>
    <s v="LEIVA"/>
    <s v="CASTILLO"/>
    <x v="1"/>
    <d v="1899-12-30T07:47:31"/>
    <s v="P20"/>
    <x v="0"/>
    <x v="36"/>
    <x v="36"/>
    <x v="1"/>
    <x v="1"/>
  </r>
  <r>
    <n v="8025043"/>
    <s v="RAUL"/>
    <s v="LEIVA"/>
    <s v="CASTILLO"/>
    <x v="2"/>
    <d v="1899-12-30T22:03:24"/>
    <s v="P10"/>
    <x v="1"/>
    <x v="36"/>
    <x v="36"/>
    <x v="1"/>
    <x v="1"/>
  </r>
  <r>
    <n v="8025043"/>
    <s v="RAUL"/>
    <s v="LEIVA"/>
    <s v="CASTILLO"/>
    <x v="3"/>
    <d v="1899-12-30T07:46:20"/>
    <s v="P20"/>
    <x v="0"/>
    <x v="36"/>
    <x v="36"/>
    <x v="1"/>
    <x v="1"/>
  </r>
  <r>
    <n v="8025043"/>
    <s v="RAUL"/>
    <s v="LEIVA"/>
    <s v="CASTILLO"/>
    <x v="3"/>
    <d v="1899-12-30T22:02:58"/>
    <s v="P10"/>
    <x v="1"/>
    <x v="36"/>
    <x v="36"/>
    <x v="1"/>
    <x v="1"/>
  </r>
  <r>
    <n v="8025043"/>
    <s v="RAUL"/>
    <s v="LEIVA"/>
    <s v="CASTILLO"/>
    <x v="4"/>
    <d v="1899-12-30T07:50:42"/>
    <s v="P20"/>
    <x v="0"/>
    <x v="36"/>
    <x v="36"/>
    <x v="1"/>
    <x v="1"/>
  </r>
  <r>
    <n v="8025043"/>
    <s v="RAUL"/>
    <s v="LEIVA"/>
    <s v="CASTILLO"/>
    <x v="4"/>
    <d v="1899-12-30T22:02:07"/>
    <s v="P10"/>
    <x v="1"/>
    <x v="36"/>
    <x v="36"/>
    <x v="1"/>
    <x v="1"/>
  </r>
  <r>
    <n v="8085825"/>
    <s v="ACISCLO ANTONIO"/>
    <s v="SANHUEZA"/>
    <s v="CUBILLOS"/>
    <x v="0"/>
    <d v="1899-12-30T15:19:43"/>
    <s v="P20"/>
    <x v="0"/>
    <x v="37"/>
    <x v="37"/>
    <x v="3"/>
    <x v="0"/>
  </r>
  <r>
    <n v="8085825"/>
    <s v="ACISCLO ANTONIO"/>
    <s v="SANHUEZA"/>
    <s v="CUBILLOS"/>
    <x v="0"/>
    <d v="1899-12-30T07:04:24"/>
    <s v="P10"/>
    <x v="1"/>
    <x v="37"/>
    <x v="37"/>
    <x v="3"/>
    <x v="0"/>
  </r>
  <r>
    <n v="8085825"/>
    <s v="ACISCLO ANTONIO"/>
    <s v="SANHUEZA"/>
    <s v="CUBILLOS"/>
    <x v="1"/>
    <d v="1899-12-30T15:21:45"/>
    <s v="P20"/>
    <x v="0"/>
    <x v="37"/>
    <x v="37"/>
    <x v="3"/>
    <x v="0"/>
  </r>
  <r>
    <n v="8085825"/>
    <s v="ACISCLO ANTONIO"/>
    <s v="SANHUEZA"/>
    <s v="CUBILLOS"/>
    <x v="1"/>
    <d v="1899-12-30T07:03:34"/>
    <s v="P10"/>
    <x v="1"/>
    <x v="37"/>
    <x v="37"/>
    <x v="3"/>
    <x v="0"/>
  </r>
  <r>
    <n v="8085825"/>
    <s v="ACISCLO ANTONIO"/>
    <s v="SANHUEZA"/>
    <s v="CUBILLOS"/>
    <x v="2"/>
    <d v="1899-12-30T15:17:24"/>
    <s v="P20"/>
    <x v="0"/>
    <x v="37"/>
    <x v="37"/>
    <x v="3"/>
    <x v="0"/>
  </r>
  <r>
    <n v="8085825"/>
    <s v="ACISCLO ANTONIO"/>
    <s v="SANHUEZA"/>
    <s v="CUBILLOS"/>
    <x v="2"/>
    <d v="1899-12-30T07:05:14"/>
    <s v="P10"/>
    <x v="1"/>
    <x v="37"/>
    <x v="37"/>
    <x v="3"/>
    <x v="0"/>
  </r>
  <r>
    <n v="8085825"/>
    <s v="ACISCLO ANTONIO"/>
    <s v="SANHUEZA"/>
    <s v="CUBILLOS"/>
    <x v="3"/>
    <d v="1899-12-30T15:14:45"/>
    <s v="P20"/>
    <x v="0"/>
    <x v="37"/>
    <x v="37"/>
    <x v="3"/>
    <x v="0"/>
  </r>
  <r>
    <n v="8085825"/>
    <s v="ACISCLO ANTONIO"/>
    <s v="SANHUEZA"/>
    <s v="CUBILLOS"/>
    <x v="3"/>
    <d v="1899-12-30T07:05:27"/>
    <s v="P10"/>
    <x v="1"/>
    <x v="37"/>
    <x v="37"/>
    <x v="3"/>
    <x v="0"/>
  </r>
  <r>
    <n v="8085825"/>
    <s v="ACISCLO ANTONIO"/>
    <s v="SANHUEZA"/>
    <s v="CUBILLOS"/>
    <x v="4"/>
    <d v="1899-12-30T15:17:37"/>
    <s v="P20"/>
    <x v="0"/>
    <x v="37"/>
    <x v="37"/>
    <x v="3"/>
    <x v="0"/>
  </r>
  <r>
    <n v="8085825"/>
    <s v="ACISCLO ANTONIO"/>
    <s v="SANHUEZA"/>
    <s v="CUBILLOS"/>
    <x v="4"/>
    <d v="1899-12-30T07:04:20"/>
    <s v="P10"/>
    <x v="1"/>
    <x v="37"/>
    <x v="37"/>
    <x v="3"/>
    <x v="0"/>
  </r>
  <r>
    <n v="8110698"/>
    <s v="XIMENA DEL ROSARIO"/>
    <s v="GUZMAN"/>
    <s v="CASTAÑEDA"/>
    <x v="0"/>
    <d v="1899-12-30T19:32:56"/>
    <s v="P20"/>
    <x v="0"/>
    <x v="38"/>
    <x v="38"/>
    <x v="2"/>
    <x v="2"/>
  </r>
  <r>
    <n v="8110698"/>
    <s v="XIMENA DEL ROSARIO"/>
    <s v="GUZMAN"/>
    <s v="CASTAÑEDA"/>
    <x v="0"/>
    <d v="1899-12-30T07:20:40"/>
    <s v="P10"/>
    <x v="1"/>
    <x v="38"/>
    <x v="38"/>
    <x v="3"/>
    <x v="0"/>
  </r>
  <r>
    <n v="8110698"/>
    <s v="XIMENA DEL ROSARIO"/>
    <s v="GUZMAN"/>
    <s v="CASTAÑEDA"/>
    <x v="1"/>
    <d v="1899-12-30T19:16:49"/>
    <s v="P20"/>
    <x v="0"/>
    <x v="38"/>
    <x v="38"/>
    <x v="3"/>
    <x v="0"/>
  </r>
  <r>
    <n v="8110698"/>
    <s v="XIMENA DEL ROSARIO"/>
    <s v="GUZMAN"/>
    <s v="CASTAÑEDA"/>
    <x v="1"/>
    <d v="1899-12-30T07:04:09"/>
    <s v="P10"/>
    <x v="1"/>
    <x v="38"/>
    <x v="38"/>
    <x v="3"/>
    <x v="0"/>
  </r>
  <r>
    <n v="8110698"/>
    <s v="XIMENA DEL ROSARIO"/>
    <s v="GUZMAN"/>
    <s v="CASTAÑEDA"/>
    <x v="2"/>
    <d v="1899-12-30T19:20:33"/>
    <s v="P20"/>
    <x v="0"/>
    <x v="38"/>
    <x v="38"/>
    <x v="3"/>
    <x v="0"/>
  </r>
  <r>
    <n v="8110698"/>
    <s v="XIMENA DEL ROSARIO"/>
    <s v="GUZMAN"/>
    <s v="CASTAÑEDA"/>
    <x v="2"/>
    <d v="1899-12-30T07:01:25"/>
    <s v="P10"/>
    <x v="1"/>
    <x v="38"/>
    <x v="38"/>
    <x v="3"/>
    <x v="0"/>
  </r>
  <r>
    <n v="8110698"/>
    <s v="XIMENA DEL ROSARIO"/>
    <s v="GUZMAN"/>
    <s v="CASTAÑEDA"/>
    <x v="3"/>
    <d v="1899-12-30T15:17:41"/>
    <s v="P20"/>
    <x v="0"/>
    <x v="38"/>
    <x v="38"/>
    <x v="3"/>
    <x v="0"/>
  </r>
  <r>
    <n v="8110698"/>
    <s v="XIMENA DEL ROSARIO"/>
    <s v="GUZMAN"/>
    <s v="CASTAÑEDA"/>
    <x v="3"/>
    <d v="1899-12-30T07:09:36"/>
    <s v="P10"/>
    <x v="1"/>
    <x v="38"/>
    <x v="38"/>
    <x v="3"/>
    <x v="0"/>
  </r>
  <r>
    <n v="8110698"/>
    <s v="XIMENA DEL ROSARIO"/>
    <s v="GUZMAN"/>
    <s v="CASTAÑEDA"/>
    <x v="4"/>
    <d v="1899-12-30T19:25:02"/>
    <s v="P20"/>
    <x v="0"/>
    <x v="38"/>
    <x v="38"/>
    <x v="3"/>
    <x v="0"/>
  </r>
  <r>
    <n v="8110698"/>
    <s v="XIMENA DEL ROSARIO"/>
    <s v="GUZMAN"/>
    <s v="CASTAÑEDA"/>
    <x v="4"/>
    <d v="1899-12-30T07:06:17"/>
    <s v="P10"/>
    <x v="1"/>
    <x v="38"/>
    <x v="38"/>
    <x v="3"/>
    <x v="0"/>
  </r>
  <r>
    <n v="8161344"/>
    <s v="ELIANA RITA"/>
    <s v="ESTRADA"/>
    <s v="ESTRADA"/>
    <x v="0"/>
    <d v="1899-12-30T22:40:02"/>
    <s v="P20"/>
    <x v="0"/>
    <x v="39"/>
    <x v="39"/>
    <x v="0"/>
    <x v="0"/>
  </r>
  <r>
    <n v="8161344"/>
    <s v="ELIANA RITA"/>
    <s v="ESTRADA"/>
    <s v="ESTRADA"/>
    <x v="0"/>
    <d v="1899-12-30T14:21:18"/>
    <s v="P10"/>
    <x v="1"/>
    <x v="39"/>
    <x v="39"/>
    <x v="0"/>
    <x v="0"/>
  </r>
  <r>
    <n v="8161344"/>
    <s v="ELIANA RITA"/>
    <s v="ESTRADA"/>
    <s v="ESTRADA"/>
    <x v="1"/>
    <d v="1899-12-30T22:37:05"/>
    <s v="P20"/>
    <x v="0"/>
    <x v="39"/>
    <x v="39"/>
    <x v="0"/>
    <x v="0"/>
  </r>
  <r>
    <n v="8161344"/>
    <s v="ELIANA RITA"/>
    <s v="ESTRADA"/>
    <s v="ESTRADA"/>
    <x v="1"/>
    <d v="1899-12-30T14:35:23"/>
    <s v="P10"/>
    <x v="1"/>
    <x v="39"/>
    <x v="39"/>
    <x v="0"/>
    <x v="0"/>
  </r>
  <r>
    <n v="8161344"/>
    <s v="ELIANA RITA"/>
    <s v="ESTRADA"/>
    <s v="ESTRADA"/>
    <x v="2"/>
    <d v="1899-12-30T22:44:22"/>
    <s v="P20"/>
    <x v="0"/>
    <x v="39"/>
    <x v="39"/>
    <x v="0"/>
    <x v="0"/>
  </r>
  <r>
    <n v="8161344"/>
    <s v="ELIANA RITA"/>
    <s v="ESTRADA"/>
    <s v="ESTRADA"/>
    <x v="2"/>
    <d v="1899-12-30T14:34:33"/>
    <s v="P10"/>
    <x v="1"/>
    <x v="39"/>
    <x v="39"/>
    <x v="0"/>
    <x v="0"/>
  </r>
  <r>
    <n v="8161344"/>
    <s v="ELIANA RITA"/>
    <s v="ESTRADA"/>
    <s v="ESTRADA"/>
    <x v="3"/>
    <d v="1899-12-30T22:43:17"/>
    <s v="P20"/>
    <x v="0"/>
    <x v="39"/>
    <x v="39"/>
    <x v="0"/>
    <x v="0"/>
  </r>
  <r>
    <n v="8161344"/>
    <s v="ELIANA RITA"/>
    <s v="ESTRADA"/>
    <s v="ESTRADA"/>
    <x v="3"/>
    <d v="1899-12-30T14:38:53"/>
    <s v="P10"/>
    <x v="1"/>
    <x v="39"/>
    <x v="39"/>
    <x v="0"/>
    <x v="0"/>
  </r>
  <r>
    <n v="8161344"/>
    <s v="ELIANA RITA"/>
    <s v="ESTRADA"/>
    <s v="ESTRADA"/>
    <x v="4"/>
    <d v="1899-12-30T22:41:24"/>
    <s v="P20"/>
    <x v="0"/>
    <x v="39"/>
    <x v="39"/>
    <x v="0"/>
    <x v="0"/>
  </r>
  <r>
    <n v="8161344"/>
    <s v="ELIANA RITA"/>
    <s v="ESTRADA"/>
    <s v="ESTRADA"/>
    <x v="4"/>
    <d v="1899-12-30T14:36:40"/>
    <s v="P10"/>
    <x v="1"/>
    <x v="39"/>
    <x v="39"/>
    <x v="0"/>
    <x v="0"/>
  </r>
  <r>
    <n v="8224093"/>
    <s v="MARIO DEL TRANSITO"/>
    <s v="ACEVEDO"/>
    <s v="MARTINEZ"/>
    <x v="0"/>
    <d v="1899-12-30T22:30:02"/>
    <s v="P20"/>
    <x v="0"/>
    <x v="40"/>
    <x v="40"/>
    <x v="0"/>
    <x v="0"/>
  </r>
  <r>
    <n v="8224093"/>
    <s v="MARIO DEL TRANSITO"/>
    <s v="ACEVEDO"/>
    <s v="MARTINEZ"/>
    <x v="0"/>
    <d v="1899-12-30T14:47:57"/>
    <s v="P10"/>
    <x v="1"/>
    <x v="40"/>
    <x v="40"/>
    <x v="0"/>
    <x v="0"/>
  </r>
  <r>
    <n v="8224093"/>
    <s v="MARIO DEL TRANSITO"/>
    <s v="ACEVEDO"/>
    <s v="MARTINEZ"/>
    <x v="1"/>
    <d v="1899-12-30T20:32:56"/>
    <s v="P20"/>
    <x v="0"/>
    <x v="40"/>
    <x v="40"/>
    <x v="0"/>
    <x v="0"/>
  </r>
  <r>
    <n v="8224093"/>
    <s v="MARIO DEL TRANSITO"/>
    <s v="ACEVEDO"/>
    <s v="MARTINEZ"/>
    <x v="1"/>
    <d v="1899-12-30T14:39:54"/>
    <s v="P10"/>
    <x v="1"/>
    <x v="40"/>
    <x v="40"/>
    <x v="0"/>
    <x v="0"/>
  </r>
  <r>
    <n v="8224093"/>
    <s v="MARIO DEL TRANSITO"/>
    <s v="ACEVEDO"/>
    <s v="MARTINEZ"/>
    <x v="2"/>
    <d v="1899-12-30T22:34:43"/>
    <s v="P20"/>
    <x v="0"/>
    <x v="40"/>
    <x v="40"/>
    <x v="0"/>
    <x v="0"/>
  </r>
  <r>
    <n v="8224093"/>
    <s v="MARIO DEL TRANSITO"/>
    <s v="ACEVEDO"/>
    <s v="MARTINEZ"/>
    <x v="2"/>
    <d v="1899-12-30T14:33:39"/>
    <s v="P10"/>
    <x v="1"/>
    <x v="40"/>
    <x v="40"/>
    <x v="0"/>
    <x v="0"/>
  </r>
  <r>
    <n v="8224093"/>
    <s v="MARIO DEL TRANSITO"/>
    <s v="ACEVEDO"/>
    <s v="MARTINEZ"/>
    <x v="3"/>
    <d v="1899-12-30T22:27:37"/>
    <s v="P20"/>
    <x v="0"/>
    <x v="40"/>
    <x v="40"/>
    <x v="0"/>
    <x v="0"/>
  </r>
  <r>
    <n v="8224093"/>
    <s v="MARIO DEL TRANSITO"/>
    <s v="ACEVEDO"/>
    <s v="MARTINEZ"/>
    <x v="3"/>
    <d v="1899-12-30T14:37:41"/>
    <s v="P10"/>
    <x v="1"/>
    <x v="40"/>
    <x v="40"/>
    <x v="0"/>
    <x v="0"/>
  </r>
  <r>
    <n v="8224093"/>
    <s v="MARIO DEL TRANSITO"/>
    <s v="ACEVEDO"/>
    <s v="MARTINEZ"/>
    <x v="4"/>
    <d v="1899-12-30T22:00:13"/>
    <s v="P20"/>
    <x v="0"/>
    <x v="40"/>
    <x v="40"/>
    <x v="0"/>
    <x v="0"/>
  </r>
  <r>
    <n v="8224093"/>
    <s v="MARIO DEL TRANSITO"/>
    <s v="ACEVEDO"/>
    <s v="MARTINEZ"/>
    <x v="4"/>
    <d v="1899-12-30T14:58:27"/>
    <s v="P10"/>
    <x v="1"/>
    <x v="40"/>
    <x v="40"/>
    <x v="0"/>
    <x v="0"/>
  </r>
  <r>
    <n v="8245727"/>
    <s v="JUAN"/>
    <s v="SALINAS"/>
    <s v="CUEVAS"/>
    <x v="0"/>
    <d v="1899-12-30T22:47:52"/>
    <s v="P20"/>
    <x v="0"/>
    <x v="41"/>
    <x v="41"/>
    <x v="0"/>
    <x v="0"/>
  </r>
  <r>
    <n v="8245727"/>
    <s v="JUAN"/>
    <s v="SALINAS"/>
    <s v="CUEVAS"/>
    <x v="0"/>
    <d v="1899-12-30T14:35:50"/>
    <s v="P10"/>
    <x v="1"/>
    <x v="41"/>
    <x v="41"/>
    <x v="0"/>
    <x v="0"/>
  </r>
  <r>
    <n v="8245727"/>
    <s v="JUAN"/>
    <s v="SALINAS"/>
    <s v="CUEVAS"/>
    <x v="1"/>
    <d v="1899-12-30T22:51:32"/>
    <s v="P20"/>
    <x v="0"/>
    <x v="41"/>
    <x v="41"/>
    <x v="0"/>
    <x v="0"/>
  </r>
  <r>
    <n v="8245727"/>
    <s v="JUAN"/>
    <s v="SALINAS"/>
    <s v="CUEVAS"/>
    <x v="1"/>
    <d v="1899-12-30T14:41:45"/>
    <s v="P10"/>
    <x v="1"/>
    <x v="41"/>
    <x v="41"/>
    <x v="0"/>
    <x v="0"/>
  </r>
  <r>
    <n v="8245727"/>
    <s v="JUAN"/>
    <s v="SALINAS"/>
    <s v="CUEVAS"/>
    <x v="2"/>
    <d v="1899-12-30T22:50:05"/>
    <s v="P20"/>
    <x v="0"/>
    <x v="41"/>
    <x v="41"/>
    <x v="0"/>
    <x v="0"/>
  </r>
  <r>
    <n v="8245727"/>
    <s v="JUAN"/>
    <s v="SALINAS"/>
    <s v="CUEVAS"/>
    <x v="2"/>
    <d v="1899-12-30T14:32:01"/>
    <s v="P10"/>
    <x v="1"/>
    <x v="41"/>
    <x v="41"/>
    <x v="0"/>
    <x v="0"/>
  </r>
  <r>
    <n v="8245727"/>
    <s v="JUAN"/>
    <s v="SALINAS"/>
    <s v="CUEVAS"/>
    <x v="3"/>
    <d v="1899-12-30T22:48:42"/>
    <s v="P20"/>
    <x v="0"/>
    <x v="41"/>
    <x v="41"/>
    <x v="0"/>
    <x v="0"/>
  </r>
  <r>
    <n v="8245727"/>
    <s v="JUAN"/>
    <s v="SALINAS"/>
    <s v="CUEVAS"/>
    <x v="3"/>
    <d v="1899-12-30T14:33:34"/>
    <s v="P10"/>
    <x v="1"/>
    <x v="41"/>
    <x v="41"/>
    <x v="0"/>
    <x v="0"/>
  </r>
  <r>
    <n v="8245727"/>
    <s v="JUAN"/>
    <s v="SALINAS"/>
    <s v="CUEVAS"/>
    <x v="4"/>
    <d v="1899-12-30T22:50:52"/>
    <s v="P20"/>
    <x v="0"/>
    <x v="41"/>
    <x v="41"/>
    <x v="0"/>
    <x v="0"/>
  </r>
  <r>
    <n v="8245727"/>
    <s v="JUAN"/>
    <s v="SALINAS"/>
    <s v="CUEVAS"/>
    <x v="4"/>
    <d v="1899-12-30T14:33:43"/>
    <s v="P10"/>
    <x v="1"/>
    <x v="41"/>
    <x v="41"/>
    <x v="0"/>
    <x v="0"/>
  </r>
  <r>
    <n v="8247677"/>
    <s v="HUMBERTO GERMAN"/>
    <s v="ESCOBAR"/>
    <s v="GUTIERREZ"/>
    <x v="0"/>
    <d v="1899-12-30T22:47:37"/>
    <s v="P20"/>
    <x v="0"/>
    <x v="42"/>
    <x v="42"/>
    <x v="0"/>
    <x v="0"/>
  </r>
  <r>
    <n v="8247677"/>
    <s v="HUMBERTO GERMAN"/>
    <s v="ESCOBAR"/>
    <s v="GUTIERREZ"/>
    <x v="0"/>
    <d v="1899-12-30T14:35:59"/>
    <s v="P10"/>
    <x v="1"/>
    <x v="42"/>
    <x v="42"/>
    <x v="0"/>
    <x v="0"/>
  </r>
  <r>
    <n v="8247677"/>
    <s v="HUMBERTO GERMAN"/>
    <s v="ESCOBAR"/>
    <s v="GUTIERREZ"/>
    <x v="1"/>
    <d v="1899-12-30T22:47:50"/>
    <s v="P20"/>
    <x v="0"/>
    <x v="42"/>
    <x v="42"/>
    <x v="0"/>
    <x v="0"/>
  </r>
  <r>
    <n v="8247677"/>
    <s v="HUMBERTO GERMAN"/>
    <s v="ESCOBAR"/>
    <s v="GUTIERREZ"/>
    <x v="1"/>
    <d v="1899-12-30T14:42:01"/>
    <s v="P10"/>
    <x v="1"/>
    <x v="42"/>
    <x v="42"/>
    <x v="0"/>
    <x v="0"/>
  </r>
  <r>
    <n v="8247677"/>
    <s v="HUMBERTO GERMAN"/>
    <s v="ESCOBAR"/>
    <s v="GUTIERREZ"/>
    <x v="2"/>
    <d v="1899-12-30T22:44:54"/>
    <s v="P20"/>
    <x v="0"/>
    <x v="42"/>
    <x v="42"/>
    <x v="0"/>
    <x v="0"/>
  </r>
  <r>
    <n v="8247677"/>
    <s v="HUMBERTO GERMAN"/>
    <s v="ESCOBAR"/>
    <s v="GUTIERREZ"/>
    <x v="2"/>
    <d v="1899-12-30T14:32:12"/>
    <s v="P10"/>
    <x v="1"/>
    <x v="42"/>
    <x v="42"/>
    <x v="0"/>
    <x v="0"/>
  </r>
  <r>
    <n v="8247677"/>
    <s v="HUMBERTO GERMAN"/>
    <s v="ESCOBAR"/>
    <s v="GUTIERREZ"/>
    <x v="3"/>
    <d v="1899-12-30T22:47:49"/>
    <s v="P20"/>
    <x v="0"/>
    <x v="42"/>
    <x v="42"/>
    <x v="0"/>
    <x v="0"/>
  </r>
  <r>
    <n v="8247677"/>
    <s v="HUMBERTO GERMAN"/>
    <s v="ESCOBAR"/>
    <s v="GUTIERREZ"/>
    <x v="3"/>
    <d v="1899-12-30T14:33:46"/>
    <s v="P10"/>
    <x v="1"/>
    <x v="42"/>
    <x v="42"/>
    <x v="0"/>
    <x v="0"/>
  </r>
  <r>
    <n v="8247677"/>
    <s v="HUMBERTO GERMAN"/>
    <s v="ESCOBAR"/>
    <s v="GUTIERREZ"/>
    <x v="4"/>
    <d v="1899-12-30T22:45:44"/>
    <s v="P20"/>
    <x v="0"/>
    <x v="42"/>
    <x v="42"/>
    <x v="0"/>
    <x v="0"/>
  </r>
  <r>
    <n v="8247677"/>
    <s v="HUMBERTO GERMAN"/>
    <s v="ESCOBAR"/>
    <s v="GUTIERREZ"/>
    <x v="4"/>
    <d v="1899-12-30T14:33:58"/>
    <s v="P10"/>
    <x v="1"/>
    <x v="42"/>
    <x v="42"/>
    <x v="0"/>
    <x v="0"/>
  </r>
  <r>
    <n v="8272509"/>
    <s v="JORGE MANUEL"/>
    <s v="OSORIO"/>
    <s v="OSORIO"/>
    <x v="0"/>
    <d v="1899-12-30T22:46:14"/>
    <s v="P20"/>
    <x v="0"/>
    <x v="43"/>
    <x v="43"/>
    <x v="0"/>
    <x v="0"/>
  </r>
  <r>
    <n v="8272509"/>
    <s v="JORGE MANUEL"/>
    <s v="OSORIO"/>
    <s v="OSORIO"/>
    <x v="0"/>
    <d v="1899-12-30T14:34:12"/>
    <s v="P10"/>
    <x v="1"/>
    <x v="43"/>
    <x v="43"/>
    <x v="0"/>
    <x v="0"/>
  </r>
  <r>
    <n v="8272509"/>
    <s v="JORGE MANUEL"/>
    <s v="OSORIO"/>
    <s v="OSORIO"/>
    <x v="1"/>
    <d v="1899-12-30T22:54:24"/>
    <s v="P20"/>
    <x v="0"/>
    <x v="43"/>
    <x v="43"/>
    <x v="0"/>
    <x v="0"/>
  </r>
  <r>
    <n v="8272509"/>
    <s v="JORGE MANUEL"/>
    <s v="OSORIO"/>
    <s v="OSORIO"/>
    <x v="1"/>
    <d v="1899-12-30T14:37:10"/>
    <s v="P10"/>
    <x v="1"/>
    <x v="43"/>
    <x v="43"/>
    <x v="0"/>
    <x v="0"/>
  </r>
  <r>
    <n v="8272509"/>
    <s v="JORGE MANUEL"/>
    <s v="OSORIO"/>
    <s v="OSORIO"/>
    <x v="2"/>
    <d v="1899-12-30T22:46:56"/>
    <s v="P20"/>
    <x v="0"/>
    <x v="43"/>
    <x v="43"/>
    <x v="0"/>
    <x v="0"/>
  </r>
  <r>
    <n v="8272509"/>
    <s v="JORGE MANUEL"/>
    <s v="OSORIO"/>
    <s v="OSORIO"/>
    <x v="2"/>
    <d v="1899-12-30T14:33:58"/>
    <s v="P10"/>
    <x v="1"/>
    <x v="43"/>
    <x v="43"/>
    <x v="0"/>
    <x v="0"/>
  </r>
  <r>
    <n v="8272509"/>
    <s v="JORGE MANUEL"/>
    <s v="OSORIO"/>
    <s v="OSORIO"/>
    <x v="3"/>
    <d v="1899-12-30T22:49:22"/>
    <s v="P20"/>
    <x v="0"/>
    <x v="43"/>
    <x v="43"/>
    <x v="0"/>
    <x v="0"/>
  </r>
  <r>
    <n v="8272509"/>
    <s v="JORGE MANUEL"/>
    <s v="OSORIO"/>
    <s v="OSORIO"/>
    <x v="3"/>
    <d v="1899-12-30T14:37:26"/>
    <s v="P10"/>
    <x v="1"/>
    <x v="43"/>
    <x v="43"/>
    <x v="0"/>
    <x v="0"/>
  </r>
  <r>
    <n v="8272509"/>
    <s v="JORGE MANUEL"/>
    <s v="OSORIO"/>
    <s v="OSORIO"/>
    <x v="4"/>
    <d v="1899-12-30T22:48:40"/>
    <s v="P20"/>
    <x v="0"/>
    <x v="43"/>
    <x v="43"/>
    <x v="0"/>
    <x v="0"/>
  </r>
  <r>
    <n v="8272509"/>
    <s v="JORGE MANUEL"/>
    <s v="OSORIO"/>
    <s v="OSORIO"/>
    <x v="4"/>
    <d v="1899-12-30T14:34:40"/>
    <s v="P10"/>
    <x v="1"/>
    <x v="43"/>
    <x v="43"/>
    <x v="0"/>
    <x v="0"/>
  </r>
  <r>
    <n v="8283277"/>
    <s v="LEONARDO ALFREDO"/>
    <s v="ARANCIBIA"/>
    <s v="VILLARROEL"/>
    <x v="0"/>
    <d v="1899-12-30T17:39:13"/>
    <s v="P20"/>
    <x v="0"/>
    <x v="44"/>
    <x v="44"/>
    <x v="4"/>
    <x v="2"/>
  </r>
  <r>
    <n v="8283277"/>
    <s v="LEONARDO ALFREDO"/>
    <s v="ARANCIBIA"/>
    <s v="VILLARROEL"/>
    <x v="0"/>
    <d v="1899-12-30T07:17:53"/>
    <s v="P10"/>
    <x v="1"/>
    <x v="44"/>
    <x v="44"/>
    <x v="4"/>
    <x v="2"/>
  </r>
  <r>
    <n v="8283277"/>
    <s v="LEONARDO ALFREDO"/>
    <s v="ARANCIBIA"/>
    <s v="VILLARROEL"/>
    <x v="1"/>
    <d v="1899-12-30T15:21:23"/>
    <s v="P20"/>
    <x v="0"/>
    <x v="44"/>
    <x v="44"/>
    <x v="4"/>
    <x v="2"/>
  </r>
  <r>
    <n v="8283277"/>
    <s v="LEONARDO ALFREDO"/>
    <s v="ARANCIBIA"/>
    <s v="VILLARROEL"/>
    <x v="1"/>
    <d v="1899-12-30T07:00:44"/>
    <s v="P10"/>
    <x v="1"/>
    <x v="44"/>
    <x v="44"/>
    <x v="4"/>
    <x v="2"/>
  </r>
  <r>
    <n v="8283277"/>
    <s v="LEONARDO ALFREDO"/>
    <s v="ARANCIBIA"/>
    <s v="VILLARROEL"/>
    <x v="2"/>
    <d v="1899-12-30T17:40:45"/>
    <s v="P20"/>
    <x v="0"/>
    <x v="44"/>
    <x v="44"/>
    <x v="4"/>
    <x v="2"/>
  </r>
  <r>
    <n v="8283277"/>
    <s v="LEONARDO ALFREDO"/>
    <s v="ARANCIBIA"/>
    <s v="VILLARROEL"/>
    <x v="2"/>
    <d v="1899-12-30T07:07:47"/>
    <s v="P10"/>
    <x v="1"/>
    <x v="44"/>
    <x v="44"/>
    <x v="4"/>
    <x v="2"/>
  </r>
  <r>
    <n v="8283277"/>
    <s v="LEONARDO ALFREDO"/>
    <s v="ARANCIBIA"/>
    <s v="VILLARROEL"/>
    <x v="3"/>
    <d v="1899-12-30T17:57:54"/>
    <s v="P20"/>
    <x v="0"/>
    <x v="44"/>
    <x v="44"/>
    <x v="4"/>
    <x v="2"/>
  </r>
  <r>
    <n v="8283277"/>
    <s v="LEONARDO ALFREDO"/>
    <s v="ARANCIBIA"/>
    <s v="VILLARROEL"/>
    <x v="3"/>
    <d v="1899-12-30T07:14:21"/>
    <s v="P10"/>
    <x v="1"/>
    <x v="44"/>
    <x v="44"/>
    <x v="4"/>
    <x v="2"/>
  </r>
  <r>
    <n v="8283277"/>
    <s v="LEONARDO ALFREDO"/>
    <s v="ARANCIBIA"/>
    <s v="VILLARROEL"/>
    <x v="4"/>
    <d v="1899-12-30T17:41:05"/>
    <s v="P20"/>
    <x v="0"/>
    <x v="44"/>
    <x v="44"/>
    <x v="4"/>
    <x v="2"/>
  </r>
  <r>
    <n v="8283277"/>
    <s v="LEONARDO ALFREDO"/>
    <s v="ARANCIBIA"/>
    <s v="VILLARROEL"/>
    <x v="4"/>
    <d v="1899-12-30T07:14:46"/>
    <s v="P10"/>
    <x v="1"/>
    <x v="44"/>
    <x v="44"/>
    <x v="4"/>
    <x v="2"/>
  </r>
  <r>
    <n v="8332629"/>
    <s v="JUAN"/>
    <s v="ARRIAGADA"/>
    <s v="JARA"/>
    <x v="0"/>
    <d v="1899-12-30T07:31:04"/>
    <s v="P20"/>
    <x v="0"/>
    <x v="45"/>
    <x v="45"/>
    <x v="1"/>
    <x v="1"/>
  </r>
  <r>
    <n v="8332629"/>
    <s v="JUAN"/>
    <s v="ARRIAGADA"/>
    <s v="JARA"/>
    <x v="0"/>
    <d v="1899-12-30T22:04:44"/>
    <s v="P10"/>
    <x v="1"/>
    <x v="45"/>
    <x v="45"/>
    <x v="1"/>
    <x v="1"/>
  </r>
  <r>
    <n v="8332629"/>
    <s v="JUAN"/>
    <s v="ARRIAGADA"/>
    <s v="JARA"/>
    <x v="1"/>
    <d v="1899-12-30T07:36:05"/>
    <s v="P20"/>
    <x v="0"/>
    <x v="45"/>
    <x v="45"/>
    <x v="1"/>
    <x v="1"/>
  </r>
  <r>
    <n v="8332629"/>
    <s v="JUAN"/>
    <s v="ARRIAGADA"/>
    <s v="JARA"/>
    <x v="2"/>
    <d v="1899-12-30T22:01:40"/>
    <s v="P10"/>
    <x v="1"/>
    <x v="45"/>
    <x v="45"/>
    <x v="1"/>
    <x v="1"/>
  </r>
  <r>
    <n v="8332629"/>
    <s v="JUAN"/>
    <s v="ARRIAGADA"/>
    <s v="JARA"/>
    <x v="3"/>
    <d v="1899-12-30T07:30:03"/>
    <s v="P20"/>
    <x v="0"/>
    <x v="45"/>
    <x v="45"/>
    <x v="1"/>
    <x v="1"/>
  </r>
  <r>
    <n v="8332629"/>
    <s v="JUAN"/>
    <s v="ARRIAGADA"/>
    <s v="JARA"/>
    <x v="3"/>
    <d v="1899-12-30T22:33:36"/>
    <s v="P10"/>
    <x v="1"/>
    <x v="45"/>
    <x v="45"/>
    <x v="0"/>
    <x v="0"/>
  </r>
  <r>
    <n v="8332629"/>
    <s v="JUAN"/>
    <s v="ARRIAGADA"/>
    <s v="JARA"/>
    <x v="4"/>
    <d v="1899-12-30T07:30:13"/>
    <s v="P20"/>
    <x v="0"/>
    <x v="45"/>
    <x v="45"/>
    <x v="1"/>
    <x v="1"/>
  </r>
  <r>
    <n v="8332629"/>
    <s v="JUAN"/>
    <s v="ARRIAGADA"/>
    <s v="JARA"/>
    <x v="4"/>
    <d v="1899-12-30T22:01:19"/>
    <s v="P10"/>
    <x v="1"/>
    <x v="45"/>
    <x v="45"/>
    <x v="1"/>
    <x v="1"/>
  </r>
  <r>
    <n v="8360971"/>
    <s v="PACIFICO"/>
    <s v="CARRERA"/>
    <s v="MAUREIRA"/>
    <x v="0"/>
    <d v="1899-12-30T15:24:29"/>
    <s v="P20"/>
    <x v="0"/>
    <x v="46"/>
    <x v="46"/>
    <x v="3"/>
    <x v="0"/>
  </r>
  <r>
    <n v="8360971"/>
    <s v="PACIFICO"/>
    <s v="CARRERA"/>
    <s v="MAUREIRA"/>
    <x v="0"/>
    <d v="1899-12-30T07:10:29"/>
    <s v="P10"/>
    <x v="1"/>
    <x v="46"/>
    <x v="46"/>
    <x v="3"/>
    <x v="0"/>
  </r>
  <r>
    <n v="8360971"/>
    <s v="PACIFICO"/>
    <s v="CARRERA"/>
    <s v="MAUREIRA"/>
    <x v="1"/>
    <d v="1899-12-30T15:23:25"/>
    <s v="P20"/>
    <x v="0"/>
    <x v="46"/>
    <x v="46"/>
    <x v="3"/>
    <x v="0"/>
  </r>
  <r>
    <n v="8360971"/>
    <s v="PACIFICO"/>
    <s v="CARRERA"/>
    <s v="MAUREIRA"/>
    <x v="1"/>
    <d v="1899-12-30T07:11:10"/>
    <s v="P10"/>
    <x v="1"/>
    <x v="46"/>
    <x v="46"/>
    <x v="3"/>
    <x v="0"/>
  </r>
  <r>
    <n v="8360971"/>
    <s v="PACIFICO"/>
    <s v="CARRERA"/>
    <s v="MAUREIRA"/>
    <x v="2"/>
    <d v="1899-12-30T15:31:11"/>
    <s v="P20"/>
    <x v="0"/>
    <x v="46"/>
    <x v="46"/>
    <x v="3"/>
    <x v="0"/>
  </r>
  <r>
    <n v="8360971"/>
    <s v="PACIFICO"/>
    <s v="CARRERA"/>
    <s v="MAUREIRA"/>
    <x v="2"/>
    <d v="1899-12-30T10:52:40"/>
    <s v="P10"/>
    <x v="1"/>
    <x v="46"/>
    <x v="46"/>
    <x v="2"/>
    <x v="2"/>
  </r>
  <r>
    <n v="8360971"/>
    <s v="PACIFICO"/>
    <s v="CARRERA"/>
    <s v="MAUREIRA"/>
    <x v="3"/>
    <d v="1899-12-30T15:17:52"/>
    <s v="P20"/>
    <x v="0"/>
    <x v="46"/>
    <x v="46"/>
    <x v="3"/>
    <x v="0"/>
  </r>
  <r>
    <n v="8360971"/>
    <s v="PACIFICO"/>
    <s v="CARRERA"/>
    <s v="MAUREIRA"/>
    <x v="3"/>
    <d v="1899-12-30T07:11:04"/>
    <s v="P10"/>
    <x v="1"/>
    <x v="46"/>
    <x v="46"/>
    <x v="3"/>
    <x v="0"/>
  </r>
  <r>
    <n v="8360971"/>
    <s v="PACIFICO"/>
    <s v="CARRERA"/>
    <s v="MAUREIRA"/>
    <x v="4"/>
    <d v="1899-12-30T15:22:10"/>
    <s v="P20"/>
    <x v="0"/>
    <x v="46"/>
    <x v="46"/>
    <x v="3"/>
    <x v="0"/>
  </r>
  <r>
    <n v="8360971"/>
    <s v="PACIFICO"/>
    <s v="CARRERA"/>
    <s v="MAUREIRA"/>
    <x v="4"/>
    <d v="1899-12-30T07:08:13"/>
    <s v="P10"/>
    <x v="1"/>
    <x v="46"/>
    <x v="46"/>
    <x v="3"/>
    <x v="0"/>
  </r>
  <r>
    <n v="8406841"/>
    <s v="BRAULIO GUILLERMO"/>
    <s v="CASANOVA"/>
    <s v="SALINAS"/>
    <x v="0"/>
    <d v="1899-12-30T15:48:20"/>
    <s v="P20"/>
    <x v="0"/>
    <x v="47"/>
    <x v="47"/>
    <x v="3"/>
    <x v="0"/>
  </r>
  <r>
    <n v="8406841"/>
    <s v="BRAULIO GUILLERMO"/>
    <s v="CASANOVA"/>
    <s v="SALINAS"/>
    <x v="0"/>
    <d v="1899-12-30T07:03:06"/>
    <s v="P10"/>
    <x v="1"/>
    <x v="47"/>
    <x v="47"/>
    <x v="3"/>
    <x v="0"/>
  </r>
  <r>
    <n v="8406841"/>
    <s v="BRAULIO GUILLERMO"/>
    <s v="CASANOVA"/>
    <s v="SALINAS"/>
    <x v="1"/>
    <d v="1899-12-30T15:13:52"/>
    <s v="P20"/>
    <x v="0"/>
    <x v="47"/>
    <x v="47"/>
    <x v="3"/>
    <x v="0"/>
  </r>
  <r>
    <n v="8406841"/>
    <s v="BRAULIO GUILLERMO"/>
    <s v="CASANOVA"/>
    <s v="SALINAS"/>
    <x v="1"/>
    <d v="1899-12-30T07:20:04"/>
    <s v="P10"/>
    <x v="1"/>
    <x v="47"/>
    <x v="47"/>
    <x v="3"/>
    <x v="0"/>
  </r>
  <r>
    <n v="8406841"/>
    <s v="BRAULIO GUILLERMO"/>
    <s v="CASANOVA"/>
    <s v="SALINAS"/>
    <x v="2"/>
    <d v="1899-12-30T15:21:17"/>
    <s v="P20"/>
    <x v="0"/>
    <x v="47"/>
    <x v="47"/>
    <x v="3"/>
    <x v="0"/>
  </r>
  <r>
    <n v="8406841"/>
    <s v="BRAULIO GUILLERMO"/>
    <s v="CASANOVA"/>
    <s v="SALINAS"/>
    <x v="2"/>
    <d v="1899-12-30T07:01:21"/>
    <s v="P10"/>
    <x v="1"/>
    <x v="47"/>
    <x v="47"/>
    <x v="3"/>
    <x v="0"/>
  </r>
  <r>
    <n v="8406841"/>
    <s v="BRAULIO GUILLERMO"/>
    <s v="CASANOVA"/>
    <s v="SALINAS"/>
    <x v="3"/>
    <d v="1899-12-30T15:23:14"/>
    <s v="P20"/>
    <x v="0"/>
    <x v="47"/>
    <x v="47"/>
    <x v="3"/>
    <x v="0"/>
  </r>
  <r>
    <n v="8406841"/>
    <s v="BRAULIO GUILLERMO"/>
    <s v="CASANOVA"/>
    <s v="SALINAS"/>
    <x v="3"/>
    <d v="1899-12-30T07:02:20"/>
    <s v="P10"/>
    <x v="1"/>
    <x v="47"/>
    <x v="47"/>
    <x v="3"/>
    <x v="0"/>
  </r>
  <r>
    <n v="8454836"/>
    <s v="BRIGIDA DEL CARMEN"/>
    <s v="CARES"/>
    <s v="LOPEZ"/>
    <x v="0"/>
    <d v="1899-12-30T07:49:18"/>
    <s v="P20"/>
    <x v="0"/>
    <x v="48"/>
    <x v="48"/>
    <x v="1"/>
    <x v="1"/>
  </r>
  <r>
    <n v="8454836"/>
    <s v="BRIGIDA DEL CARMEN"/>
    <s v="CARES"/>
    <s v="LOPEZ"/>
    <x v="0"/>
    <d v="1899-12-30T22:04:09"/>
    <s v="P10"/>
    <x v="1"/>
    <x v="48"/>
    <x v="48"/>
    <x v="1"/>
    <x v="1"/>
  </r>
  <r>
    <n v="8454836"/>
    <s v="BRIGIDA DEL CARMEN"/>
    <s v="CARES"/>
    <s v="LOPEZ"/>
    <x v="1"/>
    <d v="1899-12-30T07:49:55"/>
    <s v="P20"/>
    <x v="0"/>
    <x v="48"/>
    <x v="48"/>
    <x v="1"/>
    <x v="1"/>
  </r>
  <r>
    <n v="8454836"/>
    <s v="BRIGIDA DEL CARMEN"/>
    <s v="CARES"/>
    <s v="LOPEZ"/>
    <x v="2"/>
    <d v="1899-12-30T22:00:25"/>
    <s v="P10"/>
    <x v="1"/>
    <x v="48"/>
    <x v="48"/>
    <x v="1"/>
    <x v="1"/>
  </r>
  <r>
    <n v="8454836"/>
    <s v="BRIGIDA DEL CARMEN"/>
    <s v="CARES"/>
    <s v="LOPEZ"/>
    <x v="3"/>
    <d v="1899-12-30T07:44:31"/>
    <s v="P20"/>
    <x v="0"/>
    <x v="48"/>
    <x v="48"/>
    <x v="1"/>
    <x v="1"/>
  </r>
  <r>
    <n v="8454836"/>
    <s v="BRIGIDA DEL CARMEN"/>
    <s v="CARES"/>
    <s v="LOPEZ"/>
    <x v="3"/>
    <d v="1899-12-30T22:02:10"/>
    <s v="P10"/>
    <x v="1"/>
    <x v="48"/>
    <x v="48"/>
    <x v="1"/>
    <x v="1"/>
  </r>
  <r>
    <n v="8454836"/>
    <s v="BRIGIDA DEL CARMEN"/>
    <s v="CARES"/>
    <s v="LOPEZ"/>
    <x v="4"/>
    <d v="1899-12-30T07:43:41"/>
    <s v="P20"/>
    <x v="0"/>
    <x v="48"/>
    <x v="48"/>
    <x v="1"/>
    <x v="1"/>
  </r>
  <r>
    <n v="8454836"/>
    <s v="BRIGIDA DEL CARMEN"/>
    <s v="CARES"/>
    <s v="LOPEZ"/>
    <x v="4"/>
    <d v="1899-12-30T22:00:31"/>
    <s v="P10"/>
    <x v="1"/>
    <x v="48"/>
    <x v="48"/>
    <x v="1"/>
    <x v="1"/>
  </r>
  <r>
    <n v="8465592"/>
    <s v="JUAN A"/>
    <s v="CASTAÑEDA"/>
    <s v="SANHUEZA"/>
    <x v="0"/>
    <d v="1899-12-30T15:15:36"/>
    <s v="P20"/>
    <x v="0"/>
    <x v="49"/>
    <x v="49"/>
    <x v="3"/>
    <x v="0"/>
  </r>
  <r>
    <n v="8465592"/>
    <s v="JUAN A"/>
    <s v="CASTAÑEDA"/>
    <s v="SANHUEZA"/>
    <x v="0"/>
    <d v="1899-12-30T07:03:01"/>
    <s v="P10"/>
    <x v="1"/>
    <x v="49"/>
    <x v="49"/>
    <x v="3"/>
    <x v="0"/>
  </r>
  <r>
    <n v="8465592"/>
    <s v="JUAN A"/>
    <s v="CASTAÑEDA"/>
    <s v="SANHUEZA"/>
    <x v="1"/>
    <d v="1899-12-30T12:49:58"/>
    <s v="P20"/>
    <x v="0"/>
    <x v="49"/>
    <x v="49"/>
    <x v="2"/>
    <x v="2"/>
  </r>
  <r>
    <n v="8465592"/>
    <s v="JUAN A"/>
    <s v="CASTAÑEDA"/>
    <s v="SANHUEZA"/>
    <x v="1"/>
    <d v="1899-12-30T07:02:28"/>
    <s v="P10"/>
    <x v="1"/>
    <x v="49"/>
    <x v="49"/>
    <x v="3"/>
    <x v="0"/>
  </r>
  <r>
    <n v="8465592"/>
    <s v="JUAN A"/>
    <s v="CASTAÑEDA"/>
    <s v="SANHUEZA"/>
    <x v="2"/>
    <d v="1899-12-30T15:19:43"/>
    <s v="P20"/>
    <x v="0"/>
    <x v="49"/>
    <x v="49"/>
    <x v="3"/>
    <x v="0"/>
  </r>
  <r>
    <n v="8465592"/>
    <s v="JUAN A"/>
    <s v="CASTAÑEDA"/>
    <s v="SANHUEZA"/>
    <x v="2"/>
    <d v="1899-12-30T07:01:16"/>
    <s v="P10"/>
    <x v="1"/>
    <x v="49"/>
    <x v="49"/>
    <x v="3"/>
    <x v="0"/>
  </r>
  <r>
    <n v="8465592"/>
    <s v="JUAN A"/>
    <s v="CASTAÑEDA"/>
    <s v="SANHUEZA"/>
    <x v="3"/>
    <d v="1899-12-30T15:17:01"/>
    <s v="P20"/>
    <x v="0"/>
    <x v="49"/>
    <x v="49"/>
    <x v="3"/>
    <x v="0"/>
  </r>
  <r>
    <n v="8465592"/>
    <s v="JUAN A"/>
    <s v="CASTAÑEDA"/>
    <s v="SANHUEZA"/>
    <x v="3"/>
    <d v="1899-12-30T07:02:05"/>
    <s v="P10"/>
    <x v="1"/>
    <x v="49"/>
    <x v="49"/>
    <x v="3"/>
    <x v="0"/>
  </r>
  <r>
    <n v="8465592"/>
    <s v="JUAN A"/>
    <s v="CASTAÑEDA"/>
    <s v="SANHUEZA"/>
    <x v="4"/>
    <d v="1899-12-30T15:19:42"/>
    <s v="P20"/>
    <x v="0"/>
    <x v="49"/>
    <x v="49"/>
    <x v="3"/>
    <x v="0"/>
  </r>
  <r>
    <n v="8465592"/>
    <s v="JUAN A"/>
    <s v="CASTAÑEDA"/>
    <s v="SANHUEZA"/>
    <x v="4"/>
    <d v="1899-12-30T07:02:45"/>
    <s v="P10"/>
    <x v="1"/>
    <x v="49"/>
    <x v="49"/>
    <x v="3"/>
    <x v="0"/>
  </r>
  <r>
    <n v="8585356"/>
    <s v="OSCAR E."/>
    <s v="MORALES"/>
    <s v="ZAPATA"/>
    <x v="0"/>
    <d v="1899-12-30T08:03:51"/>
    <s v="P20"/>
    <x v="0"/>
    <x v="50"/>
    <x v="50"/>
    <x v="1"/>
    <x v="1"/>
  </r>
  <r>
    <n v="8585356"/>
    <s v="OSCAR E."/>
    <s v="MORALES"/>
    <s v="ZAPATA"/>
    <x v="0"/>
    <d v="1899-12-30T19:25:33"/>
    <s v="P10"/>
    <x v="1"/>
    <x v="50"/>
    <x v="50"/>
    <x v="3"/>
    <x v="0"/>
  </r>
  <r>
    <n v="8585356"/>
    <s v="OSCAR E."/>
    <s v="MORALES"/>
    <s v="ZAPATA"/>
    <x v="1"/>
    <d v="1899-12-30T08:26:25"/>
    <s v="P20"/>
    <x v="0"/>
    <x v="50"/>
    <x v="50"/>
    <x v="1"/>
    <x v="1"/>
  </r>
  <r>
    <n v="8585356"/>
    <s v="OSCAR E."/>
    <s v="MORALES"/>
    <s v="ZAPATA"/>
    <x v="3"/>
    <d v="1899-12-30T19:20:56"/>
    <s v="P10"/>
    <x v="1"/>
    <x v="50"/>
    <x v="50"/>
    <x v="3"/>
    <x v="0"/>
  </r>
  <r>
    <n v="8585356"/>
    <s v="OSCAR E."/>
    <s v="MORALES"/>
    <s v="ZAPATA"/>
    <x v="4"/>
    <d v="1899-12-30T08:09:33"/>
    <s v="P20"/>
    <x v="0"/>
    <x v="50"/>
    <x v="50"/>
    <x v="1"/>
    <x v="1"/>
  </r>
  <r>
    <n v="8585356"/>
    <s v="OSCAR E."/>
    <s v="MORALES"/>
    <s v="ZAPATA"/>
    <x v="4"/>
    <d v="1899-12-30T19:20:56"/>
    <s v="P10"/>
    <x v="1"/>
    <x v="50"/>
    <x v="50"/>
    <x v="3"/>
    <x v="0"/>
  </r>
  <r>
    <n v="8618882"/>
    <s v="VICTOR H."/>
    <s v="SANDOVAL"/>
    <s v="ACUÑA"/>
    <x v="0"/>
    <d v="1899-12-30T15:01:21"/>
    <s v="P20"/>
    <x v="0"/>
    <x v="51"/>
    <x v="51"/>
    <x v="4"/>
    <x v="2"/>
  </r>
  <r>
    <n v="8618882"/>
    <s v="VICTOR H."/>
    <s v="SANDOVAL"/>
    <s v="ACUÑA"/>
    <x v="0"/>
    <d v="1899-12-30T07:15:33"/>
    <s v="P10"/>
    <x v="1"/>
    <x v="51"/>
    <x v="51"/>
    <x v="4"/>
    <x v="2"/>
  </r>
  <r>
    <n v="8618882"/>
    <s v="VICTOR H."/>
    <s v="SANDOVAL"/>
    <s v="ACUÑA"/>
    <x v="1"/>
    <d v="1899-12-30T14:58:08"/>
    <s v="P20"/>
    <x v="0"/>
    <x v="51"/>
    <x v="51"/>
    <x v="4"/>
    <x v="2"/>
  </r>
  <r>
    <n v="8618882"/>
    <s v="VICTOR H."/>
    <s v="SANDOVAL"/>
    <s v="ACUÑA"/>
    <x v="1"/>
    <d v="1899-12-30T07:29:39"/>
    <s v="P10"/>
    <x v="1"/>
    <x v="51"/>
    <x v="51"/>
    <x v="4"/>
    <x v="2"/>
  </r>
  <r>
    <n v="8618882"/>
    <s v="VICTOR H."/>
    <s v="SANDOVAL"/>
    <s v="ACUÑA"/>
    <x v="2"/>
    <d v="1899-12-30T15:03:54"/>
    <s v="P20"/>
    <x v="0"/>
    <x v="51"/>
    <x v="51"/>
    <x v="4"/>
    <x v="2"/>
  </r>
  <r>
    <n v="8618882"/>
    <s v="VICTOR H."/>
    <s v="SANDOVAL"/>
    <s v="ACUÑA"/>
    <x v="2"/>
    <d v="1899-12-30T07:17:42"/>
    <s v="P10"/>
    <x v="1"/>
    <x v="51"/>
    <x v="51"/>
    <x v="4"/>
    <x v="2"/>
  </r>
  <r>
    <n v="8618882"/>
    <s v="VICTOR H."/>
    <s v="SANDOVAL"/>
    <s v="ACUÑA"/>
    <x v="3"/>
    <d v="1899-12-30T15:04:57"/>
    <s v="P20"/>
    <x v="0"/>
    <x v="51"/>
    <x v="51"/>
    <x v="4"/>
    <x v="2"/>
  </r>
  <r>
    <n v="8618882"/>
    <s v="VICTOR H."/>
    <s v="SANDOVAL"/>
    <s v="ACUÑA"/>
    <x v="3"/>
    <d v="1899-12-30T07:18:25"/>
    <s v="P10"/>
    <x v="1"/>
    <x v="51"/>
    <x v="51"/>
    <x v="4"/>
    <x v="2"/>
  </r>
  <r>
    <n v="8618882"/>
    <s v="VICTOR H."/>
    <s v="SANDOVAL"/>
    <s v="ACUÑA"/>
    <x v="4"/>
    <d v="1899-12-30T15:02:29"/>
    <s v="P20"/>
    <x v="0"/>
    <x v="51"/>
    <x v="51"/>
    <x v="4"/>
    <x v="2"/>
  </r>
  <r>
    <n v="8618882"/>
    <s v="VICTOR H."/>
    <s v="SANDOVAL"/>
    <s v="ACUÑA"/>
    <x v="4"/>
    <d v="1899-12-30T07:30:38"/>
    <s v="P10"/>
    <x v="1"/>
    <x v="51"/>
    <x v="51"/>
    <x v="4"/>
    <x v="2"/>
  </r>
  <r>
    <n v="8634737"/>
    <s v="RAFAEL"/>
    <s v="RODRIGUEZ"/>
    <s v="CISTERNA"/>
    <x v="0"/>
    <d v="1899-12-30T19:28:32"/>
    <s v="P20"/>
    <x v="0"/>
    <x v="52"/>
    <x v="52"/>
    <x v="3"/>
    <x v="0"/>
  </r>
  <r>
    <n v="8634737"/>
    <s v="RAFAEL"/>
    <s v="RODRIGUEZ"/>
    <s v="CISTERNA"/>
    <x v="0"/>
    <d v="1899-12-30T07:12:08"/>
    <s v="P10"/>
    <x v="1"/>
    <x v="52"/>
    <x v="52"/>
    <x v="3"/>
    <x v="0"/>
  </r>
  <r>
    <n v="8634737"/>
    <s v="RAFAEL"/>
    <s v="RODRIGUEZ"/>
    <s v="CISTERNA"/>
    <x v="1"/>
    <d v="1899-12-30T15:04:01"/>
    <s v="P20"/>
    <x v="0"/>
    <x v="52"/>
    <x v="52"/>
    <x v="3"/>
    <x v="0"/>
  </r>
  <r>
    <n v="8634737"/>
    <s v="RAFAEL"/>
    <s v="RODRIGUEZ"/>
    <s v="CISTERNA"/>
    <x v="1"/>
    <d v="1899-12-30T07:13:41"/>
    <s v="P10"/>
    <x v="1"/>
    <x v="52"/>
    <x v="52"/>
    <x v="3"/>
    <x v="0"/>
  </r>
  <r>
    <n v="8634737"/>
    <s v="RAFAEL"/>
    <s v="RODRIGUEZ"/>
    <s v="CISTERNA"/>
    <x v="2"/>
    <d v="1899-12-30T15:08:43"/>
    <s v="P20"/>
    <x v="0"/>
    <x v="52"/>
    <x v="52"/>
    <x v="3"/>
    <x v="0"/>
  </r>
  <r>
    <n v="8634737"/>
    <s v="RAFAEL"/>
    <s v="RODRIGUEZ"/>
    <s v="CISTERNA"/>
    <x v="2"/>
    <d v="1899-12-30T07:07:15"/>
    <s v="P10"/>
    <x v="1"/>
    <x v="52"/>
    <x v="52"/>
    <x v="3"/>
    <x v="0"/>
  </r>
  <r>
    <n v="8634737"/>
    <s v="RAFAEL"/>
    <s v="RODRIGUEZ"/>
    <s v="CISTERNA"/>
    <x v="3"/>
    <d v="1899-12-30T15:04:45"/>
    <s v="P20"/>
    <x v="0"/>
    <x v="52"/>
    <x v="52"/>
    <x v="3"/>
    <x v="0"/>
  </r>
  <r>
    <n v="8634737"/>
    <s v="RAFAEL"/>
    <s v="RODRIGUEZ"/>
    <s v="CISTERNA"/>
    <x v="3"/>
    <d v="1899-12-30T07:06:35"/>
    <s v="P10"/>
    <x v="1"/>
    <x v="52"/>
    <x v="52"/>
    <x v="3"/>
    <x v="0"/>
  </r>
  <r>
    <n v="8634737"/>
    <s v="RAFAEL"/>
    <s v="RODRIGUEZ"/>
    <s v="CISTERNA"/>
    <x v="4"/>
    <d v="1899-12-30T19:35:31"/>
    <s v="P20"/>
    <x v="0"/>
    <x v="52"/>
    <x v="52"/>
    <x v="3"/>
    <x v="0"/>
  </r>
  <r>
    <n v="8634737"/>
    <s v="RAFAEL"/>
    <s v="RODRIGUEZ"/>
    <s v="CISTERNA"/>
    <x v="4"/>
    <d v="1899-12-30T07:14:29"/>
    <s v="P10"/>
    <x v="1"/>
    <x v="52"/>
    <x v="52"/>
    <x v="3"/>
    <x v="0"/>
  </r>
  <r>
    <n v="8733235"/>
    <s v="EXEQUIEL"/>
    <s v="FUENZALIDA"/>
    <s v="VALENZUELA"/>
    <x v="0"/>
    <d v="1899-12-30T15:29:29"/>
    <s v="P20"/>
    <x v="0"/>
    <x v="53"/>
    <x v="53"/>
    <x v="3"/>
    <x v="0"/>
  </r>
  <r>
    <n v="8733235"/>
    <s v="EXEQUIEL"/>
    <s v="FUENZALIDA"/>
    <s v="VALENZUELA"/>
    <x v="0"/>
    <d v="1899-12-30T06:59:30"/>
    <s v="P10"/>
    <x v="1"/>
    <x v="53"/>
    <x v="53"/>
    <x v="3"/>
    <x v="0"/>
  </r>
  <r>
    <n v="8733235"/>
    <s v="EXEQUIEL"/>
    <s v="FUENZALIDA"/>
    <s v="VALENZUELA"/>
    <x v="1"/>
    <d v="1899-12-30T15:15:47"/>
    <s v="P20"/>
    <x v="0"/>
    <x v="53"/>
    <x v="53"/>
    <x v="3"/>
    <x v="0"/>
  </r>
  <r>
    <n v="8733235"/>
    <s v="EXEQUIEL"/>
    <s v="FUENZALIDA"/>
    <s v="VALENZUELA"/>
    <x v="1"/>
    <d v="1899-12-30T07:00:48"/>
    <s v="P10"/>
    <x v="1"/>
    <x v="53"/>
    <x v="53"/>
    <x v="3"/>
    <x v="0"/>
  </r>
  <r>
    <n v="8733235"/>
    <s v="EXEQUIEL"/>
    <s v="FUENZALIDA"/>
    <s v="VALENZUELA"/>
    <x v="2"/>
    <d v="1899-12-30T15:20:36"/>
    <s v="P20"/>
    <x v="0"/>
    <x v="53"/>
    <x v="53"/>
    <x v="3"/>
    <x v="0"/>
  </r>
  <r>
    <n v="8733235"/>
    <s v="EXEQUIEL"/>
    <s v="FUENZALIDA"/>
    <s v="VALENZUELA"/>
    <x v="2"/>
    <d v="1899-12-30T07:06:08"/>
    <s v="P10"/>
    <x v="1"/>
    <x v="53"/>
    <x v="53"/>
    <x v="3"/>
    <x v="0"/>
  </r>
  <r>
    <n v="8733235"/>
    <s v="EXEQUIEL"/>
    <s v="FUENZALIDA"/>
    <s v="VALENZUELA"/>
    <x v="3"/>
    <d v="1899-12-30T15:13:31"/>
    <s v="P20"/>
    <x v="0"/>
    <x v="53"/>
    <x v="53"/>
    <x v="3"/>
    <x v="0"/>
  </r>
  <r>
    <n v="8733235"/>
    <s v="EXEQUIEL"/>
    <s v="FUENZALIDA"/>
    <s v="VALENZUELA"/>
    <x v="3"/>
    <d v="1899-12-30T07:00:19"/>
    <s v="P10"/>
    <x v="1"/>
    <x v="53"/>
    <x v="53"/>
    <x v="3"/>
    <x v="0"/>
  </r>
  <r>
    <n v="8733235"/>
    <s v="EXEQUIEL"/>
    <s v="FUENZALIDA"/>
    <s v="VALENZUELA"/>
    <x v="4"/>
    <d v="1899-12-30T15:20:32"/>
    <s v="P20"/>
    <x v="0"/>
    <x v="53"/>
    <x v="53"/>
    <x v="3"/>
    <x v="0"/>
  </r>
  <r>
    <n v="8733235"/>
    <s v="EXEQUIEL"/>
    <s v="FUENZALIDA"/>
    <s v="VALENZUELA"/>
    <x v="4"/>
    <d v="1899-12-30T07:01:16"/>
    <s v="P10"/>
    <x v="1"/>
    <x v="53"/>
    <x v="53"/>
    <x v="3"/>
    <x v="0"/>
  </r>
  <r>
    <n v="8771787"/>
    <s v="PABLO FLORENTINO"/>
    <s v="JIMENEZ"/>
    <s v="PAINECURA"/>
    <x v="0"/>
    <d v="1899-12-30T07:44:28"/>
    <s v="P20"/>
    <x v="0"/>
    <x v="54"/>
    <x v="54"/>
    <x v="1"/>
    <x v="1"/>
  </r>
  <r>
    <n v="8771787"/>
    <s v="PABLO FLORENTINO"/>
    <s v="JIMENEZ"/>
    <s v="PAINECURA"/>
    <x v="0"/>
    <d v="1899-12-30T22:03:33"/>
    <s v="P10"/>
    <x v="1"/>
    <x v="54"/>
    <x v="54"/>
    <x v="1"/>
    <x v="1"/>
  </r>
  <r>
    <n v="8771787"/>
    <s v="PABLO FLORENTINO"/>
    <s v="JIMENEZ"/>
    <s v="PAINECURA"/>
    <x v="1"/>
    <d v="1899-12-30T07:46:12"/>
    <s v="P20"/>
    <x v="0"/>
    <x v="54"/>
    <x v="54"/>
    <x v="1"/>
    <x v="1"/>
  </r>
  <r>
    <n v="8771787"/>
    <s v="PABLO FLORENTINO"/>
    <s v="JIMENEZ"/>
    <s v="PAINECURA"/>
    <x v="2"/>
    <d v="1899-12-30T22:03:48"/>
    <s v="P10"/>
    <x v="1"/>
    <x v="54"/>
    <x v="54"/>
    <x v="1"/>
    <x v="1"/>
  </r>
  <r>
    <n v="8771787"/>
    <s v="PABLO FLORENTINO"/>
    <s v="JIMENEZ"/>
    <s v="PAINECURA"/>
    <x v="3"/>
    <d v="1899-12-30T07:36:29"/>
    <s v="P20"/>
    <x v="0"/>
    <x v="54"/>
    <x v="54"/>
    <x v="1"/>
    <x v="1"/>
  </r>
  <r>
    <n v="8771787"/>
    <s v="PABLO FLORENTINO"/>
    <s v="JIMENEZ"/>
    <s v="PAINECURA"/>
    <x v="3"/>
    <d v="1899-12-30T22:02:48"/>
    <s v="P10"/>
    <x v="1"/>
    <x v="54"/>
    <x v="54"/>
    <x v="1"/>
    <x v="1"/>
  </r>
  <r>
    <n v="8771787"/>
    <s v="PABLO FLORENTINO"/>
    <s v="JIMENEZ"/>
    <s v="PAINECURA"/>
    <x v="4"/>
    <d v="1899-12-30T07:43:56"/>
    <s v="P20"/>
    <x v="0"/>
    <x v="54"/>
    <x v="54"/>
    <x v="1"/>
    <x v="1"/>
  </r>
  <r>
    <n v="8771787"/>
    <s v="PABLO FLORENTINO"/>
    <s v="JIMENEZ"/>
    <s v="PAINECURA"/>
    <x v="4"/>
    <d v="1899-12-30T22:02:49"/>
    <s v="P10"/>
    <x v="1"/>
    <x v="54"/>
    <x v="54"/>
    <x v="1"/>
    <x v="1"/>
  </r>
  <r>
    <n v="8809784"/>
    <s v="CARLOS ANTONIO"/>
    <s v="AGUILERA"/>
    <s v="LABRIN"/>
    <x v="0"/>
    <d v="1899-12-30T07:45:19"/>
    <s v="P20"/>
    <x v="0"/>
    <x v="55"/>
    <x v="55"/>
    <x v="1"/>
    <x v="1"/>
  </r>
  <r>
    <n v="8809784"/>
    <s v="CARLOS ANTONIO"/>
    <s v="AGUILERA"/>
    <s v="LABRIN"/>
    <x v="0"/>
    <d v="1899-12-30T21:56:35"/>
    <s v="P10"/>
    <x v="1"/>
    <x v="55"/>
    <x v="55"/>
    <x v="1"/>
    <x v="1"/>
  </r>
  <r>
    <n v="8809784"/>
    <s v="CARLOS ANTONIO"/>
    <s v="AGUILERA"/>
    <s v="LABRIN"/>
    <x v="1"/>
    <d v="1899-12-30T07:42:32"/>
    <s v="P20"/>
    <x v="0"/>
    <x v="55"/>
    <x v="55"/>
    <x v="1"/>
    <x v="1"/>
  </r>
  <r>
    <n v="8809784"/>
    <s v="CARLOS ANTONIO"/>
    <s v="AGUILERA"/>
    <s v="LABRIN"/>
    <x v="6"/>
    <d v="1899-12-30T23:37:15"/>
    <s v="P10"/>
    <x v="1"/>
    <x v="55"/>
    <x v="55"/>
    <x v="2"/>
    <x v="2"/>
  </r>
  <r>
    <n v="8809784"/>
    <s v="CARLOS ANTONIO"/>
    <s v="AGUILERA"/>
    <s v="LABRIN"/>
    <x v="2"/>
    <d v="1899-12-30T07:41:25"/>
    <s v="P20"/>
    <x v="0"/>
    <x v="55"/>
    <x v="55"/>
    <x v="1"/>
    <x v="1"/>
  </r>
  <r>
    <n v="8809784"/>
    <s v="CARLOS ANTONIO"/>
    <s v="AGUILERA"/>
    <s v="LABRIN"/>
    <x v="2"/>
    <d v="1899-12-30T22:04:25"/>
    <s v="P10"/>
    <x v="1"/>
    <x v="55"/>
    <x v="55"/>
    <x v="1"/>
    <x v="1"/>
  </r>
  <r>
    <n v="8809784"/>
    <s v="CARLOS ANTONIO"/>
    <s v="AGUILERA"/>
    <s v="LABRIN"/>
    <x v="3"/>
    <d v="1899-12-30T07:43:58"/>
    <s v="P20"/>
    <x v="0"/>
    <x v="55"/>
    <x v="55"/>
    <x v="1"/>
    <x v="1"/>
  </r>
  <r>
    <n v="8809784"/>
    <s v="CARLOS ANTONIO"/>
    <s v="AGUILERA"/>
    <s v="LABRIN"/>
    <x v="3"/>
    <d v="1899-12-30T22:05:35"/>
    <s v="P10"/>
    <x v="1"/>
    <x v="55"/>
    <x v="55"/>
    <x v="1"/>
    <x v="1"/>
  </r>
  <r>
    <n v="8809784"/>
    <s v="CARLOS ANTONIO"/>
    <s v="AGUILERA"/>
    <s v="LABRIN"/>
    <x v="4"/>
    <d v="1899-12-30T07:45:03"/>
    <s v="P20"/>
    <x v="0"/>
    <x v="55"/>
    <x v="55"/>
    <x v="1"/>
    <x v="1"/>
  </r>
  <r>
    <n v="8809784"/>
    <s v="CARLOS ANTONIO"/>
    <s v="AGUILERA"/>
    <s v="LABRIN"/>
    <x v="4"/>
    <d v="1899-12-30T22:03:33"/>
    <s v="P10"/>
    <x v="1"/>
    <x v="55"/>
    <x v="55"/>
    <x v="1"/>
    <x v="1"/>
  </r>
  <r>
    <n v="8881760"/>
    <s v="MANUEL ORLANDO"/>
    <s v="VEGA"/>
    <s v="LEYTON"/>
    <x v="0"/>
    <d v="1899-12-30T15:18:37"/>
    <s v="P20"/>
    <x v="0"/>
    <x v="56"/>
    <x v="56"/>
    <x v="3"/>
    <x v="0"/>
  </r>
  <r>
    <n v="8881760"/>
    <s v="MANUEL ORLANDO"/>
    <s v="VEGA"/>
    <s v="LEYTON"/>
    <x v="0"/>
    <d v="1899-12-30T07:04:11"/>
    <s v="P10"/>
    <x v="1"/>
    <x v="56"/>
    <x v="56"/>
    <x v="3"/>
    <x v="0"/>
  </r>
  <r>
    <n v="8881760"/>
    <s v="MANUEL ORLANDO"/>
    <s v="VEGA"/>
    <s v="LEYTON"/>
    <x v="1"/>
    <d v="1899-12-30T15:20:17"/>
    <s v="P20"/>
    <x v="0"/>
    <x v="56"/>
    <x v="56"/>
    <x v="3"/>
    <x v="0"/>
  </r>
  <r>
    <n v="8881760"/>
    <s v="MANUEL ORLANDO"/>
    <s v="VEGA"/>
    <s v="LEYTON"/>
    <x v="1"/>
    <d v="1899-12-30T07:03:49"/>
    <s v="P10"/>
    <x v="1"/>
    <x v="56"/>
    <x v="56"/>
    <x v="3"/>
    <x v="0"/>
  </r>
  <r>
    <n v="8881760"/>
    <s v="MANUEL ORLANDO"/>
    <s v="VEGA"/>
    <s v="LEYTON"/>
    <x v="7"/>
    <d v="1899-12-30T23:57:18"/>
    <s v="P10"/>
    <x v="1"/>
    <x v="56"/>
    <x v="56"/>
    <x v="2"/>
    <x v="2"/>
  </r>
  <r>
    <n v="8881760"/>
    <s v="MANUEL ORLANDO"/>
    <s v="VEGA"/>
    <s v="LEYTON"/>
    <x v="2"/>
    <d v="1899-12-30T15:19:14"/>
    <s v="P20"/>
    <x v="0"/>
    <x v="56"/>
    <x v="56"/>
    <x v="3"/>
    <x v="0"/>
  </r>
  <r>
    <n v="8881760"/>
    <s v="MANUEL ORLANDO"/>
    <s v="VEGA"/>
    <s v="LEYTON"/>
    <x v="2"/>
    <d v="1899-12-30T07:02:12"/>
    <s v="P10"/>
    <x v="1"/>
    <x v="56"/>
    <x v="56"/>
    <x v="3"/>
    <x v="0"/>
  </r>
  <r>
    <n v="8881760"/>
    <s v="MANUEL ORLANDO"/>
    <s v="VEGA"/>
    <s v="LEYTON"/>
    <x v="3"/>
    <d v="1899-12-30T15:17:57"/>
    <s v="P20"/>
    <x v="0"/>
    <x v="56"/>
    <x v="56"/>
    <x v="3"/>
    <x v="0"/>
  </r>
  <r>
    <n v="8881760"/>
    <s v="MANUEL ORLANDO"/>
    <s v="VEGA"/>
    <s v="LEYTON"/>
    <x v="3"/>
    <d v="1899-12-30T07:03:32"/>
    <s v="P10"/>
    <x v="1"/>
    <x v="56"/>
    <x v="56"/>
    <x v="3"/>
    <x v="0"/>
  </r>
  <r>
    <n v="8881760"/>
    <s v="MANUEL ORLANDO"/>
    <s v="VEGA"/>
    <s v="LEYTON"/>
    <x v="4"/>
    <d v="1899-12-30T15:18:23"/>
    <s v="P20"/>
    <x v="0"/>
    <x v="56"/>
    <x v="56"/>
    <x v="3"/>
    <x v="0"/>
  </r>
  <r>
    <n v="8881760"/>
    <s v="MANUEL ORLANDO"/>
    <s v="VEGA"/>
    <s v="LEYTON"/>
    <x v="4"/>
    <d v="1899-12-30T07:04:00"/>
    <s v="P10"/>
    <x v="1"/>
    <x v="56"/>
    <x v="56"/>
    <x v="3"/>
    <x v="0"/>
  </r>
  <r>
    <n v="8962599"/>
    <s v="HUGO SIMON"/>
    <s v="GONZALEZ"/>
    <s v="MUÑOZ"/>
    <x v="0"/>
    <d v="1899-12-30T15:22:06"/>
    <s v="P20"/>
    <x v="0"/>
    <x v="57"/>
    <x v="57"/>
    <x v="3"/>
    <x v="0"/>
  </r>
  <r>
    <n v="8962599"/>
    <s v="HUGO SIMON"/>
    <s v="GONZALEZ"/>
    <s v="MUÑOZ"/>
    <x v="0"/>
    <d v="1899-12-30T07:06:28"/>
    <s v="P10"/>
    <x v="1"/>
    <x v="57"/>
    <x v="57"/>
    <x v="3"/>
    <x v="0"/>
  </r>
  <r>
    <n v="8962599"/>
    <s v="HUGO SIMON"/>
    <s v="GONZALEZ"/>
    <s v="MUÑOZ"/>
    <x v="1"/>
    <d v="1899-12-30T15:24:26"/>
    <s v="P20"/>
    <x v="0"/>
    <x v="57"/>
    <x v="57"/>
    <x v="3"/>
    <x v="0"/>
  </r>
  <r>
    <n v="8962599"/>
    <s v="HUGO SIMON"/>
    <s v="GONZALEZ"/>
    <s v="MUÑOZ"/>
    <x v="1"/>
    <d v="1899-12-30T07:04:29"/>
    <s v="P10"/>
    <x v="1"/>
    <x v="57"/>
    <x v="57"/>
    <x v="3"/>
    <x v="0"/>
  </r>
  <r>
    <n v="8962599"/>
    <s v="HUGO SIMON"/>
    <s v="GONZALEZ"/>
    <s v="MUÑOZ"/>
    <x v="2"/>
    <d v="1899-12-30T15:19:27"/>
    <s v="P20"/>
    <x v="0"/>
    <x v="57"/>
    <x v="57"/>
    <x v="3"/>
    <x v="0"/>
  </r>
  <r>
    <n v="8962599"/>
    <s v="HUGO SIMON"/>
    <s v="GONZALEZ"/>
    <s v="MUÑOZ"/>
    <x v="2"/>
    <d v="1899-12-30T07:04:10"/>
    <s v="P10"/>
    <x v="1"/>
    <x v="57"/>
    <x v="57"/>
    <x v="3"/>
    <x v="0"/>
  </r>
  <r>
    <n v="8962599"/>
    <s v="HUGO SIMON"/>
    <s v="GONZALEZ"/>
    <s v="MUÑOZ"/>
    <x v="3"/>
    <d v="1899-12-30T15:22:11"/>
    <s v="P20"/>
    <x v="0"/>
    <x v="57"/>
    <x v="57"/>
    <x v="3"/>
    <x v="0"/>
  </r>
  <r>
    <n v="8962599"/>
    <s v="HUGO SIMON"/>
    <s v="GONZALEZ"/>
    <s v="MUÑOZ"/>
    <x v="3"/>
    <d v="1899-12-30T06:58:39"/>
    <s v="P10"/>
    <x v="1"/>
    <x v="57"/>
    <x v="57"/>
    <x v="3"/>
    <x v="0"/>
  </r>
  <r>
    <n v="8962599"/>
    <s v="HUGO SIMON"/>
    <s v="GONZALEZ"/>
    <s v="MUÑOZ"/>
    <x v="4"/>
    <d v="1899-12-30T15:21:21"/>
    <s v="P20"/>
    <x v="0"/>
    <x v="57"/>
    <x v="57"/>
    <x v="3"/>
    <x v="0"/>
  </r>
  <r>
    <n v="8962599"/>
    <s v="HUGO SIMON"/>
    <s v="GONZALEZ"/>
    <s v="MUÑOZ"/>
    <x v="4"/>
    <d v="1899-12-30T07:04:45"/>
    <s v="P10"/>
    <x v="1"/>
    <x v="57"/>
    <x v="57"/>
    <x v="3"/>
    <x v="0"/>
  </r>
  <r>
    <n v="9004326"/>
    <s v="ANDRES"/>
    <s v="LORCA"/>
    <s v="FARIAS"/>
    <x v="5"/>
    <d v="1899-12-30T00:00:00"/>
    <m/>
    <x v="2"/>
    <x v="58"/>
    <x v="58"/>
    <x v="2"/>
    <x v="2"/>
  </r>
  <r>
    <n v="9048185"/>
    <s v="PABLO HORACIO"/>
    <s v="GARCIA"/>
    <s v="DIAZ"/>
    <x v="0"/>
    <d v="1899-12-30T17:35:01"/>
    <s v="P20"/>
    <x v="0"/>
    <x v="59"/>
    <x v="59"/>
    <x v="4"/>
    <x v="2"/>
  </r>
  <r>
    <n v="9048185"/>
    <s v="PABLO HORACIO"/>
    <s v="GARCIA"/>
    <s v="DIAZ"/>
    <x v="0"/>
    <d v="1899-12-30T07:30:36"/>
    <s v="P10"/>
    <x v="1"/>
    <x v="59"/>
    <x v="59"/>
    <x v="4"/>
    <x v="2"/>
  </r>
  <r>
    <n v="9048185"/>
    <s v="PABLO HORACIO"/>
    <s v="GARCIA"/>
    <s v="DIAZ"/>
    <x v="1"/>
    <d v="1899-12-30T16:13:56"/>
    <s v="P20"/>
    <x v="0"/>
    <x v="59"/>
    <x v="59"/>
    <x v="4"/>
    <x v="2"/>
  </r>
  <r>
    <n v="9048185"/>
    <s v="PABLO HORACIO"/>
    <s v="GARCIA"/>
    <s v="DIAZ"/>
    <x v="1"/>
    <d v="1899-12-30T07:44:05"/>
    <s v="P10"/>
    <x v="1"/>
    <x v="59"/>
    <x v="59"/>
    <x v="4"/>
    <x v="2"/>
  </r>
  <r>
    <n v="9048185"/>
    <s v="PABLO HORACIO"/>
    <s v="GARCIA"/>
    <s v="DIAZ"/>
    <x v="2"/>
    <d v="1899-12-30T18:18:25"/>
    <s v="P20"/>
    <x v="0"/>
    <x v="59"/>
    <x v="59"/>
    <x v="4"/>
    <x v="2"/>
  </r>
  <r>
    <n v="9048185"/>
    <s v="PABLO HORACIO"/>
    <s v="GARCIA"/>
    <s v="DIAZ"/>
    <x v="2"/>
    <d v="1899-12-30T07:31:26"/>
    <s v="P10"/>
    <x v="1"/>
    <x v="59"/>
    <x v="59"/>
    <x v="4"/>
    <x v="2"/>
  </r>
  <r>
    <n v="9048185"/>
    <s v="PABLO HORACIO"/>
    <s v="GARCIA"/>
    <s v="DIAZ"/>
    <x v="3"/>
    <d v="1899-12-30T17:42:52"/>
    <s v="P20"/>
    <x v="0"/>
    <x v="59"/>
    <x v="59"/>
    <x v="4"/>
    <x v="2"/>
  </r>
  <r>
    <n v="9048185"/>
    <s v="PABLO HORACIO"/>
    <s v="GARCIA"/>
    <s v="DIAZ"/>
    <x v="3"/>
    <d v="1899-12-30T07:32:47"/>
    <s v="P10"/>
    <x v="1"/>
    <x v="59"/>
    <x v="59"/>
    <x v="4"/>
    <x v="2"/>
  </r>
  <r>
    <n v="9048185"/>
    <s v="PABLO HORACIO"/>
    <s v="GARCIA"/>
    <s v="DIAZ"/>
    <x v="4"/>
    <d v="1899-12-30T18:17:52"/>
    <s v="P20"/>
    <x v="0"/>
    <x v="59"/>
    <x v="59"/>
    <x v="4"/>
    <x v="2"/>
  </r>
  <r>
    <n v="9048185"/>
    <s v="PABLO HORACIO"/>
    <s v="GARCIA"/>
    <s v="DIAZ"/>
    <x v="4"/>
    <d v="1899-12-30T07:26:53"/>
    <s v="P10"/>
    <x v="1"/>
    <x v="59"/>
    <x v="59"/>
    <x v="4"/>
    <x v="2"/>
  </r>
  <r>
    <n v="9068490"/>
    <s v="DARIO RODOLFO"/>
    <s v="GONZALEZ"/>
    <s v="DEL VALLE"/>
    <x v="0"/>
    <d v="1899-12-30T22:37:46"/>
    <s v="P20"/>
    <x v="0"/>
    <x v="60"/>
    <x v="60"/>
    <x v="0"/>
    <x v="0"/>
  </r>
  <r>
    <n v="9068490"/>
    <s v="DARIO RODOLFO"/>
    <s v="GONZALEZ"/>
    <s v="DEL VALLE"/>
    <x v="0"/>
    <d v="1899-12-30T14:36:21"/>
    <s v="P10"/>
    <x v="1"/>
    <x v="60"/>
    <x v="60"/>
    <x v="0"/>
    <x v="0"/>
  </r>
  <r>
    <n v="9068490"/>
    <s v="DARIO RODOLFO"/>
    <s v="GONZALEZ"/>
    <s v="DEL VALLE"/>
    <x v="1"/>
    <d v="1899-12-30T22:35:58"/>
    <s v="P20"/>
    <x v="0"/>
    <x v="60"/>
    <x v="60"/>
    <x v="0"/>
    <x v="0"/>
  </r>
  <r>
    <n v="9068490"/>
    <s v="DARIO RODOLFO"/>
    <s v="GONZALEZ"/>
    <s v="DEL VALLE"/>
    <x v="1"/>
    <d v="1899-12-30T14:43:02"/>
    <s v="P10"/>
    <x v="1"/>
    <x v="60"/>
    <x v="60"/>
    <x v="0"/>
    <x v="0"/>
  </r>
  <r>
    <n v="9068490"/>
    <s v="DARIO RODOLFO"/>
    <s v="GONZALEZ"/>
    <s v="DEL VALLE"/>
    <x v="2"/>
    <d v="1899-12-30T22:32:41"/>
    <s v="P20"/>
    <x v="0"/>
    <x v="60"/>
    <x v="60"/>
    <x v="0"/>
    <x v="0"/>
  </r>
  <r>
    <n v="9068490"/>
    <s v="DARIO RODOLFO"/>
    <s v="GONZALEZ"/>
    <s v="DEL VALLE"/>
    <x v="2"/>
    <d v="1899-12-30T14:32:43"/>
    <s v="P10"/>
    <x v="1"/>
    <x v="60"/>
    <x v="60"/>
    <x v="0"/>
    <x v="0"/>
  </r>
  <r>
    <n v="9068490"/>
    <s v="DARIO RODOLFO"/>
    <s v="GONZALEZ"/>
    <s v="DEL VALLE"/>
    <x v="3"/>
    <d v="1899-12-30T22:39:26"/>
    <s v="P20"/>
    <x v="0"/>
    <x v="60"/>
    <x v="60"/>
    <x v="0"/>
    <x v="0"/>
  </r>
  <r>
    <n v="9068490"/>
    <s v="DARIO RODOLFO"/>
    <s v="GONZALEZ"/>
    <s v="DEL VALLE"/>
    <x v="3"/>
    <d v="1899-12-30T14:34:02"/>
    <s v="P10"/>
    <x v="1"/>
    <x v="60"/>
    <x v="60"/>
    <x v="0"/>
    <x v="0"/>
  </r>
  <r>
    <n v="9068490"/>
    <s v="DARIO RODOLFO"/>
    <s v="GONZALEZ"/>
    <s v="DEL VALLE"/>
    <x v="4"/>
    <d v="1899-12-30T22:37:16"/>
    <s v="P20"/>
    <x v="0"/>
    <x v="60"/>
    <x v="60"/>
    <x v="0"/>
    <x v="0"/>
  </r>
  <r>
    <n v="9068490"/>
    <s v="DARIO RODOLFO"/>
    <s v="GONZALEZ"/>
    <s v="DEL VALLE"/>
    <x v="4"/>
    <d v="1899-12-30T14:34:25"/>
    <s v="P10"/>
    <x v="1"/>
    <x v="60"/>
    <x v="60"/>
    <x v="0"/>
    <x v="0"/>
  </r>
  <r>
    <n v="9081025"/>
    <s v="SERGIO SEGUNDO"/>
    <s v="MARDONES"/>
    <s v="ALVARADO"/>
    <x v="0"/>
    <d v="1899-12-30T22:34:47"/>
    <s v="P20"/>
    <x v="0"/>
    <x v="61"/>
    <x v="61"/>
    <x v="0"/>
    <x v="0"/>
  </r>
  <r>
    <n v="9081025"/>
    <s v="SERGIO SEGUNDO"/>
    <s v="MARDONES"/>
    <s v="ALVARADO"/>
    <x v="0"/>
    <d v="1899-12-30T14:37:01"/>
    <s v="P10"/>
    <x v="1"/>
    <x v="61"/>
    <x v="61"/>
    <x v="0"/>
    <x v="0"/>
  </r>
  <r>
    <n v="9081025"/>
    <s v="SERGIO SEGUNDO"/>
    <s v="MARDONES"/>
    <s v="ALVARADO"/>
    <x v="1"/>
    <d v="1899-12-30T22:29:43"/>
    <s v="P20"/>
    <x v="0"/>
    <x v="61"/>
    <x v="61"/>
    <x v="0"/>
    <x v="0"/>
  </r>
  <r>
    <n v="9081025"/>
    <s v="SERGIO SEGUNDO"/>
    <s v="MARDONES"/>
    <s v="ALVARADO"/>
    <x v="1"/>
    <d v="1899-12-30T14:36:57"/>
    <s v="P10"/>
    <x v="1"/>
    <x v="61"/>
    <x v="61"/>
    <x v="0"/>
    <x v="0"/>
  </r>
  <r>
    <n v="9081025"/>
    <s v="SERGIO SEGUNDO"/>
    <s v="MARDONES"/>
    <s v="ALVARADO"/>
    <x v="2"/>
    <d v="1899-12-30T22:34:09"/>
    <s v="P20"/>
    <x v="0"/>
    <x v="61"/>
    <x v="61"/>
    <x v="0"/>
    <x v="0"/>
  </r>
  <r>
    <n v="9081025"/>
    <s v="SERGIO SEGUNDO"/>
    <s v="MARDONES"/>
    <s v="ALVARADO"/>
    <x v="2"/>
    <d v="1899-12-30T14:03:20"/>
    <s v="P10"/>
    <x v="1"/>
    <x v="61"/>
    <x v="61"/>
    <x v="0"/>
    <x v="0"/>
  </r>
  <r>
    <n v="9081025"/>
    <s v="SERGIO SEGUNDO"/>
    <s v="MARDONES"/>
    <s v="ALVARADO"/>
    <x v="3"/>
    <d v="1899-12-30T22:37:20"/>
    <s v="P20"/>
    <x v="0"/>
    <x v="61"/>
    <x v="61"/>
    <x v="0"/>
    <x v="0"/>
  </r>
  <r>
    <n v="9081025"/>
    <s v="SERGIO SEGUNDO"/>
    <s v="MARDONES"/>
    <s v="ALVARADO"/>
    <x v="3"/>
    <d v="1899-12-30T14:33:00"/>
    <s v="P10"/>
    <x v="1"/>
    <x v="61"/>
    <x v="61"/>
    <x v="0"/>
    <x v="0"/>
  </r>
  <r>
    <n v="9081025"/>
    <s v="SERGIO SEGUNDO"/>
    <s v="MARDONES"/>
    <s v="ALVARADO"/>
    <x v="4"/>
    <d v="1899-12-30T22:35:19"/>
    <s v="P20"/>
    <x v="0"/>
    <x v="61"/>
    <x v="61"/>
    <x v="0"/>
    <x v="0"/>
  </r>
  <r>
    <n v="9081025"/>
    <s v="SERGIO SEGUNDO"/>
    <s v="MARDONES"/>
    <s v="ALVARADO"/>
    <x v="4"/>
    <d v="1899-12-30T14:35:00"/>
    <s v="P10"/>
    <x v="1"/>
    <x v="61"/>
    <x v="61"/>
    <x v="0"/>
    <x v="0"/>
  </r>
  <r>
    <n v="9148214"/>
    <s v="JORGE"/>
    <s v="BAEZA"/>
    <s v="REYES"/>
    <x v="0"/>
    <d v="1899-12-30T07:30:03"/>
    <s v="P20"/>
    <x v="0"/>
    <x v="62"/>
    <x v="62"/>
    <x v="1"/>
    <x v="1"/>
  </r>
  <r>
    <n v="9148214"/>
    <s v="JORGE"/>
    <s v="BAEZA"/>
    <s v="REYES"/>
    <x v="0"/>
    <d v="1899-12-30T22:03:56"/>
    <s v="P10"/>
    <x v="1"/>
    <x v="62"/>
    <x v="62"/>
    <x v="1"/>
    <x v="1"/>
  </r>
  <r>
    <n v="9148214"/>
    <s v="JORGE"/>
    <s v="BAEZA"/>
    <s v="REYES"/>
    <x v="1"/>
    <d v="1899-12-30T08:02:19"/>
    <s v="P20"/>
    <x v="0"/>
    <x v="62"/>
    <x v="62"/>
    <x v="1"/>
    <x v="1"/>
  </r>
  <r>
    <n v="9148214"/>
    <s v="JORGE"/>
    <s v="BAEZA"/>
    <s v="REYES"/>
    <x v="2"/>
    <d v="1899-12-30T22:00:34"/>
    <s v="P10"/>
    <x v="1"/>
    <x v="62"/>
    <x v="62"/>
    <x v="1"/>
    <x v="1"/>
  </r>
  <r>
    <n v="9148214"/>
    <s v="JORGE"/>
    <s v="BAEZA"/>
    <s v="REYES"/>
    <x v="3"/>
    <d v="1899-12-30T07:30:35"/>
    <s v="P20"/>
    <x v="0"/>
    <x v="62"/>
    <x v="62"/>
    <x v="1"/>
    <x v="1"/>
  </r>
  <r>
    <n v="9148214"/>
    <s v="JORGE"/>
    <s v="BAEZA"/>
    <s v="REYES"/>
    <x v="3"/>
    <d v="1899-12-30T22:02:16"/>
    <s v="P10"/>
    <x v="1"/>
    <x v="62"/>
    <x v="62"/>
    <x v="1"/>
    <x v="1"/>
  </r>
  <r>
    <n v="9148214"/>
    <s v="JORGE"/>
    <s v="BAEZA"/>
    <s v="REYES"/>
    <x v="4"/>
    <d v="1899-12-30T07:28:37"/>
    <s v="P20"/>
    <x v="0"/>
    <x v="62"/>
    <x v="62"/>
    <x v="1"/>
    <x v="1"/>
  </r>
  <r>
    <n v="9148214"/>
    <s v="JORGE"/>
    <s v="BAEZA"/>
    <s v="REYES"/>
    <x v="4"/>
    <d v="1899-12-30T22:00:35"/>
    <s v="P10"/>
    <x v="1"/>
    <x v="62"/>
    <x v="62"/>
    <x v="1"/>
    <x v="1"/>
  </r>
  <r>
    <n v="9253701"/>
    <s v="JOSE FRANCISCO"/>
    <s v="LEON"/>
    <s v="NUÑEZ"/>
    <x v="0"/>
    <d v="1899-12-30T22:46:10"/>
    <s v="P20"/>
    <x v="0"/>
    <x v="63"/>
    <x v="63"/>
    <x v="0"/>
    <x v="0"/>
  </r>
  <r>
    <n v="9253701"/>
    <s v="JOSE FRANCISCO"/>
    <s v="LEON"/>
    <s v="NUÑEZ"/>
    <x v="0"/>
    <d v="1899-12-30T14:20:42"/>
    <s v="P10"/>
    <x v="1"/>
    <x v="63"/>
    <x v="63"/>
    <x v="0"/>
    <x v="0"/>
  </r>
  <r>
    <n v="9253701"/>
    <s v="JOSE FRANCISCO"/>
    <s v="LEON"/>
    <s v="NUÑEZ"/>
    <x v="1"/>
    <d v="1899-12-30T22:35:48"/>
    <s v="P20"/>
    <x v="0"/>
    <x v="63"/>
    <x v="63"/>
    <x v="0"/>
    <x v="0"/>
  </r>
  <r>
    <n v="9253701"/>
    <s v="JOSE FRANCISCO"/>
    <s v="LEON"/>
    <s v="NUÑEZ"/>
    <x v="1"/>
    <d v="1899-12-30T14:33:59"/>
    <s v="P10"/>
    <x v="1"/>
    <x v="63"/>
    <x v="63"/>
    <x v="0"/>
    <x v="0"/>
  </r>
  <r>
    <n v="9253701"/>
    <s v="JOSE FRANCISCO"/>
    <s v="LEON"/>
    <s v="NUÑEZ"/>
    <x v="2"/>
    <d v="1899-12-30T22:41:30"/>
    <s v="P20"/>
    <x v="0"/>
    <x v="63"/>
    <x v="63"/>
    <x v="0"/>
    <x v="0"/>
  </r>
  <r>
    <n v="9253701"/>
    <s v="JOSE FRANCISCO"/>
    <s v="LEON"/>
    <s v="NUÑEZ"/>
    <x v="2"/>
    <d v="1899-12-30T14:14:05"/>
    <s v="P10"/>
    <x v="1"/>
    <x v="63"/>
    <x v="63"/>
    <x v="0"/>
    <x v="0"/>
  </r>
  <r>
    <n v="9253701"/>
    <s v="JOSE FRANCISCO"/>
    <s v="LEON"/>
    <s v="NUÑEZ"/>
    <x v="3"/>
    <d v="1899-12-30T22:45:52"/>
    <s v="P20"/>
    <x v="0"/>
    <x v="63"/>
    <x v="63"/>
    <x v="0"/>
    <x v="0"/>
  </r>
  <r>
    <n v="9253701"/>
    <s v="JOSE FRANCISCO"/>
    <s v="LEON"/>
    <s v="NUÑEZ"/>
    <x v="3"/>
    <d v="1899-12-30T14:25:57"/>
    <s v="P10"/>
    <x v="1"/>
    <x v="63"/>
    <x v="63"/>
    <x v="0"/>
    <x v="0"/>
  </r>
  <r>
    <n v="9253701"/>
    <s v="JOSE FRANCISCO"/>
    <s v="LEON"/>
    <s v="NUÑEZ"/>
    <x v="4"/>
    <d v="1899-12-30T22:40:29"/>
    <s v="P20"/>
    <x v="0"/>
    <x v="63"/>
    <x v="63"/>
    <x v="0"/>
    <x v="0"/>
  </r>
  <r>
    <n v="9253701"/>
    <s v="JOSE FRANCISCO"/>
    <s v="LEON"/>
    <s v="NUÑEZ"/>
    <x v="4"/>
    <d v="1899-12-30T14:24:46"/>
    <s v="P10"/>
    <x v="1"/>
    <x v="63"/>
    <x v="63"/>
    <x v="0"/>
    <x v="0"/>
  </r>
  <r>
    <n v="9471557"/>
    <s v="SANDRA"/>
    <s v="ARANGUIZ"/>
    <s v="ALIAGA"/>
    <x v="5"/>
    <d v="1899-12-30T00:00:00"/>
    <m/>
    <x v="2"/>
    <x v="64"/>
    <x v="64"/>
    <x v="2"/>
    <x v="2"/>
  </r>
  <r>
    <n v="9485526"/>
    <s v="LUIS ALBERTO"/>
    <s v="ROJAS"/>
    <s v="GONZALEZ"/>
    <x v="0"/>
    <d v="1899-12-30T07:53:18"/>
    <s v="P20"/>
    <x v="0"/>
    <x v="65"/>
    <x v="65"/>
    <x v="1"/>
    <x v="1"/>
  </r>
  <r>
    <n v="9485526"/>
    <s v="LUIS ALBERTO"/>
    <s v="ROJAS"/>
    <s v="GONZALEZ"/>
    <x v="0"/>
    <d v="1899-12-30T22:05:43"/>
    <s v="P10"/>
    <x v="1"/>
    <x v="65"/>
    <x v="65"/>
    <x v="1"/>
    <x v="1"/>
  </r>
  <r>
    <n v="9485526"/>
    <s v="LUIS ALBERTO"/>
    <s v="ROJAS"/>
    <s v="GONZALEZ"/>
    <x v="1"/>
    <d v="1899-12-30T07:53:52"/>
    <s v="P20"/>
    <x v="0"/>
    <x v="65"/>
    <x v="65"/>
    <x v="1"/>
    <x v="1"/>
  </r>
  <r>
    <n v="9485526"/>
    <s v="LUIS ALBERTO"/>
    <s v="ROJAS"/>
    <s v="GONZALEZ"/>
    <x v="6"/>
    <d v="1899-12-30T23:50:21"/>
    <s v="P10"/>
    <x v="1"/>
    <x v="65"/>
    <x v="65"/>
    <x v="1"/>
    <x v="1"/>
  </r>
  <r>
    <n v="9485526"/>
    <s v="LUIS ALBERTO"/>
    <s v="ROJAS"/>
    <s v="GONZALEZ"/>
    <x v="2"/>
    <d v="1899-12-30T07:47:50"/>
    <s v="P20"/>
    <x v="0"/>
    <x v="65"/>
    <x v="65"/>
    <x v="1"/>
    <x v="1"/>
  </r>
  <r>
    <n v="9485526"/>
    <s v="LUIS ALBERTO"/>
    <s v="ROJAS"/>
    <s v="GONZALEZ"/>
    <x v="2"/>
    <d v="1899-12-30T22:02:34"/>
    <s v="P10"/>
    <x v="1"/>
    <x v="65"/>
    <x v="65"/>
    <x v="1"/>
    <x v="1"/>
  </r>
  <r>
    <n v="9485526"/>
    <s v="LUIS ALBERTO"/>
    <s v="ROJAS"/>
    <s v="GONZALEZ"/>
    <x v="3"/>
    <d v="1899-12-30T07:39:08"/>
    <s v="P20"/>
    <x v="0"/>
    <x v="65"/>
    <x v="65"/>
    <x v="1"/>
    <x v="1"/>
  </r>
  <r>
    <n v="9485526"/>
    <s v="LUIS ALBERTO"/>
    <s v="ROJAS"/>
    <s v="GONZALEZ"/>
    <x v="3"/>
    <d v="1899-12-30T22:04:59"/>
    <s v="P10"/>
    <x v="1"/>
    <x v="65"/>
    <x v="65"/>
    <x v="1"/>
    <x v="1"/>
  </r>
  <r>
    <n v="9485526"/>
    <s v="LUIS ALBERTO"/>
    <s v="ROJAS"/>
    <s v="GONZALEZ"/>
    <x v="4"/>
    <d v="1899-12-30T07:40:54"/>
    <s v="P20"/>
    <x v="0"/>
    <x v="65"/>
    <x v="65"/>
    <x v="1"/>
    <x v="1"/>
  </r>
  <r>
    <n v="9485526"/>
    <s v="LUIS ALBERTO"/>
    <s v="ROJAS"/>
    <s v="GONZALEZ"/>
    <x v="4"/>
    <d v="1899-12-30T22:02:41"/>
    <s v="P10"/>
    <x v="1"/>
    <x v="65"/>
    <x v="65"/>
    <x v="1"/>
    <x v="1"/>
  </r>
  <r>
    <n v="9488801"/>
    <s v="LUIS RICARDO"/>
    <s v="PALMA"/>
    <s v="SEREÑO"/>
    <x v="0"/>
    <d v="1899-12-30T07:39:34"/>
    <s v="P20"/>
    <x v="0"/>
    <x v="66"/>
    <x v="66"/>
    <x v="1"/>
    <x v="1"/>
  </r>
  <r>
    <n v="9488801"/>
    <s v="LUIS RICARDO"/>
    <s v="PALMA"/>
    <s v="SEREÑO"/>
    <x v="0"/>
    <d v="1899-12-30T22:14:20"/>
    <s v="P10"/>
    <x v="1"/>
    <x v="66"/>
    <x v="66"/>
    <x v="1"/>
    <x v="1"/>
  </r>
  <r>
    <n v="9488801"/>
    <s v="LUIS RICARDO"/>
    <s v="PALMA"/>
    <s v="SEREÑO"/>
    <x v="1"/>
    <d v="1899-12-30T07:41:51"/>
    <s v="P20"/>
    <x v="0"/>
    <x v="66"/>
    <x v="66"/>
    <x v="1"/>
    <x v="1"/>
  </r>
  <r>
    <n v="9488801"/>
    <s v="LUIS RICARDO"/>
    <s v="PALMA"/>
    <s v="SEREÑO"/>
    <x v="2"/>
    <d v="1899-12-30T22:17:47"/>
    <s v="P10"/>
    <x v="1"/>
    <x v="66"/>
    <x v="66"/>
    <x v="1"/>
    <x v="1"/>
  </r>
  <r>
    <n v="9488801"/>
    <s v="LUIS RICARDO"/>
    <s v="PALMA"/>
    <s v="SEREÑO"/>
    <x v="3"/>
    <d v="1899-12-30T07:39:35"/>
    <s v="P20"/>
    <x v="0"/>
    <x v="66"/>
    <x v="66"/>
    <x v="1"/>
    <x v="1"/>
  </r>
  <r>
    <n v="9488801"/>
    <s v="LUIS RICARDO"/>
    <s v="PALMA"/>
    <s v="SEREÑO"/>
    <x v="3"/>
    <d v="1899-12-30T22:18:08"/>
    <s v="P10"/>
    <x v="1"/>
    <x v="66"/>
    <x v="66"/>
    <x v="1"/>
    <x v="1"/>
  </r>
  <r>
    <n v="9488801"/>
    <s v="LUIS RICARDO"/>
    <s v="PALMA"/>
    <s v="SEREÑO"/>
    <x v="4"/>
    <d v="1899-12-30T07:42:00"/>
    <s v="P20"/>
    <x v="0"/>
    <x v="66"/>
    <x v="66"/>
    <x v="1"/>
    <x v="1"/>
  </r>
  <r>
    <n v="9488801"/>
    <s v="LUIS RICARDO"/>
    <s v="PALMA"/>
    <s v="SEREÑO"/>
    <x v="4"/>
    <d v="1899-12-30T22:16:42"/>
    <s v="P10"/>
    <x v="1"/>
    <x v="66"/>
    <x v="66"/>
    <x v="1"/>
    <x v="1"/>
  </r>
  <r>
    <n v="9488820"/>
    <s v="MARCO ANTONIO"/>
    <s v="MUÑOZ"/>
    <s v="BUGUEÑO"/>
    <x v="0"/>
    <d v="1899-12-30T07:45:30"/>
    <s v="P20"/>
    <x v="0"/>
    <x v="67"/>
    <x v="67"/>
    <x v="1"/>
    <x v="1"/>
  </r>
  <r>
    <n v="9488820"/>
    <s v="MARCO ANTONIO"/>
    <s v="MUÑOZ"/>
    <s v="BUGUEÑO"/>
    <x v="0"/>
    <d v="1899-12-30T19:06:11"/>
    <s v="P10"/>
    <x v="1"/>
    <x v="67"/>
    <x v="67"/>
    <x v="3"/>
    <x v="0"/>
  </r>
  <r>
    <n v="9488820"/>
    <s v="MARCO ANTONIO"/>
    <s v="MUÑOZ"/>
    <s v="BUGUEÑO"/>
    <x v="1"/>
    <d v="1899-12-30T07:48:18"/>
    <s v="P20"/>
    <x v="0"/>
    <x v="67"/>
    <x v="67"/>
    <x v="1"/>
    <x v="1"/>
  </r>
  <r>
    <n v="9488820"/>
    <s v="MARCO ANTONIO"/>
    <s v="MUÑOZ"/>
    <s v="BUGUEÑO"/>
    <x v="1"/>
    <d v="1899-12-30T22:47:44"/>
    <s v="P20"/>
    <x v="0"/>
    <x v="67"/>
    <x v="67"/>
    <x v="0"/>
    <x v="0"/>
  </r>
  <r>
    <n v="9488820"/>
    <s v="MARCO ANTONIO"/>
    <s v="MUÑOZ"/>
    <s v="BUGUEÑO"/>
    <x v="1"/>
    <d v="1899-12-30T14:37:48"/>
    <s v="P10"/>
    <x v="1"/>
    <x v="67"/>
    <x v="67"/>
    <x v="0"/>
    <x v="0"/>
  </r>
  <r>
    <n v="9488820"/>
    <s v="MARCO ANTONIO"/>
    <s v="MUÑOZ"/>
    <s v="BUGUEÑO"/>
    <x v="2"/>
    <d v="1899-12-30T22:02:06"/>
    <s v="P10"/>
    <x v="1"/>
    <x v="67"/>
    <x v="67"/>
    <x v="1"/>
    <x v="1"/>
  </r>
  <r>
    <n v="9488820"/>
    <s v="MARCO ANTONIO"/>
    <s v="MUÑOZ"/>
    <s v="BUGUEÑO"/>
    <x v="3"/>
    <d v="1899-12-30T07:42:21"/>
    <s v="P20"/>
    <x v="0"/>
    <x v="67"/>
    <x v="67"/>
    <x v="1"/>
    <x v="1"/>
  </r>
  <r>
    <n v="9488820"/>
    <s v="MARCO ANTONIO"/>
    <s v="MUÑOZ"/>
    <s v="BUGUEÑO"/>
    <x v="3"/>
    <d v="1899-12-30T22:05:03"/>
    <s v="P10"/>
    <x v="1"/>
    <x v="67"/>
    <x v="67"/>
    <x v="1"/>
    <x v="1"/>
  </r>
  <r>
    <n v="9488820"/>
    <s v="MARCO ANTONIO"/>
    <s v="MUÑOZ"/>
    <s v="BUGUEÑO"/>
    <x v="4"/>
    <d v="1899-12-30T07:44:58"/>
    <s v="P20"/>
    <x v="0"/>
    <x v="67"/>
    <x v="67"/>
    <x v="1"/>
    <x v="1"/>
  </r>
  <r>
    <n v="9488820"/>
    <s v="MARCO ANTONIO"/>
    <s v="MUÑOZ"/>
    <s v="BUGUEÑO"/>
    <x v="4"/>
    <d v="1899-12-30T19:24:11"/>
    <s v="P10"/>
    <x v="1"/>
    <x v="67"/>
    <x v="67"/>
    <x v="3"/>
    <x v="0"/>
  </r>
  <r>
    <n v="9503712"/>
    <s v="MANUEL"/>
    <s v="ORTIZ"/>
    <s v="CONTRERAS"/>
    <x v="0"/>
    <d v="1899-12-30T15:13:16"/>
    <s v="P20"/>
    <x v="0"/>
    <x v="68"/>
    <x v="68"/>
    <x v="3"/>
    <x v="0"/>
  </r>
  <r>
    <n v="9503712"/>
    <s v="MANUEL"/>
    <s v="ORTIZ"/>
    <s v="CONTRERAS"/>
    <x v="0"/>
    <d v="1899-12-30T06:58:57"/>
    <s v="P10"/>
    <x v="1"/>
    <x v="68"/>
    <x v="68"/>
    <x v="3"/>
    <x v="0"/>
  </r>
  <r>
    <n v="9503712"/>
    <s v="MANUEL"/>
    <s v="ORTIZ"/>
    <s v="CONTRERAS"/>
    <x v="1"/>
    <d v="1899-12-30T15:14:55"/>
    <s v="P20"/>
    <x v="0"/>
    <x v="68"/>
    <x v="68"/>
    <x v="3"/>
    <x v="0"/>
  </r>
  <r>
    <n v="9503712"/>
    <s v="MANUEL"/>
    <s v="ORTIZ"/>
    <s v="CONTRERAS"/>
    <x v="1"/>
    <d v="1899-12-30T06:59:47"/>
    <s v="P10"/>
    <x v="1"/>
    <x v="68"/>
    <x v="68"/>
    <x v="3"/>
    <x v="0"/>
  </r>
  <r>
    <n v="9503712"/>
    <s v="MANUEL"/>
    <s v="ORTIZ"/>
    <s v="CONTRERAS"/>
    <x v="3"/>
    <d v="1899-12-30T15:16:14"/>
    <s v="P20"/>
    <x v="0"/>
    <x v="68"/>
    <x v="68"/>
    <x v="3"/>
    <x v="0"/>
  </r>
  <r>
    <n v="9503712"/>
    <s v="MANUEL"/>
    <s v="ORTIZ"/>
    <s v="CONTRERAS"/>
    <x v="3"/>
    <d v="1899-12-30T06:55:15"/>
    <s v="P10"/>
    <x v="1"/>
    <x v="68"/>
    <x v="68"/>
    <x v="3"/>
    <x v="0"/>
  </r>
  <r>
    <n v="9503712"/>
    <s v="MANUEL"/>
    <s v="ORTIZ"/>
    <s v="CONTRERAS"/>
    <x v="4"/>
    <d v="1899-12-30T15:15:12"/>
    <s v="P20"/>
    <x v="0"/>
    <x v="68"/>
    <x v="68"/>
    <x v="3"/>
    <x v="0"/>
  </r>
  <r>
    <n v="9503712"/>
    <s v="MANUEL"/>
    <s v="ORTIZ"/>
    <s v="CONTRERAS"/>
    <x v="4"/>
    <d v="1899-12-30T06:59:16"/>
    <s v="P10"/>
    <x v="1"/>
    <x v="68"/>
    <x v="68"/>
    <x v="3"/>
    <x v="0"/>
  </r>
  <r>
    <n v="9571017"/>
    <s v="MIGUEL FRANCISCO"/>
    <s v="GALLARDO"/>
    <s v="CASTRO"/>
    <x v="0"/>
    <d v="1899-12-30T00:29:02"/>
    <s v="P20"/>
    <x v="0"/>
    <x v="69"/>
    <x v="69"/>
    <x v="0"/>
    <x v="0"/>
  </r>
  <r>
    <n v="9571017"/>
    <s v="MIGUEL FRANCISCO"/>
    <s v="GALLARDO"/>
    <s v="CASTRO"/>
    <x v="0"/>
    <d v="1899-12-30T23:02:16"/>
    <s v="P20"/>
    <x v="0"/>
    <x v="69"/>
    <x v="69"/>
    <x v="0"/>
    <x v="0"/>
  </r>
  <r>
    <n v="9571017"/>
    <s v="MIGUEL FRANCISCO"/>
    <s v="GALLARDO"/>
    <s v="CASTRO"/>
    <x v="0"/>
    <d v="1899-12-30T13:36:49"/>
    <s v="P10"/>
    <x v="1"/>
    <x v="69"/>
    <x v="69"/>
    <x v="0"/>
    <x v="0"/>
  </r>
  <r>
    <n v="9571017"/>
    <s v="MIGUEL FRANCISCO"/>
    <s v="GALLARDO"/>
    <s v="CASTRO"/>
    <x v="1"/>
    <d v="1899-12-30T21:59:29"/>
    <s v="P20"/>
    <x v="0"/>
    <x v="69"/>
    <x v="69"/>
    <x v="0"/>
    <x v="0"/>
  </r>
  <r>
    <n v="9571017"/>
    <s v="MIGUEL FRANCISCO"/>
    <s v="GALLARDO"/>
    <s v="CASTRO"/>
    <x v="1"/>
    <d v="1899-12-30T15:34:25"/>
    <s v="P10"/>
    <x v="1"/>
    <x v="69"/>
    <x v="69"/>
    <x v="0"/>
    <x v="0"/>
  </r>
  <r>
    <n v="9571017"/>
    <s v="MIGUEL FRANCISCO"/>
    <s v="GALLARDO"/>
    <s v="CASTRO"/>
    <x v="2"/>
    <d v="1899-12-30T23:09:04"/>
    <s v="P20"/>
    <x v="0"/>
    <x v="69"/>
    <x v="69"/>
    <x v="0"/>
    <x v="0"/>
  </r>
  <r>
    <n v="9571017"/>
    <s v="MIGUEL FRANCISCO"/>
    <s v="GALLARDO"/>
    <s v="CASTRO"/>
    <x v="2"/>
    <d v="1899-12-30T12:27:41"/>
    <s v="P10"/>
    <x v="1"/>
    <x v="69"/>
    <x v="69"/>
    <x v="0"/>
    <x v="0"/>
  </r>
  <r>
    <n v="9571017"/>
    <s v="MIGUEL FRANCISCO"/>
    <s v="GALLARDO"/>
    <s v="CASTRO"/>
    <x v="3"/>
    <d v="1899-12-30T12:54:43"/>
    <s v="P10"/>
    <x v="1"/>
    <x v="69"/>
    <x v="69"/>
    <x v="0"/>
    <x v="0"/>
  </r>
  <r>
    <n v="9571017"/>
    <s v="MIGUEL FRANCISCO"/>
    <s v="GALLARDO"/>
    <s v="CASTRO"/>
    <x v="4"/>
    <d v="1899-12-30T00:15:27"/>
    <s v="P20"/>
    <x v="0"/>
    <x v="69"/>
    <x v="69"/>
    <x v="0"/>
    <x v="0"/>
  </r>
  <r>
    <n v="9571017"/>
    <s v="MIGUEL FRANCISCO"/>
    <s v="GALLARDO"/>
    <s v="CASTRO"/>
    <x v="4"/>
    <d v="1899-12-30T13:27:07"/>
    <s v="P10"/>
    <x v="1"/>
    <x v="69"/>
    <x v="69"/>
    <x v="0"/>
    <x v="0"/>
  </r>
  <r>
    <n v="9608532"/>
    <s v="LUIS"/>
    <s v="PEZO"/>
    <s v="ANRIQUEZ"/>
    <x v="5"/>
    <d v="1899-12-30T00:00:00"/>
    <m/>
    <x v="2"/>
    <x v="70"/>
    <x v="70"/>
    <x v="2"/>
    <x v="2"/>
  </r>
  <r>
    <n v="9613720"/>
    <s v="ANGELA"/>
    <s v="MUÑOZ"/>
    <s v="GONZALEZ"/>
    <x v="0"/>
    <d v="1899-12-30T22:49:09"/>
    <s v="P20"/>
    <x v="0"/>
    <x v="71"/>
    <x v="71"/>
    <x v="0"/>
    <x v="0"/>
  </r>
  <r>
    <n v="9613720"/>
    <s v="ANGELA"/>
    <s v="MUÑOZ"/>
    <s v="GONZALEZ"/>
    <x v="0"/>
    <d v="1899-12-30T14:49:54"/>
    <s v="P10"/>
    <x v="1"/>
    <x v="71"/>
    <x v="71"/>
    <x v="0"/>
    <x v="0"/>
  </r>
  <r>
    <n v="9613720"/>
    <s v="ANGELA"/>
    <s v="MUÑOZ"/>
    <s v="GONZALEZ"/>
    <x v="1"/>
    <d v="1899-12-30T22:49:41"/>
    <s v="P20"/>
    <x v="0"/>
    <x v="71"/>
    <x v="71"/>
    <x v="0"/>
    <x v="0"/>
  </r>
  <r>
    <n v="9613720"/>
    <s v="ANGELA"/>
    <s v="MUÑOZ"/>
    <s v="GONZALEZ"/>
    <x v="1"/>
    <d v="1899-12-30T14:44:43"/>
    <s v="P10"/>
    <x v="1"/>
    <x v="71"/>
    <x v="71"/>
    <x v="0"/>
    <x v="0"/>
  </r>
  <r>
    <n v="9613720"/>
    <s v="ANGELA"/>
    <s v="MUÑOZ"/>
    <s v="GONZALEZ"/>
    <x v="2"/>
    <d v="1899-12-30T22:43:02"/>
    <s v="P20"/>
    <x v="0"/>
    <x v="71"/>
    <x v="71"/>
    <x v="0"/>
    <x v="0"/>
  </r>
  <r>
    <n v="9613720"/>
    <s v="ANGELA"/>
    <s v="MUÑOZ"/>
    <s v="GONZALEZ"/>
    <x v="2"/>
    <d v="1899-12-30T14:36:39"/>
    <s v="P10"/>
    <x v="1"/>
    <x v="71"/>
    <x v="71"/>
    <x v="0"/>
    <x v="0"/>
  </r>
  <r>
    <n v="9613720"/>
    <s v="ANGELA"/>
    <s v="MUÑOZ"/>
    <s v="GONZALEZ"/>
    <x v="3"/>
    <d v="1899-12-30T22:38:21"/>
    <s v="P20"/>
    <x v="0"/>
    <x v="71"/>
    <x v="71"/>
    <x v="0"/>
    <x v="0"/>
  </r>
  <r>
    <n v="9613720"/>
    <s v="ANGELA"/>
    <s v="MUÑOZ"/>
    <s v="GONZALEZ"/>
    <x v="3"/>
    <d v="1899-12-30T14:35:51"/>
    <s v="P10"/>
    <x v="1"/>
    <x v="71"/>
    <x v="71"/>
    <x v="0"/>
    <x v="0"/>
  </r>
  <r>
    <n v="9613720"/>
    <s v="ANGELA"/>
    <s v="MUÑOZ"/>
    <s v="GONZALEZ"/>
    <x v="4"/>
    <d v="1899-12-30T22:44:08"/>
    <s v="P20"/>
    <x v="0"/>
    <x v="71"/>
    <x v="71"/>
    <x v="0"/>
    <x v="0"/>
  </r>
  <r>
    <n v="9613720"/>
    <s v="ANGELA"/>
    <s v="MUÑOZ"/>
    <s v="GONZALEZ"/>
    <x v="4"/>
    <d v="1899-12-30T14:35:55"/>
    <s v="P10"/>
    <x v="1"/>
    <x v="71"/>
    <x v="71"/>
    <x v="0"/>
    <x v="0"/>
  </r>
  <r>
    <n v="9741880"/>
    <s v="LAURA CECILIA"/>
    <s v="REINOSO"/>
    <s v="SALAS"/>
    <x v="0"/>
    <d v="1899-12-30T22:55:23"/>
    <s v="P20"/>
    <x v="0"/>
    <x v="72"/>
    <x v="72"/>
    <x v="0"/>
    <x v="0"/>
  </r>
  <r>
    <n v="9741880"/>
    <s v="LAURA CECILIA"/>
    <s v="REINOSO"/>
    <s v="SALAS"/>
    <x v="0"/>
    <d v="1899-12-30T15:12:53"/>
    <s v="P10"/>
    <x v="1"/>
    <x v="72"/>
    <x v="72"/>
    <x v="0"/>
    <x v="0"/>
  </r>
  <r>
    <n v="9741880"/>
    <s v="LAURA CECILIA"/>
    <s v="REINOSO"/>
    <s v="SALAS"/>
    <x v="1"/>
    <d v="1899-12-30T15:07:40"/>
    <s v="P20"/>
    <x v="0"/>
    <x v="72"/>
    <x v="72"/>
    <x v="0"/>
    <x v="0"/>
  </r>
  <r>
    <n v="9741880"/>
    <s v="LAURA CECILIA"/>
    <s v="REINOSO"/>
    <s v="SALAS"/>
    <x v="1"/>
    <d v="1899-12-30T07:03:07"/>
    <s v="P10"/>
    <x v="1"/>
    <x v="72"/>
    <x v="72"/>
    <x v="0"/>
    <x v="0"/>
  </r>
  <r>
    <n v="9741880"/>
    <s v="LAURA CECILIA"/>
    <s v="REINOSO"/>
    <s v="SALAS"/>
    <x v="2"/>
    <d v="1899-12-30T14:58:47"/>
    <s v="P20"/>
    <x v="0"/>
    <x v="72"/>
    <x v="72"/>
    <x v="0"/>
    <x v="0"/>
  </r>
  <r>
    <n v="9741880"/>
    <s v="LAURA CECILIA"/>
    <s v="REINOSO"/>
    <s v="SALAS"/>
    <x v="2"/>
    <d v="1899-12-30T06:46:47"/>
    <s v="P10"/>
    <x v="1"/>
    <x v="72"/>
    <x v="72"/>
    <x v="0"/>
    <x v="0"/>
  </r>
  <r>
    <n v="9741880"/>
    <s v="LAURA CECILIA"/>
    <s v="REINOSO"/>
    <s v="SALAS"/>
    <x v="3"/>
    <d v="1899-12-30T23:22:50"/>
    <s v="P20"/>
    <x v="0"/>
    <x v="72"/>
    <x v="72"/>
    <x v="0"/>
    <x v="0"/>
  </r>
  <r>
    <n v="9741880"/>
    <s v="LAURA CECILIA"/>
    <s v="REINOSO"/>
    <s v="SALAS"/>
    <x v="3"/>
    <d v="1899-12-30T14:50:33"/>
    <s v="P10"/>
    <x v="1"/>
    <x v="72"/>
    <x v="72"/>
    <x v="0"/>
    <x v="0"/>
  </r>
  <r>
    <n v="9741880"/>
    <s v="LAURA CECILIA"/>
    <s v="REINOSO"/>
    <s v="SALAS"/>
    <x v="4"/>
    <d v="1899-12-30T22:47:24"/>
    <s v="P20"/>
    <x v="0"/>
    <x v="72"/>
    <x v="72"/>
    <x v="0"/>
    <x v="0"/>
  </r>
  <r>
    <n v="9741880"/>
    <s v="LAURA CECILIA"/>
    <s v="REINOSO"/>
    <s v="SALAS"/>
    <x v="4"/>
    <d v="1899-12-30T14:53:59"/>
    <s v="P10"/>
    <x v="1"/>
    <x v="72"/>
    <x v="72"/>
    <x v="0"/>
    <x v="0"/>
  </r>
  <r>
    <n v="9748915"/>
    <s v="VICTOR MANUEL"/>
    <s v="HENRIQUEZ"/>
    <s v="FLORES"/>
    <x v="0"/>
    <d v="1899-12-30T15:11:01"/>
    <s v="P20"/>
    <x v="0"/>
    <x v="73"/>
    <x v="73"/>
    <x v="4"/>
    <x v="2"/>
  </r>
  <r>
    <n v="9748915"/>
    <s v="VICTOR MANUEL"/>
    <s v="HENRIQUEZ"/>
    <s v="FLORES"/>
    <x v="0"/>
    <d v="1899-12-30T08:10:09"/>
    <s v="P10"/>
    <x v="1"/>
    <x v="73"/>
    <x v="73"/>
    <x v="4"/>
    <x v="2"/>
  </r>
  <r>
    <n v="9748915"/>
    <s v="VICTOR MANUEL"/>
    <s v="HENRIQUEZ"/>
    <s v="FLORES"/>
    <x v="1"/>
    <d v="1899-12-30T16:40:13"/>
    <s v="P20"/>
    <x v="0"/>
    <x v="73"/>
    <x v="73"/>
    <x v="4"/>
    <x v="2"/>
  </r>
  <r>
    <n v="9748915"/>
    <s v="VICTOR MANUEL"/>
    <s v="HENRIQUEZ"/>
    <s v="FLORES"/>
    <x v="1"/>
    <d v="1899-12-30T09:06:25"/>
    <s v="P10"/>
    <x v="1"/>
    <x v="73"/>
    <x v="73"/>
    <x v="4"/>
    <x v="2"/>
  </r>
  <r>
    <n v="9748915"/>
    <s v="VICTOR MANUEL"/>
    <s v="HENRIQUEZ"/>
    <s v="FLORES"/>
    <x v="2"/>
    <d v="1899-12-30T15:30:12"/>
    <s v="P20"/>
    <x v="0"/>
    <x v="73"/>
    <x v="73"/>
    <x v="4"/>
    <x v="2"/>
  </r>
  <r>
    <n v="9748915"/>
    <s v="VICTOR MANUEL"/>
    <s v="HENRIQUEZ"/>
    <s v="FLORES"/>
    <x v="2"/>
    <d v="1899-12-30T07:54:13"/>
    <s v="P10"/>
    <x v="1"/>
    <x v="73"/>
    <x v="73"/>
    <x v="4"/>
    <x v="2"/>
  </r>
  <r>
    <n v="9748915"/>
    <s v="VICTOR MANUEL"/>
    <s v="HENRIQUEZ"/>
    <s v="FLORES"/>
    <x v="3"/>
    <d v="1899-12-30T15:54:30"/>
    <s v="P20"/>
    <x v="0"/>
    <x v="73"/>
    <x v="73"/>
    <x v="4"/>
    <x v="2"/>
  </r>
  <r>
    <n v="9748915"/>
    <s v="VICTOR MANUEL"/>
    <s v="HENRIQUEZ"/>
    <s v="FLORES"/>
    <x v="3"/>
    <d v="1899-12-30T07:45:42"/>
    <s v="P10"/>
    <x v="1"/>
    <x v="73"/>
    <x v="73"/>
    <x v="4"/>
    <x v="2"/>
  </r>
  <r>
    <n v="9748915"/>
    <s v="VICTOR MANUEL"/>
    <s v="HENRIQUEZ"/>
    <s v="FLORES"/>
    <x v="4"/>
    <d v="1899-12-30T22:33:57"/>
    <s v="P20"/>
    <x v="0"/>
    <x v="73"/>
    <x v="73"/>
    <x v="4"/>
    <x v="2"/>
  </r>
  <r>
    <n v="9748915"/>
    <s v="VICTOR MANUEL"/>
    <s v="HENRIQUEZ"/>
    <s v="FLORES"/>
    <x v="4"/>
    <d v="1899-12-30T15:01:54"/>
    <s v="P10"/>
    <x v="1"/>
    <x v="73"/>
    <x v="73"/>
    <x v="4"/>
    <x v="2"/>
  </r>
  <r>
    <n v="9774031"/>
    <s v="VICTOR"/>
    <s v="CACERES"/>
    <s v="VASQUEZ"/>
    <x v="0"/>
    <d v="1899-12-30T07:47:35"/>
    <s v="P20"/>
    <x v="0"/>
    <x v="74"/>
    <x v="74"/>
    <x v="1"/>
    <x v="1"/>
  </r>
  <r>
    <n v="9774031"/>
    <s v="VICTOR"/>
    <s v="CACERES"/>
    <s v="VASQUEZ"/>
    <x v="0"/>
    <d v="1899-12-30T22:01:39"/>
    <s v="P10"/>
    <x v="1"/>
    <x v="74"/>
    <x v="74"/>
    <x v="1"/>
    <x v="1"/>
  </r>
  <r>
    <n v="9774031"/>
    <s v="VICTOR"/>
    <s v="CACERES"/>
    <s v="VASQUEZ"/>
    <x v="1"/>
    <d v="1899-12-30T07:48:26"/>
    <s v="P20"/>
    <x v="0"/>
    <x v="74"/>
    <x v="74"/>
    <x v="1"/>
    <x v="1"/>
  </r>
  <r>
    <n v="9774031"/>
    <s v="VICTOR"/>
    <s v="CACERES"/>
    <s v="VASQUEZ"/>
    <x v="2"/>
    <d v="1899-12-30T22:00:50"/>
    <s v="P10"/>
    <x v="1"/>
    <x v="74"/>
    <x v="74"/>
    <x v="1"/>
    <x v="1"/>
  </r>
  <r>
    <n v="9774031"/>
    <s v="VICTOR"/>
    <s v="CACERES"/>
    <s v="VASQUEZ"/>
    <x v="3"/>
    <d v="1899-12-30T07:44:25"/>
    <s v="P20"/>
    <x v="0"/>
    <x v="74"/>
    <x v="74"/>
    <x v="1"/>
    <x v="1"/>
  </r>
  <r>
    <n v="9774031"/>
    <s v="VICTOR"/>
    <s v="CACERES"/>
    <s v="VASQUEZ"/>
    <x v="3"/>
    <d v="1899-12-30T22:02:44"/>
    <s v="P10"/>
    <x v="1"/>
    <x v="74"/>
    <x v="74"/>
    <x v="1"/>
    <x v="1"/>
  </r>
  <r>
    <n v="9774031"/>
    <s v="VICTOR"/>
    <s v="CACERES"/>
    <s v="VASQUEZ"/>
    <x v="4"/>
    <d v="1899-12-30T07:53:22"/>
    <s v="P20"/>
    <x v="0"/>
    <x v="74"/>
    <x v="74"/>
    <x v="1"/>
    <x v="1"/>
  </r>
  <r>
    <n v="9774031"/>
    <s v="VICTOR"/>
    <s v="CACERES"/>
    <s v="VASQUEZ"/>
    <x v="4"/>
    <d v="1899-12-30T22:00:43"/>
    <s v="P10"/>
    <x v="1"/>
    <x v="74"/>
    <x v="74"/>
    <x v="1"/>
    <x v="1"/>
  </r>
  <r>
    <n v="9806171"/>
    <s v="VICTOR MANUEL"/>
    <s v="RIOS"/>
    <s v="MIRANDA"/>
    <x v="0"/>
    <d v="1899-12-30T07:45:49"/>
    <s v="P20"/>
    <x v="0"/>
    <x v="75"/>
    <x v="75"/>
    <x v="1"/>
    <x v="1"/>
  </r>
  <r>
    <n v="9806171"/>
    <s v="VICTOR MANUEL"/>
    <s v="RIOS"/>
    <s v="MIRANDA"/>
    <x v="0"/>
    <d v="1899-12-30T21:54:37"/>
    <s v="P10"/>
    <x v="1"/>
    <x v="75"/>
    <x v="75"/>
    <x v="1"/>
    <x v="1"/>
  </r>
  <r>
    <n v="9806171"/>
    <s v="VICTOR MANUEL"/>
    <s v="RIOS"/>
    <s v="MIRANDA"/>
    <x v="1"/>
    <d v="1899-12-30T07:55:23"/>
    <s v="P20"/>
    <x v="0"/>
    <x v="75"/>
    <x v="75"/>
    <x v="1"/>
    <x v="1"/>
  </r>
  <r>
    <n v="9806171"/>
    <s v="VICTOR MANUEL"/>
    <s v="RIOS"/>
    <s v="MIRANDA"/>
    <x v="2"/>
    <d v="1899-12-30T21:51:45"/>
    <s v="P10"/>
    <x v="1"/>
    <x v="75"/>
    <x v="75"/>
    <x v="1"/>
    <x v="1"/>
  </r>
  <r>
    <n v="9806171"/>
    <s v="VICTOR MANUEL"/>
    <s v="RIOS"/>
    <s v="MIRANDA"/>
    <x v="3"/>
    <d v="1899-12-30T07:46:57"/>
    <s v="P20"/>
    <x v="0"/>
    <x v="75"/>
    <x v="75"/>
    <x v="1"/>
    <x v="1"/>
  </r>
  <r>
    <n v="9806171"/>
    <s v="VICTOR MANUEL"/>
    <s v="RIOS"/>
    <s v="MIRANDA"/>
    <x v="3"/>
    <d v="1899-12-30T22:00:28"/>
    <s v="P10"/>
    <x v="1"/>
    <x v="75"/>
    <x v="75"/>
    <x v="1"/>
    <x v="1"/>
  </r>
  <r>
    <n v="9806171"/>
    <s v="VICTOR MANUEL"/>
    <s v="RIOS"/>
    <s v="MIRANDA"/>
    <x v="4"/>
    <d v="1899-12-30T07:43:16"/>
    <s v="P20"/>
    <x v="0"/>
    <x v="75"/>
    <x v="75"/>
    <x v="1"/>
    <x v="1"/>
  </r>
  <r>
    <n v="9806171"/>
    <s v="VICTOR MANUEL"/>
    <s v="RIOS"/>
    <s v="MIRANDA"/>
    <x v="4"/>
    <d v="1899-12-30T21:55:24"/>
    <s v="P10"/>
    <x v="1"/>
    <x v="75"/>
    <x v="75"/>
    <x v="1"/>
    <x v="1"/>
  </r>
  <r>
    <n v="9832710"/>
    <s v="OMAR FCO."/>
    <s v="CARO"/>
    <s v="RODRIGUEZ"/>
    <x v="0"/>
    <d v="1899-12-30T18:16:07"/>
    <s v="P20"/>
    <x v="0"/>
    <x v="76"/>
    <x v="76"/>
    <x v="4"/>
    <x v="2"/>
  </r>
  <r>
    <n v="9832710"/>
    <s v="OMAR FCO."/>
    <s v="CARO"/>
    <s v="RODRIGUEZ"/>
    <x v="0"/>
    <d v="1899-12-30T08:19:27"/>
    <s v="P10"/>
    <x v="1"/>
    <x v="76"/>
    <x v="76"/>
    <x v="4"/>
    <x v="2"/>
  </r>
  <r>
    <n v="9832710"/>
    <s v="OMAR FCO."/>
    <s v="CARO"/>
    <s v="RODRIGUEZ"/>
    <x v="2"/>
    <d v="1899-12-30T18:19:59"/>
    <s v="P20"/>
    <x v="0"/>
    <x v="76"/>
    <x v="76"/>
    <x v="4"/>
    <x v="2"/>
  </r>
  <r>
    <n v="9832710"/>
    <s v="OMAR FCO."/>
    <s v="CARO"/>
    <s v="RODRIGUEZ"/>
    <x v="2"/>
    <d v="1899-12-30T08:16:09"/>
    <s v="P10"/>
    <x v="1"/>
    <x v="76"/>
    <x v="76"/>
    <x v="4"/>
    <x v="2"/>
  </r>
  <r>
    <n v="9832710"/>
    <s v="OMAR FCO."/>
    <s v="CARO"/>
    <s v="RODRIGUEZ"/>
    <x v="3"/>
    <d v="1899-12-30T18:23:56"/>
    <s v="P20"/>
    <x v="0"/>
    <x v="76"/>
    <x v="76"/>
    <x v="4"/>
    <x v="2"/>
  </r>
  <r>
    <n v="9832710"/>
    <s v="OMAR FCO."/>
    <s v="CARO"/>
    <s v="RODRIGUEZ"/>
    <x v="3"/>
    <d v="1899-12-30T08:30:17"/>
    <s v="P10"/>
    <x v="1"/>
    <x v="76"/>
    <x v="76"/>
    <x v="4"/>
    <x v="2"/>
  </r>
  <r>
    <n v="9832710"/>
    <s v="OMAR FCO."/>
    <s v="CARO"/>
    <s v="RODRIGUEZ"/>
    <x v="4"/>
    <d v="1899-12-30T18:27:27"/>
    <s v="P20"/>
    <x v="0"/>
    <x v="76"/>
    <x v="76"/>
    <x v="4"/>
    <x v="2"/>
  </r>
  <r>
    <n v="9832710"/>
    <s v="OMAR FCO."/>
    <s v="CARO"/>
    <s v="RODRIGUEZ"/>
    <x v="4"/>
    <d v="1899-12-30T08:16:45"/>
    <s v="P10"/>
    <x v="1"/>
    <x v="76"/>
    <x v="76"/>
    <x v="4"/>
    <x v="2"/>
  </r>
  <r>
    <n v="9839411"/>
    <s v="VICTOR MANUEL"/>
    <s v="RUBIO"/>
    <s v="AYALA"/>
    <x v="0"/>
    <d v="1899-12-30T19:54:18"/>
    <s v="P20"/>
    <x v="0"/>
    <x v="77"/>
    <x v="77"/>
    <x v="2"/>
    <x v="2"/>
  </r>
  <r>
    <n v="9839411"/>
    <s v="VICTOR MANUEL"/>
    <s v="RUBIO"/>
    <s v="AYALA"/>
    <x v="0"/>
    <d v="1899-12-30T07:13:06"/>
    <s v="P10"/>
    <x v="1"/>
    <x v="77"/>
    <x v="77"/>
    <x v="3"/>
    <x v="0"/>
  </r>
  <r>
    <n v="9839411"/>
    <s v="VICTOR MANUEL"/>
    <s v="RUBIO"/>
    <s v="AYALA"/>
    <x v="1"/>
    <d v="1899-12-30T15:38:07"/>
    <s v="P20"/>
    <x v="0"/>
    <x v="77"/>
    <x v="77"/>
    <x v="3"/>
    <x v="0"/>
  </r>
  <r>
    <n v="9839411"/>
    <s v="VICTOR MANUEL"/>
    <s v="RUBIO"/>
    <s v="AYALA"/>
    <x v="1"/>
    <d v="1899-12-30T07:23:31"/>
    <s v="P10"/>
    <x v="1"/>
    <x v="77"/>
    <x v="77"/>
    <x v="3"/>
    <x v="0"/>
  </r>
  <r>
    <n v="9839411"/>
    <s v="VICTOR MANUEL"/>
    <s v="RUBIO"/>
    <s v="AYALA"/>
    <x v="2"/>
    <d v="1899-12-30T19:47:52"/>
    <s v="P20"/>
    <x v="0"/>
    <x v="77"/>
    <x v="77"/>
    <x v="2"/>
    <x v="2"/>
  </r>
  <r>
    <n v="9839411"/>
    <s v="VICTOR MANUEL"/>
    <s v="RUBIO"/>
    <s v="AYALA"/>
    <x v="2"/>
    <d v="1899-12-30T07:14:28"/>
    <s v="P10"/>
    <x v="1"/>
    <x v="77"/>
    <x v="77"/>
    <x v="3"/>
    <x v="0"/>
  </r>
  <r>
    <n v="9839411"/>
    <s v="VICTOR MANUEL"/>
    <s v="RUBIO"/>
    <s v="AYALA"/>
    <x v="3"/>
    <d v="1899-12-30T19:42:00"/>
    <s v="P20"/>
    <x v="0"/>
    <x v="77"/>
    <x v="77"/>
    <x v="2"/>
    <x v="2"/>
  </r>
  <r>
    <n v="9839411"/>
    <s v="VICTOR MANUEL"/>
    <s v="RUBIO"/>
    <s v="AYALA"/>
    <x v="3"/>
    <d v="1899-12-30T07:17:08"/>
    <s v="P10"/>
    <x v="1"/>
    <x v="77"/>
    <x v="77"/>
    <x v="3"/>
    <x v="0"/>
  </r>
  <r>
    <n v="9839411"/>
    <s v="VICTOR MANUEL"/>
    <s v="RUBIO"/>
    <s v="AYALA"/>
    <x v="4"/>
    <d v="1899-12-30T19:40:28"/>
    <s v="P20"/>
    <x v="0"/>
    <x v="77"/>
    <x v="77"/>
    <x v="2"/>
    <x v="2"/>
  </r>
  <r>
    <n v="9839411"/>
    <s v="VICTOR MANUEL"/>
    <s v="RUBIO"/>
    <s v="AYALA"/>
    <x v="4"/>
    <d v="1899-12-30T07:16:11"/>
    <s v="P10"/>
    <x v="1"/>
    <x v="77"/>
    <x v="77"/>
    <x v="3"/>
    <x v="0"/>
  </r>
  <r>
    <n v="9878189"/>
    <s v="GUILLERMO"/>
    <s v="LEON"/>
    <s v="GALVEZ"/>
    <x v="0"/>
    <d v="1899-12-30T15:19:38"/>
    <s v="P20"/>
    <x v="0"/>
    <x v="78"/>
    <x v="78"/>
    <x v="3"/>
    <x v="0"/>
  </r>
  <r>
    <n v="9878189"/>
    <s v="GUILLERMO"/>
    <s v="LEON"/>
    <s v="GALVEZ"/>
    <x v="0"/>
    <d v="1899-12-30T07:06:33"/>
    <s v="P10"/>
    <x v="1"/>
    <x v="78"/>
    <x v="78"/>
    <x v="3"/>
    <x v="0"/>
  </r>
  <r>
    <n v="9878189"/>
    <s v="GUILLERMO"/>
    <s v="LEON"/>
    <s v="GALVEZ"/>
    <x v="2"/>
    <d v="1899-12-30T15:17:09"/>
    <s v="P20"/>
    <x v="0"/>
    <x v="78"/>
    <x v="78"/>
    <x v="3"/>
    <x v="0"/>
  </r>
  <r>
    <n v="9878189"/>
    <s v="GUILLERMO"/>
    <s v="LEON"/>
    <s v="GALVEZ"/>
    <x v="2"/>
    <d v="1899-12-30T06:59:40"/>
    <s v="P10"/>
    <x v="1"/>
    <x v="78"/>
    <x v="78"/>
    <x v="3"/>
    <x v="0"/>
  </r>
  <r>
    <n v="9878189"/>
    <s v="GUILLERMO"/>
    <s v="LEON"/>
    <s v="GALVEZ"/>
    <x v="3"/>
    <d v="1899-12-30T15:19:09"/>
    <s v="P20"/>
    <x v="0"/>
    <x v="78"/>
    <x v="78"/>
    <x v="3"/>
    <x v="0"/>
  </r>
  <r>
    <n v="9878189"/>
    <s v="GUILLERMO"/>
    <s v="LEON"/>
    <s v="GALVEZ"/>
    <x v="3"/>
    <d v="1899-12-30T06:52:13"/>
    <s v="P10"/>
    <x v="1"/>
    <x v="78"/>
    <x v="78"/>
    <x v="3"/>
    <x v="0"/>
  </r>
  <r>
    <n v="9878189"/>
    <s v="GUILLERMO"/>
    <s v="LEON"/>
    <s v="GALVEZ"/>
    <x v="4"/>
    <d v="1899-12-30T15:19:34"/>
    <s v="P20"/>
    <x v="0"/>
    <x v="78"/>
    <x v="78"/>
    <x v="3"/>
    <x v="0"/>
  </r>
  <r>
    <n v="9878189"/>
    <s v="GUILLERMO"/>
    <s v="LEON"/>
    <s v="GALVEZ"/>
    <x v="4"/>
    <d v="1899-12-30T06:52:29"/>
    <s v="P10"/>
    <x v="1"/>
    <x v="78"/>
    <x v="78"/>
    <x v="3"/>
    <x v="0"/>
  </r>
  <r>
    <n v="9905897"/>
    <s v="JUAN PABLO"/>
    <s v="HERREROS"/>
    <s v="INFANTE"/>
    <x v="5"/>
    <d v="1899-12-30T00:00:00"/>
    <m/>
    <x v="2"/>
    <x v="79"/>
    <x v="79"/>
    <x v="2"/>
    <x v="2"/>
  </r>
  <r>
    <n v="9957527"/>
    <s v="JUAN LISANDRO"/>
    <s v="DURAN"/>
    <s v="MUÑOZ"/>
    <x v="5"/>
    <d v="1899-12-30T00:00:00"/>
    <m/>
    <x v="2"/>
    <x v="80"/>
    <x v="80"/>
    <x v="2"/>
    <x v="2"/>
  </r>
  <r>
    <n v="9959939"/>
    <s v="LEONOR VARINIA"/>
    <s v="VENEGAS"/>
    <s v="SANCHEZ"/>
    <x v="0"/>
    <d v="1899-12-30T07:41:43"/>
    <s v="P20"/>
    <x v="0"/>
    <x v="81"/>
    <x v="81"/>
    <x v="1"/>
    <x v="1"/>
  </r>
  <r>
    <n v="9959939"/>
    <s v="LEONOR VARINIA"/>
    <s v="VENEGAS"/>
    <s v="SANCHEZ"/>
    <x v="0"/>
    <d v="1899-12-30T22:05:11"/>
    <s v="P10"/>
    <x v="1"/>
    <x v="81"/>
    <x v="81"/>
    <x v="1"/>
    <x v="1"/>
  </r>
  <r>
    <n v="9959939"/>
    <s v="LEONOR VARINIA"/>
    <s v="VENEGAS"/>
    <s v="SANCHEZ"/>
    <x v="1"/>
    <d v="1899-12-30T07:34:07"/>
    <s v="P20"/>
    <x v="0"/>
    <x v="81"/>
    <x v="81"/>
    <x v="1"/>
    <x v="1"/>
  </r>
  <r>
    <n v="9959939"/>
    <s v="LEONOR VARINIA"/>
    <s v="VENEGAS"/>
    <s v="SANCHEZ"/>
    <x v="2"/>
    <d v="1899-12-30T22:00:28"/>
    <s v="P10"/>
    <x v="1"/>
    <x v="81"/>
    <x v="81"/>
    <x v="1"/>
    <x v="1"/>
  </r>
  <r>
    <n v="9959939"/>
    <s v="LEONOR VARINIA"/>
    <s v="VENEGAS"/>
    <s v="SANCHEZ"/>
    <x v="3"/>
    <d v="1899-12-30T07:37:43"/>
    <s v="P20"/>
    <x v="0"/>
    <x v="81"/>
    <x v="81"/>
    <x v="1"/>
    <x v="1"/>
  </r>
  <r>
    <n v="9959939"/>
    <s v="LEONOR VARINIA"/>
    <s v="VENEGAS"/>
    <s v="SANCHEZ"/>
    <x v="3"/>
    <d v="1899-12-30T22:02:53"/>
    <s v="P10"/>
    <x v="1"/>
    <x v="81"/>
    <x v="81"/>
    <x v="1"/>
    <x v="1"/>
  </r>
  <r>
    <n v="9959939"/>
    <s v="LEONOR VARINIA"/>
    <s v="VENEGAS"/>
    <s v="SANCHEZ"/>
    <x v="4"/>
    <d v="1899-12-30T07:38:05"/>
    <s v="P20"/>
    <x v="0"/>
    <x v="81"/>
    <x v="81"/>
    <x v="1"/>
    <x v="1"/>
  </r>
  <r>
    <n v="9959939"/>
    <s v="LEONOR VARINIA"/>
    <s v="VENEGAS"/>
    <s v="SANCHEZ"/>
    <x v="4"/>
    <d v="1899-12-30T22:01:15"/>
    <s v="P10"/>
    <x v="1"/>
    <x v="81"/>
    <x v="81"/>
    <x v="1"/>
    <x v="1"/>
  </r>
  <r>
    <n v="9960185"/>
    <s v="ERIC PATRICIO"/>
    <s v="ARANCIBIA"/>
    <s v="QUINTANA"/>
    <x v="5"/>
    <d v="1899-12-30T00:00:00"/>
    <m/>
    <x v="2"/>
    <x v="82"/>
    <x v="82"/>
    <x v="2"/>
    <x v="2"/>
  </r>
  <r>
    <n v="9989723"/>
    <s v="FRANKLIN LEONEL"/>
    <s v="HERNANDEZ"/>
    <s v="CESPEDES"/>
    <x v="0"/>
    <d v="1899-12-30T22:47:14"/>
    <s v="P20"/>
    <x v="0"/>
    <x v="83"/>
    <x v="83"/>
    <x v="0"/>
    <x v="0"/>
  </r>
  <r>
    <n v="9989723"/>
    <s v="FRANKLIN LEONEL"/>
    <s v="HERNANDEZ"/>
    <s v="CESPEDES"/>
    <x v="0"/>
    <d v="1899-12-30T14:36:34"/>
    <s v="P10"/>
    <x v="1"/>
    <x v="83"/>
    <x v="83"/>
    <x v="0"/>
    <x v="0"/>
  </r>
  <r>
    <n v="9989723"/>
    <s v="FRANKLIN LEONEL"/>
    <s v="HERNANDEZ"/>
    <s v="CESPEDES"/>
    <x v="1"/>
    <d v="1899-12-30T22:02:54"/>
    <s v="P20"/>
    <x v="0"/>
    <x v="83"/>
    <x v="83"/>
    <x v="0"/>
    <x v="0"/>
  </r>
  <r>
    <n v="9989723"/>
    <s v="FRANKLIN LEONEL"/>
    <s v="HERNANDEZ"/>
    <s v="CESPEDES"/>
    <x v="1"/>
    <d v="1899-12-30T14:52:00"/>
    <s v="P10"/>
    <x v="1"/>
    <x v="83"/>
    <x v="83"/>
    <x v="0"/>
    <x v="0"/>
  </r>
  <r>
    <n v="9989723"/>
    <s v="FRANKLIN LEONEL"/>
    <s v="HERNANDEZ"/>
    <s v="CESPEDES"/>
    <x v="2"/>
    <d v="1899-12-30T23:12:32"/>
    <s v="P20"/>
    <x v="0"/>
    <x v="83"/>
    <x v="83"/>
    <x v="0"/>
    <x v="0"/>
  </r>
  <r>
    <n v="9989723"/>
    <s v="FRANKLIN LEONEL"/>
    <s v="HERNANDEZ"/>
    <s v="CESPEDES"/>
    <x v="2"/>
    <d v="1899-12-30T14:33:15"/>
    <s v="P10"/>
    <x v="1"/>
    <x v="83"/>
    <x v="83"/>
    <x v="0"/>
    <x v="0"/>
  </r>
  <r>
    <n v="9989723"/>
    <s v="FRANKLIN LEONEL"/>
    <s v="HERNANDEZ"/>
    <s v="CESPEDES"/>
    <x v="3"/>
    <d v="1899-12-30T23:25:44"/>
    <s v="P20"/>
    <x v="0"/>
    <x v="83"/>
    <x v="83"/>
    <x v="0"/>
    <x v="0"/>
  </r>
  <r>
    <n v="9989723"/>
    <s v="FRANKLIN LEONEL"/>
    <s v="HERNANDEZ"/>
    <s v="CESPEDES"/>
    <x v="3"/>
    <d v="1899-12-30T14:59:33"/>
    <s v="P10"/>
    <x v="1"/>
    <x v="83"/>
    <x v="83"/>
    <x v="0"/>
    <x v="0"/>
  </r>
  <r>
    <n v="9989723"/>
    <s v="FRANKLIN LEONEL"/>
    <s v="HERNANDEZ"/>
    <s v="CESPEDES"/>
    <x v="4"/>
    <d v="1899-12-30T22:46:01"/>
    <s v="P20"/>
    <x v="0"/>
    <x v="83"/>
    <x v="83"/>
    <x v="0"/>
    <x v="0"/>
  </r>
  <r>
    <n v="9989723"/>
    <s v="FRANKLIN LEONEL"/>
    <s v="HERNANDEZ"/>
    <s v="CESPEDES"/>
    <x v="4"/>
    <d v="1899-12-30T15:12:16"/>
    <s v="P10"/>
    <x v="1"/>
    <x v="83"/>
    <x v="83"/>
    <x v="0"/>
    <x v="0"/>
  </r>
  <r>
    <n v="10033627"/>
    <s v="MARCO"/>
    <s v="MOLINA"/>
    <s v="FERNANDEZ"/>
    <x v="0"/>
    <d v="1899-12-30T07:38:08"/>
    <s v="P20"/>
    <x v="0"/>
    <x v="84"/>
    <x v="84"/>
    <x v="1"/>
    <x v="1"/>
  </r>
  <r>
    <n v="10033627"/>
    <s v="MARCO"/>
    <s v="MOLINA"/>
    <s v="FERNANDEZ"/>
    <x v="2"/>
    <d v="1899-12-30T22:03:53"/>
    <s v="P10"/>
    <x v="1"/>
    <x v="84"/>
    <x v="84"/>
    <x v="1"/>
    <x v="1"/>
  </r>
  <r>
    <n v="10033627"/>
    <s v="MARCO"/>
    <s v="MOLINA"/>
    <s v="FERNANDEZ"/>
    <x v="3"/>
    <d v="1899-12-30T07:40:42"/>
    <s v="P20"/>
    <x v="0"/>
    <x v="84"/>
    <x v="84"/>
    <x v="1"/>
    <x v="1"/>
  </r>
  <r>
    <n v="10033627"/>
    <s v="MARCO"/>
    <s v="MOLINA"/>
    <s v="FERNANDEZ"/>
    <x v="3"/>
    <d v="1899-12-30T22:03:51"/>
    <s v="P10"/>
    <x v="1"/>
    <x v="84"/>
    <x v="84"/>
    <x v="1"/>
    <x v="1"/>
  </r>
  <r>
    <n v="10033627"/>
    <s v="MARCO"/>
    <s v="MOLINA"/>
    <s v="FERNANDEZ"/>
    <x v="4"/>
    <d v="1899-12-30T07:44:47"/>
    <s v="P20"/>
    <x v="0"/>
    <x v="84"/>
    <x v="84"/>
    <x v="1"/>
    <x v="1"/>
  </r>
  <r>
    <n v="10033627"/>
    <s v="MARCO"/>
    <s v="MOLINA"/>
    <s v="FERNANDEZ"/>
    <x v="4"/>
    <d v="1899-12-30T22:03:07"/>
    <s v="P10"/>
    <x v="1"/>
    <x v="84"/>
    <x v="84"/>
    <x v="1"/>
    <x v="1"/>
  </r>
  <r>
    <n v="10042860"/>
    <s v="LUIS ABRAHAM"/>
    <s v="QUIROGA"/>
    <s v="GARCIA"/>
    <x v="0"/>
    <d v="1899-12-30T22:48:33"/>
    <s v="P20"/>
    <x v="0"/>
    <x v="85"/>
    <x v="85"/>
    <x v="0"/>
    <x v="0"/>
  </r>
  <r>
    <n v="10042860"/>
    <s v="LUIS ABRAHAM"/>
    <s v="QUIROGA"/>
    <s v="GARCIA"/>
    <x v="0"/>
    <d v="1899-12-30T14:36:16"/>
    <s v="P10"/>
    <x v="1"/>
    <x v="85"/>
    <x v="85"/>
    <x v="0"/>
    <x v="0"/>
  </r>
  <r>
    <n v="10042860"/>
    <s v="LUIS ABRAHAM"/>
    <s v="QUIROGA"/>
    <s v="GARCIA"/>
    <x v="1"/>
    <d v="1899-12-30T22:47:31"/>
    <s v="P20"/>
    <x v="0"/>
    <x v="85"/>
    <x v="85"/>
    <x v="0"/>
    <x v="0"/>
  </r>
  <r>
    <n v="10042860"/>
    <s v="LUIS ABRAHAM"/>
    <s v="QUIROGA"/>
    <s v="GARCIA"/>
    <x v="1"/>
    <d v="1899-12-30T14:42:30"/>
    <s v="P10"/>
    <x v="1"/>
    <x v="85"/>
    <x v="85"/>
    <x v="0"/>
    <x v="0"/>
  </r>
  <r>
    <n v="10042860"/>
    <s v="LUIS ABRAHAM"/>
    <s v="QUIROGA"/>
    <s v="GARCIA"/>
    <x v="2"/>
    <d v="1899-12-30T22:49:43"/>
    <s v="P20"/>
    <x v="0"/>
    <x v="85"/>
    <x v="85"/>
    <x v="0"/>
    <x v="0"/>
  </r>
  <r>
    <n v="10042860"/>
    <s v="LUIS ABRAHAM"/>
    <s v="QUIROGA"/>
    <s v="GARCIA"/>
    <x v="2"/>
    <d v="1899-12-30T14:32:48"/>
    <s v="P10"/>
    <x v="1"/>
    <x v="85"/>
    <x v="85"/>
    <x v="0"/>
    <x v="0"/>
  </r>
  <r>
    <n v="10042860"/>
    <s v="LUIS ABRAHAM"/>
    <s v="QUIROGA"/>
    <s v="GARCIA"/>
    <x v="3"/>
    <d v="1899-12-30T22:48:55"/>
    <s v="P20"/>
    <x v="0"/>
    <x v="85"/>
    <x v="85"/>
    <x v="0"/>
    <x v="0"/>
  </r>
  <r>
    <n v="10042860"/>
    <s v="LUIS ABRAHAM"/>
    <s v="QUIROGA"/>
    <s v="GARCIA"/>
    <x v="3"/>
    <d v="1899-12-30T14:33:57"/>
    <s v="P10"/>
    <x v="1"/>
    <x v="85"/>
    <x v="85"/>
    <x v="0"/>
    <x v="0"/>
  </r>
  <r>
    <n v="10042860"/>
    <s v="LUIS ABRAHAM"/>
    <s v="QUIROGA"/>
    <s v="GARCIA"/>
    <x v="4"/>
    <d v="1899-12-30T22:48:52"/>
    <s v="P20"/>
    <x v="0"/>
    <x v="85"/>
    <x v="85"/>
    <x v="0"/>
    <x v="0"/>
  </r>
  <r>
    <n v="10042860"/>
    <s v="LUIS ABRAHAM"/>
    <s v="QUIROGA"/>
    <s v="GARCIA"/>
    <x v="4"/>
    <d v="1899-12-30T14:34:29"/>
    <s v="P10"/>
    <x v="1"/>
    <x v="85"/>
    <x v="85"/>
    <x v="0"/>
    <x v="0"/>
  </r>
  <r>
    <n v="10042994"/>
    <s v="ELIZABETH"/>
    <s v="CONCHA"/>
    <s v="VALDEBENITO"/>
    <x v="0"/>
    <d v="1899-12-30T17:09:19"/>
    <s v="P20"/>
    <x v="0"/>
    <x v="86"/>
    <x v="86"/>
    <x v="3"/>
    <x v="0"/>
  </r>
  <r>
    <n v="10042994"/>
    <s v="ELIZABETH"/>
    <s v="CONCHA"/>
    <s v="VALDEBENITO"/>
    <x v="0"/>
    <d v="1899-12-30T07:13:53"/>
    <s v="P10"/>
    <x v="1"/>
    <x v="86"/>
    <x v="86"/>
    <x v="3"/>
    <x v="0"/>
  </r>
  <r>
    <n v="10042994"/>
    <s v="ELIZABETH"/>
    <s v="CONCHA"/>
    <s v="VALDEBENITO"/>
    <x v="1"/>
    <d v="1899-12-30T17:00:32"/>
    <s v="P20"/>
    <x v="0"/>
    <x v="86"/>
    <x v="86"/>
    <x v="3"/>
    <x v="0"/>
  </r>
  <r>
    <n v="10042994"/>
    <s v="ELIZABETH"/>
    <s v="CONCHA"/>
    <s v="VALDEBENITO"/>
    <x v="1"/>
    <d v="1899-12-30T07:18:08"/>
    <s v="P10"/>
    <x v="1"/>
    <x v="86"/>
    <x v="86"/>
    <x v="3"/>
    <x v="0"/>
  </r>
  <r>
    <n v="10042994"/>
    <s v="ELIZABETH"/>
    <s v="CONCHA"/>
    <s v="VALDEBENITO"/>
    <x v="2"/>
    <d v="1899-12-30T15:15:34"/>
    <s v="P20"/>
    <x v="0"/>
    <x v="86"/>
    <x v="86"/>
    <x v="3"/>
    <x v="0"/>
  </r>
  <r>
    <n v="10042994"/>
    <s v="ELIZABETH"/>
    <s v="CONCHA"/>
    <s v="VALDEBENITO"/>
    <x v="2"/>
    <d v="1899-12-30T07:04:22"/>
    <s v="P10"/>
    <x v="1"/>
    <x v="86"/>
    <x v="86"/>
    <x v="3"/>
    <x v="0"/>
  </r>
  <r>
    <n v="10042994"/>
    <s v="ELIZABETH"/>
    <s v="CONCHA"/>
    <s v="VALDEBENITO"/>
    <x v="3"/>
    <d v="1899-12-30T17:24:52"/>
    <s v="P20"/>
    <x v="0"/>
    <x v="86"/>
    <x v="86"/>
    <x v="3"/>
    <x v="0"/>
  </r>
  <r>
    <n v="10042994"/>
    <s v="ELIZABETH"/>
    <s v="CONCHA"/>
    <s v="VALDEBENITO"/>
    <x v="3"/>
    <d v="1899-12-30T07:39:57"/>
    <s v="P10"/>
    <x v="1"/>
    <x v="86"/>
    <x v="86"/>
    <x v="3"/>
    <x v="0"/>
  </r>
  <r>
    <n v="10042994"/>
    <s v="ELIZABETH"/>
    <s v="CONCHA"/>
    <s v="VALDEBENITO"/>
    <x v="4"/>
    <d v="1899-12-30T17:42:13"/>
    <s v="P20"/>
    <x v="0"/>
    <x v="86"/>
    <x v="86"/>
    <x v="3"/>
    <x v="0"/>
  </r>
  <r>
    <n v="10042994"/>
    <s v="ELIZABETH"/>
    <s v="CONCHA"/>
    <s v="VALDEBENITO"/>
    <x v="4"/>
    <d v="1899-12-30T07:14:00"/>
    <s v="P10"/>
    <x v="1"/>
    <x v="86"/>
    <x v="86"/>
    <x v="3"/>
    <x v="0"/>
  </r>
  <r>
    <n v="10116815"/>
    <s v="TERESA DE LAS NIEVES"/>
    <s v="BUSTOS"/>
    <s v="JARA"/>
    <x v="0"/>
    <d v="1899-12-30T22:43:04"/>
    <s v="P20"/>
    <x v="0"/>
    <x v="87"/>
    <x v="87"/>
    <x v="0"/>
    <x v="0"/>
  </r>
  <r>
    <n v="10116815"/>
    <s v="TERESA DE LAS NIEVES"/>
    <s v="BUSTOS"/>
    <s v="JARA"/>
    <x v="0"/>
    <d v="1899-12-30T14:36:47"/>
    <s v="P10"/>
    <x v="1"/>
    <x v="87"/>
    <x v="87"/>
    <x v="0"/>
    <x v="0"/>
  </r>
  <r>
    <n v="10116815"/>
    <s v="TERESA DE LAS NIEVES"/>
    <s v="BUSTOS"/>
    <s v="JARA"/>
    <x v="1"/>
    <d v="1899-12-30T22:40:51"/>
    <s v="P20"/>
    <x v="0"/>
    <x v="87"/>
    <x v="87"/>
    <x v="0"/>
    <x v="0"/>
  </r>
  <r>
    <n v="10116815"/>
    <s v="TERESA DE LAS NIEVES"/>
    <s v="BUSTOS"/>
    <s v="JARA"/>
    <x v="1"/>
    <d v="1899-12-30T14:37:40"/>
    <s v="P10"/>
    <x v="1"/>
    <x v="87"/>
    <x v="87"/>
    <x v="0"/>
    <x v="0"/>
  </r>
  <r>
    <n v="10116815"/>
    <s v="TERESA DE LAS NIEVES"/>
    <s v="BUSTOS"/>
    <s v="JARA"/>
    <x v="2"/>
    <d v="1899-12-30T22:42:22"/>
    <s v="P20"/>
    <x v="0"/>
    <x v="87"/>
    <x v="87"/>
    <x v="0"/>
    <x v="0"/>
  </r>
  <r>
    <n v="10116815"/>
    <s v="TERESA DE LAS NIEVES"/>
    <s v="BUSTOS"/>
    <s v="JARA"/>
    <x v="2"/>
    <d v="1899-12-30T14:34:14"/>
    <s v="P10"/>
    <x v="1"/>
    <x v="87"/>
    <x v="87"/>
    <x v="0"/>
    <x v="0"/>
  </r>
  <r>
    <n v="10116815"/>
    <s v="TERESA DE LAS NIEVES"/>
    <s v="BUSTOS"/>
    <s v="JARA"/>
    <x v="3"/>
    <d v="1899-12-30T22:38:12"/>
    <s v="P20"/>
    <x v="0"/>
    <x v="87"/>
    <x v="87"/>
    <x v="0"/>
    <x v="0"/>
  </r>
  <r>
    <n v="10116815"/>
    <s v="TERESA DE LAS NIEVES"/>
    <s v="BUSTOS"/>
    <s v="JARA"/>
    <x v="3"/>
    <d v="1899-12-30T14:37:51"/>
    <s v="P10"/>
    <x v="1"/>
    <x v="87"/>
    <x v="87"/>
    <x v="0"/>
    <x v="0"/>
  </r>
  <r>
    <n v="10116815"/>
    <s v="TERESA DE LAS NIEVES"/>
    <s v="BUSTOS"/>
    <s v="JARA"/>
    <x v="4"/>
    <d v="1899-12-30T22:42:53"/>
    <s v="P20"/>
    <x v="0"/>
    <x v="87"/>
    <x v="87"/>
    <x v="0"/>
    <x v="0"/>
  </r>
  <r>
    <n v="10116815"/>
    <s v="TERESA DE LAS NIEVES"/>
    <s v="BUSTOS"/>
    <s v="JARA"/>
    <x v="4"/>
    <d v="1899-12-30T14:35:25"/>
    <s v="P10"/>
    <x v="1"/>
    <x v="87"/>
    <x v="87"/>
    <x v="0"/>
    <x v="0"/>
  </r>
  <r>
    <n v="10157067"/>
    <s v="MIGUEL ALBERTO"/>
    <s v="MELLA"/>
    <s v="FRIAS"/>
    <x v="0"/>
    <d v="1899-12-30T17:35:46"/>
    <s v="P20"/>
    <x v="0"/>
    <x v="88"/>
    <x v="88"/>
    <x v="4"/>
    <x v="2"/>
  </r>
  <r>
    <n v="10157067"/>
    <s v="MIGUEL ALBERTO"/>
    <s v="MELLA"/>
    <s v="FRIAS"/>
    <x v="0"/>
    <d v="1899-12-30T07:04:19"/>
    <s v="P10"/>
    <x v="1"/>
    <x v="88"/>
    <x v="88"/>
    <x v="4"/>
    <x v="2"/>
  </r>
  <r>
    <n v="10157067"/>
    <s v="MIGUEL ALBERTO"/>
    <s v="MELLA"/>
    <s v="FRIAS"/>
    <x v="1"/>
    <d v="1899-12-30T11:59:48"/>
    <s v="P20"/>
    <x v="0"/>
    <x v="88"/>
    <x v="88"/>
    <x v="4"/>
    <x v="2"/>
  </r>
  <r>
    <n v="10157067"/>
    <s v="MIGUEL ALBERTO"/>
    <s v="MELLA"/>
    <s v="FRIAS"/>
    <x v="1"/>
    <d v="1899-12-30T07:03:30"/>
    <s v="P10"/>
    <x v="1"/>
    <x v="88"/>
    <x v="88"/>
    <x v="4"/>
    <x v="2"/>
  </r>
  <r>
    <n v="10157067"/>
    <s v="MIGUEL ALBERTO"/>
    <s v="MELLA"/>
    <s v="FRIAS"/>
    <x v="2"/>
    <d v="1899-12-30T17:39:24"/>
    <s v="P20"/>
    <x v="0"/>
    <x v="88"/>
    <x v="88"/>
    <x v="4"/>
    <x v="2"/>
  </r>
  <r>
    <n v="10157067"/>
    <s v="MIGUEL ALBERTO"/>
    <s v="MELLA"/>
    <s v="FRIAS"/>
    <x v="2"/>
    <d v="1899-12-30T07:01:52"/>
    <s v="P10"/>
    <x v="1"/>
    <x v="88"/>
    <x v="88"/>
    <x v="4"/>
    <x v="2"/>
  </r>
  <r>
    <n v="10157067"/>
    <s v="MIGUEL ALBERTO"/>
    <s v="MELLA"/>
    <s v="FRIAS"/>
    <x v="3"/>
    <d v="1899-12-30T17:39:49"/>
    <s v="P20"/>
    <x v="0"/>
    <x v="88"/>
    <x v="88"/>
    <x v="4"/>
    <x v="2"/>
  </r>
  <r>
    <n v="10157067"/>
    <s v="MIGUEL ALBERTO"/>
    <s v="MELLA"/>
    <s v="FRIAS"/>
    <x v="3"/>
    <d v="1899-12-30T07:03:28"/>
    <s v="P10"/>
    <x v="1"/>
    <x v="88"/>
    <x v="88"/>
    <x v="4"/>
    <x v="2"/>
  </r>
  <r>
    <n v="10157067"/>
    <s v="MIGUEL ALBERTO"/>
    <s v="MELLA"/>
    <s v="FRIAS"/>
    <x v="4"/>
    <d v="1899-12-30T17:41:02"/>
    <s v="P20"/>
    <x v="0"/>
    <x v="88"/>
    <x v="88"/>
    <x v="4"/>
    <x v="2"/>
  </r>
  <r>
    <n v="10157067"/>
    <s v="MIGUEL ALBERTO"/>
    <s v="MELLA"/>
    <s v="FRIAS"/>
    <x v="4"/>
    <d v="1899-12-30T07:05:20"/>
    <s v="P10"/>
    <x v="1"/>
    <x v="88"/>
    <x v="88"/>
    <x v="4"/>
    <x v="2"/>
  </r>
  <r>
    <n v="10168958"/>
    <s v="RAUL"/>
    <s v="RAMIREZ"/>
    <s v="VASQUEZ"/>
    <x v="0"/>
    <d v="1899-12-30T07:41:32"/>
    <s v="P20"/>
    <x v="0"/>
    <x v="89"/>
    <x v="89"/>
    <x v="1"/>
    <x v="1"/>
  </r>
  <r>
    <n v="10168958"/>
    <s v="RAUL"/>
    <s v="RAMIREZ"/>
    <s v="VASQUEZ"/>
    <x v="0"/>
    <d v="1899-12-30T22:48:04"/>
    <s v="P10"/>
    <x v="1"/>
    <x v="89"/>
    <x v="89"/>
    <x v="1"/>
    <x v="1"/>
  </r>
  <r>
    <n v="10168958"/>
    <s v="RAUL"/>
    <s v="RAMIREZ"/>
    <s v="VASQUEZ"/>
    <x v="1"/>
    <d v="1899-12-30T07:46:01"/>
    <s v="P20"/>
    <x v="0"/>
    <x v="89"/>
    <x v="89"/>
    <x v="1"/>
    <x v="1"/>
  </r>
  <r>
    <n v="10168958"/>
    <s v="RAUL"/>
    <s v="RAMIREZ"/>
    <s v="VASQUEZ"/>
    <x v="2"/>
    <d v="1899-12-30T22:03:57"/>
    <s v="P10"/>
    <x v="1"/>
    <x v="89"/>
    <x v="89"/>
    <x v="1"/>
    <x v="1"/>
  </r>
  <r>
    <n v="10168958"/>
    <s v="RAUL"/>
    <s v="RAMIREZ"/>
    <s v="VASQUEZ"/>
    <x v="3"/>
    <d v="1899-12-30T07:40:26"/>
    <s v="P20"/>
    <x v="0"/>
    <x v="89"/>
    <x v="89"/>
    <x v="1"/>
    <x v="1"/>
  </r>
  <r>
    <n v="10168958"/>
    <s v="RAUL"/>
    <s v="RAMIREZ"/>
    <s v="VASQUEZ"/>
    <x v="3"/>
    <d v="1899-12-30T22:04:32"/>
    <s v="P10"/>
    <x v="1"/>
    <x v="89"/>
    <x v="89"/>
    <x v="1"/>
    <x v="1"/>
  </r>
  <r>
    <n v="10168958"/>
    <s v="RAUL"/>
    <s v="RAMIREZ"/>
    <s v="VASQUEZ"/>
    <x v="4"/>
    <d v="1899-12-30T07:44:25"/>
    <s v="P20"/>
    <x v="0"/>
    <x v="89"/>
    <x v="89"/>
    <x v="1"/>
    <x v="1"/>
  </r>
  <r>
    <n v="10168958"/>
    <s v="RAUL"/>
    <s v="RAMIREZ"/>
    <s v="VASQUEZ"/>
    <x v="4"/>
    <d v="1899-12-30T22:03:36"/>
    <s v="P10"/>
    <x v="1"/>
    <x v="89"/>
    <x v="89"/>
    <x v="1"/>
    <x v="1"/>
  </r>
  <r>
    <n v="10173910"/>
    <s v="FELIX  EXEQUIEL"/>
    <s v="ARSENDIGA"/>
    <s v="PALMA"/>
    <x v="0"/>
    <d v="1899-12-30T07:29:33"/>
    <s v="P20"/>
    <x v="0"/>
    <x v="90"/>
    <x v="90"/>
    <x v="1"/>
    <x v="1"/>
  </r>
  <r>
    <n v="10173910"/>
    <s v="FELIX  EXEQUIEL"/>
    <s v="ARSENDIGA"/>
    <s v="PALMA"/>
    <x v="0"/>
    <d v="1899-12-30T22:13:48"/>
    <s v="P10"/>
    <x v="1"/>
    <x v="90"/>
    <x v="90"/>
    <x v="1"/>
    <x v="1"/>
  </r>
  <r>
    <n v="10173910"/>
    <s v="FELIX  EXEQUIEL"/>
    <s v="ARSENDIGA"/>
    <s v="PALMA"/>
    <x v="1"/>
    <d v="1899-12-30T07:28:02"/>
    <s v="P20"/>
    <x v="0"/>
    <x v="90"/>
    <x v="90"/>
    <x v="1"/>
    <x v="1"/>
  </r>
  <r>
    <n v="10173910"/>
    <s v="FELIX  EXEQUIEL"/>
    <s v="ARSENDIGA"/>
    <s v="PALMA"/>
    <x v="2"/>
    <d v="1899-12-30T22:11:06"/>
    <s v="P10"/>
    <x v="1"/>
    <x v="90"/>
    <x v="90"/>
    <x v="1"/>
    <x v="1"/>
  </r>
  <r>
    <n v="10173910"/>
    <s v="FELIX  EXEQUIEL"/>
    <s v="ARSENDIGA"/>
    <s v="PALMA"/>
    <x v="3"/>
    <d v="1899-12-30T07:23:44"/>
    <s v="P20"/>
    <x v="0"/>
    <x v="90"/>
    <x v="90"/>
    <x v="1"/>
    <x v="1"/>
  </r>
  <r>
    <n v="10173910"/>
    <s v="FELIX  EXEQUIEL"/>
    <s v="ARSENDIGA"/>
    <s v="PALMA"/>
    <x v="3"/>
    <d v="1899-12-30T22:11:51"/>
    <s v="P10"/>
    <x v="1"/>
    <x v="90"/>
    <x v="90"/>
    <x v="1"/>
    <x v="1"/>
  </r>
  <r>
    <n v="10173910"/>
    <s v="FELIX  EXEQUIEL"/>
    <s v="ARSENDIGA"/>
    <s v="PALMA"/>
    <x v="4"/>
    <d v="1899-12-30T07:28:24"/>
    <s v="P20"/>
    <x v="0"/>
    <x v="90"/>
    <x v="90"/>
    <x v="1"/>
    <x v="1"/>
  </r>
  <r>
    <n v="10173910"/>
    <s v="FELIX  EXEQUIEL"/>
    <s v="ARSENDIGA"/>
    <s v="PALMA"/>
    <x v="4"/>
    <d v="1899-12-30T22:11:14"/>
    <s v="P10"/>
    <x v="1"/>
    <x v="90"/>
    <x v="90"/>
    <x v="1"/>
    <x v="1"/>
  </r>
  <r>
    <n v="10199755"/>
    <s v="QUINTIN ROBERTO"/>
    <s v="HERNANDEZ"/>
    <s v="GONZALEZ"/>
    <x v="0"/>
    <d v="1899-12-30T15:21:16"/>
    <s v="P20"/>
    <x v="0"/>
    <x v="91"/>
    <x v="91"/>
    <x v="4"/>
    <x v="2"/>
  </r>
  <r>
    <n v="10199755"/>
    <s v="QUINTIN ROBERTO"/>
    <s v="HERNANDEZ"/>
    <s v="GONZALEZ"/>
    <x v="0"/>
    <d v="1899-12-30T07:08:08"/>
    <s v="P10"/>
    <x v="1"/>
    <x v="91"/>
    <x v="91"/>
    <x v="4"/>
    <x v="2"/>
  </r>
  <r>
    <n v="10199755"/>
    <s v="QUINTIN ROBERTO"/>
    <s v="HERNANDEZ"/>
    <s v="GONZALEZ"/>
    <x v="1"/>
    <d v="1899-12-30T15:22:25"/>
    <s v="P20"/>
    <x v="0"/>
    <x v="91"/>
    <x v="91"/>
    <x v="4"/>
    <x v="2"/>
  </r>
  <r>
    <n v="10199755"/>
    <s v="QUINTIN ROBERTO"/>
    <s v="HERNANDEZ"/>
    <s v="GONZALEZ"/>
    <x v="1"/>
    <d v="1899-12-30T07:05:31"/>
    <s v="P10"/>
    <x v="1"/>
    <x v="91"/>
    <x v="91"/>
    <x v="4"/>
    <x v="2"/>
  </r>
  <r>
    <n v="10199755"/>
    <s v="QUINTIN ROBERTO"/>
    <s v="HERNANDEZ"/>
    <s v="GONZALEZ"/>
    <x v="2"/>
    <d v="1899-12-30T15:21:02"/>
    <s v="P20"/>
    <x v="0"/>
    <x v="91"/>
    <x v="91"/>
    <x v="4"/>
    <x v="2"/>
  </r>
  <r>
    <n v="10199755"/>
    <s v="QUINTIN ROBERTO"/>
    <s v="HERNANDEZ"/>
    <s v="GONZALEZ"/>
    <x v="2"/>
    <d v="1899-12-30T07:01:35"/>
    <s v="P10"/>
    <x v="1"/>
    <x v="91"/>
    <x v="91"/>
    <x v="4"/>
    <x v="2"/>
  </r>
  <r>
    <n v="10199755"/>
    <s v="QUINTIN ROBERTO"/>
    <s v="HERNANDEZ"/>
    <s v="GONZALEZ"/>
    <x v="3"/>
    <d v="1899-12-30T15:21:35"/>
    <s v="P20"/>
    <x v="0"/>
    <x v="91"/>
    <x v="91"/>
    <x v="4"/>
    <x v="2"/>
  </r>
  <r>
    <n v="10199755"/>
    <s v="QUINTIN ROBERTO"/>
    <s v="HERNANDEZ"/>
    <s v="GONZALEZ"/>
    <x v="3"/>
    <d v="1899-12-30T07:02:37"/>
    <s v="P10"/>
    <x v="1"/>
    <x v="91"/>
    <x v="91"/>
    <x v="4"/>
    <x v="2"/>
  </r>
  <r>
    <n v="10199755"/>
    <s v="QUINTIN ROBERTO"/>
    <s v="HERNANDEZ"/>
    <s v="GONZALEZ"/>
    <x v="4"/>
    <d v="1899-12-30T15:21:18"/>
    <s v="P20"/>
    <x v="0"/>
    <x v="91"/>
    <x v="91"/>
    <x v="4"/>
    <x v="2"/>
  </r>
  <r>
    <n v="10199755"/>
    <s v="QUINTIN ROBERTO"/>
    <s v="HERNANDEZ"/>
    <s v="GONZALEZ"/>
    <x v="4"/>
    <d v="1899-12-30T07:03:19"/>
    <s v="P10"/>
    <x v="1"/>
    <x v="91"/>
    <x v="91"/>
    <x v="4"/>
    <x v="2"/>
  </r>
  <r>
    <n v="10309203"/>
    <s v="ANGELA ADELA"/>
    <s v="REYES"/>
    <s v="LARA"/>
    <x v="0"/>
    <d v="1899-12-30T17:40:34"/>
    <s v="P20"/>
    <x v="0"/>
    <x v="92"/>
    <x v="92"/>
    <x v="4"/>
    <x v="2"/>
  </r>
  <r>
    <n v="10309203"/>
    <s v="ANGELA ADELA"/>
    <s v="REYES"/>
    <s v="LARA"/>
    <x v="0"/>
    <d v="1899-12-30T07:46:16"/>
    <s v="P10"/>
    <x v="1"/>
    <x v="92"/>
    <x v="92"/>
    <x v="4"/>
    <x v="2"/>
  </r>
  <r>
    <n v="10309203"/>
    <s v="ANGELA ADELA"/>
    <s v="REYES"/>
    <s v="LARA"/>
    <x v="1"/>
    <d v="1899-12-30T15:14:15"/>
    <s v="P20"/>
    <x v="0"/>
    <x v="92"/>
    <x v="92"/>
    <x v="4"/>
    <x v="2"/>
  </r>
  <r>
    <n v="10309203"/>
    <s v="ANGELA ADELA"/>
    <s v="REYES"/>
    <s v="LARA"/>
    <x v="1"/>
    <d v="1899-12-30T07:39:35"/>
    <s v="P10"/>
    <x v="1"/>
    <x v="92"/>
    <x v="92"/>
    <x v="4"/>
    <x v="2"/>
  </r>
  <r>
    <n v="10309203"/>
    <s v="ANGELA ADELA"/>
    <s v="REYES"/>
    <s v="LARA"/>
    <x v="2"/>
    <d v="1899-12-30T17:38:35"/>
    <s v="P20"/>
    <x v="0"/>
    <x v="92"/>
    <x v="92"/>
    <x v="4"/>
    <x v="2"/>
  </r>
  <r>
    <n v="10309203"/>
    <s v="ANGELA ADELA"/>
    <s v="REYES"/>
    <s v="LARA"/>
    <x v="2"/>
    <d v="1899-12-30T07:04:01"/>
    <s v="P10"/>
    <x v="1"/>
    <x v="92"/>
    <x v="92"/>
    <x v="4"/>
    <x v="2"/>
  </r>
  <r>
    <n v="10309203"/>
    <s v="ANGELA ADELA"/>
    <s v="REYES"/>
    <s v="LARA"/>
    <x v="3"/>
    <d v="1899-12-30T17:39:22"/>
    <s v="P20"/>
    <x v="0"/>
    <x v="92"/>
    <x v="92"/>
    <x v="4"/>
    <x v="2"/>
  </r>
  <r>
    <n v="10309203"/>
    <s v="ANGELA ADELA"/>
    <s v="REYES"/>
    <s v="LARA"/>
    <x v="3"/>
    <d v="1899-12-30T07:39:29"/>
    <s v="P10"/>
    <x v="1"/>
    <x v="92"/>
    <x v="92"/>
    <x v="4"/>
    <x v="2"/>
  </r>
  <r>
    <n v="10309203"/>
    <s v="ANGELA ADELA"/>
    <s v="REYES"/>
    <s v="LARA"/>
    <x v="4"/>
    <d v="1899-12-30T17:38:51"/>
    <s v="P20"/>
    <x v="0"/>
    <x v="92"/>
    <x v="92"/>
    <x v="4"/>
    <x v="2"/>
  </r>
  <r>
    <n v="10309203"/>
    <s v="ANGELA ADELA"/>
    <s v="REYES"/>
    <s v="LARA"/>
    <x v="4"/>
    <d v="1899-12-30T07:46:06"/>
    <s v="P10"/>
    <x v="1"/>
    <x v="92"/>
    <x v="92"/>
    <x v="4"/>
    <x v="2"/>
  </r>
  <r>
    <n v="10311290"/>
    <s v="RICARDO V."/>
    <s v="VIDAL"/>
    <s v="ATENAS"/>
    <x v="0"/>
    <d v="1899-12-30T07:45:45"/>
    <s v="P20"/>
    <x v="0"/>
    <x v="93"/>
    <x v="93"/>
    <x v="1"/>
    <x v="1"/>
  </r>
  <r>
    <n v="10311290"/>
    <s v="RICARDO V."/>
    <s v="VIDAL"/>
    <s v="ATENAS"/>
    <x v="0"/>
    <d v="1899-12-30T22:03:18"/>
    <s v="P10"/>
    <x v="1"/>
    <x v="93"/>
    <x v="93"/>
    <x v="1"/>
    <x v="1"/>
  </r>
  <r>
    <n v="10311290"/>
    <s v="RICARDO V."/>
    <s v="VIDAL"/>
    <s v="ATENAS"/>
    <x v="1"/>
    <d v="1899-12-30T07:42:40"/>
    <s v="P20"/>
    <x v="0"/>
    <x v="93"/>
    <x v="93"/>
    <x v="1"/>
    <x v="1"/>
  </r>
  <r>
    <n v="10311290"/>
    <s v="RICARDO V."/>
    <s v="VIDAL"/>
    <s v="ATENAS"/>
    <x v="2"/>
    <d v="1899-12-30T22:03:21"/>
    <s v="P10"/>
    <x v="1"/>
    <x v="93"/>
    <x v="93"/>
    <x v="1"/>
    <x v="1"/>
  </r>
  <r>
    <n v="10311290"/>
    <s v="RICARDO V."/>
    <s v="VIDAL"/>
    <s v="ATENAS"/>
    <x v="3"/>
    <d v="1899-12-30T07:43:46"/>
    <s v="P20"/>
    <x v="0"/>
    <x v="93"/>
    <x v="93"/>
    <x v="1"/>
    <x v="1"/>
  </r>
  <r>
    <n v="10311290"/>
    <s v="RICARDO V."/>
    <s v="VIDAL"/>
    <s v="ATENAS"/>
    <x v="3"/>
    <d v="1899-12-30T22:03:27"/>
    <s v="P10"/>
    <x v="1"/>
    <x v="93"/>
    <x v="93"/>
    <x v="1"/>
    <x v="1"/>
  </r>
  <r>
    <n v="10311290"/>
    <s v="RICARDO V."/>
    <s v="VIDAL"/>
    <s v="ATENAS"/>
    <x v="4"/>
    <d v="1899-12-30T07:45:52"/>
    <s v="P20"/>
    <x v="0"/>
    <x v="93"/>
    <x v="93"/>
    <x v="1"/>
    <x v="1"/>
  </r>
  <r>
    <n v="10311290"/>
    <s v="RICARDO V."/>
    <s v="VIDAL"/>
    <s v="ATENAS"/>
    <x v="4"/>
    <d v="1899-12-30T22:02:27"/>
    <s v="P10"/>
    <x v="1"/>
    <x v="93"/>
    <x v="93"/>
    <x v="1"/>
    <x v="1"/>
  </r>
  <r>
    <n v="10407614"/>
    <s v="CARLOS ALEJANDRO"/>
    <s v="MORA"/>
    <s v="MORA"/>
    <x v="0"/>
    <d v="1899-12-30T15:21:58"/>
    <s v="P20"/>
    <x v="0"/>
    <x v="94"/>
    <x v="94"/>
    <x v="4"/>
    <x v="2"/>
  </r>
  <r>
    <n v="10407614"/>
    <s v="CARLOS ALEJANDRO"/>
    <s v="MORA"/>
    <s v="MORA"/>
    <x v="0"/>
    <d v="1899-12-30T07:02:38"/>
    <s v="P10"/>
    <x v="1"/>
    <x v="94"/>
    <x v="94"/>
    <x v="4"/>
    <x v="2"/>
  </r>
  <r>
    <n v="10407614"/>
    <s v="CARLOS ALEJANDRO"/>
    <s v="MORA"/>
    <s v="MORA"/>
    <x v="1"/>
    <d v="1899-12-30T15:22:47"/>
    <s v="P20"/>
    <x v="0"/>
    <x v="94"/>
    <x v="94"/>
    <x v="4"/>
    <x v="2"/>
  </r>
  <r>
    <n v="10407614"/>
    <s v="CARLOS ALEJANDRO"/>
    <s v="MORA"/>
    <s v="MORA"/>
    <x v="1"/>
    <d v="1899-12-30T06:59:59"/>
    <s v="P10"/>
    <x v="1"/>
    <x v="94"/>
    <x v="94"/>
    <x v="4"/>
    <x v="2"/>
  </r>
  <r>
    <n v="10407614"/>
    <s v="CARLOS ALEJANDRO"/>
    <s v="MORA"/>
    <s v="MORA"/>
    <x v="7"/>
    <d v="1899-12-30T23:35:30"/>
    <s v="P10"/>
    <x v="1"/>
    <x v="94"/>
    <x v="94"/>
    <x v="4"/>
    <x v="2"/>
  </r>
  <r>
    <n v="10407614"/>
    <s v="CARLOS ALEJANDRO"/>
    <s v="MORA"/>
    <s v="MORA"/>
    <x v="2"/>
    <d v="1899-12-30T15:19:53"/>
    <s v="P20"/>
    <x v="0"/>
    <x v="94"/>
    <x v="94"/>
    <x v="4"/>
    <x v="2"/>
  </r>
  <r>
    <n v="10407614"/>
    <s v="CARLOS ALEJANDRO"/>
    <s v="MORA"/>
    <s v="MORA"/>
    <x v="2"/>
    <d v="1899-12-30T07:02:46"/>
    <s v="P10"/>
    <x v="1"/>
    <x v="94"/>
    <x v="94"/>
    <x v="4"/>
    <x v="2"/>
  </r>
  <r>
    <n v="10407614"/>
    <s v="CARLOS ALEJANDRO"/>
    <s v="MORA"/>
    <s v="MORA"/>
    <x v="3"/>
    <d v="1899-12-30T15:04:49"/>
    <s v="P20"/>
    <x v="0"/>
    <x v="94"/>
    <x v="94"/>
    <x v="4"/>
    <x v="2"/>
  </r>
  <r>
    <n v="10407614"/>
    <s v="CARLOS ALEJANDRO"/>
    <s v="MORA"/>
    <s v="MORA"/>
    <x v="3"/>
    <d v="1899-12-30T07:17:11"/>
    <s v="P10"/>
    <x v="1"/>
    <x v="94"/>
    <x v="94"/>
    <x v="4"/>
    <x v="2"/>
  </r>
  <r>
    <n v="10407614"/>
    <s v="CARLOS ALEJANDRO"/>
    <s v="MORA"/>
    <s v="MORA"/>
    <x v="4"/>
    <d v="1899-12-30T15:21:59"/>
    <s v="P20"/>
    <x v="0"/>
    <x v="94"/>
    <x v="94"/>
    <x v="4"/>
    <x v="2"/>
  </r>
  <r>
    <n v="10407614"/>
    <s v="CARLOS ALEJANDRO"/>
    <s v="MORA"/>
    <s v="MORA"/>
    <x v="4"/>
    <d v="1899-12-30T06:59:48"/>
    <s v="P10"/>
    <x v="1"/>
    <x v="94"/>
    <x v="94"/>
    <x v="4"/>
    <x v="2"/>
  </r>
  <r>
    <n v="10572816"/>
    <s v="MARCO ANTONIO"/>
    <s v="VARGAS"/>
    <s v="MORENO"/>
    <x v="0"/>
    <d v="1899-12-30T07:54:12"/>
    <s v="P20"/>
    <x v="0"/>
    <x v="95"/>
    <x v="95"/>
    <x v="1"/>
    <x v="1"/>
  </r>
  <r>
    <n v="10572816"/>
    <s v="MARCO ANTONIO"/>
    <s v="VARGAS"/>
    <s v="MORENO"/>
    <x v="0"/>
    <d v="1899-12-30T22:02:49"/>
    <s v="P10"/>
    <x v="1"/>
    <x v="95"/>
    <x v="95"/>
    <x v="1"/>
    <x v="1"/>
  </r>
  <r>
    <n v="10572816"/>
    <s v="MARCO ANTONIO"/>
    <s v="VARGAS"/>
    <s v="MORENO"/>
    <x v="1"/>
    <d v="1899-12-30T07:51:36"/>
    <s v="P20"/>
    <x v="0"/>
    <x v="95"/>
    <x v="95"/>
    <x v="1"/>
    <x v="1"/>
  </r>
  <r>
    <n v="10572816"/>
    <s v="MARCO ANTONIO"/>
    <s v="VARGAS"/>
    <s v="MORENO"/>
    <x v="6"/>
    <d v="1899-12-30T23:50:12"/>
    <s v="P10"/>
    <x v="1"/>
    <x v="95"/>
    <x v="95"/>
    <x v="1"/>
    <x v="1"/>
  </r>
  <r>
    <n v="10572816"/>
    <s v="MARCO ANTONIO"/>
    <s v="VARGAS"/>
    <s v="MORENO"/>
    <x v="2"/>
    <d v="1899-12-30T07:37:24"/>
    <s v="P20"/>
    <x v="0"/>
    <x v="95"/>
    <x v="95"/>
    <x v="1"/>
    <x v="1"/>
  </r>
  <r>
    <n v="10572816"/>
    <s v="MARCO ANTONIO"/>
    <s v="VARGAS"/>
    <s v="MORENO"/>
    <x v="2"/>
    <d v="1899-12-30T22:02:57"/>
    <s v="P10"/>
    <x v="1"/>
    <x v="95"/>
    <x v="95"/>
    <x v="1"/>
    <x v="1"/>
  </r>
  <r>
    <n v="10572816"/>
    <s v="MARCO ANTONIO"/>
    <s v="VARGAS"/>
    <s v="MORENO"/>
    <x v="3"/>
    <d v="1899-12-30T07:49:34"/>
    <s v="P20"/>
    <x v="0"/>
    <x v="95"/>
    <x v="95"/>
    <x v="1"/>
    <x v="1"/>
  </r>
  <r>
    <n v="10572816"/>
    <s v="MARCO ANTONIO"/>
    <s v="VARGAS"/>
    <s v="MORENO"/>
    <x v="3"/>
    <d v="1899-12-30T22:03:06"/>
    <s v="P10"/>
    <x v="1"/>
    <x v="95"/>
    <x v="95"/>
    <x v="1"/>
    <x v="1"/>
  </r>
  <r>
    <n v="10572816"/>
    <s v="MARCO ANTONIO"/>
    <s v="VARGAS"/>
    <s v="MORENO"/>
    <x v="4"/>
    <d v="1899-12-30T07:51:16"/>
    <s v="P20"/>
    <x v="0"/>
    <x v="95"/>
    <x v="95"/>
    <x v="1"/>
    <x v="1"/>
  </r>
  <r>
    <n v="10572816"/>
    <s v="MARCO ANTONIO"/>
    <s v="VARGAS"/>
    <s v="MORENO"/>
    <x v="4"/>
    <d v="1899-12-30T22:01:58"/>
    <s v="P10"/>
    <x v="1"/>
    <x v="95"/>
    <x v="95"/>
    <x v="1"/>
    <x v="1"/>
  </r>
  <r>
    <n v="10737908"/>
    <s v="DANIEL"/>
    <s v="VALENZUELA"/>
    <s v="AREVALO"/>
    <x v="5"/>
    <d v="1899-12-30T00:00:00"/>
    <m/>
    <x v="2"/>
    <x v="96"/>
    <x v="96"/>
    <x v="2"/>
    <x v="2"/>
  </r>
  <r>
    <n v="10746078"/>
    <s v="ARMANDO"/>
    <s v="ORELLANA"/>
    <s v="OLIVARES"/>
    <x v="0"/>
    <d v="1899-12-30T22:56:17"/>
    <s v="P20"/>
    <x v="0"/>
    <x v="97"/>
    <x v="97"/>
    <x v="0"/>
    <x v="0"/>
  </r>
  <r>
    <n v="10746078"/>
    <s v="ARMANDO"/>
    <s v="ORELLANA"/>
    <s v="OLIVARES"/>
    <x v="0"/>
    <d v="1899-12-30T14:24:54"/>
    <s v="P10"/>
    <x v="1"/>
    <x v="97"/>
    <x v="97"/>
    <x v="0"/>
    <x v="0"/>
  </r>
  <r>
    <n v="10746078"/>
    <s v="ARMANDO"/>
    <s v="ORELLANA"/>
    <s v="OLIVARES"/>
    <x v="1"/>
    <d v="1899-12-30T22:59:33"/>
    <s v="P20"/>
    <x v="0"/>
    <x v="97"/>
    <x v="97"/>
    <x v="0"/>
    <x v="0"/>
  </r>
  <r>
    <n v="10746078"/>
    <s v="ARMANDO"/>
    <s v="ORELLANA"/>
    <s v="OLIVARES"/>
    <x v="1"/>
    <d v="1899-12-30T14:23:55"/>
    <s v="P10"/>
    <x v="1"/>
    <x v="97"/>
    <x v="97"/>
    <x v="0"/>
    <x v="0"/>
  </r>
  <r>
    <n v="10746078"/>
    <s v="ARMANDO"/>
    <s v="ORELLANA"/>
    <s v="OLIVARES"/>
    <x v="2"/>
    <d v="1899-12-30T22:55:30"/>
    <s v="P20"/>
    <x v="0"/>
    <x v="97"/>
    <x v="97"/>
    <x v="0"/>
    <x v="0"/>
  </r>
  <r>
    <n v="10746078"/>
    <s v="ARMANDO"/>
    <s v="ORELLANA"/>
    <s v="OLIVARES"/>
    <x v="2"/>
    <d v="1899-12-30T14:20:04"/>
    <s v="P10"/>
    <x v="1"/>
    <x v="97"/>
    <x v="97"/>
    <x v="0"/>
    <x v="0"/>
  </r>
  <r>
    <n v="10746078"/>
    <s v="ARMANDO"/>
    <s v="ORELLANA"/>
    <s v="OLIVARES"/>
    <x v="3"/>
    <d v="1899-12-30T22:55:01"/>
    <s v="P20"/>
    <x v="0"/>
    <x v="97"/>
    <x v="97"/>
    <x v="0"/>
    <x v="0"/>
  </r>
  <r>
    <n v="10746078"/>
    <s v="ARMANDO"/>
    <s v="ORELLANA"/>
    <s v="OLIVARES"/>
    <x v="3"/>
    <d v="1899-12-30T14:22:44"/>
    <s v="P10"/>
    <x v="1"/>
    <x v="97"/>
    <x v="97"/>
    <x v="0"/>
    <x v="0"/>
  </r>
  <r>
    <n v="10746078"/>
    <s v="ARMANDO"/>
    <s v="ORELLANA"/>
    <s v="OLIVARES"/>
    <x v="4"/>
    <d v="1899-12-30T22:54:21"/>
    <s v="P20"/>
    <x v="0"/>
    <x v="97"/>
    <x v="97"/>
    <x v="0"/>
    <x v="0"/>
  </r>
  <r>
    <n v="10746078"/>
    <s v="ARMANDO"/>
    <s v="ORELLANA"/>
    <s v="OLIVARES"/>
    <x v="4"/>
    <d v="1899-12-30T14:20:45"/>
    <s v="P10"/>
    <x v="1"/>
    <x v="97"/>
    <x v="97"/>
    <x v="0"/>
    <x v="0"/>
  </r>
  <r>
    <n v="10835391"/>
    <s v="DANIEL PATRICIO"/>
    <s v="SANCHEZ"/>
    <s v="VASQUEZ"/>
    <x v="0"/>
    <d v="1899-12-30T07:36:12"/>
    <s v="P20"/>
    <x v="0"/>
    <x v="98"/>
    <x v="98"/>
    <x v="1"/>
    <x v="1"/>
  </r>
  <r>
    <n v="10835391"/>
    <s v="DANIEL PATRICIO"/>
    <s v="SANCHEZ"/>
    <s v="VASQUEZ"/>
    <x v="0"/>
    <d v="1899-12-30T22:28:29"/>
    <s v="P10"/>
    <x v="1"/>
    <x v="98"/>
    <x v="98"/>
    <x v="1"/>
    <x v="1"/>
  </r>
  <r>
    <n v="10835391"/>
    <s v="DANIEL PATRICIO"/>
    <s v="SANCHEZ"/>
    <s v="VASQUEZ"/>
    <x v="1"/>
    <d v="1899-12-30T07:48:39"/>
    <s v="P20"/>
    <x v="0"/>
    <x v="98"/>
    <x v="98"/>
    <x v="1"/>
    <x v="1"/>
  </r>
  <r>
    <n v="10835391"/>
    <s v="DANIEL PATRICIO"/>
    <s v="SANCHEZ"/>
    <s v="VASQUEZ"/>
    <x v="2"/>
    <d v="1899-12-30T22:31:34"/>
    <s v="P10"/>
    <x v="1"/>
    <x v="98"/>
    <x v="98"/>
    <x v="1"/>
    <x v="1"/>
  </r>
  <r>
    <n v="10835391"/>
    <s v="DANIEL PATRICIO"/>
    <s v="SANCHEZ"/>
    <s v="VASQUEZ"/>
    <x v="3"/>
    <d v="1899-12-30T07:22:47"/>
    <s v="P20"/>
    <x v="0"/>
    <x v="98"/>
    <x v="98"/>
    <x v="1"/>
    <x v="1"/>
  </r>
  <r>
    <n v="10835391"/>
    <s v="DANIEL PATRICIO"/>
    <s v="SANCHEZ"/>
    <s v="VASQUEZ"/>
    <x v="3"/>
    <d v="1899-12-30T22:32:43"/>
    <s v="P10"/>
    <x v="1"/>
    <x v="98"/>
    <x v="98"/>
    <x v="1"/>
    <x v="1"/>
  </r>
  <r>
    <n v="10835391"/>
    <s v="DANIEL PATRICIO"/>
    <s v="SANCHEZ"/>
    <s v="VASQUEZ"/>
    <x v="4"/>
    <d v="1899-12-30T07:33:45"/>
    <s v="P20"/>
    <x v="0"/>
    <x v="98"/>
    <x v="98"/>
    <x v="1"/>
    <x v="1"/>
  </r>
  <r>
    <n v="10835391"/>
    <s v="DANIEL PATRICIO"/>
    <s v="SANCHEZ"/>
    <s v="VASQUEZ"/>
    <x v="4"/>
    <d v="1899-12-30T23:11:08"/>
    <s v="P10"/>
    <x v="1"/>
    <x v="98"/>
    <x v="98"/>
    <x v="1"/>
    <x v="1"/>
  </r>
  <r>
    <n v="10846598"/>
    <s v="RODOLFO ALBERTO"/>
    <s v="ALVEAR"/>
    <s v="GONZALEZ"/>
    <x v="0"/>
    <d v="1899-12-30T07:50:51"/>
    <s v="P20"/>
    <x v="0"/>
    <x v="99"/>
    <x v="99"/>
    <x v="1"/>
    <x v="1"/>
  </r>
  <r>
    <n v="10846598"/>
    <s v="RODOLFO ALBERTO"/>
    <s v="ALVEAR"/>
    <s v="GONZALEZ"/>
    <x v="0"/>
    <d v="1899-12-30T22:02:44"/>
    <s v="P10"/>
    <x v="1"/>
    <x v="99"/>
    <x v="99"/>
    <x v="1"/>
    <x v="1"/>
  </r>
  <r>
    <n v="10846598"/>
    <s v="RODOLFO ALBERTO"/>
    <s v="ALVEAR"/>
    <s v="GONZALEZ"/>
    <x v="1"/>
    <d v="1899-12-30T07:51:15"/>
    <s v="P20"/>
    <x v="0"/>
    <x v="99"/>
    <x v="99"/>
    <x v="1"/>
    <x v="1"/>
  </r>
  <r>
    <n v="10846598"/>
    <s v="RODOLFO ALBERTO"/>
    <s v="ALVEAR"/>
    <s v="GONZALEZ"/>
    <x v="2"/>
    <d v="1899-12-30T22:02:54"/>
    <s v="P10"/>
    <x v="1"/>
    <x v="99"/>
    <x v="99"/>
    <x v="1"/>
    <x v="1"/>
  </r>
  <r>
    <n v="10846598"/>
    <s v="RODOLFO ALBERTO"/>
    <s v="ALVEAR"/>
    <s v="GONZALEZ"/>
    <x v="3"/>
    <d v="1899-12-30T07:49:54"/>
    <s v="P20"/>
    <x v="0"/>
    <x v="99"/>
    <x v="99"/>
    <x v="1"/>
    <x v="1"/>
  </r>
  <r>
    <n v="10846598"/>
    <s v="RODOLFO ALBERTO"/>
    <s v="ALVEAR"/>
    <s v="GONZALEZ"/>
    <x v="3"/>
    <d v="1899-12-30T22:03:03"/>
    <s v="P10"/>
    <x v="1"/>
    <x v="99"/>
    <x v="99"/>
    <x v="1"/>
    <x v="1"/>
  </r>
  <r>
    <n v="10846598"/>
    <s v="RODOLFO ALBERTO"/>
    <s v="ALVEAR"/>
    <s v="GONZALEZ"/>
    <x v="4"/>
    <d v="1899-12-30T07:51:45"/>
    <s v="P20"/>
    <x v="0"/>
    <x v="99"/>
    <x v="99"/>
    <x v="1"/>
    <x v="1"/>
  </r>
  <r>
    <n v="10846598"/>
    <s v="RODOLFO ALBERTO"/>
    <s v="ALVEAR"/>
    <s v="GONZALEZ"/>
    <x v="4"/>
    <d v="1899-12-30T22:01:55"/>
    <s v="P10"/>
    <x v="1"/>
    <x v="99"/>
    <x v="99"/>
    <x v="1"/>
    <x v="1"/>
  </r>
  <r>
    <n v="10849076"/>
    <s v="RICARDO"/>
    <s v="SANTANA"/>
    <s v="PEREZ"/>
    <x v="0"/>
    <d v="1899-12-30T15:48:43"/>
    <s v="P20"/>
    <x v="0"/>
    <x v="100"/>
    <x v="100"/>
    <x v="3"/>
    <x v="0"/>
  </r>
  <r>
    <n v="10849076"/>
    <s v="RICARDO"/>
    <s v="SANTANA"/>
    <s v="PEREZ"/>
    <x v="0"/>
    <d v="1899-12-30T07:03:19"/>
    <s v="P10"/>
    <x v="1"/>
    <x v="100"/>
    <x v="100"/>
    <x v="3"/>
    <x v="0"/>
  </r>
  <r>
    <n v="10849076"/>
    <s v="RICARDO"/>
    <s v="SANTANA"/>
    <s v="PEREZ"/>
    <x v="1"/>
    <d v="1899-12-30T15:33:13"/>
    <s v="P20"/>
    <x v="0"/>
    <x v="100"/>
    <x v="100"/>
    <x v="3"/>
    <x v="0"/>
  </r>
  <r>
    <n v="10849076"/>
    <s v="RICARDO"/>
    <s v="SANTANA"/>
    <s v="PEREZ"/>
    <x v="1"/>
    <d v="1899-12-30T07:33:31"/>
    <s v="P10"/>
    <x v="1"/>
    <x v="100"/>
    <x v="100"/>
    <x v="1"/>
    <x v="1"/>
  </r>
  <r>
    <n v="10849076"/>
    <s v="RICARDO"/>
    <s v="SANTANA"/>
    <s v="PEREZ"/>
    <x v="2"/>
    <d v="1899-12-30T17:39:28"/>
    <s v="P20"/>
    <x v="0"/>
    <x v="100"/>
    <x v="100"/>
    <x v="3"/>
    <x v="0"/>
  </r>
  <r>
    <n v="10849076"/>
    <s v="RICARDO"/>
    <s v="SANTANA"/>
    <s v="PEREZ"/>
    <x v="2"/>
    <d v="1899-12-30T07:01:46"/>
    <s v="P10"/>
    <x v="1"/>
    <x v="100"/>
    <x v="100"/>
    <x v="3"/>
    <x v="0"/>
  </r>
  <r>
    <n v="10849076"/>
    <s v="RICARDO"/>
    <s v="SANTANA"/>
    <s v="PEREZ"/>
    <x v="4"/>
    <d v="1899-12-30T15:18:08"/>
    <s v="P20"/>
    <x v="0"/>
    <x v="100"/>
    <x v="100"/>
    <x v="3"/>
    <x v="0"/>
  </r>
  <r>
    <n v="10849076"/>
    <s v="RICARDO"/>
    <s v="SANTANA"/>
    <s v="PEREZ"/>
    <x v="4"/>
    <d v="1899-12-30T07:03:09"/>
    <s v="P10"/>
    <x v="1"/>
    <x v="100"/>
    <x v="100"/>
    <x v="3"/>
    <x v="0"/>
  </r>
  <r>
    <n v="10849486"/>
    <s v="ELVIO"/>
    <s v="VALDENEGRO"/>
    <s v="GARRIDO"/>
    <x v="0"/>
    <d v="1899-12-30T07:51:06"/>
    <s v="P20"/>
    <x v="0"/>
    <x v="101"/>
    <x v="101"/>
    <x v="1"/>
    <x v="1"/>
  </r>
  <r>
    <n v="10849486"/>
    <s v="ELVIO"/>
    <s v="VALDENEGRO"/>
    <s v="GARRIDO"/>
    <x v="0"/>
    <d v="1899-12-30T19:19:26"/>
    <s v="P10"/>
    <x v="1"/>
    <x v="101"/>
    <x v="101"/>
    <x v="1"/>
    <x v="1"/>
  </r>
  <r>
    <n v="10849486"/>
    <s v="ELVIO"/>
    <s v="VALDENEGRO"/>
    <s v="GARRIDO"/>
    <x v="1"/>
    <d v="1899-12-30T07:49:43"/>
    <s v="P20"/>
    <x v="0"/>
    <x v="101"/>
    <x v="101"/>
    <x v="1"/>
    <x v="1"/>
  </r>
  <r>
    <n v="10849486"/>
    <s v="ELVIO"/>
    <s v="VALDENEGRO"/>
    <s v="GARRIDO"/>
    <x v="1"/>
    <d v="1899-12-30T22:55:17"/>
    <s v="P20"/>
    <x v="0"/>
    <x v="101"/>
    <x v="101"/>
    <x v="1"/>
    <x v="1"/>
  </r>
  <r>
    <n v="10849486"/>
    <s v="ELVIO"/>
    <s v="VALDENEGRO"/>
    <s v="GARRIDO"/>
    <x v="1"/>
    <d v="1899-12-30T15:23:44"/>
    <s v="P10"/>
    <x v="1"/>
    <x v="101"/>
    <x v="101"/>
    <x v="1"/>
    <x v="1"/>
  </r>
  <r>
    <n v="10849486"/>
    <s v="ELVIO"/>
    <s v="VALDENEGRO"/>
    <s v="GARRIDO"/>
    <x v="2"/>
    <d v="1899-12-30T22:04:29"/>
    <s v="P10"/>
    <x v="1"/>
    <x v="101"/>
    <x v="101"/>
    <x v="1"/>
    <x v="1"/>
  </r>
  <r>
    <n v="10849486"/>
    <s v="ELVIO"/>
    <s v="VALDENEGRO"/>
    <s v="GARRIDO"/>
    <x v="3"/>
    <d v="1899-12-30T07:54:57"/>
    <s v="P20"/>
    <x v="0"/>
    <x v="101"/>
    <x v="101"/>
    <x v="1"/>
    <x v="1"/>
  </r>
  <r>
    <n v="10849486"/>
    <s v="ELVIO"/>
    <s v="VALDENEGRO"/>
    <s v="GARRIDO"/>
    <x v="3"/>
    <d v="1899-12-30T19:08:55"/>
    <s v="P10"/>
    <x v="1"/>
    <x v="101"/>
    <x v="101"/>
    <x v="1"/>
    <x v="1"/>
  </r>
  <r>
    <n v="10849486"/>
    <s v="ELVIO"/>
    <s v="VALDENEGRO"/>
    <s v="GARRIDO"/>
    <x v="4"/>
    <d v="1899-12-30T07:54:08"/>
    <s v="P20"/>
    <x v="0"/>
    <x v="101"/>
    <x v="101"/>
    <x v="1"/>
    <x v="1"/>
  </r>
  <r>
    <n v="10849486"/>
    <s v="ELVIO"/>
    <s v="VALDENEGRO"/>
    <s v="GARRIDO"/>
    <x v="4"/>
    <d v="1899-12-30T19:35:50"/>
    <s v="P10"/>
    <x v="1"/>
    <x v="101"/>
    <x v="101"/>
    <x v="1"/>
    <x v="1"/>
  </r>
  <r>
    <n v="10869222"/>
    <s v="MARCO ANTONIO"/>
    <s v="MADRID"/>
    <s v="PINTO"/>
    <x v="0"/>
    <d v="1899-12-30T07:29:46"/>
    <s v="P20"/>
    <x v="0"/>
    <x v="102"/>
    <x v="102"/>
    <x v="1"/>
    <x v="1"/>
  </r>
  <r>
    <n v="10869222"/>
    <s v="MARCO ANTONIO"/>
    <s v="MADRID"/>
    <s v="PINTO"/>
    <x v="0"/>
    <d v="1899-12-30T22:06:10"/>
    <s v="P10"/>
    <x v="1"/>
    <x v="102"/>
    <x v="102"/>
    <x v="1"/>
    <x v="1"/>
  </r>
  <r>
    <n v="10869222"/>
    <s v="MARCO ANTONIO"/>
    <s v="MADRID"/>
    <s v="PINTO"/>
    <x v="1"/>
    <d v="1899-12-30T07:29:21"/>
    <s v="P20"/>
    <x v="0"/>
    <x v="102"/>
    <x v="102"/>
    <x v="1"/>
    <x v="1"/>
  </r>
  <r>
    <n v="10869222"/>
    <s v="MARCO ANTONIO"/>
    <s v="MADRID"/>
    <s v="PINTO"/>
    <x v="2"/>
    <d v="1899-12-30T07:22:26"/>
    <s v="P20"/>
    <x v="0"/>
    <x v="102"/>
    <x v="102"/>
    <x v="1"/>
    <x v="1"/>
  </r>
  <r>
    <n v="10869222"/>
    <s v="MARCO ANTONIO"/>
    <s v="MADRID"/>
    <s v="PINTO"/>
    <x v="2"/>
    <d v="1899-12-30T00:00:16"/>
    <s v="P10"/>
    <x v="1"/>
    <x v="102"/>
    <x v="102"/>
    <x v="1"/>
    <x v="1"/>
  </r>
  <r>
    <n v="10869222"/>
    <s v="MARCO ANTONIO"/>
    <s v="MADRID"/>
    <s v="PINTO"/>
    <x v="2"/>
    <d v="1899-12-30T22:03:07"/>
    <s v="P10"/>
    <x v="1"/>
    <x v="102"/>
    <x v="102"/>
    <x v="1"/>
    <x v="1"/>
  </r>
  <r>
    <n v="10869222"/>
    <s v="MARCO ANTONIO"/>
    <s v="MADRID"/>
    <s v="PINTO"/>
    <x v="3"/>
    <d v="1899-12-30T07:23:57"/>
    <s v="P20"/>
    <x v="0"/>
    <x v="102"/>
    <x v="102"/>
    <x v="1"/>
    <x v="1"/>
  </r>
  <r>
    <n v="10869222"/>
    <s v="MARCO ANTONIO"/>
    <s v="MADRID"/>
    <s v="PINTO"/>
    <x v="3"/>
    <d v="1899-12-30T22:05:19"/>
    <s v="P10"/>
    <x v="1"/>
    <x v="102"/>
    <x v="102"/>
    <x v="1"/>
    <x v="1"/>
  </r>
  <r>
    <n v="10869222"/>
    <s v="MARCO ANTONIO"/>
    <s v="MADRID"/>
    <s v="PINTO"/>
    <x v="4"/>
    <d v="1899-12-30T07:28:31"/>
    <s v="P20"/>
    <x v="0"/>
    <x v="102"/>
    <x v="102"/>
    <x v="1"/>
    <x v="1"/>
  </r>
  <r>
    <n v="10869222"/>
    <s v="MARCO ANTONIO"/>
    <s v="MADRID"/>
    <s v="PINTO"/>
    <x v="4"/>
    <d v="1899-12-30T22:03:14"/>
    <s v="P10"/>
    <x v="1"/>
    <x v="102"/>
    <x v="102"/>
    <x v="1"/>
    <x v="1"/>
  </r>
  <r>
    <n v="10874066"/>
    <s v="CRISTIAN"/>
    <s v="DIAZ"/>
    <s v="HENRIQUEZ"/>
    <x v="0"/>
    <d v="1899-12-30T17:16:56"/>
    <s v="P20"/>
    <x v="0"/>
    <x v="103"/>
    <x v="103"/>
    <x v="3"/>
    <x v="0"/>
  </r>
  <r>
    <n v="10874066"/>
    <s v="CRISTIAN"/>
    <s v="DIAZ"/>
    <s v="HENRIQUEZ"/>
    <x v="0"/>
    <d v="1899-12-30T14:37:13"/>
    <s v="P10"/>
    <x v="1"/>
    <x v="103"/>
    <x v="103"/>
    <x v="0"/>
    <x v="0"/>
  </r>
  <r>
    <n v="10874066"/>
    <s v="CRISTIAN"/>
    <s v="DIAZ"/>
    <s v="HENRIQUEZ"/>
    <x v="2"/>
    <d v="1899-12-30T22:46:50"/>
    <s v="P20"/>
    <x v="0"/>
    <x v="103"/>
    <x v="103"/>
    <x v="0"/>
    <x v="0"/>
  </r>
  <r>
    <n v="10874066"/>
    <s v="CRISTIAN"/>
    <s v="DIAZ"/>
    <s v="HENRIQUEZ"/>
    <x v="2"/>
    <d v="1899-12-30T14:34:48"/>
    <s v="P10"/>
    <x v="1"/>
    <x v="103"/>
    <x v="103"/>
    <x v="0"/>
    <x v="0"/>
  </r>
  <r>
    <n v="10874066"/>
    <s v="CRISTIAN"/>
    <s v="DIAZ"/>
    <s v="HENRIQUEZ"/>
    <x v="3"/>
    <d v="1899-12-30T22:47:25"/>
    <s v="P20"/>
    <x v="0"/>
    <x v="103"/>
    <x v="103"/>
    <x v="0"/>
    <x v="0"/>
  </r>
  <r>
    <n v="10874066"/>
    <s v="CRISTIAN"/>
    <s v="DIAZ"/>
    <s v="HENRIQUEZ"/>
    <x v="3"/>
    <d v="1899-12-30T14:38:20"/>
    <s v="P10"/>
    <x v="1"/>
    <x v="103"/>
    <x v="103"/>
    <x v="0"/>
    <x v="0"/>
  </r>
  <r>
    <n v="10874066"/>
    <s v="CRISTIAN"/>
    <s v="DIAZ"/>
    <s v="HENRIQUEZ"/>
    <x v="4"/>
    <d v="1899-12-30T22:49:54"/>
    <s v="P20"/>
    <x v="0"/>
    <x v="103"/>
    <x v="103"/>
    <x v="0"/>
    <x v="0"/>
  </r>
  <r>
    <n v="10874066"/>
    <s v="CRISTIAN"/>
    <s v="DIAZ"/>
    <s v="HENRIQUEZ"/>
    <x v="4"/>
    <d v="1899-12-30T14:36:32"/>
    <s v="P10"/>
    <x v="1"/>
    <x v="103"/>
    <x v="103"/>
    <x v="0"/>
    <x v="0"/>
  </r>
  <r>
    <n v="10876404"/>
    <s v="LUIS RAFAEL"/>
    <s v="PALMA"/>
    <s v="MIRANDA"/>
    <x v="0"/>
    <d v="1899-12-30T22:47:02"/>
    <s v="P20"/>
    <x v="0"/>
    <x v="104"/>
    <x v="104"/>
    <x v="0"/>
    <x v="0"/>
  </r>
  <r>
    <n v="10876404"/>
    <s v="LUIS RAFAEL"/>
    <s v="PALMA"/>
    <s v="MIRANDA"/>
    <x v="0"/>
    <d v="1899-12-30T14:36:08"/>
    <s v="P10"/>
    <x v="1"/>
    <x v="104"/>
    <x v="104"/>
    <x v="0"/>
    <x v="0"/>
  </r>
  <r>
    <n v="10876404"/>
    <s v="LUIS RAFAEL"/>
    <s v="PALMA"/>
    <s v="MIRANDA"/>
    <x v="1"/>
    <d v="1899-12-30T22:53:47"/>
    <s v="P20"/>
    <x v="0"/>
    <x v="104"/>
    <x v="104"/>
    <x v="0"/>
    <x v="0"/>
  </r>
  <r>
    <n v="10876404"/>
    <s v="LUIS RAFAEL"/>
    <s v="PALMA"/>
    <s v="MIRANDA"/>
    <x v="1"/>
    <d v="1899-12-30T14:42:06"/>
    <s v="P10"/>
    <x v="1"/>
    <x v="104"/>
    <x v="104"/>
    <x v="0"/>
    <x v="0"/>
  </r>
  <r>
    <n v="10876404"/>
    <s v="LUIS RAFAEL"/>
    <s v="PALMA"/>
    <s v="MIRANDA"/>
    <x v="2"/>
    <d v="1899-12-30T22:49:39"/>
    <s v="P20"/>
    <x v="0"/>
    <x v="104"/>
    <x v="104"/>
    <x v="0"/>
    <x v="0"/>
  </r>
  <r>
    <n v="10876404"/>
    <s v="LUIS RAFAEL"/>
    <s v="PALMA"/>
    <s v="MIRANDA"/>
    <x v="2"/>
    <d v="1899-12-30T14:32:29"/>
    <s v="P10"/>
    <x v="1"/>
    <x v="104"/>
    <x v="104"/>
    <x v="0"/>
    <x v="0"/>
  </r>
  <r>
    <n v="10876404"/>
    <s v="LUIS RAFAEL"/>
    <s v="PALMA"/>
    <s v="MIRANDA"/>
    <x v="3"/>
    <d v="1899-12-30T22:49:01"/>
    <s v="P20"/>
    <x v="0"/>
    <x v="104"/>
    <x v="104"/>
    <x v="0"/>
    <x v="0"/>
  </r>
  <r>
    <n v="10876404"/>
    <s v="LUIS RAFAEL"/>
    <s v="PALMA"/>
    <s v="MIRANDA"/>
    <x v="3"/>
    <d v="1899-12-30T14:33:53"/>
    <s v="P10"/>
    <x v="1"/>
    <x v="104"/>
    <x v="104"/>
    <x v="0"/>
    <x v="0"/>
  </r>
  <r>
    <n v="10876404"/>
    <s v="LUIS RAFAEL"/>
    <s v="PALMA"/>
    <s v="MIRANDA"/>
    <x v="4"/>
    <d v="1899-12-30T22:51:29"/>
    <s v="P20"/>
    <x v="0"/>
    <x v="104"/>
    <x v="104"/>
    <x v="0"/>
    <x v="0"/>
  </r>
  <r>
    <n v="10876404"/>
    <s v="LUIS RAFAEL"/>
    <s v="PALMA"/>
    <s v="MIRANDA"/>
    <x v="4"/>
    <d v="1899-12-30T14:34:02"/>
    <s v="P10"/>
    <x v="1"/>
    <x v="104"/>
    <x v="104"/>
    <x v="0"/>
    <x v="0"/>
  </r>
  <r>
    <n v="10933716"/>
    <s v="HERNANDO"/>
    <s v="RIVEROS"/>
    <s v="RIFFO"/>
    <x v="0"/>
    <d v="1899-12-30T15:17:44"/>
    <s v="P20"/>
    <x v="0"/>
    <x v="105"/>
    <x v="105"/>
    <x v="3"/>
    <x v="0"/>
  </r>
  <r>
    <n v="10933716"/>
    <s v="HERNANDO"/>
    <s v="RIVEROS"/>
    <s v="RIFFO"/>
    <x v="0"/>
    <d v="1899-12-30T07:05:38"/>
    <s v="P10"/>
    <x v="1"/>
    <x v="105"/>
    <x v="105"/>
    <x v="3"/>
    <x v="0"/>
  </r>
  <r>
    <n v="10933716"/>
    <s v="HERNANDO"/>
    <s v="RIVEROS"/>
    <s v="RIFFO"/>
    <x v="1"/>
    <d v="1899-12-30T15:05:00"/>
    <s v="P20"/>
    <x v="0"/>
    <x v="105"/>
    <x v="105"/>
    <x v="3"/>
    <x v="0"/>
  </r>
  <r>
    <n v="10933716"/>
    <s v="HERNANDO"/>
    <s v="RIVEROS"/>
    <s v="RIFFO"/>
    <x v="1"/>
    <d v="1899-12-30T07:03:37"/>
    <s v="P10"/>
    <x v="1"/>
    <x v="105"/>
    <x v="105"/>
    <x v="3"/>
    <x v="0"/>
  </r>
  <r>
    <n v="10933716"/>
    <s v="HERNANDO"/>
    <s v="RIVEROS"/>
    <s v="RIFFO"/>
    <x v="2"/>
    <d v="1899-12-30T15:15:55"/>
    <s v="P20"/>
    <x v="0"/>
    <x v="105"/>
    <x v="105"/>
    <x v="3"/>
    <x v="0"/>
  </r>
  <r>
    <n v="10933716"/>
    <s v="HERNANDO"/>
    <s v="RIVEROS"/>
    <s v="RIFFO"/>
    <x v="2"/>
    <d v="1899-12-30T07:06:11"/>
    <s v="P10"/>
    <x v="1"/>
    <x v="105"/>
    <x v="105"/>
    <x v="3"/>
    <x v="0"/>
  </r>
  <r>
    <n v="10933716"/>
    <s v="HERNANDO"/>
    <s v="RIVEROS"/>
    <s v="RIFFO"/>
    <x v="3"/>
    <d v="1899-12-30T15:13:12"/>
    <s v="P20"/>
    <x v="0"/>
    <x v="105"/>
    <x v="105"/>
    <x v="3"/>
    <x v="0"/>
  </r>
  <r>
    <n v="10933716"/>
    <s v="HERNANDO"/>
    <s v="RIVEROS"/>
    <s v="RIFFO"/>
    <x v="3"/>
    <d v="1899-12-30T07:04:02"/>
    <s v="P10"/>
    <x v="1"/>
    <x v="105"/>
    <x v="105"/>
    <x v="3"/>
    <x v="0"/>
  </r>
  <r>
    <n v="10933716"/>
    <s v="HERNANDO"/>
    <s v="RIVEROS"/>
    <s v="RIFFO"/>
    <x v="4"/>
    <d v="1899-12-30T15:15:48"/>
    <s v="P20"/>
    <x v="0"/>
    <x v="105"/>
    <x v="105"/>
    <x v="3"/>
    <x v="0"/>
  </r>
  <r>
    <n v="10933716"/>
    <s v="HERNANDO"/>
    <s v="RIVEROS"/>
    <s v="RIFFO"/>
    <x v="4"/>
    <d v="1899-12-30T07:05:24"/>
    <s v="P10"/>
    <x v="1"/>
    <x v="105"/>
    <x v="105"/>
    <x v="3"/>
    <x v="0"/>
  </r>
  <r>
    <n v="10970380"/>
    <s v="JUAN ENRIQUE"/>
    <s v="LEIVA"/>
    <s v="MUÑOZ"/>
    <x v="0"/>
    <d v="1899-12-30T15:11:15"/>
    <s v="P20"/>
    <x v="0"/>
    <x v="106"/>
    <x v="106"/>
    <x v="4"/>
    <x v="2"/>
  </r>
  <r>
    <n v="10970380"/>
    <s v="JUAN ENRIQUE"/>
    <s v="LEIVA"/>
    <s v="MUÑOZ"/>
    <x v="0"/>
    <d v="1899-12-30T07:28:07"/>
    <s v="P10"/>
    <x v="1"/>
    <x v="106"/>
    <x v="106"/>
    <x v="4"/>
    <x v="2"/>
  </r>
  <r>
    <n v="10970380"/>
    <s v="JUAN ENRIQUE"/>
    <s v="LEIVA"/>
    <s v="MUÑOZ"/>
    <x v="1"/>
    <d v="1899-12-30T15:07:25"/>
    <s v="P20"/>
    <x v="0"/>
    <x v="106"/>
    <x v="106"/>
    <x v="4"/>
    <x v="2"/>
  </r>
  <r>
    <n v="10970380"/>
    <s v="JUAN ENRIQUE"/>
    <s v="LEIVA"/>
    <s v="MUÑOZ"/>
    <x v="1"/>
    <d v="1899-12-30T07:23:38"/>
    <s v="P10"/>
    <x v="1"/>
    <x v="106"/>
    <x v="106"/>
    <x v="4"/>
    <x v="2"/>
  </r>
  <r>
    <n v="10970380"/>
    <s v="JUAN ENRIQUE"/>
    <s v="LEIVA"/>
    <s v="MUÑOZ"/>
    <x v="7"/>
    <d v="1899-12-30T23:54:25"/>
    <s v="P10"/>
    <x v="1"/>
    <x v="106"/>
    <x v="106"/>
    <x v="4"/>
    <x v="2"/>
  </r>
  <r>
    <n v="10970380"/>
    <s v="JUAN ENRIQUE"/>
    <s v="LEIVA"/>
    <s v="MUÑOZ"/>
    <x v="2"/>
    <d v="1899-12-30T15:10:07"/>
    <s v="P20"/>
    <x v="0"/>
    <x v="106"/>
    <x v="106"/>
    <x v="4"/>
    <x v="2"/>
  </r>
  <r>
    <n v="10970380"/>
    <s v="JUAN ENRIQUE"/>
    <s v="LEIVA"/>
    <s v="MUÑOZ"/>
    <x v="2"/>
    <d v="1899-12-30T07:21:45"/>
    <s v="P10"/>
    <x v="1"/>
    <x v="106"/>
    <x v="106"/>
    <x v="4"/>
    <x v="2"/>
  </r>
  <r>
    <n v="10970380"/>
    <s v="JUAN ENRIQUE"/>
    <s v="LEIVA"/>
    <s v="MUÑOZ"/>
    <x v="3"/>
    <d v="1899-12-30T15:07:38"/>
    <s v="P20"/>
    <x v="0"/>
    <x v="106"/>
    <x v="106"/>
    <x v="4"/>
    <x v="2"/>
  </r>
  <r>
    <n v="10970380"/>
    <s v="JUAN ENRIQUE"/>
    <s v="LEIVA"/>
    <s v="MUÑOZ"/>
    <x v="3"/>
    <d v="1899-12-30T07:19:44"/>
    <s v="P10"/>
    <x v="1"/>
    <x v="106"/>
    <x v="106"/>
    <x v="4"/>
    <x v="2"/>
  </r>
  <r>
    <n v="10970380"/>
    <s v="JUAN ENRIQUE"/>
    <s v="LEIVA"/>
    <s v="MUÑOZ"/>
    <x v="4"/>
    <d v="1899-12-30T15:12:27"/>
    <s v="P20"/>
    <x v="0"/>
    <x v="106"/>
    <x v="106"/>
    <x v="4"/>
    <x v="2"/>
  </r>
  <r>
    <n v="10970380"/>
    <s v="JUAN ENRIQUE"/>
    <s v="LEIVA"/>
    <s v="MUÑOZ"/>
    <x v="4"/>
    <d v="1899-12-30T07:19:28"/>
    <s v="P10"/>
    <x v="1"/>
    <x v="106"/>
    <x v="106"/>
    <x v="4"/>
    <x v="2"/>
  </r>
  <r>
    <n v="11054986"/>
    <s v="CLAUDIA"/>
    <s v="PALAVECINOS"/>
    <s v="SEPULVEDA"/>
    <x v="0"/>
    <d v="1899-12-30T15:11:49"/>
    <s v="P20"/>
    <x v="0"/>
    <x v="107"/>
    <x v="107"/>
    <x v="3"/>
    <x v="0"/>
  </r>
  <r>
    <n v="11054986"/>
    <s v="CLAUDIA"/>
    <s v="PALAVECINOS"/>
    <s v="SEPULVEDA"/>
    <x v="0"/>
    <d v="1899-12-30T06:57:57"/>
    <s v="P10"/>
    <x v="1"/>
    <x v="107"/>
    <x v="107"/>
    <x v="3"/>
    <x v="0"/>
  </r>
  <r>
    <n v="11054986"/>
    <s v="CLAUDIA"/>
    <s v="PALAVECINOS"/>
    <s v="SEPULVEDA"/>
    <x v="1"/>
    <d v="1899-12-30T15:13:19"/>
    <s v="P20"/>
    <x v="0"/>
    <x v="107"/>
    <x v="107"/>
    <x v="3"/>
    <x v="0"/>
  </r>
  <r>
    <n v="11054986"/>
    <s v="CLAUDIA"/>
    <s v="PALAVECINOS"/>
    <s v="SEPULVEDA"/>
    <x v="1"/>
    <d v="1899-12-30T07:10:11"/>
    <s v="P10"/>
    <x v="1"/>
    <x v="107"/>
    <x v="107"/>
    <x v="3"/>
    <x v="0"/>
  </r>
  <r>
    <n v="11054986"/>
    <s v="CLAUDIA"/>
    <s v="PALAVECINOS"/>
    <s v="SEPULVEDA"/>
    <x v="3"/>
    <d v="1899-12-30T15:07:08"/>
    <s v="P20"/>
    <x v="0"/>
    <x v="107"/>
    <x v="107"/>
    <x v="3"/>
    <x v="0"/>
  </r>
  <r>
    <n v="11054986"/>
    <s v="CLAUDIA"/>
    <s v="PALAVECINOS"/>
    <s v="SEPULVEDA"/>
    <x v="3"/>
    <d v="1899-12-30T07:04:15"/>
    <s v="P10"/>
    <x v="1"/>
    <x v="107"/>
    <x v="107"/>
    <x v="3"/>
    <x v="0"/>
  </r>
  <r>
    <n v="11054986"/>
    <s v="CLAUDIA"/>
    <s v="PALAVECINOS"/>
    <s v="SEPULVEDA"/>
    <x v="4"/>
    <d v="1899-12-30T15:13:04"/>
    <s v="P20"/>
    <x v="0"/>
    <x v="107"/>
    <x v="107"/>
    <x v="3"/>
    <x v="0"/>
  </r>
  <r>
    <n v="11054986"/>
    <s v="CLAUDIA"/>
    <s v="PALAVECINOS"/>
    <s v="SEPULVEDA"/>
    <x v="4"/>
    <d v="1899-12-30T06:55:14"/>
    <s v="P10"/>
    <x v="1"/>
    <x v="107"/>
    <x v="107"/>
    <x v="3"/>
    <x v="0"/>
  </r>
  <r>
    <n v="11123851"/>
    <s v="MAURICIO"/>
    <s v="VALLE"/>
    <s v="GONZALEZ"/>
    <x v="0"/>
    <d v="1899-12-30T15:17:04"/>
    <s v="P20"/>
    <x v="0"/>
    <x v="108"/>
    <x v="108"/>
    <x v="3"/>
    <x v="0"/>
  </r>
  <r>
    <n v="11123851"/>
    <s v="MAURICIO"/>
    <s v="VALLE"/>
    <s v="GONZALEZ"/>
    <x v="0"/>
    <d v="1899-12-30T07:07:25"/>
    <s v="P10"/>
    <x v="1"/>
    <x v="108"/>
    <x v="108"/>
    <x v="3"/>
    <x v="0"/>
  </r>
  <r>
    <n v="11123851"/>
    <s v="MAURICIO"/>
    <s v="VALLE"/>
    <s v="GONZALEZ"/>
    <x v="1"/>
    <d v="1899-12-30T15:13:33"/>
    <s v="P20"/>
    <x v="0"/>
    <x v="108"/>
    <x v="108"/>
    <x v="3"/>
    <x v="0"/>
  </r>
  <r>
    <n v="11123851"/>
    <s v="MAURICIO"/>
    <s v="VALLE"/>
    <s v="GONZALEZ"/>
    <x v="1"/>
    <d v="1899-12-30T07:21:03"/>
    <s v="P10"/>
    <x v="1"/>
    <x v="108"/>
    <x v="108"/>
    <x v="3"/>
    <x v="0"/>
  </r>
  <r>
    <n v="11123851"/>
    <s v="MAURICIO"/>
    <s v="VALLE"/>
    <s v="GONZALEZ"/>
    <x v="2"/>
    <d v="1899-12-30T15:21:45"/>
    <s v="P20"/>
    <x v="0"/>
    <x v="108"/>
    <x v="108"/>
    <x v="3"/>
    <x v="0"/>
  </r>
  <r>
    <n v="11123851"/>
    <s v="MAURICIO"/>
    <s v="VALLE"/>
    <s v="GONZALEZ"/>
    <x v="2"/>
    <d v="1899-12-30T07:16:11"/>
    <s v="P10"/>
    <x v="1"/>
    <x v="108"/>
    <x v="108"/>
    <x v="3"/>
    <x v="0"/>
  </r>
  <r>
    <n v="11123851"/>
    <s v="MAURICIO"/>
    <s v="VALLE"/>
    <s v="GONZALEZ"/>
    <x v="3"/>
    <d v="1899-12-30T15:20:35"/>
    <s v="P20"/>
    <x v="0"/>
    <x v="108"/>
    <x v="108"/>
    <x v="3"/>
    <x v="0"/>
  </r>
  <r>
    <n v="11123851"/>
    <s v="MAURICIO"/>
    <s v="VALLE"/>
    <s v="GONZALEZ"/>
    <x v="3"/>
    <d v="1899-12-30T07:23:06"/>
    <s v="P10"/>
    <x v="1"/>
    <x v="108"/>
    <x v="108"/>
    <x v="3"/>
    <x v="0"/>
  </r>
  <r>
    <n v="11123851"/>
    <s v="MAURICIO"/>
    <s v="VALLE"/>
    <s v="GONZALEZ"/>
    <x v="4"/>
    <d v="1899-12-30T15:17:21"/>
    <s v="P20"/>
    <x v="0"/>
    <x v="108"/>
    <x v="108"/>
    <x v="3"/>
    <x v="0"/>
  </r>
  <r>
    <n v="11123851"/>
    <s v="MAURICIO"/>
    <s v="VALLE"/>
    <s v="GONZALEZ"/>
    <x v="4"/>
    <d v="1899-12-30T07:05:28"/>
    <s v="P10"/>
    <x v="1"/>
    <x v="108"/>
    <x v="108"/>
    <x v="3"/>
    <x v="0"/>
  </r>
  <r>
    <n v="11124307"/>
    <s v="JOSE ENRIQUE"/>
    <s v="MUÑOZ"/>
    <s v="QUENPUL"/>
    <x v="0"/>
    <d v="1899-12-30T15:20:30"/>
    <s v="P20"/>
    <x v="0"/>
    <x v="109"/>
    <x v="109"/>
    <x v="4"/>
    <x v="2"/>
  </r>
  <r>
    <n v="11124307"/>
    <s v="JOSE ENRIQUE"/>
    <s v="MUÑOZ"/>
    <s v="QUENPUL"/>
    <x v="0"/>
    <d v="1899-12-30T07:03:41"/>
    <s v="P10"/>
    <x v="1"/>
    <x v="109"/>
    <x v="109"/>
    <x v="4"/>
    <x v="2"/>
  </r>
  <r>
    <n v="11124307"/>
    <s v="JOSE ENRIQUE"/>
    <s v="MUÑOZ"/>
    <s v="QUENPUL"/>
    <x v="1"/>
    <d v="1899-12-30T15:20:55"/>
    <s v="P20"/>
    <x v="0"/>
    <x v="109"/>
    <x v="109"/>
    <x v="4"/>
    <x v="2"/>
  </r>
  <r>
    <n v="11124307"/>
    <s v="JOSE ENRIQUE"/>
    <s v="MUÑOZ"/>
    <s v="QUENPUL"/>
    <x v="1"/>
    <d v="1899-12-30T07:04:38"/>
    <s v="P10"/>
    <x v="1"/>
    <x v="109"/>
    <x v="109"/>
    <x v="4"/>
    <x v="2"/>
  </r>
  <r>
    <n v="11124307"/>
    <s v="JOSE ENRIQUE"/>
    <s v="MUÑOZ"/>
    <s v="QUENPUL"/>
    <x v="2"/>
    <d v="1899-12-30T15:22:55"/>
    <s v="P20"/>
    <x v="0"/>
    <x v="109"/>
    <x v="109"/>
    <x v="4"/>
    <x v="2"/>
  </r>
  <r>
    <n v="11124307"/>
    <s v="JOSE ENRIQUE"/>
    <s v="MUÑOZ"/>
    <s v="QUENPUL"/>
    <x v="2"/>
    <d v="1899-12-30T06:56:01"/>
    <s v="P10"/>
    <x v="1"/>
    <x v="109"/>
    <x v="109"/>
    <x v="4"/>
    <x v="2"/>
  </r>
  <r>
    <n v="11124307"/>
    <s v="JOSE ENRIQUE"/>
    <s v="MUÑOZ"/>
    <s v="QUENPUL"/>
    <x v="3"/>
    <d v="1899-12-30T15:15:22"/>
    <s v="P20"/>
    <x v="0"/>
    <x v="109"/>
    <x v="109"/>
    <x v="4"/>
    <x v="2"/>
  </r>
  <r>
    <n v="11124307"/>
    <s v="JOSE ENRIQUE"/>
    <s v="MUÑOZ"/>
    <s v="QUENPUL"/>
    <x v="3"/>
    <d v="1899-12-30T06:58:13"/>
    <s v="P10"/>
    <x v="1"/>
    <x v="109"/>
    <x v="109"/>
    <x v="4"/>
    <x v="2"/>
  </r>
  <r>
    <n v="11124307"/>
    <s v="JOSE ENRIQUE"/>
    <s v="MUÑOZ"/>
    <s v="QUENPUL"/>
    <x v="4"/>
    <d v="1899-12-30T15:20:58"/>
    <s v="P20"/>
    <x v="0"/>
    <x v="109"/>
    <x v="109"/>
    <x v="4"/>
    <x v="2"/>
  </r>
  <r>
    <n v="11124307"/>
    <s v="JOSE ENRIQUE"/>
    <s v="MUÑOZ"/>
    <s v="QUENPUL"/>
    <x v="4"/>
    <d v="1899-12-30T06:55:39"/>
    <s v="P10"/>
    <x v="1"/>
    <x v="109"/>
    <x v="109"/>
    <x v="4"/>
    <x v="2"/>
  </r>
  <r>
    <n v="11165105"/>
    <s v="CECILIA"/>
    <s v="DIAZ"/>
    <s v="POBLETE"/>
    <x v="5"/>
    <d v="1899-12-30T00:00:00"/>
    <m/>
    <x v="2"/>
    <x v="110"/>
    <x v="110"/>
    <x v="2"/>
    <x v="2"/>
  </r>
  <r>
    <n v="11267594"/>
    <s v="JOAQUIN"/>
    <s v="ESPINOZA"/>
    <s v="MORENO"/>
    <x v="0"/>
    <d v="1899-12-30T18:30:50"/>
    <s v="P20"/>
    <x v="0"/>
    <x v="111"/>
    <x v="111"/>
    <x v="4"/>
    <x v="2"/>
  </r>
  <r>
    <n v="11267594"/>
    <s v="JOAQUIN"/>
    <s v="ESPINOZA"/>
    <s v="MORENO"/>
    <x v="0"/>
    <d v="1899-12-30T06:58:10"/>
    <s v="P10"/>
    <x v="1"/>
    <x v="111"/>
    <x v="111"/>
    <x v="4"/>
    <x v="2"/>
  </r>
  <r>
    <n v="11267594"/>
    <s v="JOAQUIN"/>
    <s v="ESPINOZA"/>
    <s v="MORENO"/>
    <x v="2"/>
    <d v="1899-12-30T19:29:55"/>
    <s v="P20"/>
    <x v="0"/>
    <x v="111"/>
    <x v="111"/>
    <x v="4"/>
    <x v="2"/>
  </r>
  <r>
    <n v="11267594"/>
    <s v="JOAQUIN"/>
    <s v="ESPINOZA"/>
    <s v="MORENO"/>
    <x v="2"/>
    <d v="1899-12-30T06:59:08"/>
    <s v="P10"/>
    <x v="1"/>
    <x v="111"/>
    <x v="111"/>
    <x v="4"/>
    <x v="2"/>
  </r>
  <r>
    <n v="11267594"/>
    <s v="JOAQUIN"/>
    <s v="ESPINOZA"/>
    <s v="MORENO"/>
    <x v="3"/>
    <d v="1899-12-30T17:39:06"/>
    <s v="P20"/>
    <x v="0"/>
    <x v="111"/>
    <x v="111"/>
    <x v="4"/>
    <x v="2"/>
  </r>
  <r>
    <n v="11267594"/>
    <s v="JOAQUIN"/>
    <s v="ESPINOZA"/>
    <s v="MORENO"/>
    <x v="3"/>
    <d v="1899-12-30T06:57:41"/>
    <s v="P10"/>
    <x v="1"/>
    <x v="111"/>
    <x v="111"/>
    <x v="4"/>
    <x v="2"/>
  </r>
  <r>
    <n v="11267594"/>
    <s v="JOAQUIN"/>
    <s v="ESPINOZA"/>
    <s v="MORENO"/>
    <x v="4"/>
    <d v="1899-12-30T19:02:31"/>
    <s v="P20"/>
    <x v="0"/>
    <x v="111"/>
    <x v="111"/>
    <x v="4"/>
    <x v="2"/>
  </r>
  <r>
    <n v="11267594"/>
    <s v="JOAQUIN"/>
    <s v="ESPINOZA"/>
    <s v="MORENO"/>
    <x v="4"/>
    <d v="1899-12-30T07:03:33"/>
    <s v="P10"/>
    <x v="1"/>
    <x v="111"/>
    <x v="111"/>
    <x v="4"/>
    <x v="2"/>
  </r>
  <r>
    <n v="11267622"/>
    <s v="JOSE FERNANDO"/>
    <s v="MATURANA"/>
    <s v="RIOS"/>
    <x v="0"/>
    <d v="1899-12-30T22:34:55"/>
    <s v="P20"/>
    <x v="0"/>
    <x v="112"/>
    <x v="112"/>
    <x v="0"/>
    <x v="0"/>
  </r>
  <r>
    <n v="11267622"/>
    <s v="JOSE FERNANDO"/>
    <s v="MATURANA"/>
    <s v="RIOS"/>
    <x v="0"/>
    <d v="1899-12-30T14:47:06"/>
    <s v="P10"/>
    <x v="1"/>
    <x v="112"/>
    <x v="112"/>
    <x v="0"/>
    <x v="0"/>
  </r>
  <r>
    <n v="11267622"/>
    <s v="JOSE FERNANDO"/>
    <s v="MATURANA"/>
    <s v="RIOS"/>
    <x v="1"/>
    <d v="1899-12-30T22:29:50"/>
    <s v="P20"/>
    <x v="0"/>
    <x v="112"/>
    <x v="112"/>
    <x v="0"/>
    <x v="0"/>
  </r>
  <r>
    <n v="11267622"/>
    <s v="JOSE FERNANDO"/>
    <s v="MATURANA"/>
    <s v="RIOS"/>
    <x v="1"/>
    <d v="1899-12-30T14:43:07"/>
    <s v="P10"/>
    <x v="1"/>
    <x v="112"/>
    <x v="112"/>
    <x v="0"/>
    <x v="0"/>
  </r>
  <r>
    <n v="11267622"/>
    <s v="JOSE FERNANDO"/>
    <s v="MATURANA"/>
    <s v="RIOS"/>
    <x v="2"/>
    <d v="1899-12-30T22:25:17"/>
    <s v="P20"/>
    <x v="0"/>
    <x v="112"/>
    <x v="112"/>
    <x v="0"/>
    <x v="0"/>
  </r>
  <r>
    <n v="11267622"/>
    <s v="JOSE FERNANDO"/>
    <s v="MATURANA"/>
    <s v="RIOS"/>
    <x v="2"/>
    <d v="1899-12-30T14:52:59"/>
    <s v="P10"/>
    <x v="1"/>
    <x v="112"/>
    <x v="112"/>
    <x v="0"/>
    <x v="0"/>
  </r>
  <r>
    <n v="11267622"/>
    <s v="JOSE FERNANDO"/>
    <s v="MATURANA"/>
    <s v="RIOS"/>
    <x v="4"/>
    <d v="1899-12-30T22:35:14"/>
    <s v="P20"/>
    <x v="0"/>
    <x v="112"/>
    <x v="112"/>
    <x v="0"/>
    <x v="0"/>
  </r>
  <r>
    <n v="11267622"/>
    <s v="JOSE FERNANDO"/>
    <s v="MATURANA"/>
    <s v="RIOS"/>
    <x v="4"/>
    <d v="1899-12-30T14:43:21"/>
    <s v="P10"/>
    <x v="1"/>
    <x v="112"/>
    <x v="112"/>
    <x v="0"/>
    <x v="0"/>
  </r>
  <r>
    <n v="11268136"/>
    <s v="MARIA ANGELICA"/>
    <s v="CRUCES"/>
    <s v="AGUILERA"/>
    <x v="0"/>
    <d v="1899-12-30T22:53:38"/>
    <s v="P20"/>
    <x v="0"/>
    <x v="113"/>
    <x v="113"/>
    <x v="0"/>
    <x v="0"/>
  </r>
  <r>
    <n v="11268136"/>
    <s v="MARIA ANGELICA"/>
    <s v="CRUCES"/>
    <s v="AGUILERA"/>
    <x v="0"/>
    <d v="1899-12-30T14:36:52"/>
    <s v="P10"/>
    <x v="1"/>
    <x v="113"/>
    <x v="113"/>
    <x v="0"/>
    <x v="0"/>
  </r>
  <r>
    <n v="11268136"/>
    <s v="MARIA ANGELICA"/>
    <s v="CRUCES"/>
    <s v="AGUILERA"/>
    <x v="1"/>
    <d v="1899-12-30T22:45:05"/>
    <s v="P20"/>
    <x v="0"/>
    <x v="113"/>
    <x v="113"/>
    <x v="0"/>
    <x v="0"/>
  </r>
  <r>
    <n v="11268136"/>
    <s v="MARIA ANGELICA"/>
    <s v="CRUCES"/>
    <s v="AGUILERA"/>
    <x v="1"/>
    <d v="1899-12-30T14:37:24"/>
    <s v="P10"/>
    <x v="1"/>
    <x v="113"/>
    <x v="113"/>
    <x v="0"/>
    <x v="0"/>
  </r>
  <r>
    <n v="11268136"/>
    <s v="MARIA ANGELICA"/>
    <s v="CRUCES"/>
    <s v="AGUILERA"/>
    <x v="2"/>
    <d v="1899-12-30T22:42:03"/>
    <s v="P20"/>
    <x v="0"/>
    <x v="113"/>
    <x v="113"/>
    <x v="0"/>
    <x v="0"/>
  </r>
  <r>
    <n v="11268136"/>
    <s v="MARIA ANGELICA"/>
    <s v="CRUCES"/>
    <s v="AGUILERA"/>
    <x v="2"/>
    <d v="1899-12-30T14:33:23"/>
    <s v="P10"/>
    <x v="1"/>
    <x v="113"/>
    <x v="113"/>
    <x v="0"/>
    <x v="0"/>
  </r>
  <r>
    <n v="11268136"/>
    <s v="MARIA ANGELICA"/>
    <s v="CRUCES"/>
    <s v="AGUILERA"/>
    <x v="3"/>
    <d v="1899-12-30T22:46:39"/>
    <s v="P20"/>
    <x v="0"/>
    <x v="113"/>
    <x v="113"/>
    <x v="0"/>
    <x v="0"/>
  </r>
  <r>
    <n v="11268136"/>
    <s v="MARIA ANGELICA"/>
    <s v="CRUCES"/>
    <s v="AGUILERA"/>
    <x v="3"/>
    <d v="1899-12-30T14:37:55"/>
    <s v="P10"/>
    <x v="1"/>
    <x v="113"/>
    <x v="113"/>
    <x v="0"/>
    <x v="0"/>
  </r>
  <r>
    <n v="11268136"/>
    <s v="MARIA ANGELICA"/>
    <s v="CRUCES"/>
    <s v="AGUILERA"/>
    <x v="4"/>
    <d v="1899-12-30T22:45:26"/>
    <s v="P20"/>
    <x v="0"/>
    <x v="113"/>
    <x v="113"/>
    <x v="0"/>
    <x v="0"/>
  </r>
  <r>
    <n v="11268136"/>
    <s v="MARIA ANGELICA"/>
    <s v="CRUCES"/>
    <s v="AGUILERA"/>
    <x v="4"/>
    <d v="1899-12-30T14:35:33"/>
    <s v="P10"/>
    <x v="1"/>
    <x v="113"/>
    <x v="113"/>
    <x v="0"/>
    <x v="0"/>
  </r>
  <r>
    <n v="11306351"/>
    <s v="RUBEN MARCO"/>
    <s v="MANQUIAN"/>
    <s v="NORIEGA"/>
    <x v="0"/>
    <d v="1899-12-30T22:34:15"/>
    <s v="P20"/>
    <x v="0"/>
    <x v="114"/>
    <x v="114"/>
    <x v="0"/>
    <x v="0"/>
  </r>
  <r>
    <n v="11306351"/>
    <s v="RUBEN MARCO"/>
    <s v="MANQUIAN"/>
    <s v="NORIEGA"/>
    <x v="0"/>
    <d v="1899-12-30T13:34:23"/>
    <s v="P10"/>
    <x v="1"/>
    <x v="114"/>
    <x v="114"/>
    <x v="0"/>
    <x v="0"/>
  </r>
  <r>
    <n v="11306351"/>
    <s v="RUBEN MARCO"/>
    <s v="MANQUIAN"/>
    <s v="NORIEGA"/>
    <x v="1"/>
    <d v="1899-12-30T20:40:59"/>
    <s v="P20"/>
    <x v="0"/>
    <x v="114"/>
    <x v="114"/>
    <x v="0"/>
    <x v="0"/>
  </r>
  <r>
    <n v="11306351"/>
    <s v="RUBEN MARCO"/>
    <s v="MANQUIAN"/>
    <s v="NORIEGA"/>
    <x v="1"/>
    <d v="1899-12-30T13:49:40"/>
    <s v="P10"/>
    <x v="1"/>
    <x v="114"/>
    <x v="114"/>
    <x v="0"/>
    <x v="0"/>
  </r>
  <r>
    <n v="11306351"/>
    <s v="RUBEN MARCO"/>
    <s v="MANQUIAN"/>
    <s v="NORIEGA"/>
    <x v="2"/>
    <d v="1899-12-30T22:50:39"/>
    <s v="P20"/>
    <x v="0"/>
    <x v="114"/>
    <x v="114"/>
    <x v="0"/>
    <x v="0"/>
  </r>
  <r>
    <n v="11306351"/>
    <s v="RUBEN MARCO"/>
    <s v="MANQUIAN"/>
    <s v="NORIEGA"/>
    <x v="2"/>
    <d v="1899-12-30T13:58:35"/>
    <s v="P10"/>
    <x v="1"/>
    <x v="114"/>
    <x v="114"/>
    <x v="0"/>
    <x v="0"/>
  </r>
  <r>
    <n v="11306351"/>
    <s v="RUBEN MARCO"/>
    <s v="MANQUIAN"/>
    <s v="NORIEGA"/>
    <x v="3"/>
    <d v="1899-12-30T22:38:27"/>
    <s v="P20"/>
    <x v="0"/>
    <x v="114"/>
    <x v="114"/>
    <x v="0"/>
    <x v="0"/>
  </r>
  <r>
    <n v="11306351"/>
    <s v="RUBEN MARCO"/>
    <s v="MANQUIAN"/>
    <s v="NORIEGA"/>
    <x v="3"/>
    <d v="1899-12-30T13:53:46"/>
    <s v="P10"/>
    <x v="1"/>
    <x v="114"/>
    <x v="114"/>
    <x v="0"/>
    <x v="0"/>
  </r>
  <r>
    <n v="11306351"/>
    <s v="RUBEN MARCO"/>
    <s v="MANQUIAN"/>
    <s v="NORIEGA"/>
    <x v="4"/>
    <d v="1899-12-30T22:39:32"/>
    <s v="P20"/>
    <x v="0"/>
    <x v="114"/>
    <x v="114"/>
    <x v="0"/>
    <x v="0"/>
  </r>
  <r>
    <n v="11306351"/>
    <s v="RUBEN MARCO"/>
    <s v="MANQUIAN"/>
    <s v="NORIEGA"/>
    <x v="4"/>
    <d v="1899-12-30T13:39:05"/>
    <s v="P10"/>
    <x v="1"/>
    <x v="114"/>
    <x v="114"/>
    <x v="0"/>
    <x v="0"/>
  </r>
  <r>
    <n v="11325204"/>
    <s v="LUIS ALBERTO"/>
    <s v="ALVARADO"/>
    <s v="MARTINEZ"/>
    <x v="0"/>
    <d v="1899-12-30T15:05:22"/>
    <s v="P20"/>
    <x v="0"/>
    <x v="115"/>
    <x v="115"/>
    <x v="4"/>
    <x v="2"/>
  </r>
  <r>
    <n v="11325204"/>
    <s v="LUIS ALBERTO"/>
    <s v="ALVARADO"/>
    <s v="MARTINEZ"/>
    <x v="0"/>
    <d v="1899-12-30T07:34:07"/>
    <s v="P10"/>
    <x v="1"/>
    <x v="115"/>
    <x v="115"/>
    <x v="4"/>
    <x v="2"/>
  </r>
  <r>
    <n v="11325204"/>
    <s v="LUIS ALBERTO"/>
    <s v="ALVARADO"/>
    <s v="MARTINEZ"/>
    <x v="1"/>
    <d v="1899-12-30T15:11:13"/>
    <s v="P20"/>
    <x v="0"/>
    <x v="115"/>
    <x v="115"/>
    <x v="4"/>
    <x v="2"/>
  </r>
  <r>
    <n v="11325204"/>
    <s v="LUIS ALBERTO"/>
    <s v="ALVARADO"/>
    <s v="MARTINEZ"/>
    <x v="1"/>
    <d v="1899-12-30T07:32:59"/>
    <s v="P10"/>
    <x v="1"/>
    <x v="115"/>
    <x v="115"/>
    <x v="4"/>
    <x v="2"/>
  </r>
  <r>
    <n v="11325204"/>
    <s v="LUIS ALBERTO"/>
    <s v="ALVARADO"/>
    <s v="MARTINEZ"/>
    <x v="2"/>
    <d v="1899-12-30T15:02:19"/>
    <s v="P20"/>
    <x v="0"/>
    <x v="115"/>
    <x v="115"/>
    <x v="4"/>
    <x v="2"/>
  </r>
  <r>
    <n v="11325204"/>
    <s v="LUIS ALBERTO"/>
    <s v="ALVARADO"/>
    <s v="MARTINEZ"/>
    <x v="2"/>
    <d v="1899-12-30T07:34:28"/>
    <s v="P10"/>
    <x v="1"/>
    <x v="115"/>
    <x v="115"/>
    <x v="4"/>
    <x v="2"/>
  </r>
  <r>
    <n v="11325204"/>
    <s v="LUIS ALBERTO"/>
    <s v="ALVARADO"/>
    <s v="MARTINEZ"/>
    <x v="3"/>
    <d v="1899-12-30T15:05:41"/>
    <s v="P20"/>
    <x v="0"/>
    <x v="115"/>
    <x v="115"/>
    <x v="4"/>
    <x v="2"/>
  </r>
  <r>
    <n v="11325204"/>
    <s v="LUIS ALBERTO"/>
    <s v="ALVARADO"/>
    <s v="MARTINEZ"/>
    <x v="3"/>
    <d v="1899-12-30T07:42:23"/>
    <s v="P10"/>
    <x v="1"/>
    <x v="115"/>
    <x v="115"/>
    <x v="4"/>
    <x v="2"/>
  </r>
  <r>
    <n v="11325204"/>
    <s v="LUIS ALBERTO"/>
    <s v="ALVARADO"/>
    <s v="MARTINEZ"/>
    <x v="4"/>
    <d v="1899-12-30T15:15:02"/>
    <s v="P20"/>
    <x v="0"/>
    <x v="115"/>
    <x v="115"/>
    <x v="4"/>
    <x v="2"/>
  </r>
  <r>
    <n v="11325204"/>
    <s v="LUIS ALBERTO"/>
    <s v="ALVARADO"/>
    <s v="MARTINEZ"/>
    <x v="4"/>
    <d v="1899-12-30T07:44:19"/>
    <s v="P10"/>
    <x v="1"/>
    <x v="115"/>
    <x v="115"/>
    <x v="4"/>
    <x v="2"/>
  </r>
  <r>
    <n v="11347053"/>
    <s v="LUISA ISABEL"/>
    <s v="CRUZ"/>
    <s v="ROMERO"/>
    <x v="0"/>
    <d v="1899-12-30T22:45:10"/>
    <s v="P20"/>
    <x v="0"/>
    <x v="116"/>
    <x v="116"/>
    <x v="0"/>
    <x v="0"/>
  </r>
  <r>
    <n v="11347053"/>
    <s v="LUISA ISABEL"/>
    <s v="CRUZ"/>
    <s v="ROMERO"/>
    <x v="0"/>
    <d v="1899-12-30T14:57:21"/>
    <s v="P10"/>
    <x v="1"/>
    <x v="116"/>
    <x v="116"/>
    <x v="0"/>
    <x v="0"/>
  </r>
  <r>
    <n v="11347053"/>
    <s v="LUISA ISABEL"/>
    <s v="CRUZ"/>
    <s v="ROMERO"/>
    <x v="1"/>
    <d v="1899-12-30T22:25:38"/>
    <s v="P20"/>
    <x v="0"/>
    <x v="116"/>
    <x v="116"/>
    <x v="0"/>
    <x v="0"/>
  </r>
  <r>
    <n v="11347053"/>
    <s v="LUISA ISABEL"/>
    <s v="CRUZ"/>
    <s v="ROMERO"/>
    <x v="1"/>
    <d v="1899-12-30T15:29:33"/>
    <s v="P10"/>
    <x v="1"/>
    <x v="116"/>
    <x v="116"/>
    <x v="0"/>
    <x v="0"/>
  </r>
  <r>
    <n v="11347053"/>
    <s v="LUISA ISABEL"/>
    <s v="CRUZ"/>
    <s v="ROMERO"/>
    <x v="2"/>
    <d v="1899-12-30T22:42:54"/>
    <s v="P20"/>
    <x v="0"/>
    <x v="116"/>
    <x v="116"/>
    <x v="0"/>
    <x v="0"/>
  </r>
  <r>
    <n v="11347053"/>
    <s v="LUISA ISABEL"/>
    <s v="CRUZ"/>
    <s v="ROMERO"/>
    <x v="2"/>
    <d v="1899-12-30T14:54:10"/>
    <s v="P10"/>
    <x v="1"/>
    <x v="116"/>
    <x v="116"/>
    <x v="0"/>
    <x v="0"/>
  </r>
  <r>
    <n v="11347053"/>
    <s v="LUISA ISABEL"/>
    <s v="CRUZ"/>
    <s v="ROMERO"/>
    <x v="3"/>
    <d v="1899-12-30T22:40:54"/>
    <s v="P20"/>
    <x v="0"/>
    <x v="116"/>
    <x v="116"/>
    <x v="0"/>
    <x v="0"/>
  </r>
  <r>
    <n v="11347053"/>
    <s v="LUISA ISABEL"/>
    <s v="CRUZ"/>
    <s v="ROMERO"/>
    <x v="3"/>
    <d v="1899-12-30T15:00:03"/>
    <s v="P10"/>
    <x v="1"/>
    <x v="116"/>
    <x v="116"/>
    <x v="0"/>
    <x v="0"/>
  </r>
  <r>
    <n v="11347053"/>
    <s v="LUISA ISABEL"/>
    <s v="CRUZ"/>
    <s v="ROMERO"/>
    <x v="4"/>
    <d v="1899-12-30T22:39:22"/>
    <s v="P20"/>
    <x v="0"/>
    <x v="116"/>
    <x v="116"/>
    <x v="0"/>
    <x v="0"/>
  </r>
  <r>
    <n v="11347053"/>
    <s v="LUISA ISABEL"/>
    <s v="CRUZ"/>
    <s v="ROMERO"/>
    <x v="4"/>
    <d v="1899-12-30T14:54:02"/>
    <s v="P10"/>
    <x v="1"/>
    <x v="116"/>
    <x v="116"/>
    <x v="0"/>
    <x v="0"/>
  </r>
  <r>
    <n v="11370436"/>
    <s v="LUIS HUMBERTO"/>
    <s v="MARDONES"/>
    <s v="ALVARADO"/>
    <x v="0"/>
    <d v="1899-12-30T15:13:07"/>
    <s v="P20"/>
    <x v="0"/>
    <x v="117"/>
    <x v="117"/>
    <x v="4"/>
    <x v="2"/>
  </r>
  <r>
    <n v="11370436"/>
    <s v="LUIS HUMBERTO"/>
    <s v="MARDONES"/>
    <s v="ALVARADO"/>
    <x v="0"/>
    <d v="1899-12-30T07:02:42"/>
    <s v="P10"/>
    <x v="1"/>
    <x v="117"/>
    <x v="117"/>
    <x v="4"/>
    <x v="2"/>
  </r>
  <r>
    <n v="11370436"/>
    <s v="LUIS HUMBERTO"/>
    <s v="MARDONES"/>
    <s v="ALVARADO"/>
    <x v="1"/>
    <d v="1899-12-30T15:13:29"/>
    <s v="P20"/>
    <x v="0"/>
    <x v="117"/>
    <x v="117"/>
    <x v="4"/>
    <x v="2"/>
  </r>
  <r>
    <n v="11370436"/>
    <s v="LUIS HUMBERTO"/>
    <s v="MARDONES"/>
    <s v="ALVARADO"/>
    <x v="1"/>
    <d v="1899-12-30T07:02:23"/>
    <s v="P10"/>
    <x v="1"/>
    <x v="117"/>
    <x v="117"/>
    <x v="4"/>
    <x v="2"/>
  </r>
  <r>
    <n v="11370436"/>
    <s v="LUIS HUMBERTO"/>
    <s v="MARDONES"/>
    <s v="ALVARADO"/>
    <x v="2"/>
    <d v="1899-12-30T15:12:23"/>
    <s v="P20"/>
    <x v="0"/>
    <x v="117"/>
    <x v="117"/>
    <x v="4"/>
    <x v="2"/>
  </r>
  <r>
    <n v="11370436"/>
    <s v="LUIS HUMBERTO"/>
    <s v="MARDONES"/>
    <s v="ALVARADO"/>
    <x v="2"/>
    <d v="1899-12-30T07:04:39"/>
    <s v="P10"/>
    <x v="1"/>
    <x v="117"/>
    <x v="117"/>
    <x v="4"/>
    <x v="2"/>
  </r>
  <r>
    <n v="11370436"/>
    <s v="LUIS HUMBERTO"/>
    <s v="MARDONES"/>
    <s v="ALVARADO"/>
    <x v="3"/>
    <d v="1899-12-30T15:16:04"/>
    <s v="P20"/>
    <x v="0"/>
    <x v="117"/>
    <x v="117"/>
    <x v="4"/>
    <x v="2"/>
  </r>
  <r>
    <n v="11370436"/>
    <s v="LUIS HUMBERTO"/>
    <s v="MARDONES"/>
    <s v="ALVARADO"/>
    <x v="3"/>
    <d v="1899-12-30T07:01:57"/>
    <s v="P10"/>
    <x v="1"/>
    <x v="117"/>
    <x v="117"/>
    <x v="4"/>
    <x v="2"/>
  </r>
  <r>
    <n v="11370436"/>
    <s v="LUIS HUMBERTO"/>
    <s v="MARDONES"/>
    <s v="ALVARADO"/>
    <x v="4"/>
    <d v="1899-12-30T15:21:45"/>
    <s v="P20"/>
    <x v="0"/>
    <x v="117"/>
    <x v="117"/>
    <x v="4"/>
    <x v="2"/>
  </r>
  <r>
    <n v="11370436"/>
    <s v="LUIS HUMBERTO"/>
    <s v="MARDONES"/>
    <s v="ALVARADO"/>
    <x v="4"/>
    <d v="1899-12-30T07:00:08"/>
    <s v="P10"/>
    <x v="1"/>
    <x v="117"/>
    <x v="117"/>
    <x v="4"/>
    <x v="2"/>
  </r>
  <r>
    <n v="11394356"/>
    <s v="ANGELICA VICTORIA"/>
    <s v="DIAZ"/>
    <s v="MUÑOZ"/>
    <x v="0"/>
    <d v="1899-12-30T15:37:15"/>
    <s v="P20"/>
    <x v="0"/>
    <x v="118"/>
    <x v="118"/>
    <x v="3"/>
    <x v="0"/>
  </r>
  <r>
    <n v="11394356"/>
    <s v="ANGELICA VICTORIA"/>
    <s v="DIAZ"/>
    <s v="MUÑOZ"/>
    <x v="0"/>
    <d v="1899-12-30T07:02:33"/>
    <s v="P10"/>
    <x v="1"/>
    <x v="118"/>
    <x v="118"/>
    <x v="3"/>
    <x v="0"/>
  </r>
  <r>
    <n v="11394356"/>
    <s v="ANGELICA VICTORIA"/>
    <s v="DIAZ"/>
    <s v="MUÑOZ"/>
    <x v="1"/>
    <d v="1899-12-30T15:17:28"/>
    <s v="P20"/>
    <x v="0"/>
    <x v="118"/>
    <x v="118"/>
    <x v="3"/>
    <x v="0"/>
  </r>
  <r>
    <n v="11394356"/>
    <s v="ANGELICA VICTORIA"/>
    <s v="DIAZ"/>
    <s v="MUÑOZ"/>
    <x v="1"/>
    <d v="1899-12-30T07:00:14"/>
    <s v="P10"/>
    <x v="1"/>
    <x v="118"/>
    <x v="118"/>
    <x v="3"/>
    <x v="0"/>
  </r>
  <r>
    <n v="11394356"/>
    <s v="ANGELICA VICTORIA"/>
    <s v="DIAZ"/>
    <s v="MUÑOZ"/>
    <x v="2"/>
    <d v="1899-12-30T15:14:54"/>
    <s v="P20"/>
    <x v="0"/>
    <x v="118"/>
    <x v="118"/>
    <x v="3"/>
    <x v="0"/>
  </r>
  <r>
    <n v="11394356"/>
    <s v="ANGELICA VICTORIA"/>
    <s v="DIAZ"/>
    <s v="MUÑOZ"/>
    <x v="2"/>
    <d v="1899-12-30T07:21:35"/>
    <s v="P10"/>
    <x v="1"/>
    <x v="118"/>
    <x v="118"/>
    <x v="3"/>
    <x v="0"/>
  </r>
  <r>
    <n v="11394356"/>
    <s v="ANGELICA VICTORIA"/>
    <s v="DIAZ"/>
    <s v="MUÑOZ"/>
    <x v="3"/>
    <d v="1899-12-30T15:17:35"/>
    <s v="P20"/>
    <x v="0"/>
    <x v="118"/>
    <x v="118"/>
    <x v="3"/>
    <x v="0"/>
  </r>
  <r>
    <n v="11394356"/>
    <s v="ANGELICA VICTORIA"/>
    <s v="DIAZ"/>
    <s v="MUÑOZ"/>
    <x v="3"/>
    <d v="1899-12-30T07:00:08"/>
    <s v="P10"/>
    <x v="1"/>
    <x v="118"/>
    <x v="118"/>
    <x v="3"/>
    <x v="0"/>
  </r>
  <r>
    <n v="11394356"/>
    <s v="ANGELICA VICTORIA"/>
    <s v="DIAZ"/>
    <s v="MUÑOZ"/>
    <x v="4"/>
    <d v="1899-12-30T15:21:55"/>
    <s v="P20"/>
    <x v="0"/>
    <x v="118"/>
    <x v="118"/>
    <x v="3"/>
    <x v="0"/>
  </r>
  <r>
    <n v="11394356"/>
    <s v="ANGELICA VICTORIA"/>
    <s v="DIAZ"/>
    <s v="MUÑOZ"/>
    <x v="4"/>
    <d v="1899-12-30T06:59:52"/>
    <s v="P10"/>
    <x v="1"/>
    <x v="118"/>
    <x v="118"/>
    <x v="3"/>
    <x v="0"/>
  </r>
  <r>
    <n v="11476853"/>
    <s v="ALEJANDRA"/>
    <s v="RIVERA"/>
    <s v="PANES"/>
    <x v="5"/>
    <d v="1899-12-30T00:00:00"/>
    <m/>
    <x v="2"/>
    <x v="119"/>
    <x v="119"/>
    <x v="2"/>
    <x v="2"/>
  </r>
  <r>
    <n v="11523492"/>
    <s v="CLAUDIO"/>
    <s v="CORTES"/>
    <s v="ULLOA"/>
    <x v="0"/>
    <d v="1899-12-30T15:23:23"/>
    <s v="P20"/>
    <x v="0"/>
    <x v="120"/>
    <x v="120"/>
    <x v="3"/>
    <x v="0"/>
  </r>
  <r>
    <n v="11523492"/>
    <s v="CLAUDIO"/>
    <s v="CORTES"/>
    <s v="ULLOA"/>
    <x v="0"/>
    <d v="1899-12-30T06:59:18"/>
    <s v="P10"/>
    <x v="1"/>
    <x v="120"/>
    <x v="120"/>
    <x v="3"/>
    <x v="0"/>
  </r>
  <r>
    <n v="11523492"/>
    <s v="CLAUDIO"/>
    <s v="CORTES"/>
    <s v="ULLOA"/>
    <x v="1"/>
    <d v="1899-12-30T15:21:28"/>
    <s v="P20"/>
    <x v="0"/>
    <x v="120"/>
    <x v="120"/>
    <x v="3"/>
    <x v="0"/>
  </r>
  <r>
    <n v="11523492"/>
    <s v="CLAUDIO"/>
    <s v="CORTES"/>
    <s v="ULLOA"/>
    <x v="1"/>
    <d v="1899-12-30T06:57:25"/>
    <s v="P10"/>
    <x v="1"/>
    <x v="120"/>
    <x v="120"/>
    <x v="3"/>
    <x v="0"/>
  </r>
  <r>
    <n v="11523492"/>
    <s v="CLAUDIO"/>
    <s v="CORTES"/>
    <s v="ULLOA"/>
    <x v="2"/>
    <d v="1899-12-30T15:18:05"/>
    <s v="P20"/>
    <x v="0"/>
    <x v="120"/>
    <x v="120"/>
    <x v="3"/>
    <x v="0"/>
  </r>
  <r>
    <n v="11523492"/>
    <s v="CLAUDIO"/>
    <s v="CORTES"/>
    <s v="ULLOA"/>
    <x v="2"/>
    <d v="1899-12-30T06:57:14"/>
    <s v="P10"/>
    <x v="1"/>
    <x v="120"/>
    <x v="120"/>
    <x v="3"/>
    <x v="0"/>
  </r>
  <r>
    <n v="11523492"/>
    <s v="CLAUDIO"/>
    <s v="CORTES"/>
    <s v="ULLOA"/>
    <x v="3"/>
    <d v="1899-12-30T15:19:20"/>
    <s v="P20"/>
    <x v="0"/>
    <x v="120"/>
    <x v="120"/>
    <x v="3"/>
    <x v="0"/>
  </r>
  <r>
    <n v="11523492"/>
    <s v="CLAUDIO"/>
    <s v="CORTES"/>
    <s v="ULLOA"/>
    <x v="3"/>
    <d v="1899-12-30T06:55:40"/>
    <s v="P10"/>
    <x v="1"/>
    <x v="120"/>
    <x v="120"/>
    <x v="3"/>
    <x v="0"/>
  </r>
  <r>
    <n v="11523492"/>
    <s v="CLAUDIO"/>
    <s v="CORTES"/>
    <s v="ULLOA"/>
    <x v="4"/>
    <d v="1899-12-30T15:17:50"/>
    <s v="P20"/>
    <x v="0"/>
    <x v="120"/>
    <x v="120"/>
    <x v="3"/>
    <x v="0"/>
  </r>
  <r>
    <n v="11523492"/>
    <s v="CLAUDIO"/>
    <s v="CORTES"/>
    <s v="ULLOA"/>
    <x v="4"/>
    <d v="1899-12-30T06:59:58"/>
    <s v="P10"/>
    <x v="1"/>
    <x v="120"/>
    <x v="120"/>
    <x v="3"/>
    <x v="0"/>
  </r>
  <r>
    <n v="11523497"/>
    <s v="LUIS"/>
    <s v="NARVAI"/>
    <s v="DIAZ"/>
    <x v="0"/>
    <d v="1899-12-30T18:30:45"/>
    <s v="P20"/>
    <x v="0"/>
    <x v="121"/>
    <x v="121"/>
    <x v="4"/>
    <x v="2"/>
  </r>
  <r>
    <n v="11523497"/>
    <s v="LUIS"/>
    <s v="NARVAI"/>
    <s v="DIAZ"/>
    <x v="0"/>
    <d v="1899-12-30T07:20:16"/>
    <s v="P10"/>
    <x v="1"/>
    <x v="121"/>
    <x v="121"/>
    <x v="4"/>
    <x v="2"/>
  </r>
  <r>
    <n v="11523497"/>
    <s v="LUIS"/>
    <s v="NARVAI"/>
    <s v="DIAZ"/>
    <x v="1"/>
    <d v="1899-12-30T14:48:23"/>
    <s v="P20"/>
    <x v="0"/>
    <x v="121"/>
    <x v="121"/>
    <x v="4"/>
    <x v="2"/>
  </r>
  <r>
    <n v="11523497"/>
    <s v="LUIS"/>
    <s v="NARVAI"/>
    <s v="DIAZ"/>
    <x v="1"/>
    <d v="1899-12-30T08:08:37"/>
    <s v="P10"/>
    <x v="1"/>
    <x v="121"/>
    <x v="121"/>
    <x v="4"/>
    <x v="2"/>
  </r>
  <r>
    <n v="11523497"/>
    <s v="LUIS"/>
    <s v="NARVAI"/>
    <s v="DIAZ"/>
    <x v="2"/>
    <d v="1899-12-30T19:30:03"/>
    <s v="P20"/>
    <x v="0"/>
    <x v="121"/>
    <x v="121"/>
    <x v="4"/>
    <x v="2"/>
  </r>
  <r>
    <n v="11523497"/>
    <s v="LUIS"/>
    <s v="NARVAI"/>
    <s v="DIAZ"/>
    <x v="2"/>
    <d v="1899-12-30T07:20:04"/>
    <s v="P10"/>
    <x v="1"/>
    <x v="121"/>
    <x v="121"/>
    <x v="4"/>
    <x v="2"/>
  </r>
  <r>
    <n v="11523497"/>
    <s v="LUIS"/>
    <s v="NARVAI"/>
    <s v="DIAZ"/>
    <x v="3"/>
    <d v="1899-12-30T18:56:08"/>
    <s v="P20"/>
    <x v="0"/>
    <x v="121"/>
    <x v="121"/>
    <x v="4"/>
    <x v="2"/>
  </r>
  <r>
    <n v="11523497"/>
    <s v="LUIS"/>
    <s v="NARVAI"/>
    <s v="DIAZ"/>
    <x v="3"/>
    <d v="1899-12-30T07:20:41"/>
    <s v="P10"/>
    <x v="1"/>
    <x v="121"/>
    <x v="121"/>
    <x v="4"/>
    <x v="2"/>
  </r>
  <r>
    <n v="11523497"/>
    <s v="LUIS"/>
    <s v="NARVAI"/>
    <s v="DIAZ"/>
    <x v="4"/>
    <d v="1899-12-30T18:18:03"/>
    <s v="P20"/>
    <x v="0"/>
    <x v="121"/>
    <x v="121"/>
    <x v="4"/>
    <x v="2"/>
  </r>
  <r>
    <n v="11523497"/>
    <s v="LUIS"/>
    <s v="NARVAI"/>
    <s v="DIAZ"/>
    <x v="4"/>
    <d v="1899-12-30T07:16:49"/>
    <s v="P10"/>
    <x v="1"/>
    <x v="121"/>
    <x v="121"/>
    <x v="4"/>
    <x v="2"/>
  </r>
  <r>
    <n v="11656057"/>
    <s v="PAOLO CESAR"/>
    <s v="IBAÑEZ"/>
    <s v="GRANIFO"/>
    <x v="0"/>
    <d v="1899-12-30T15:19:03"/>
    <s v="P20"/>
    <x v="0"/>
    <x v="122"/>
    <x v="122"/>
    <x v="4"/>
    <x v="2"/>
  </r>
  <r>
    <n v="11656057"/>
    <s v="PAOLO CESAR"/>
    <s v="IBAÑEZ"/>
    <s v="GRANIFO"/>
    <x v="0"/>
    <d v="1899-12-30T07:07:46"/>
    <s v="P10"/>
    <x v="1"/>
    <x v="122"/>
    <x v="122"/>
    <x v="4"/>
    <x v="2"/>
  </r>
  <r>
    <n v="11656057"/>
    <s v="PAOLO CESAR"/>
    <s v="IBAÑEZ"/>
    <s v="GRANIFO"/>
    <x v="1"/>
    <d v="1899-12-30T15:18:37"/>
    <s v="P20"/>
    <x v="0"/>
    <x v="122"/>
    <x v="122"/>
    <x v="4"/>
    <x v="2"/>
  </r>
  <r>
    <n v="11656057"/>
    <s v="PAOLO CESAR"/>
    <s v="IBAÑEZ"/>
    <s v="GRANIFO"/>
    <x v="1"/>
    <d v="1899-12-30T07:04:56"/>
    <s v="P10"/>
    <x v="1"/>
    <x v="122"/>
    <x v="122"/>
    <x v="4"/>
    <x v="2"/>
  </r>
  <r>
    <n v="11656057"/>
    <s v="PAOLO CESAR"/>
    <s v="IBAÑEZ"/>
    <s v="GRANIFO"/>
    <x v="3"/>
    <d v="1899-12-30T15:18:28"/>
    <s v="P20"/>
    <x v="0"/>
    <x v="122"/>
    <x v="122"/>
    <x v="4"/>
    <x v="2"/>
  </r>
  <r>
    <n v="11656057"/>
    <s v="PAOLO CESAR"/>
    <s v="IBAÑEZ"/>
    <s v="GRANIFO"/>
    <x v="3"/>
    <d v="1899-12-30T07:05:15"/>
    <s v="P10"/>
    <x v="1"/>
    <x v="122"/>
    <x v="122"/>
    <x v="4"/>
    <x v="2"/>
  </r>
  <r>
    <n v="11656057"/>
    <s v="PAOLO CESAR"/>
    <s v="IBAÑEZ"/>
    <s v="GRANIFO"/>
    <x v="4"/>
    <d v="1899-12-30T15:22:55"/>
    <s v="P20"/>
    <x v="0"/>
    <x v="122"/>
    <x v="122"/>
    <x v="4"/>
    <x v="2"/>
  </r>
  <r>
    <n v="11656057"/>
    <s v="PAOLO CESAR"/>
    <s v="IBAÑEZ"/>
    <s v="GRANIFO"/>
    <x v="4"/>
    <d v="1899-12-30T07:16:39"/>
    <s v="P10"/>
    <x v="1"/>
    <x v="122"/>
    <x v="122"/>
    <x v="4"/>
    <x v="2"/>
  </r>
  <r>
    <n v="11657838"/>
    <s v="JUAN RAMON"/>
    <s v="SALAMANCA"/>
    <s v="VIDAL"/>
    <x v="0"/>
    <d v="1899-12-30T07:30:59"/>
    <s v="P20"/>
    <x v="0"/>
    <x v="123"/>
    <x v="123"/>
    <x v="1"/>
    <x v="1"/>
  </r>
  <r>
    <n v="11657838"/>
    <s v="JUAN RAMON"/>
    <s v="SALAMANCA"/>
    <s v="VIDAL"/>
    <x v="0"/>
    <d v="1899-12-30T22:14:00"/>
    <s v="P10"/>
    <x v="1"/>
    <x v="123"/>
    <x v="123"/>
    <x v="1"/>
    <x v="1"/>
  </r>
  <r>
    <n v="11657838"/>
    <s v="JUAN RAMON"/>
    <s v="SALAMANCA"/>
    <s v="VIDAL"/>
    <x v="1"/>
    <d v="1899-12-30T07:30:07"/>
    <s v="P20"/>
    <x v="0"/>
    <x v="123"/>
    <x v="123"/>
    <x v="1"/>
    <x v="1"/>
  </r>
  <r>
    <n v="11657838"/>
    <s v="JUAN RAMON"/>
    <s v="SALAMANCA"/>
    <s v="VIDAL"/>
    <x v="2"/>
    <d v="1899-12-30T22:09:37"/>
    <s v="P10"/>
    <x v="1"/>
    <x v="123"/>
    <x v="123"/>
    <x v="1"/>
    <x v="1"/>
  </r>
  <r>
    <n v="11657838"/>
    <s v="JUAN RAMON"/>
    <s v="SALAMANCA"/>
    <s v="VIDAL"/>
    <x v="3"/>
    <d v="1899-12-30T07:30:21"/>
    <s v="P20"/>
    <x v="0"/>
    <x v="123"/>
    <x v="123"/>
    <x v="1"/>
    <x v="1"/>
  </r>
  <r>
    <n v="11657838"/>
    <s v="JUAN RAMON"/>
    <s v="SALAMANCA"/>
    <s v="VIDAL"/>
    <x v="3"/>
    <d v="1899-12-30T22:21:43"/>
    <s v="P10"/>
    <x v="1"/>
    <x v="123"/>
    <x v="123"/>
    <x v="1"/>
    <x v="1"/>
  </r>
  <r>
    <n v="11657838"/>
    <s v="JUAN RAMON"/>
    <s v="SALAMANCA"/>
    <s v="VIDAL"/>
    <x v="4"/>
    <d v="1899-12-30T07:33:17"/>
    <s v="P20"/>
    <x v="0"/>
    <x v="123"/>
    <x v="123"/>
    <x v="1"/>
    <x v="1"/>
  </r>
  <r>
    <n v="11657838"/>
    <s v="JUAN RAMON"/>
    <s v="SALAMANCA"/>
    <s v="VIDAL"/>
    <x v="4"/>
    <d v="1899-12-30T22:16:19"/>
    <s v="P10"/>
    <x v="1"/>
    <x v="123"/>
    <x v="123"/>
    <x v="1"/>
    <x v="1"/>
  </r>
  <r>
    <n v="11659510"/>
    <s v="CLAUDIO ARTURO"/>
    <s v="MUÑOZ"/>
    <s v="MUÑOZ"/>
    <x v="0"/>
    <d v="1899-12-30T16:10:36"/>
    <s v="P20"/>
    <x v="0"/>
    <x v="124"/>
    <x v="124"/>
    <x v="4"/>
    <x v="2"/>
  </r>
  <r>
    <n v="11659510"/>
    <s v="CLAUDIO ARTURO"/>
    <s v="MUÑOZ"/>
    <s v="MUÑOZ"/>
    <x v="0"/>
    <d v="1899-12-30T07:20:36"/>
    <s v="P10"/>
    <x v="1"/>
    <x v="124"/>
    <x v="124"/>
    <x v="4"/>
    <x v="2"/>
  </r>
  <r>
    <n v="11659510"/>
    <s v="CLAUDIO ARTURO"/>
    <s v="MUÑOZ"/>
    <s v="MUÑOZ"/>
    <x v="1"/>
    <d v="1899-12-30T15:16:57"/>
    <s v="P20"/>
    <x v="0"/>
    <x v="124"/>
    <x v="124"/>
    <x v="4"/>
    <x v="2"/>
  </r>
  <r>
    <n v="11659510"/>
    <s v="CLAUDIO ARTURO"/>
    <s v="MUÑOZ"/>
    <s v="MUÑOZ"/>
    <x v="1"/>
    <d v="1899-12-30T07:21:33"/>
    <s v="P10"/>
    <x v="1"/>
    <x v="124"/>
    <x v="124"/>
    <x v="4"/>
    <x v="2"/>
  </r>
  <r>
    <n v="11659510"/>
    <s v="CLAUDIO ARTURO"/>
    <s v="MUÑOZ"/>
    <s v="MUÑOZ"/>
    <x v="2"/>
    <d v="1899-12-30T15:17:34"/>
    <s v="P20"/>
    <x v="0"/>
    <x v="124"/>
    <x v="124"/>
    <x v="4"/>
    <x v="2"/>
  </r>
  <r>
    <n v="11659510"/>
    <s v="CLAUDIO ARTURO"/>
    <s v="MUÑOZ"/>
    <s v="MUÑOZ"/>
    <x v="2"/>
    <d v="1899-12-30T07:20:24"/>
    <s v="P10"/>
    <x v="1"/>
    <x v="124"/>
    <x v="124"/>
    <x v="4"/>
    <x v="2"/>
  </r>
  <r>
    <n v="11659510"/>
    <s v="CLAUDIO ARTURO"/>
    <s v="MUÑOZ"/>
    <s v="MUÑOZ"/>
    <x v="3"/>
    <d v="1899-12-30T17:01:14"/>
    <s v="P20"/>
    <x v="0"/>
    <x v="124"/>
    <x v="124"/>
    <x v="4"/>
    <x v="2"/>
  </r>
  <r>
    <n v="11659510"/>
    <s v="CLAUDIO ARTURO"/>
    <s v="MUÑOZ"/>
    <s v="MUÑOZ"/>
    <x v="3"/>
    <d v="1899-12-30T07:21:36"/>
    <s v="P10"/>
    <x v="1"/>
    <x v="124"/>
    <x v="124"/>
    <x v="4"/>
    <x v="2"/>
  </r>
  <r>
    <n v="11659510"/>
    <s v="CLAUDIO ARTURO"/>
    <s v="MUÑOZ"/>
    <s v="MUÑOZ"/>
    <x v="4"/>
    <d v="1899-12-30T16:08:10"/>
    <s v="P20"/>
    <x v="0"/>
    <x v="124"/>
    <x v="124"/>
    <x v="4"/>
    <x v="2"/>
  </r>
  <r>
    <n v="11659510"/>
    <s v="CLAUDIO ARTURO"/>
    <s v="MUÑOZ"/>
    <s v="MUÑOZ"/>
    <x v="4"/>
    <d v="1899-12-30T07:22:45"/>
    <s v="P10"/>
    <x v="1"/>
    <x v="124"/>
    <x v="124"/>
    <x v="4"/>
    <x v="2"/>
  </r>
  <r>
    <n v="11660411"/>
    <s v="SIXTO PATRICIO"/>
    <s v="CORTES"/>
    <s v="HERRERA"/>
    <x v="0"/>
    <d v="1899-12-30T07:56:18"/>
    <s v="P20"/>
    <x v="0"/>
    <x v="125"/>
    <x v="125"/>
    <x v="4"/>
    <x v="2"/>
  </r>
  <r>
    <n v="11660411"/>
    <s v="SIXTO PATRICIO"/>
    <s v="CORTES"/>
    <s v="HERRERA"/>
    <x v="0"/>
    <d v="1899-12-30T22:05:39"/>
    <s v="P10"/>
    <x v="1"/>
    <x v="125"/>
    <x v="125"/>
    <x v="4"/>
    <x v="2"/>
  </r>
  <r>
    <n v="11660411"/>
    <s v="SIXTO PATRICIO"/>
    <s v="CORTES"/>
    <s v="HERRERA"/>
    <x v="1"/>
    <d v="1899-12-30T07:57:31"/>
    <s v="P20"/>
    <x v="0"/>
    <x v="125"/>
    <x v="125"/>
    <x v="4"/>
    <x v="2"/>
  </r>
  <r>
    <n v="11660411"/>
    <s v="SIXTO PATRICIO"/>
    <s v="CORTES"/>
    <s v="HERRERA"/>
    <x v="2"/>
    <d v="1899-12-30T22:02:50"/>
    <s v="P10"/>
    <x v="1"/>
    <x v="125"/>
    <x v="125"/>
    <x v="4"/>
    <x v="2"/>
  </r>
  <r>
    <n v="11660411"/>
    <s v="SIXTO PATRICIO"/>
    <s v="CORTES"/>
    <s v="HERRERA"/>
    <x v="3"/>
    <d v="1899-12-30T07:50:26"/>
    <s v="P20"/>
    <x v="0"/>
    <x v="125"/>
    <x v="125"/>
    <x v="4"/>
    <x v="2"/>
  </r>
  <r>
    <n v="11660411"/>
    <s v="SIXTO PATRICIO"/>
    <s v="CORTES"/>
    <s v="HERRERA"/>
    <x v="3"/>
    <d v="1899-12-30T22:05:27"/>
    <s v="P10"/>
    <x v="1"/>
    <x v="125"/>
    <x v="125"/>
    <x v="4"/>
    <x v="2"/>
  </r>
  <r>
    <n v="11660411"/>
    <s v="SIXTO PATRICIO"/>
    <s v="CORTES"/>
    <s v="HERRERA"/>
    <x v="4"/>
    <d v="1899-12-30T07:50:57"/>
    <s v="P20"/>
    <x v="0"/>
    <x v="125"/>
    <x v="125"/>
    <x v="4"/>
    <x v="2"/>
  </r>
  <r>
    <n v="11660411"/>
    <s v="SIXTO PATRICIO"/>
    <s v="CORTES"/>
    <s v="HERRERA"/>
    <x v="4"/>
    <d v="1899-12-30T23:10:43"/>
    <s v="P10"/>
    <x v="1"/>
    <x v="125"/>
    <x v="125"/>
    <x v="4"/>
    <x v="2"/>
  </r>
  <r>
    <n v="11754811"/>
    <s v="ALEXIS ANTONIO"/>
    <s v="NARVAI"/>
    <s v="DIAZ"/>
    <x v="5"/>
    <d v="1899-12-30T00:00:00"/>
    <m/>
    <x v="2"/>
    <x v="126"/>
    <x v="126"/>
    <x v="4"/>
    <x v="2"/>
  </r>
  <r>
    <n v="11840491"/>
    <s v="CESAR OMAR"/>
    <s v="TORRES"/>
    <s v="FARIAS"/>
    <x v="0"/>
    <d v="1899-12-30T15:20:07"/>
    <s v="P20"/>
    <x v="0"/>
    <x v="127"/>
    <x v="127"/>
    <x v="3"/>
    <x v="0"/>
  </r>
  <r>
    <n v="11840491"/>
    <s v="CESAR OMAR"/>
    <s v="TORRES"/>
    <s v="FARIAS"/>
    <x v="0"/>
    <d v="1899-12-30T06:59:42"/>
    <s v="P10"/>
    <x v="1"/>
    <x v="127"/>
    <x v="127"/>
    <x v="3"/>
    <x v="0"/>
  </r>
  <r>
    <n v="11840491"/>
    <s v="CESAR OMAR"/>
    <s v="TORRES"/>
    <s v="FARIAS"/>
    <x v="1"/>
    <d v="1899-12-30T14:55:52"/>
    <s v="P20"/>
    <x v="0"/>
    <x v="127"/>
    <x v="127"/>
    <x v="0"/>
    <x v="0"/>
  </r>
  <r>
    <n v="11840491"/>
    <s v="CESAR OMAR"/>
    <s v="TORRES"/>
    <s v="FARIAS"/>
    <x v="1"/>
    <d v="1899-12-30T11:19:02"/>
    <s v="P10"/>
    <x v="1"/>
    <x v="127"/>
    <x v="127"/>
    <x v="2"/>
    <x v="2"/>
  </r>
  <r>
    <n v="11840491"/>
    <s v="CESAR OMAR"/>
    <s v="TORRES"/>
    <s v="FARIAS"/>
    <x v="3"/>
    <d v="1899-12-30T15:04:37"/>
    <s v="P20"/>
    <x v="0"/>
    <x v="127"/>
    <x v="127"/>
    <x v="3"/>
    <x v="0"/>
  </r>
  <r>
    <n v="11840491"/>
    <s v="CESAR OMAR"/>
    <s v="TORRES"/>
    <s v="FARIAS"/>
    <x v="3"/>
    <d v="1899-12-30T07:23:14"/>
    <s v="P10"/>
    <x v="1"/>
    <x v="127"/>
    <x v="127"/>
    <x v="3"/>
    <x v="0"/>
  </r>
  <r>
    <n v="11840491"/>
    <s v="CESAR OMAR"/>
    <s v="TORRES"/>
    <s v="FARIAS"/>
    <x v="4"/>
    <d v="1899-12-30T15:00:14"/>
    <s v="P20"/>
    <x v="0"/>
    <x v="127"/>
    <x v="127"/>
    <x v="2"/>
    <x v="2"/>
  </r>
  <r>
    <n v="11840491"/>
    <s v="CESAR OMAR"/>
    <s v="TORRES"/>
    <s v="FARIAS"/>
    <x v="4"/>
    <d v="1899-12-30T07:00:12"/>
    <s v="P10"/>
    <x v="1"/>
    <x v="127"/>
    <x v="127"/>
    <x v="3"/>
    <x v="0"/>
  </r>
  <r>
    <n v="11873201"/>
    <s v="CARLOS"/>
    <s v="LEMUS"/>
    <s v="VELIZ"/>
    <x v="5"/>
    <d v="1899-12-30T00:00:00"/>
    <m/>
    <x v="2"/>
    <x v="128"/>
    <x v="128"/>
    <x v="2"/>
    <x v="2"/>
  </r>
  <r>
    <n v="11914799"/>
    <s v="LUIS"/>
    <s v="FERNANDEZ"/>
    <s v="MELLA"/>
    <x v="0"/>
    <d v="1899-12-30T22:46:02"/>
    <s v="P20"/>
    <x v="0"/>
    <x v="129"/>
    <x v="129"/>
    <x v="0"/>
    <x v="0"/>
  </r>
  <r>
    <n v="11914799"/>
    <s v="LUIS"/>
    <s v="FERNANDEZ"/>
    <s v="MELLA"/>
    <x v="0"/>
    <d v="1899-12-30T14:37:26"/>
    <s v="P10"/>
    <x v="1"/>
    <x v="129"/>
    <x v="129"/>
    <x v="0"/>
    <x v="0"/>
  </r>
  <r>
    <n v="11914799"/>
    <s v="LUIS"/>
    <s v="FERNANDEZ"/>
    <s v="MELLA"/>
    <x v="1"/>
    <d v="1899-12-30T15:18:59"/>
    <s v="P20"/>
    <x v="0"/>
    <x v="129"/>
    <x v="129"/>
    <x v="3"/>
    <x v="0"/>
  </r>
  <r>
    <n v="11914799"/>
    <s v="LUIS"/>
    <s v="FERNANDEZ"/>
    <s v="MELLA"/>
    <x v="1"/>
    <d v="1899-12-30T07:02:59"/>
    <s v="P10"/>
    <x v="1"/>
    <x v="129"/>
    <x v="129"/>
    <x v="3"/>
    <x v="0"/>
  </r>
  <r>
    <n v="11914799"/>
    <s v="LUIS"/>
    <s v="FERNANDEZ"/>
    <s v="MELLA"/>
    <x v="2"/>
    <d v="1899-12-30T22:45:16"/>
    <s v="P20"/>
    <x v="0"/>
    <x v="129"/>
    <x v="129"/>
    <x v="0"/>
    <x v="0"/>
  </r>
  <r>
    <n v="11914799"/>
    <s v="LUIS"/>
    <s v="FERNANDEZ"/>
    <s v="MELLA"/>
    <x v="2"/>
    <d v="1899-12-30T14:33:11"/>
    <s v="P10"/>
    <x v="1"/>
    <x v="129"/>
    <x v="129"/>
    <x v="0"/>
    <x v="0"/>
  </r>
  <r>
    <n v="11914799"/>
    <s v="LUIS"/>
    <s v="FERNANDEZ"/>
    <s v="MELLA"/>
    <x v="3"/>
    <d v="1899-12-30T22:45:17"/>
    <s v="P20"/>
    <x v="0"/>
    <x v="129"/>
    <x v="129"/>
    <x v="0"/>
    <x v="0"/>
  </r>
  <r>
    <n v="11914799"/>
    <s v="LUIS"/>
    <s v="FERNANDEZ"/>
    <s v="MELLA"/>
    <x v="3"/>
    <d v="1899-12-30T14:34:21"/>
    <s v="P10"/>
    <x v="1"/>
    <x v="129"/>
    <x v="129"/>
    <x v="0"/>
    <x v="0"/>
  </r>
  <r>
    <n v="11914799"/>
    <s v="LUIS"/>
    <s v="FERNANDEZ"/>
    <s v="MELLA"/>
    <x v="4"/>
    <d v="1899-12-30T22:45:17"/>
    <s v="P20"/>
    <x v="0"/>
    <x v="129"/>
    <x v="129"/>
    <x v="0"/>
    <x v="0"/>
  </r>
  <r>
    <n v="11914799"/>
    <s v="LUIS"/>
    <s v="FERNANDEZ"/>
    <s v="MELLA"/>
    <x v="4"/>
    <d v="1899-12-30T14:34:13"/>
    <s v="P10"/>
    <x v="1"/>
    <x v="129"/>
    <x v="129"/>
    <x v="0"/>
    <x v="0"/>
  </r>
  <r>
    <n v="11994656"/>
    <s v="MARIA E"/>
    <s v="MOSCOSO"/>
    <s v="LOPEZ"/>
    <x v="0"/>
    <d v="1899-12-30T17:57:37"/>
    <s v="P20"/>
    <x v="0"/>
    <x v="130"/>
    <x v="130"/>
    <x v="3"/>
    <x v="0"/>
  </r>
  <r>
    <n v="11994656"/>
    <s v="MARIA E"/>
    <s v="MOSCOSO"/>
    <s v="LOPEZ"/>
    <x v="0"/>
    <d v="1899-12-30T08:31:25"/>
    <s v="P10"/>
    <x v="1"/>
    <x v="130"/>
    <x v="130"/>
    <x v="2"/>
    <x v="2"/>
  </r>
  <r>
    <n v="11994656"/>
    <s v="MARIA E"/>
    <s v="MOSCOSO"/>
    <s v="LOPEZ"/>
    <x v="2"/>
    <d v="1899-12-30T18:38:45"/>
    <s v="P20"/>
    <x v="0"/>
    <x v="130"/>
    <x v="130"/>
    <x v="3"/>
    <x v="0"/>
  </r>
  <r>
    <n v="11994656"/>
    <s v="MARIA E"/>
    <s v="MOSCOSO"/>
    <s v="LOPEZ"/>
    <x v="2"/>
    <d v="1899-12-30T08:26:36"/>
    <s v="P10"/>
    <x v="1"/>
    <x v="130"/>
    <x v="130"/>
    <x v="1"/>
    <x v="1"/>
  </r>
  <r>
    <n v="11994656"/>
    <s v="MARIA E"/>
    <s v="MOSCOSO"/>
    <s v="LOPEZ"/>
    <x v="3"/>
    <d v="1899-12-30T19:10:09"/>
    <s v="P20"/>
    <x v="0"/>
    <x v="130"/>
    <x v="130"/>
    <x v="3"/>
    <x v="0"/>
  </r>
  <r>
    <n v="11994656"/>
    <s v="MARIA E"/>
    <s v="MOSCOSO"/>
    <s v="LOPEZ"/>
    <x v="3"/>
    <d v="1899-12-30T08:21:07"/>
    <s v="P10"/>
    <x v="1"/>
    <x v="130"/>
    <x v="130"/>
    <x v="1"/>
    <x v="1"/>
  </r>
  <r>
    <n v="11994656"/>
    <s v="MARIA E"/>
    <s v="MOSCOSO"/>
    <s v="LOPEZ"/>
    <x v="4"/>
    <d v="1899-12-30T18:18:44"/>
    <s v="P20"/>
    <x v="0"/>
    <x v="130"/>
    <x v="130"/>
    <x v="3"/>
    <x v="0"/>
  </r>
  <r>
    <n v="11994656"/>
    <s v="MARIA E"/>
    <s v="MOSCOSO"/>
    <s v="LOPEZ"/>
    <x v="4"/>
    <d v="1899-12-30T08:05:42"/>
    <s v="P10"/>
    <x v="1"/>
    <x v="130"/>
    <x v="130"/>
    <x v="1"/>
    <x v="1"/>
  </r>
  <r>
    <n v="12020450"/>
    <s v="ROBERTO"/>
    <s v="PINEDA"/>
    <s v="PEREZ"/>
    <x v="0"/>
    <d v="1899-12-30T08:55:50"/>
    <s v="P10"/>
    <x v="1"/>
    <x v="131"/>
    <x v="131"/>
    <x v="4"/>
    <x v="2"/>
  </r>
  <r>
    <n v="12020450"/>
    <s v="ROBERTO"/>
    <s v="PINEDA"/>
    <s v="PEREZ"/>
    <x v="2"/>
    <d v="1899-12-30T18:31:28"/>
    <s v="P20"/>
    <x v="0"/>
    <x v="131"/>
    <x v="131"/>
    <x v="4"/>
    <x v="2"/>
  </r>
  <r>
    <n v="12020450"/>
    <s v="ROBERTO"/>
    <s v="PINEDA"/>
    <s v="PEREZ"/>
    <x v="2"/>
    <d v="1899-12-30T08:48:40"/>
    <s v="P10"/>
    <x v="1"/>
    <x v="131"/>
    <x v="131"/>
    <x v="4"/>
    <x v="2"/>
  </r>
  <r>
    <n v="12020450"/>
    <s v="ROBERTO"/>
    <s v="PINEDA"/>
    <s v="PEREZ"/>
    <x v="3"/>
    <d v="1899-12-30T08:45:28"/>
    <s v="P10"/>
    <x v="1"/>
    <x v="131"/>
    <x v="131"/>
    <x v="4"/>
    <x v="2"/>
  </r>
  <r>
    <n v="12020450"/>
    <s v="ROBERTO"/>
    <s v="PINEDA"/>
    <s v="PEREZ"/>
    <x v="4"/>
    <d v="1899-12-30T18:24:01"/>
    <s v="P20"/>
    <x v="0"/>
    <x v="131"/>
    <x v="131"/>
    <x v="4"/>
    <x v="2"/>
  </r>
  <r>
    <n v="12020450"/>
    <s v="ROBERTO"/>
    <s v="PINEDA"/>
    <s v="PEREZ"/>
    <x v="4"/>
    <d v="1899-12-30T08:45:10"/>
    <s v="P10"/>
    <x v="1"/>
    <x v="131"/>
    <x v="131"/>
    <x v="4"/>
    <x v="2"/>
  </r>
  <r>
    <n v="12051254"/>
    <s v="MAURICIO ESTEBAN"/>
    <s v="NOVA"/>
    <s v="FIGUEROA"/>
    <x v="5"/>
    <d v="1899-12-30T00:00:00"/>
    <m/>
    <x v="2"/>
    <x v="132"/>
    <x v="132"/>
    <x v="4"/>
    <x v="2"/>
  </r>
  <r>
    <n v="12093149"/>
    <s v="ANGEL GUILLERMO"/>
    <s v="CONTRERAS"/>
    <s v="CORTES"/>
    <x v="0"/>
    <d v="1899-12-30T15:21:36"/>
    <s v="P20"/>
    <x v="0"/>
    <x v="133"/>
    <x v="133"/>
    <x v="3"/>
    <x v="0"/>
  </r>
  <r>
    <n v="12093149"/>
    <s v="ANGEL GUILLERMO"/>
    <s v="CONTRERAS"/>
    <s v="CORTES"/>
    <x v="0"/>
    <d v="1899-12-30T07:19:18"/>
    <s v="P10"/>
    <x v="1"/>
    <x v="133"/>
    <x v="133"/>
    <x v="3"/>
    <x v="0"/>
  </r>
  <r>
    <n v="12093149"/>
    <s v="ANGEL GUILLERMO"/>
    <s v="CONTRERAS"/>
    <s v="CORTES"/>
    <x v="1"/>
    <d v="1899-12-30T15:34:53"/>
    <s v="P20"/>
    <x v="0"/>
    <x v="133"/>
    <x v="133"/>
    <x v="3"/>
    <x v="0"/>
  </r>
  <r>
    <n v="12093149"/>
    <s v="ANGEL GUILLERMO"/>
    <s v="CONTRERAS"/>
    <s v="CORTES"/>
    <x v="1"/>
    <d v="1899-12-30T07:23:18"/>
    <s v="P10"/>
    <x v="1"/>
    <x v="133"/>
    <x v="133"/>
    <x v="3"/>
    <x v="0"/>
  </r>
  <r>
    <n v="12093149"/>
    <s v="ANGEL GUILLERMO"/>
    <s v="CONTRERAS"/>
    <s v="CORTES"/>
    <x v="2"/>
    <d v="1899-12-30T15:14:27"/>
    <s v="P20"/>
    <x v="0"/>
    <x v="133"/>
    <x v="133"/>
    <x v="3"/>
    <x v="0"/>
  </r>
  <r>
    <n v="12093149"/>
    <s v="ANGEL GUILLERMO"/>
    <s v="CONTRERAS"/>
    <s v="CORTES"/>
    <x v="2"/>
    <d v="1899-12-30T07:14:31"/>
    <s v="P10"/>
    <x v="1"/>
    <x v="133"/>
    <x v="133"/>
    <x v="3"/>
    <x v="0"/>
  </r>
  <r>
    <n v="12093149"/>
    <s v="ANGEL GUILLERMO"/>
    <s v="CONTRERAS"/>
    <s v="CORTES"/>
    <x v="3"/>
    <d v="1899-12-30T15:12:42"/>
    <s v="P20"/>
    <x v="0"/>
    <x v="133"/>
    <x v="133"/>
    <x v="3"/>
    <x v="0"/>
  </r>
  <r>
    <n v="12093149"/>
    <s v="ANGEL GUILLERMO"/>
    <s v="CONTRERAS"/>
    <s v="CORTES"/>
    <x v="3"/>
    <d v="1899-12-30T07:16:05"/>
    <s v="P10"/>
    <x v="1"/>
    <x v="133"/>
    <x v="133"/>
    <x v="3"/>
    <x v="0"/>
  </r>
  <r>
    <n v="12093149"/>
    <s v="ANGEL GUILLERMO"/>
    <s v="CONTRERAS"/>
    <s v="CORTES"/>
    <x v="4"/>
    <d v="1899-12-30T15:21:34"/>
    <s v="P20"/>
    <x v="0"/>
    <x v="133"/>
    <x v="133"/>
    <x v="3"/>
    <x v="0"/>
  </r>
  <r>
    <n v="12093149"/>
    <s v="ANGEL GUILLERMO"/>
    <s v="CONTRERAS"/>
    <s v="CORTES"/>
    <x v="4"/>
    <d v="1899-12-30T07:17:14"/>
    <s v="P10"/>
    <x v="1"/>
    <x v="133"/>
    <x v="133"/>
    <x v="3"/>
    <x v="0"/>
  </r>
  <r>
    <n v="12093228"/>
    <s v="CRISTIAN"/>
    <s v="ARANCIBIA"/>
    <s v="NIETO"/>
    <x v="0"/>
    <d v="1899-12-30T07:21:25"/>
    <s v="P20"/>
    <x v="0"/>
    <x v="134"/>
    <x v="134"/>
    <x v="4"/>
    <x v="2"/>
  </r>
  <r>
    <n v="12093228"/>
    <s v="CRISTIAN"/>
    <s v="ARANCIBIA"/>
    <s v="NIETO"/>
    <x v="0"/>
    <d v="1899-12-30T18:30:39"/>
    <s v="P20"/>
    <x v="0"/>
    <x v="134"/>
    <x v="134"/>
    <x v="4"/>
    <x v="2"/>
  </r>
  <r>
    <n v="12093228"/>
    <s v="CRISTIAN"/>
    <s v="ARANCIBIA"/>
    <s v="NIETO"/>
    <x v="2"/>
    <d v="1899-12-30T18:57:42"/>
    <s v="P20"/>
    <x v="0"/>
    <x v="134"/>
    <x v="134"/>
    <x v="4"/>
    <x v="2"/>
  </r>
  <r>
    <n v="12093228"/>
    <s v="CRISTIAN"/>
    <s v="ARANCIBIA"/>
    <s v="NIETO"/>
    <x v="2"/>
    <d v="1899-12-30T07:02:54"/>
    <s v="P10"/>
    <x v="1"/>
    <x v="134"/>
    <x v="134"/>
    <x v="4"/>
    <x v="2"/>
  </r>
  <r>
    <n v="12093228"/>
    <s v="CRISTIAN"/>
    <s v="ARANCIBIA"/>
    <s v="NIETO"/>
    <x v="3"/>
    <d v="1899-12-30T18:56:55"/>
    <s v="P20"/>
    <x v="0"/>
    <x v="134"/>
    <x v="134"/>
    <x v="4"/>
    <x v="2"/>
  </r>
  <r>
    <n v="12093228"/>
    <s v="CRISTIAN"/>
    <s v="ARANCIBIA"/>
    <s v="NIETO"/>
    <x v="3"/>
    <d v="1899-12-30T07:25:05"/>
    <s v="P10"/>
    <x v="1"/>
    <x v="134"/>
    <x v="134"/>
    <x v="4"/>
    <x v="2"/>
  </r>
  <r>
    <n v="12093228"/>
    <s v="CRISTIAN"/>
    <s v="ARANCIBIA"/>
    <s v="NIETO"/>
    <x v="4"/>
    <d v="1899-12-30T17:35:11"/>
    <s v="P20"/>
    <x v="0"/>
    <x v="134"/>
    <x v="134"/>
    <x v="4"/>
    <x v="2"/>
  </r>
  <r>
    <n v="12093228"/>
    <s v="CRISTIAN"/>
    <s v="ARANCIBIA"/>
    <s v="NIETO"/>
    <x v="4"/>
    <d v="1899-12-30T06:59:36"/>
    <s v="P10"/>
    <x v="1"/>
    <x v="134"/>
    <x v="134"/>
    <x v="4"/>
    <x v="2"/>
  </r>
  <r>
    <n v="12175753"/>
    <s v="MARIO"/>
    <s v="MESIAS"/>
    <s v="PALMA"/>
    <x v="5"/>
    <d v="1899-12-30T00:00:00"/>
    <m/>
    <x v="2"/>
    <x v="135"/>
    <x v="135"/>
    <x v="2"/>
    <x v="2"/>
  </r>
  <r>
    <n v="12210109"/>
    <s v="ROBERTO FERNANDO"/>
    <s v="ESCOBAR"/>
    <s v="RIVERA"/>
    <x v="0"/>
    <d v="1899-12-30T21:54:18"/>
    <s v="P10"/>
    <x v="1"/>
    <x v="136"/>
    <x v="136"/>
    <x v="1"/>
    <x v="1"/>
  </r>
  <r>
    <n v="12210109"/>
    <s v="ROBERTO FERNANDO"/>
    <s v="ESCOBAR"/>
    <s v="RIVERA"/>
    <x v="1"/>
    <d v="1899-12-30T07:53:02"/>
    <s v="P20"/>
    <x v="0"/>
    <x v="136"/>
    <x v="136"/>
    <x v="1"/>
    <x v="1"/>
  </r>
  <r>
    <n v="12210109"/>
    <s v="ROBERTO FERNANDO"/>
    <s v="ESCOBAR"/>
    <s v="RIVERA"/>
    <x v="2"/>
    <d v="1899-12-30T22:45:42"/>
    <s v="P20"/>
    <x v="0"/>
    <x v="136"/>
    <x v="136"/>
    <x v="0"/>
    <x v="0"/>
  </r>
  <r>
    <n v="12210109"/>
    <s v="ROBERTO FERNANDO"/>
    <s v="ESCOBAR"/>
    <s v="RIVERA"/>
    <x v="2"/>
    <d v="1899-12-30T14:37:09"/>
    <s v="P10"/>
    <x v="1"/>
    <x v="136"/>
    <x v="136"/>
    <x v="0"/>
    <x v="0"/>
  </r>
  <r>
    <n v="12210109"/>
    <s v="ROBERTO FERNANDO"/>
    <s v="ESCOBAR"/>
    <s v="RIVERA"/>
    <x v="3"/>
    <d v="1899-12-30T22:47:16"/>
    <s v="P20"/>
    <x v="0"/>
    <x v="136"/>
    <x v="136"/>
    <x v="0"/>
    <x v="0"/>
  </r>
  <r>
    <n v="12210109"/>
    <s v="ROBERTO FERNANDO"/>
    <s v="ESCOBAR"/>
    <s v="RIVERA"/>
    <x v="3"/>
    <d v="1899-12-30T14:36:29"/>
    <s v="P10"/>
    <x v="1"/>
    <x v="136"/>
    <x v="136"/>
    <x v="0"/>
    <x v="0"/>
  </r>
  <r>
    <n v="12210109"/>
    <s v="ROBERTO FERNANDO"/>
    <s v="ESCOBAR"/>
    <s v="RIVERA"/>
    <x v="4"/>
    <d v="1899-12-30T22:45:48"/>
    <s v="P20"/>
    <x v="0"/>
    <x v="136"/>
    <x v="136"/>
    <x v="0"/>
    <x v="0"/>
  </r>
  <r>
    <n v="12210109"/>
    <s v="ROBERTO FERNANDO"/>
    <s v="ESCOBAR"/>
    <s v="RIVERA"/>
    <x v="4"/>
    <d v="1899-12-30T14:36:15"/>
    <s v="P10"/>
    <x v="1"/>
    <x v="136"/>
    <x v="136"/>
    <x v="0"/>
    <x v="0"/>
  </r>
  <r>
    <n v="12392999"/>
    <s v="CARLOS"/>
    <s v="TAPIA"/>
    <s v="CANTILLANA"/>
    <x v="5"/>
    <d v="1899-12-30T00:00:00"/>
    <m/>
    <x v="2"/>
    <x v="137"/>
    <x v="137"/>
    <x v="2"/>
    <x v="2"/>
  </r>
  <r>
    <n v="12410690"/>
    <s v="SIMON ANDRES"/>
    <s v="CARRASCO"/>
    <s v="CID"/>
    <x v="0"/>
    <d v="1899-12-30T15:22:58"/>
    <s v="P20"/>
    <x v="0"/>
    <x v="138"/>
    <x v="138"/>
    <x v="3"/>
    <x v="0"/>
  </r>
  <r>
    <n v="12410690"/>
    <s v="SIMON ANDRES"/>
    <s v="CARRASCO"/>
    <s v="CID"/>
    <x v="0"/>
    <d v="1899-12-30T07:04:58"/>
    <s v="P10"/>
    <x v="1"/>
    <x v="138"/>
    <x v="138"/>
    <x v="3"/>
    <x v="0"/>
  </r>
  <r>
    <n v="12410690"/>
    <s v="SIMON ANDRES"/>
    <s v="CARRASCO"/>
    <s v="CID"/>
    <x v="1"/>
    <d v="1899-12-30T23:00:34"/>
    <s v="P20"/>
    <x v="0"/>
    <x v="138"/>
    <x v="138"/>
    <x v="3"/>
    <x v="0"/>
  </r>
  <r>
    <n v="12410690"/>
    <s v="SIMON ANDRES"/>
    <s v="CARRASCO"/>
    <s v="CID"/>
    <x v="1"/>
    <d v="1899-12-30T14:39:59"/>
    <s v="P10"/>
    <x v="1"/>
    <x v="138"/>
    <x v="138"/>
    <x v="3"/>
    <x v="0"/>
  </r>
  <r>
    <n v="12410690"/>
    <s v="SIMON ANDRES"/>
    <s v="CARRASCO"/>
    <s v="CID"/>
    <x v="2"/>
    <d v="1899-12-30T15:20:29"/>
    <s v="P20"/>
    <x v="0"/>
    <x v="138"/>
    <x v="138"/>
    <x v="3"/>
    <x v="0"/>
  </r>
  <r>
    <n v="12410690"/>
    <s v="SIMON ANDRES"/>
    <s v="CARRASCO"/>
    <s v="CID"/>
    <x v="2"/>
    <d v="1899-12-30T07:05:49"/>
    <s v="P10"/>
    <x v="1"/>
    <x v="138"/>
    <x v="138"/>
    <x v="3"/>
    <x v="0"/>
  </r>
  <r>
    <n v="12410690"/>
    <s v="SIMON ANDRES"/>
    <s v="CARRASCO"/>
    <s v="CID"/>
    <x v="3"/>
    <d v="1899-12-30T15:20:42"/>
    <s v="P20"/>
    <x v="0"/>
    <x v="138"/>
    <x v="138"/>
    <x v="3"/>
    <x v="0"/>
  </r>
  <r>
    <n v="12410690"/>
    <s v="SIMON ANDRES"/>
    <s v="CARRASCO"/>
    <s v="CID"/>
    <x v="3"/>
    <d v="1899-12-30T07:06:15"/>
    <s v="P10"/>
    <x v="1"/>
    <x v="138"/>
    <x v="138"/>
    <x v="3"/>
    <x v="0"/>
  </r>
  <r>
    <n v="12410690"/>
    <s v="SIMON ANDRES"/>
    <s v="CARRASCO"/>
    <s v="CID"/>
    <x v="4"/>
    <d v="1899-12-30T17:32:03"/>
    <s v="P20"/>
    <x v="0"/>
    <x v="138"/>
    <x v="138"/>
    <x v="3"/>
    <x v="0"/>
  </r>
  <r>
    <n v="12410690"/>
    <s v="SIMON ANDRES"/>
    <s v="CARRASCO"/>
    <s v="CID"/>
    <x v="4"/>
    <d v="1899-12-30T07:24:14"/>
    <s v="P10"/>
    <x v="1"/>
    <x v="138"/>
    <x v="138"/>
    <x v="3"/>
    <x v="0"/>
  </r>
  <r>
    <n v="12500119"/>
    <s v="FREDDY"/>
    <s v="SANCHEZ"/>
    <s v="TORRES"/>
    <x v="0"/>
    <d v="1899-12-30T19:42:19"/>
    <s v="P20"/>
    <x v="0"/>
    <x v="139"/>
    <x v="139"/>
    <x v="4"/>
    <x v="2"/>
  </r>
  <r>
    <n v="12500119"/>
    <s v="FREDDY"/>
    <s v="SANCHEZ"/>
    <s v="TORRES"/>
    <x v="0"/>
    <d v="1899-12-30T08:23:10"/>
    <s v="P10"/>
    <x v="1"/>
    <x v="139"/>
    <x v="139"/>
    <x v="4"/>
    <x v="2"/>
  </r>
  <r>
    <n v="12500119"/>
    <s v="FREDDY"/>
    <s v="SANCHEZ"/>
    <s v="TORRES"/>
    <x v="2"/>
    <d v="1899-12-30T19:14:53"/>
    <s v="P20"/>
    <x v="0"/>
    <x v="139"/>
    <x v="139"/>
    <x v="4"/>
    <x v="2"/>
  </r>
  <r>
    <n v="12500119"/>
    <s v="FREDDY"/>
    <s v="SANCHEZ"/>
    <s v="TORRES"/>
    <x v="2"/>
    <d v="1899-12-30T08:11:09"/>
    <s v="P10"/>
    <x v="1"/>
    <x v="139"/>
    <x v="139"/>
    <x v="4"/>
    <x v="2"/>
  </r>
  <r>
    <n v="12500119"/>
    <s v="FREDDY"/>
    <s v="SANCHEZ"/>
    <s v="TORRES"/>
    <x v="3"/>
    <d v="1899-12-30T17:36:34"/>
    <s v="P20"/>
    <x v="0"/>
    <x v="139"/>
    <x v="139"/>
    <x v="4"/>
    <x v="2"/>
  </r>
  <r>
    <n v="12500119"/>
    <s v="FREDDY"/>
    <s v="SANCHEZ"/>
    <s v="TORRES"/>
    <x v="3"/>
    <d v="1899-12-30T08:26:22"/>
    <s v="P10"/>
    <x v="1"/>
    <x v="139"/>
    <x v="139"/>
    <x v="4"/>
    <x v="2"/>
  </r>
  <r>
    <n v="12500119"/>
    <s v="FREDDY"/>
    <s v="SANCHEZ"/>
    <s v="TORRES"/>
    <x v="4"/>
    <d v="1899-12-30T19:57:02"/>
    <s v="P20"/>
    <x v="0"/>
    <x v="139"/>
    <x v="139"/>
    <x v="4"/>
    <x v="2"/>
  </r>
  <r>
    <n v="12500119"/>
    <s v="FREDDY"/>
    <s v="SANCHEZ"/>
    <s v="TORRES"/>
    <x v="4"/>
    <d v="1899-12-30T08:22:34"/>
    <s v="P10"/>
    <x v="1"/>
    <x v="139"/>
    <x v="139"/>
    <x v="4"/>
    <x v="2"/>
  </r>
  <r>
    <n v="12501307"/>
    <s v="MARCELO ANTONIO"/>
    <s v="ARAYA"/>
    <s v="FUENTES"/>
    <x v="0"/>
    <d v="1899-12-30T22:49:19"/>
    <s v="P20"/>
    <x v="0"/>
    <x v="140"/>
    <x v="140"/>
    <x v="0"/>
    <x v="0"/>
  </r>
  <r>
    <n v="12501307"/>
    <s v="MARCELO ANTONIO"/>
    <s v="ARAYA"/>
    <s v="FUENTES"/>
    <x v="0"/>
    <d v="1899-12-30T14:34:57"/>
    <s v="P10"/>
    <x v="1"/>
    <x v="140"/>
    <x v="140"/>
    <x v="0"/>
    <x v="0"/>
  </r>
  <r>
    <n v="12501307"/>
    <s v="MARCELO ANTONIO"/>
    <s v="ARAYA"/>
    <s v="FUENTES"/>
    <x v="2"/>
    <d v="1899-12-30T22:48:05"/>
    <s v="P20"/>
    <x v="0"/>
    <x v="140"/>
    <x v="140"/>
    <x v="0"/>
    <x v="0"/>
  </r>
  <r>
    <n v="12501307"/>
    <s v="MARCELO ANTONIO"/>
    <s v="ARAYA"/>
    <s v="FUENTES"/>
    <x v="2"/>
    <d v="1899-12-30T14:33:32"/>
    <s v="P10"/>
    <x v="1"/>
    <x v="140"/>
    <x v="140"/>
    <x v="0"/>
    <x v="0"/>
  </r>
  <r>
    <n v="12501307"/>
    <s v="MARCELO ANTONIO"/>
    <s v="ARAYA"/>
    <s v="FUENTES"/>
    <x v="3"/>
    <d v="1899-12-30T22:48:49"/>
    <s v="P20"/>
    <x v="0"/>
    <x v="140"/>
    <x v="140"/>
    <x v="0"/>
    <x v="0"/>
  </r>
  <r>
    <n v="12501307"/>
    <s v="MARCELO ANTONIO"/>
    <s v="ARAYA"/>
    <s v="FUENTES"/>
    <x v="3"/>
    <d v="1899-12-30T14:36:59"/>
    <s v="P10"/>
    <x v="1"/>
    <x v="140"/>
    <x v="140"/>
    <x v="0"/>
    <x v="0"/>
  </r>
  <r>
    <n v="12501307"/>
    <s v="MARCELO ANTONIO"/>
    <s v="ARAYA"/>
    <s v="FUENTES"/>
    <x v="4"/>
    <d v="1899-12-30T22:51:21"/>
    <s v="P20"/>
    <x v="0"/>
    <x v="140"/>
    <x v="140"/>
    <x v="0"/>
    <x v="0"/>
  </r>
  <r>
    <n v="12501307"/>
    <s v="MARCELO ANTONIO"/>
    <s v="ARAYA"/>
    <s v="FUENTES"/>
    <x v="4"/>
    <d v="1899-12-30T14:35:58"/>
    <s v="P10"/>
    <x v="1"/>
    <x v="140"/>
    <x v="140"/>
    <x v="0"/>
    <x v="0"/>
  </r>
  <r>
    <n v="12504270"/>
    <s v="ROSEMARY"/>
    <s v="LAGOS"/>
    <s v="RUBIO"/>
    <x v="0"/>
    <d v="1899-12-30T15:20:49"/>
    <s v="P20"/>
    <x v="0"/>
    <x v="141"/>
    <x v="141"/>
    <x v="3"/>
    <x v="0"/>
  </r>
  <r>
    <n v="12504270"/>
    <s v="ROSEMARY"/>
    <s v="LAGOS"/>
    <s v="RUBIO"/>
    <x v="0"/>
    <d v="1899-12-30T08:08:52"/>
    <s v="P10"/>
    <x v="1"/>
    <x v="141"/>
    <x v="141"/>
    <x v="1"/>
    <x v="1"/>
  </r>
  <r>
    <n v="12504270"/>
    <s v="ROSEMARY"/>
    <s v="LAGOS"/>
    <s v="RUBIO"/>
    <x v="1"/>
    <d v="1899-12-30T15:13:24"/>
    <s v="P20"/>
    <x v="0"/>
    <x v="141"/>
    <x v="141"/>
    <x v="3"/>
    <x v="0"/>
  </r>
  <r>
    <n v="12504270"/>
    <s v="ROSEMARY"/>
    <s v="LAGOS"/>
    <s v="RUBIO"/>
    <x v="1"/>
    <d v="1899-12-30T07:04:24"/>
    <s v="P10"/>
    <x v="1"/>
    <x v="141"/>
    <x v="141"/>
    <x v="3"/>
    <x v="0"/>
  </r>
  <r>
    <n v="12504270"/>
    <s v="ROSEMARY"/>
    <s v="LAGOS"/>
    <s v="RUBIO"/>
    <x v="2"/>
    <d v="1899-12-30T15:15:39"/>
    <s v="P20"/>
    <x v="0"/>
    <x v="141"/>
    <x v="141"/>
    <x v="3"/>
    <x v="0"/>
  </r>
  <r>
    <n v="12504270"/>
    <s v="ROSEMARY"/>
    <s v="LAGOS"/>
    <s v="RUBIO"/>
    <x v="2"/>
    <d v="1899-12-30T07:03:56"/>
    <s v="P10"/>
    <x v="1"/>
    <x v="141"/>
    <x v="141"/>
    <x v="3"/>
    <x v="0"/>
  </r>
  <r>
    <n v="12504270"/>
    <s v="ROSEMARY"/>
    <s v="LAGOS"/>
    <s v="RUBIO"/>
    <x v="3"/>
    <d v="1899-12-30T15:11:54"/>
    <s v="P20"/>
    <x v="0"/>
    <x v="141"/>
    <x v="141"/>
    <x v="3"/>
    <x v="0"/>
  </r>
  <r>
    <n v="12504270"/>
    <s v="ROSEMARY"/>
    <s v="LAGOS"/>
    <s v="RUBIO"/>
    <x v="3"/>
    <d v="1899-12-30T07:13:07"/>
    <s v="P10"/>
    <x v="1"/>
    <x v="141"/>
    <x v="141"/>
    <x v="3"/>
    <x v="0"/>
  </r>
  <r>
    <n v="12647009"/>
    <s v="PAULO"/>
    <s v="SALAZAR"/>
    <s v="FREYHOFER"/>
    <x v="5"/>
    <d v="1899-12-30T00:00:00"/>
    <m/>
    <x v="2"/>
    <x v="142"/>
    <x v="142"/>
    <x v="4"/>
    <x v="2"/>
  </r>
  <r>
    <n v="12674806"/>
    <s v="MARCO"/>
    <s v="CARDENAS"/>
    <s v="ULLOA"/>
    <x v="5"/>
    <d v="1899-12-30T00:00:00"/>
    <m/>
    <x v="2"/>
    <x v="143"/>
    <x v="143"/>
    <x v="2"/>
    <x v="2"/>
  </r>
  <r>
    <n v="12677439"/>
    <s v="ANDRES RAUL"/>
    <s v="AEDO"/>
    <s v="MUÑOZ"/>
    <x v="0"/>
    <d v="1899-12-30T22:40:14"/>
    <s v="P20"/>
    <x v="0"/>
    <x v="144"/>
    <x v="144"/>
    <x v="0"/>
    <x v="0"/>
  </r>
  <r>
    <n v="12677439"/>
    <s v="ANDRES RAUL"/>
    <s v="AEDO"/>
    <s v="MUÑOZ"/>
    <x v="0"/>
    <d v="1899-12-30T14:34:16"/>
    <s v="P10"/>
    <x v="1"/>
    <x v="144"/>
    <x v="144"/>
    <x v="0"/>
    <x v="0"/>
  </r>
  <r>
    <n v="12677439"/>
    <s v="ANDRES RAUL"/>
    <s v="AEDO"/>
    <s v="MUÑOZ"/>
    <x v="1"/>
    <d v="1899-12-30T22:40:33"/>
    <s v="P20"/>
    <x v="0"/>
    <x v="144"/>
    <x v="144"/>
    <x v="0"/>
    <x v="0"/>
  </r>
  <r>
    <n v="12677439"/>
    <s v="ANDRES RAUL"/>
    <s v="AEDO"/>
    <s v="MUÑOZ"/>
    <x v="1"/>
    <d v="1899-12-30T14:39:42"/>
    <s v="P10"/>
    <x v="1"/>
    <x v="144"/>
    <x v="144"/>
    <x v="0"/>
    <x v="0"/>
  </r>
  <r>
    <n v="12677439"/>
    <s v="ANDRES RAUL"/>
    <s v="AEDO"/>
    <s v="MUÑOZ"/>
    <x v="2"/>
    <d v="1899-12-30T22:39:18"/>
    <s v="P20"/>
    <x v="0"/>
    <x v="144"/>
    <x v="144"/>
    <x v="0"/>
    <x v="0"/>
  </r>
  <r>
    <n v="12677439"/>
    <s v="ANDRES RAUL"/>
    <s v="AEDO"/>
    <s v="MUÑOZ"/>
    <x v="2"/>
    <d v="1899-12-30T14:36:35"/>
    <s v="P10"/>
    <x v="1"/>
    <x v="144"/>
    <x v="144"/>
    <x v="0"/>
    <x v="0"/>
  </r>
  <r>
    <n v="12677439"/>
    <s v="ANDRES RAUL"/>
    <s v="AEDO"/>
    <s v="MUÑOZ"/>
    <x v="3"/>
    <d v="1899-12-30T22:37:13"/>
    <s v="P20"/>
    <x v="0"/>
    <x v="144"/>
    <x v="144"/>
    <x v="0"/>
    <x v="0"/>
  </r>
  <r>
    <n v="12677439"/>
    <s v="ANDRES RAUL"/>
    <s v="AEDO"/>
    <s v="MUÑOZ"/>
    <x v="3"/>
    <d v="1899-12-30T14:35:45"/>
    <s v="P10"/>
    <x v="1"/>
    <x v="144"/>
    <x v="144"/>
    <x v="0"/>
    <x v="0"/>
  </r>
  <r>
    <n v="12677439"/>
    <s v="ANDRES RAUL"/>
    <s v="AEDO"/>
    <s v="MUÑOZ"/>
    <x v="4"/>
    <d v="1899-12-30T22:35:53"/>
    <s v="P20"/>
    <x v="0"/>
    <x v="144"/>
    <x v="144"/>
    <x v="0"/>
    <x v="0"/>
  </r>
  <r>
    <n v="12677439"/>
    <s v="ANDRES RAUL"/>
    <s v="AEDO"/>
    <s v="MUÑOZ"/>
    <x v="4"/>
    <d v="1899-12-30T14:41:24"/>
    <s v="P10"/>
    <x v="1"/>
    <x v="144"/>
    <x v="144"/>
    <x v="0"/>
    <x v="0"/>
  </r>
  <r>
    <n v="12688280"/>
    <s v="VERONICA ANDREA"/>
    <s v="RIVERA"/>
    <s v="VARGAS"/>
    <x v="5"/>
    <d v="1899-12-30T00:00:00"/>
    <m/>
    <x v="2"/>
    <x v="145"/>
    <x v="145"/>
    <x v="2"/>
    <x v="2"/>
  </r>
  <r>
    <n v="12690098"/>
    <s v="RODRIGO"/>
    <s v="MORALES"/>
    <s v="OLGUIN"/>
    <x v="0"/>
    <d v="1899-12-30T07:52:34"/>
    <s v="P20"/>
    <x v="0"/>
    <x v="146"/>
    <x v="146"/>
    <x v="1"/>
    <x v="1"/>
  </r>
  <r>
    <n v="12690098"/>
    <s v="RODRIGO"/>
    <s v="MORALES"/>
    <s v="OLGUIN"/>
    <x v="0"/>
    <d v="1899-12-30T19:24:59"/>
    <s v="P10"/>
    <x v="1"/>
    <x v="146"/>
    <x v="146"/>
    <x v="3"/>
    <x v="0"/>
  </r>
  <r>
    <n v="12690098"/>
    <s v="RODRIGO"/>
    <s v="MORALES"/>
    <s v="OLGUIN"/>
    <x v="1"/>
    <d v="1899-12-30T07:54:29"/>
    <s v="P20"/>
    <x v="0"/>
    <x v="146"/>
    <x v="146"/>
    <x v="1"/>
    <x v="1"/>
  </r>
  <r>
    <n v="12690098"/>
    <s v="RODRIGO"/>
    <s v="MORALES"/>
    <s v="OLGUIN"/>
    <x v="2"/>
    <d v="1899-12-30T22:50:11"/>
    <s v="P20"/>
    <x v="0"/>
    <x v="146"/>
    <x v="146"/>
    <x v="0"/>
    <x v="0"/>
  </r>
  <r>
    <n v="12690098"/>
    <s v="RODRIGO"/>
    <s v="MORALES"/>
    <s v="OLGUIN"/>
    <x v="2"/>
    <d v="1899-12-30T12:44:01"/>
    <s v="P10"/>
    <x v="1"/>
    <x v="146"/>
    <x v="146"/>
    <x v="2"/>
    <x v="2"/>
  </r>
  <r>
    <n v="12690098"/>
    <s v="RODRIGO"/>
    <s v="MORALES"/>
    <s v="OLGUIN"/>
    <x v="3"/>
    <d v="1899-12-30T22:50:16"/>
    <s v="P20"/>
    <x v="0"/>
    <x v="146"/>
    <x v="146"/>
    <x v="0"/>
    <x v="0"/>
  </r>
  <r>
    <n v="12690098"/>
    <s v="RODRIGO"/>
    <s v="MORALES"/>
    <s v="OLGUIN"/>
    <x v="3"/>
    <d v="1899-12-30T12:47:15"/>
    <s v="P10"/>
    <x v="1"/>
    <x v="146"/>
    <x v="146"/>
    <x v="2"/>
    <x v="2"/>
  </r>
  <r>
    <n v="12690098"/>
    <s v="RODRIGO"/>
    <s v="MORALES"/>
    <s v="OLGUIN"/>
    <x v="4"/>
    <d v="1899-12-30T19:07:44"/>
    <s v="P10"/>
    <x v="1"/>
    <x v="146"/>
    <x v="146"/>
    <x v="3"/>
    <x v="0"/>
  </r>
  <r>
    <n v="12719073"/>
    <s v="ALEX JOHN"/>
    <s v="EYZAGUIRRE"/>
    <s v="LARA"/>
    <x v="5"/>
    <d v="1899-12-30T00:00:00"/>
    <m/>
    <x v="2"/>
    <x v="147"/>
    <x v="147"/>
    <x v="2"/>
    <x v="2"/>
  </r>
  <r>
    <n v="12740284"/>
    <s v="JUAN CARLOS"/>
    <s v="MARCHANT"/>
    <s v="RAMIREZ"/>
    <x v="0"/>
    <d v="1899-12-30T07:52:56"/>
    <s v="P20"/>
    <x v="0"/>
    <x v="148"/>
    <x v="148"/>
    <x v="1"/>
    <x v="1"/>
  </r>
  <r>
    <n v="12740284"/>
    <s v="JUAN CARLOS"/>
    <s v="MARCHANT"/>
    <s v="RAMIREZ"/>
    <x v="0"/>
    <d v="1899-12-30T22:05:15"/>
    <s v="P10"/>
    <x v="1"/>
    <x v="148"/>
    <x v="148"/>
    <x v="1"/>
    <x v="1"/>
  </r>
  <r>
    <n v="12740284"/>
    <s v="JUAN CARLOS"/>
    <s v="MARCHANT"/>
    <s v="RAMIREZ"/>
    <x v="1"/>
    <d v="1899-12-30T07:58:10"/>
    <s v="P20"/>
    <x v="0"/>
    <x v="148"/>
    <x v="148"/>
    <x v="1"/>
    <x v="1"/>
  </r>
  <r>
    <n v="12740284"/>
    <s v="JUAN CARLOS"/>
    <s v="MARCHANT"/>
    <s v="RAMIREZ"/>
    <x v="2"/>
    <d v="1899-12-30T22:02:46"/>
    <s v="P10"/>
    <x v="1"/>
    <x v="148"/>
    <x v="148"/>
    <x v="1"/>
    <x v="1"/>
  </r>
  <r>
    <n v="12740284"/>
    <s v="JUAN CARLOS"/>
    <s v="MARCHANT"/>
    <s v="RAMIREZ"/>
    <x v="3"/>
    <d v="1899-12-30T07:49:41"/>
    <s v="P20"/>
    <x v="0"/>
    <x v="148"/>
    <x v="148"/>
    <x v="1"/>
    <x v="1"/>
  </r>
  <r>
    <n v="12740284"/>
    <s v="JUAN CARLOS"/>
    <s v="MARCHANT"/>
    <s v="RAMIREZ"/>
    <x v="4"/>
    <d v="1899-12-30T22:02:03"/>
    <s v="P10"/>
    <x v="1"/>
    <x v="148"/>
    <x v="148"/>
    <x v="1"/>
    <x v="1"/>
  </r>
  <r>
    <n v="12828475"/>
    <s v="ELSON GONZALO"/>
    <s v="NARVAI"/>
    <s v="DIAZ"/>
    <x v="0"/>
    <d v="1899-12-30T08:33:37"/>
    <s v="P10"/>
    <x v="1"/>
    <x v="149"/>
    <x v="149"/>
    <x v="4"/>
    <x v="2"/>
  </r>
  <r>
    <n v="12828475"/>
    <s v="ELSON GONZALO"/>
    <s v="NARVAI"/>
    <s v="DIAZ"/>
    <x v="1"/>
    <d v="1899-12-30T14:56:38"/>
    <s v="P20"/>
    <x v="0"/>
    <x v="149"/>
    <x v="149"/>
    <x v="4"/>
    <x v="2"/>
  </r>
  <r>
    <n v="12828475"/>
    <s v="ELSON GONZALO"/>
    <s v="NARVAI"/>
    <s v="DIAZ"/>
    <x v="1"/>
    <d v="1899-12-30T09:01:36"/>
    <s v="P10"/>
    <x v="1"/>
    <x v="149"/>
    <x v="149"/>
    <x v="4"/>
    <x v="2"/>
  </r>
  <r>
    <n v="12828475"/>
    <s v="ELSON GONZALO"/>
    <s v="NARVAI"/>
    <s v="DIAZ"/>
    <x v="3"/>
    <d v="1899-12-30T17:32:39"/>
    <s v="P20"/>
    <x v="0"/>
    <x v="149"/>
    <x v="149"/>
    <x v="4"/>
    <x v="2"/>
  </r>
  <r>
    <n v="12828475"/>
    <s v="ELSON GONZALO"/>
    <s v="NARVAI"/>
    <s v="DIAZ"/>
    <x v="3"/>
    <d v="1899-12-30T06:57:51"/>
    <s v="P10"/>
    <x v="1"/>
    <x v="149"/>
    <x v="149"/>
    <x v="4"/>
    <x v="2"/>
  </r>
  <r>
    <n v="12828475"/>
    <s v="ELSON GONZALO"/>
    <s v="NARVAI"/>
    <s v="DIAZ"/>
    <x v="4"/>
    <d v="1899-12-30T17:19:43"/>
    <s v="P20"/>
    <x v="0"/>
    <x v="149"/>
    <x v="149"/>
    <x v="4"/>
    <x v="2"/>
  </r>
  <r>
    <n v="12828475"/>
    <s v="ELSON GONZALO"/>
    <s v="NARVAI"/>
    <s v="DIAZ"/>
    <x v="4"/>
    <d v="1899-12-30T06:55:52"/>
    <s v="P10"/>
    <x v="1"/>
    <x v="149"/>
    <x v="149"/>
    <x v="4"/>
    <x v="2"/>
  </r>
  <r>
    <n v="12896000"/>
    <s v="IGNACIO ANDRES"/>
    <s v="SERRANO"/>
    <s v="VEGA"/>
    <x v="0"/>
    <d v="1899-12-30T07:52:50"/>
    <s v="P20"/>
    <x v="0"/>
    <x v="150"/>
    <x v="150"/>
    <x v="1"/>
    <x v="1"/>
  </r>
  <r>
    <n v="12896000"/>
    <s v="IGNACIO ANDRES"/>
    <s v="SERRANO"/>
    <s v="VEGA"/>
    <x v="0"/>
    <d v="1899-12-30T19:30:37"/>
    <s v="P10"/>
    <x v="1"/>
    <x v="150"/>
    <x v="150"/>
    <x v="2"/>
    <x v="2"/>
  </r>
  <r>
    <n v="12896000"/>
    <s v="IGNACIO ANDRES"/>
    <s v="SERRANO"/>
    <s v="VEGA"/>
    <x v="1"/>
    <d v="1899-12-30T07:54:34"/>
    <s v="P20"/>
    <x v="0"/>
    <x v="150"/>
    <x v="150"/>
    <x v="1"/>
    <x v="1"/>
  </r>
  <r>
    <n v="12896000"/>
    <s v="IGNACIO ANDRES"/>
    <s v="SERRANO"/>
    <s v="VEGA"/>
    <x v="2"/>
    <d v="1899-12-30T19:21:09"/>
    <s v="P10"/>
    <x v="1"/>
    <x v="150"/>
    <x v="150"/>
    <x v="3"/>
    <x v="0"/>
  </r>
  <r>
    <n v="12896000"/>
    <s v="IGNACIO ANDRES"/>
    <s v="SERRANO"/>
    <s v="VEGA"/>
    <x v="3"/>
    <d v="1899-12-30T07:50:19"/>
    <s v="P20"/>
    <x v="0"/>
    <x v="150"/>
    <x v="150"/>
    <x v="1"/>
    <x v="1"/>
  </r>
  <r>
    <n v="12896000"/>
    <s v="IGNACIO ANDRES"/>
    <s v="SERRANO"/>
    <s v="VEGA"/>
    <x v="3"/>
    <d v="1899-12-30T19:16:00"/>
    <s v="P10"/>
    <x v="1"/>
    <x v="150"/>
    <x v="150"/>
    <x v="3"/>
    <x v="0"/>
  </r>
  <r>
    <n v="12896000"/>
    <s v="IGNACIO ANDRES"/>
    <s v="SERRANO"/>
    <s v="VEGA"/>
    <x v="4"/>
    <d v="1899-12-30T07:49:10"/>
    <s v="P20"/>
    <x v="0"/>
    <x v="150"/>
    <x v="150"/>
    <x v="1"/>
    <x v="1"/>
  </r>
  <r>
    <n v="12896000"/>
    <s v="IGNACIO ANDRES"/>
    <s v="SERRANO"/>
    <s v="VEGA"/>
    <x v="4"/>
    <d v="1899-12-30T19:09:43"/>
    <s v="P10"/>
    <x v="1"/>
    <x v="150"/>
    <x v="150"/>
    <x v="3"/>
    <x v="0"/>
  </r>
  <r>
    <n v="12896236"/>
    <s v="GABRIEL ANTONIO"/>
    <s v="CANDIA"/>
    <s v="MUÑOZ"/>
    <x v="5"/>
    <d v="1899-12-30T00:00:00"/>
    <m/>
    <x v="2"/>
    <x v="151"/>
    <x v="151"/>
    <x v="2"/>
    <x v="2"/>
  </r>
  <r>
    <n v="12896866"/>
    <s v="EDDIE LUIS"/>
    <s v="SOTO"/>
    <s v="SOTO"/>
    <x v="0"/>
    <d v="1899-12-30T22:49:00"/>
    <s v="P20"/>
    <x v="0"/>
    <x v="152"/>
    <x v="152"/>
    <x v="0"/>
    <x v="0"/>
  </r>
  <r>
    <n v="12896866"/>
    <s v="EDDIE LUIS"/>
    <s v="SOTO"/>
    <s v="SOTO"/>
    <x v="0"/>
    <d v="1899-12-30T14:37:05"/>
    <s v="P10"/>
    <x v="1"/>
    <x v="152"/>
    <x v="152"/>
    <x v="0"/>
    <x v="0"/>
  </r>
  <r>
    <n v="12896866"/>
    <s v="EDDIE LUIS"/>
    <s v="SOTO"/>
    <s v="SOTO"/>
    <x v="1"/>
    <d v="1899-12-30T22:47:06"/>
    <s v="P20"/>
    <x v="0"/>
    <x v="152"/>
    <x v="152"/>
    <x v="0"/>
    <x v="0"/>
  </r>
  <r>
    <n v="12896866"/>
    <s v="EDDIE LUIS"/>
    <s v="SOTO"/>
    <s v="SOTO"/>
    <x v="1"/>
    <d v="1899-12-30T14:37:36"/>
    <s v="P10"/>
    <x v="1"/>
    <x v="152"/>
    <x v="152"/>
    <x v="0"/>
    <x v="0"/>
  </r>
  <r>
    <n v="12896866"/>
    <s v="EDDIE LUIS"/>
    <s v="SOTO"/>
    <s v="SOTO"/>
    <x v="2"/>
    <d v="1899-12-30T22:45:08"/>
    <s v="P20"/>
    <x v="0"/>
    <x v="152"/>
    <x v="152"/>
    <x v="0"/>
    <x v="0"/>
  </r>
  <r>
    <n v="12896866"/>
    <s v="EDDIE LUIS"/>
    <s v="SOTO"/>
    <s v="SOTO"/>
    <x v="2"/>
    <d v="1899-12-30T14:33:55"/>
    <s v="P10"/>
    <x v="1"/>
    <x v="152"/>
    <x v="152"/>
    <x v="0"/>
    <x v="0"/>
  </r>
  <r>
    <n v="12896866"/>
    <s v="EDDIE LUIS"/>
    <s v="SOTO"/>
    <s v="SOTO"/>
    <x v="3"/>
    <d v="1899-12-30T22:49:49"/>
    <s v="P20"/>
    <x v="0"/>
    <x v="152"/>
    <x v="152"/>
    <x v="0"/>
    <x v="0"/>
  </r>
  <r>
    <n v="12896866"/>
    <s v="EDDIE LUIS"/>
    <s v="SOTO"/>
    <s v="SOTO"/>
    <x v="3"/>
    <d v="1899-12-30T14:37:47"/>
    <s v="P10"/>
    <x v="1"/>
    <x v="152"/>
    <x v="152"/>
    <x v="0"/>
    <x v="0"/>
  </r>
  <r>
    <n v="12896866"/>
    <s v="EDDIE LUIS"/>
    <s v="SOTO"/>
    <s v="SOTO"/>
    <x v="4"/>
    <d v="1899-12-30T22:48:46"/>
    <s v="P20"/>
    <x v="0"/>
    <x v="152"/>
    <x v="152"/>
    <x v="0"/>
    <x v="0"/>
  </r>
  <r>
    <n v="12896866"/>
    <s v="EDDIE LUIS"/>
    <s v="SOTO"/>
    <s v="SOTO"/>
    <x v="4"/>
    <d v="1899-12-30T14:36:11"/>
    <s v="P10"/>
    <x v="1"/>
    <x v="152"/>
    <x v="152"/>
    <x v="0"/>
    <x v="0"/>
  </r>
  <r>
    <n v="12897839"/>
    <s v="SOLEDAD ALEJANDRA"/>
    <s v="BECERRA"/>
    <s v="QUEZADA"/>
    <x v="0"/>
    <d v="1899-12-30T22:47:47"/>
    <s v="P20"/>
    <x v="0"/>
    <x v="153"/>
    <x v="153"/>
    <x v="0"/>
    <x v="0"/>
  </r>
  <r>
    <n v="12897839"/>
    <s v="SOLEDAD ALEJANDRA"/>
    <s v="BECERRA"/>
    <s v="QUEZADA"/>
    <x v="0"/>
    <d v="1899-12-30T14:38:35"/>
    <s v="P10"/>
    <x v="1"/>
    <x v="153"/>
    <x v="153"/>
    <x v="0"/>
    <x v="0"/>
  </r>
  <r>
    <n v="12897839"/>
    <s v="SOLEDAD ALEJANDRA"/>
    <s v="BECERRA"/>
    <s v="QUEZADA"/>
    <x v="1"/>
    <d v="1899-12-30T22:51:29"/>
    <s v="P20"/>
    <x v="0"/>
    <x v="153"/>
    <x v="153"/>
    <x v="0"/>
    <x v="0"/>
  </r>
  <r>
    <n v="12897839"/>
    <s v="SOLEDAD ALEJANDRA"/>
    <s v="BECERRA"/>
    <s v="QUEZADA"/>
    <x v="1"/>
    <d v="1899-12-30T14:34:03"/>
    <s v="P10"/>
    <x v="1"/>
    <x v="153"/>
    <x v="153"/>
    <x v="0"/>
    <x v="0"/>
  </r>
  <r>
    <n v="12897839"/>
    <s v="SOLEDAD ALEJANDRA"/>
    <s v="BECERRA"/>
    <s v="QUEZADA"/>
    <x v="2"/>
    <d v="1899-12-30T22:50:01"/>
    <s v="P20"/>
    <x v="0"/>
    <x v="153"/>
    <x v="153"/>
    <x v="0"/>
    <x v="0"/>
  </r>
  <r>
    <n v="12897839"/>
    <s v="SOLEDAD ALEJANDRA"/>
    <s v="BECERRA"/>
    <s v="QUEZADA"/>
    <x v="2"/>
    <d v="1899-12-30T14:30:59"/>
    <s v="P10"/>
    <x v="1"/>
    <x v="153"/>
    <x v="153"/>
    <x v="0"/>
    <x v="0"/>
  </r>
  <r>
    <n v="12897839"/>
    <s v="SOLEDAD ALEJANDRA"/>
    <s v="BECERRA"/>
    <s v="QUEZADA"/>
    <x v="3"/>
    <d v="1899-12-30T22:48:31"/>
    <s v="P20"/>
    <x v="0"/>
    <x v="153"/>
    <x v="153"/>
    <x v="0"/>
    <x v="0"/>
  </r>
  <r>
    <n v="12897839"/>
    <s v="SOLEDAD ALEJANDRA"/>
    <s v="BECERRA"/>
    <s v="QUEZADA"/>
    <x v="3"/>
    <d v="1899-12-30T14:29:20"/>
    <s v="P10"/>
    <x v="1"/>
    <x v="153"/>
    <x v="153"/>
    <x v="0"/>
    <x v="0"/>
  </r>
  <r>
    <n v="12897839"/>
    <s v="SOLEDAD ALEJANDRA"/>
    <s v="BECERRA"/>
    <s v="QUEZADA"/>
    <x v="4"/>
    <d v="1899-12-30T22:50:43"/>
    <s v="P20"/>
    <x v="0"/>
    <x v="153"/>
    <x v="153"/>
    <x v="0"/>
    <x v="0"/>
  </r>
  <r>
    <n v="12897839"/>
    <s v="SOLEDAD ALEJANDRA"/>
    <s v="BECERRA"/>
    <s v="QUEZADA"/>
    <x v="4"/>
    <d v="1899-12-30T14:37:52"/>
    <s v="P10"/>
    <x v="1"/>
    <x v="153"/>
    <x v="153"/>
    <x v="0"/>
    <x v="0"/>
  </r>
  <r>
    <n v="12898844"/>
    <s v="DANIEL H."/>
    <s v="PALMA"/>
    <s v="CLARO"/>
    <x v="0"/>
    <d v="1899-12-30T18:39:39"/>
    <s v="P20"/>
    <x v="0"/>
    <x v="154"/>
    <x v="154"/>
    <x v="3"/>
    <x v="0"/>
  </r>
  <r>
    <n v="12898844"/>
    <s v="DANIEL H."/>
    <s v="PALMA"/>
    <s v="CLARO"/>
    <x v="0"/>
    <d v="1899-12-30T07:29:50"/>
    <s v="P10"/>
    <x v="1"/>
    <x v="154"/>
    <x v="154"/>
    <x v="3"/>
    <x v="0"/>
  </r>
  <r>
    <n v="12898844"/>
    <s v="DANIEL H."/>
    <s v="PALMA"/>
    <s v="CLARO"/>
    <x v="1"/>
    <d v="1899-12-30T22:29:11"/>
    <s v="P20"/>
    <x v="0"/>
    <x v="154"/>
    <x v="154"/>
    <x v="3"/>
    <x v="0"/>
  </r>
  <r>
    <n v="12898844"/>
    <s v="DANIEL H."/>
    <s v="PALMA"/>
    <s v="CLARO"/>
    <x v="1"/>
    <d v="1899-12-30T15:01:28"/>
    <s v="P10"/>
    <x v="1"/>
    <x v="154"/>
    <x v="154"/>
    <x v="3"/>
    <x v="0"/>
  </r>
  <r>
    <n v="12898844"/>
    <s v="DANIEL H."/>
    <s v="PALMA"/>
    <s v="CLARO"/>
    <x v="6"/>
    <d v="1899-12-30T23:55:36"/>
    <s v="P10"/>
    <x v="1"/>
    <x v="154"/>
    <x v="154"/>
    <x v="3"/>
    <x v="0"/>
  </r>
  <r>
    <n v="12898844"/>
    <s v="DANIEL H."/>
    <s v="PALMA"/>
    <s v="CLARO"/>
    <x v="2"/>
    <d v="1899-12-30T07:49:19"/>
    <s v="P20"/>
    <x v="0"/>
    <x v="154"/>
    <x v="154"/>
    <x v="3"/>
    <x v="0"/>
  </r>
  <r>
    <n v="12898844"/>
    <s v="DANIEL H."/>
    <s v="PALMA"/>
    <s v="CLARO"/>
    <x v="3"/>
    <d v="1899-12-30T18:41:17"/>
    <s v="P20"/>
    <x v="0"/>
    <x v="154"/>
    <x v="154"/>
    <x v="3"/>
    <x v="0"/>
  </r>
  <r>
    <n v="12898844"/>
    <s v="DANIEL H."/>
    <s v="PALMA"/>
    <s v="CLARO"/>
    <x v="3"/>
    <d v="1899-12-30T07:31:02"/>
    <s v="P10"/>
    <x v="1"/>
    <x v="154"/>
    <x v="154"/>
    <x v="3"/>
    <x v="0"/>
  </r>
  <r>
    <n v="12898844"/>
    <s v="DANIEL H."/>
    <s v="PALMA"/>
    <s v="CLARO"/>
    <x v="4"/>
    <d v="1899-12-30T17:08:10"/>
    <s v="P20"/>
    <x v="0"/>
    <x v="154"/>
    <x v="154"/>
    <x v="3"/>
    <x v="0"/>
  </r>
  <r>
    <n v="12898844"/>
    <s v="DANIEL H."/>
    <s v="PALMA"/>
    <s v="CLARO"/>
    <x v="4"/>
    <d v="1899-12-30T07:33:31"/>
    <s v="P10"/>
    <x v="1"/>
    <x v="154"/>
    <x v="154"/>
    <x v="3"/>
    <x v="0"/>
  </r>
  <r>
    <n v="12934132"/>
    <s v="VICTOR IVAN"/>
    <s v="NITOR"/>
    <s v="TORRES"/>
    <x v="0"/>
    <d v="1899-12-30T11:31:41"/>
    <s v="P20"/>
    <x v="0"/>
    <x v="155"/>
    <x v="155"/>
    <x v="2"/>
    <x v="2"/>
  </r>
  <r>
    <n v="12934132"/>
    <s v="VICTOR IVAN"/>
    <s v="NITOR"/>
    <s v="TORRES"/>
    <x v="0"/>
    <d v="1899-12-30T22:04:14"/>
    <s v="P10"/>
    <x v="1"/>
    <x v="155"/>
    <x v="155"/>
    <x v="1"/>
    <x v="1"/>
  </r>
  <r>
    <n v="12934132"/>
    <s v="VICTOR IVAN"/>
    <s v="NITOR"/>
    <s v="TORRES"/>
    <x v="1"/>
    <d v="1899-12-30T11:04:16"/>
    <s v="P20"/>
    <x v="0"/>
    <x v="155"/>
    <x v="155"/>
    <x v="2"/>
    <x v="2"/>
  </r>
  <r>
    <n v="12934132"/>
    <s v="VICTOR IVAN"/>
    <s v="NITOR"/>
    <s v="TORRES"/>
    <x v="2"/>
    <d v="1899-12-30T22:03:35"/>
    <s v="P10"/>
    <x v="1"/>
    <x v="155"/>
    <x v="155"/>
    <x v="1"/>
    <x v="1"/>
  </r>
  <r>
    <n v="12934132"/>
    <s v="VICTOR IVAN"/>
    <s v="NITOR"/>
    <s v="TORRES"/>
    <x v="3"/>
    <d v="1899-12-30T08:47:17"/>
    <s v="P20"/>
    <x v="0"/>
    <x v="155"/>
    <x v="155"/>
    <x v="2"/>
    <x v="2"/>
  </r>
  <r>
    <n v="12934132"/>
    <s v="VICTOR IVAN"/>
    <s v="NITOR"/>
    <s v="TORRES"/>
    <x v="4"/>
    <d v="1899-12-30T22:19:59"/>
    <s v="P10"/>
    <x v="1"/>
    <x v="155"/>
    <x v="155"/>
    <x v="1"/>
    <x v="1"/>
  </r>
  <r>
    <n v="13045231"/>
    <s v="FELIPE"/>
    <s v="ARANCIBIA"/>
    <s v="SILVA"/>
    <x v="0"/>
    <d v="1899-12-30T22:43:11"/>
    <s v="P20"/>
    <x v="0"/>
    <x v="156"/>
    <x v="156"/>
    <x v="1"/>
    <x v="1"/>
  </r>
  <r>
    <n v="13045231"/>
    <s v="FELIPE"/>
    <s v="ARANCIBIA"/>
    <s v="SILVA"/>
    <x v="0"/>
    <d v="1899-12-30T11:56:24"/>
    <s v="P10"/>
    <x v="1"/>
    <x v="156"/>
    <x v="156"/>
    <x v="1"/>
    <x v="1"/>
  </r>
  <r>
    <n v="13045231"/>
    <s v="FELIPE"/>
    <s v="ARANCIBIA"/>
    <s v="SILVA"/>
    <x v="1"/>
    <d v="1899-12-30T22:49:45"/>
    <s v="P20"/>
    <x v="0"/>
    <x v="156"/>
    <x v="156"/>
    <x v="1"/>
    <x v="1"/>
  </r>
  <r>
    <n v="13045231"/>
    <s v="FELIPE"/>
    <s v="ARANCIBIA"/>
    <s v="SILVA"/>
    <x v="1"/>
    <d v="1899-12-30T12:06:28"/>
    <s v="P10"/>
    <x v="1"/>
    <x v="156"/>
    <x v="156"/>
    <x v="1"/>
    <x v="1"/>
  </r>
  <r>
    <n v="13045231"/>
    <s v="FELIPE"/>
    <s v="ARANCIBIA"/>
    <s v="SILVA"/>
    <x v="2"/>
    <d v="1899-12-30T22:42:37"/>
    <s v="P20"/>
    <x v="0"/>
    <x v="156"/>
    <x v="156"/>
    <x v="1"/>
    <x v="1"/>
  </r>
  <r>
    <n v="13045231"/>
    <s v="FELIPE"/>
    <s v="ARANCIBIA"/>
    <s v="SILVA"/>
    <x v="2"/>
    <d v="1899-12-30T12:06:22"/>
    <s v="P10"/>
    <x v="1"/>
    <x v="156"/>
    <x v="156"/>
    <x v="1"/>
    <x v="1"/>
  </r>
  <r>
    <n v="13045231"/>
    <s v="FELIPE"/>
    <s v="ARANCIBIA"/>
    <s v="SILVA"/>
    <x v="3"/>
    <d v="1899-12-30T22:45:04"/>
    <s v="P20"/>
    <x v="0"/>
    <x v="156"/>
    <x v="156"/>
    <x v="1"/>
    <x v="1"/>
  </r>
  <r>
    <n v="13045231"/>
    <s v="FELIPE"/>
    <s v="ARANCIBIA"/>
    <s v="SILVA"/>
    <x v="3"/>
    <d v="1899-12-30T12:05:44"/>
    <s v="P10"/>
    <x v="1"/>
    <x v="156"/>
    <x v="156"/>
    <x v="1"/>
    <x v="1"/>
  </r>
  <r>
    <n v="13045231"/>
    <s v="FELIPE"/>
    <s v="ARANCIBIA"/>
    <s v="SILVA"/>
    <x v="4"/>
    <d v="1899-12-30T22:49:13"/>
    <s v="P20"/>
    <x v="0"/>
    <x v="156"/>
    <x v="156"/>
    <x v="1"/>
    <x v="1"/>
  </r>
  <r>
    <n v="13045231"/>
    <s v="FELIPE"/>
    <s v="ARANCIBIA"/>
    <s v="SILVA"/>
    <x v="4"/>
    <d v="1899-12-30T12:17:55"/>
    <s v="P10"/>
    <x v="1"/>
    <x v="156"/>
    <x v="156"/>
    <x v="1"/>
    <x v="1"/>
  </r>
  <r>
    <n v="13077995"/>
    <s v="FRANCISCO ANTONIO"/>
    <s v="MARTINEZ"/>
    <s v="OSSES"/>
    <x v="0"/>
    <d v="1899-12-30T07:48:02"/>
    <s v="P20"/>
    <x v="0"/>
    <x v="157"/>
    <x v="157"/>
    <x v="1"/>
    <x v="1"/>
  </r>
  <r>
    <n v="13077995"/>
    <s v="FRANCISCO ANTONIO"/>
    <s v="MARTINEZ"/>
    <s v="OSSES"/>
    <x v="0"/>
    <d v="1899-12-30T22:03:41"/>
    <s v="P10"/>
    <x v="1"/>
    <x v="157"/>
    <x v="157"/>
    <x v="1"/>
    <x v="1"/>
  </r>
  <r>
    <n v="13077995"/>
    <s v="FRANCISCO ANTONIO"/>
    <s v="MARTINEZ"/>
    <s v="OSSES"/>
    <x v="1"/>
    <d v="1899-12-30T07:52:03"/>
    <s v="P20"/>
    <x v="0"/>
    <x v="157"/>
    <x v="157"/>
    <x v="1"/>
    <x v="1"/>
  </r>
  <r>
    <n v="13077995"/>
    <s v="FRANCISCO ANTONIO"/>
    <s v="MARTINEZ"/>
    <s v="OSSES"/>
    <x v="2"/>
    <d v="1899-12-30T22:03:32"/>
    <s v="P10"/>
    <x v="1"/>
    <x v="157"/>
    <x v="157"/>
    <x v="1"/>
    <x v="1"/>
  </r>
  <r>
    <n v="13077995"/>
    <s v="FRANCISCO ANTONIO"/>
    <s v="MARTINEZ"/>
    <s v="OSSES"/>
    <x v="3"/>
    <d v="1899-12-30T07:46:06"/>
    <s v="P20"/>
    <x v="0"/>
    <x v="157"/>
    <x v="157"/>
    <x v="1"/>
    <x v="1"/>
  </r>
  <r>
    <n v="13077995"/>
    <s v="FRANCISCO ANTONIO"/>
    <s v="MARTINEZ"/>
    <s v="OSSES"/>
    <x v="3"/>
    <d v="1899-12-30T22:04:14"/>
    <s v="P10"/>
    <x v="1"/>
    <x v="157"/>
    <x v="157"/>
    <x v="1"/>
    <x v="1"/>
  </r>
  <r>
    <n v="13077995"/>
    <s v="FRANCISCO ANTONIO"/>
    <s v="MARTINEZ"/>
    <s v="OSSES"/>
    <x v="4"/>
    <d v="1899-12-30T07:49:34"/>
    <s v="P20"/>
    <x v="0"/>
    <x v="157"/>
    <x v="157"/>
    <x v="1"/>
    <x v="1"/>
  </r>
  <r>
    <n v="13077995"/>
    <s v="FRANCISCO ANTONIO"/>
    <s v="MARTINEZ"/>
    <s v="OSSES"/>
    <x v="4"/>
    <d v="1899-12-30T22:02:58"/>
    <s v="P10"/>
    <x v="1"/>
    <x v="157"/>
    <x v="157"/>
    <x v="1"/>
    <x v="1"/>
  </r>
  <r>
    <n v="13079999"/>
    <s v="MAGALY ANDREA"/>
    <s v="SEPULVEDA"/>
    <s v="ARAVENA"/>
    <x v="5"/>
    <d v="1899-12-30T00:00:00"/>
    <m/>
    <x v="2"/>
    <x v="158"/>
    <x v="158"/>
    <x v="2"/>
    <x v="2"/>
  </r>
  <r>
    <n v="13100464"/>
    <s v="JOSE A."/>
    <s v="GALLARDO"/>
    <s v="OYARCE"/>
    <x v="0"/>
    <d v="1899-12-30T22:50:13"/>
    <s v="P20"/>
    <x v="0"/>
    <x v="159"/>
    <x v="159"/>
    <x v="0"/>
    <x v="0"/>
  </r>
  <r>
    <n v="13100464"/>
    <s v="JOSE A."/>
    <s v="GALLARDO"/>
    <s v="OYARCE"/>
    <x v="0"/>
    <d v="1899-12-30T14:36:03"/>
    <s v="P10"/>
    <x v="1"/>
    <x v="159"/>
    <x v="159"/>
    <x v="0"/>
    <x v="0"/>
  </r>
  <r>
    <n v="13100464"/>
    <s v="JOSE A."/>
    <s v="GALLARDO"/>
    <s v="OYARCE"/>
    <x v="1"/>
    <d v="1899-12-30T22:53:02"/>
    <s v="P20"/>
    <x v="0"/>
    <x v="159"/>
    <x v="159"/>
    <x v="0"/>
    <x v="0"/>
  </r>
  <r>
    <n v="13100464"/>
    <s v="JOSE A."/>
    <s v="GALLARDO"/>
    <s v="OYARCE"/>
    <x v="1"/>
    <d v="1899-12-30T14:41:49"/>
    <s v="P10"/>
    <x v="1"/>
    <x v="159"/>
    <x v="159"/>
    <x v="0"/>
    <x v="0"/>
  </r>
  <r>
    <n v="13100464"/>
    <s v="JOSE A."/>
    <s v="GALLARDO"/>
    <s v="OYARCE"/>
    <x v="2"/>
    <d v="1899-12-30T22:50:20"/>
    <s v="P20"/>
    <x v="0"/>
    <x v="159"/>
    <x v="159"/>
    <x v="0"/>
    <x v="0"/>
  </r>
  <r>
    <n v="13100464"/>
    <s v="JOSE A."/>
    <s v="GALLARDO"/>
    <s v="OYARCE"/>
    <x v="2"/>
    <d v="1899-12-30T14:32:05"/>
    <s v="P10"/>
    <x v="1"/>
    <x v="159"/>
    <x v="159"/>
    <x v="0"/>
    <x v="0"/>
  </r>
  <r>
    <n v="13100464"/>
    <s v="JOSE A."/>
    <s v="GALLARDO"/>
    <s v="OYARCE"/>
    <x v="3"/>
    <d v="1899-12-30T22:50:10"/>
    <s v="P20"/>
    <x v="0"/>
    <x v="159"/>
    <x v="159"/>
    <x v="0"/>
    <x v="0"/>
  </r>
  <r>
    <n v="13100464"/>
    <s v="JOSE A."/>
    <s v="GALLARDO"/>
    <s v="OYARCE"/>
    <x v="3"/>
    <d v="1899-12-30T14:33:29"/>
    <s v="P10"/>
    <x v="1"/>
    <x v="159"/>
    <x v="159"/>
    <x v="0"/>
    <x v="0"/>
  </r>
  <r>
    <n v="13100464"/>
    <s v="JOSE A."/>
    <s v="GALLARDO"/>
    <s v="OYARCE"/>
    <x v="4"/>
    <d v="1899-12-30T22:50:35"/>
    <s v="P20"/>
    <x v="0"/>
    <x v="159"/>
    <x v="159"/>
    <x v="0"/>
    <x v="0"/>
  </r>
  <r>
    <n v="13100464"/>
    <s v="JOSE A."/>
    <s v="GALLARDO"/>
    <s v="OYARCE"/>
    <x v="4"/>
    <d v="1899-12-30T14:34:49"/>
    <s v="P10"/>
    <x v="1"/>
    <x v="159"/>
    <x v="159"/>
    <x v="0"/>
    <x v="0"/>
  </r>
  <r>
    <n v="13236100"/>
    <s v="MARCO ANTONIO"/>
    <s v="BUSTAMANTE"/>
    <s v="GONZALEZ"/>
    <x v="0"/>
    <d v="1899-12-30T18:41:14"/>
    <s v="P20"/>
    <x v="0"/>
    <x v="160"/>
    <x v="160"/>
    <x v="4"/>
    <x v="2"/>
  </r>
  <r>
    <n v="13236100"/>
    <s v="MARCO ANTONIO"/>
    <s v="BUSTAMANTE"/>
    <s v="GONZALEZ"/>
    <x v="0"/>
    <d v="1899-12-30T08:43:20"/>
    <s v="P10"/>
    <x v="1"/>
    <x v="160"/>
    <x v="160"/>
    <x v="4"/>
    <x v="2"/>
  </r>
  <r>
    <n v="13236100"/>
    <s v="MARCO ANTONIO"/>
    <s v="BUSTAMANTE"/>
    <s v="GONZALEZ"/>
    <x v="2"/>
    <d v="1899-12-30T18:19:54"/>
    <s v="P20"/>
    <x v="0"/>
    <x v="160"/>
    <x v="160"/>
    <x v="4"/>
    <x v="2"/>
  </r>
  <r>
    <n v="13236100"/>
    <s v="MARCO ANTONIO"/>
    <s v="BUSTAMANTE"/>
    <s v="GONZALEZ"/>
    <x v="2"/>
    <d v="1899-12-30T08:39:25"/>
    <s v="P10"/>
    <x v="1"/>
    <x v="160"/>
    <x v="160"/>
    <x v="4"/>
    <x v="2"/>
  </r>
  <r>
    <n v="13236100"/>
    <s v="MARCO ANTONIO"/>
    <s v="BUSTAMANTE"/>
    <s v="GONZALEZ"/>
    <x v="3"/>
    <d v="1899-12-30T17:55:22"/>
    <s v="P20"/>
    <x v="0"/>
    <x v="160"/>
    <x v="160"/>
    <x v="4"/>
    <x v="2"/>
  </r>
  <r>
    <n v="13236100"/>
    <s v="MARCO ANTONIO"/>
    <s v="BUSTAMANTE"/>
    <s v="GONZALEZ"/>
    <x v="3"/>
    <d v="1899-12-30T12:46:36"/>
    <s v="P10"/>
    <x v="1"/>
    <x v="160"/>
    <x v="160"/>
    <x v="4"/>
    <x v="2"/>
  </r>
  <r>
    <n v="13236100"/>
    <s v="MARCO ANTONIO"/>
    <s v="BUSTAMANTE"/>
    <s v="GONZALEZ"/>
    <x v="4"/>
    <d v="1899-12-30T19:31:07"/>
    <s v="P20"/>
    <x v="0"/>
    <x v="160"/>
    <x v="160"/>
    <x v="4"/>
    <x v="2"/>
  </r>
  <r>
    <n v="13236100"/>
    <s v="MARCO ANTONIO"/>
    <s v="BUSTAMANTE"/>
    <s v="GONZALEZ"/>
    <x v="4"/>
    <d v="1899-12-30T08:53:39"/>
    <s v="P10"/>
    <x v="1"/>
    <x v="160"/>
    <x v="160"/>
    <x v="4"/>
    <x v="2"/>
  </r>
  <r>
    <n v="13284475"/>
    <s v="ESTEBAN"/>
    <s v="OSORIO"/>
    <s v="LUCERO"/>
    <x v="0"/>
    <d v="1899-12-30T15:15:41"/>
    <s v="P20"/>
    <x v="0"/>
    <x v="161"/>
    <x v="161"/>
    <x v="3"/>
    <x v="0"/>
  </r>
  <r>
    <n v="13284475"/>
    <s v="ESTEBAN"/>
    <s v="OSORIO"/>
    <s v="LUCERO"/>
    <x v="0"/>
    <d v="1899-12-30T07:11:50"/>
    <s v="P10"/>
    <x v="1"/>
    <x v="161"/>
    <x v="161"/>
    <x v="3"/>
    <x v="0"/>
  </r>
  <r>
    <n v="13284475"/>
    <s v="ESTEBAN"/>
    <s v="OSORIO"/>
    <s v="LUCERO"/>
    <x v="1"/>
    <d v="1899-12-30T15:13:57"/>
    <s v="P20"/>
    <x v="0"/>
    <x v="161"/>
    <x v="161"/>
    <x v="3"/>
    <x v="0"/>
  </r>
  <r>
    <n v="13284475"/>
    <s v="ESTEBAN"/>
    <s v="OSORIO"/>
    <s v="LUCERO"/>
    <x v="1"/>
    <d v="1899-12-30T07:03:18"/>
    <s v="P10"/>
    <x v="1"/>
    <x v="161"/>
    <x v="161"/>
    <x v="3"/>
    <x v="0"/>
  </r>
  <r>
    <n v="13284475"/>
    <s v="ESTEBAN"/>
    <s v="OSORIO"/>
    <s v="LUCERO"/>
    <x v="7"/>
    <d v="1899-12-30T23:57:22"/>
    <s v="P10"/>
    <x v="1"/>
    <x v="161"/>
    <x v="161"/>
    <x v="2"/>
    <x v="2"/>
  </r>
  <r>
    <n v="13284475"/>
    <s v="ESTEBAN"/>
    <s v="OSORIO"/>
    <s v="LUCERO"/>
    <x v="2"/>
    <d v="1899-12-30T15:19:47"/>
    <s v="P20"/>
    <x v="0"/>
    <x v="161"/>
    <x v="161"/>
    <x v="3"/>
    <x v="0"/>
  </r>
  <r>
    <n v="13284475"/>
    <s v="ESTEBAN"/>
    <s v="OSORIO"/>
    <s v="LUCERO"/>
    <x v="2"/>
    <d v="1899-12-30T07:05:23"/>
    <s v="P10"/>
    <x v="1"/>
    <x v="161"/>
    <x v="161"/>
    <x v="3"/>
    <x v="0"/>
  </r>
  <r>
    <n v="13284475"/>
    <s v="ESTEBAN"/>
    <s v="OSORIO"/>
    <s v="LUCERO"/>
    <x v="3"/>
    <d v="1899-12-30T15:07:12"/>
    <s v="P20"/>
    <x v="0"/>
    <x v="161"/>
    <x v="161"/>
    <x v="3"/>
    <x v="0"/>
  </r>
  <r>
    <n v="13284475"/>
    <s v="ESTEBAN"/>
    <s v="OSORIO"/>
    <s v="LUCERO"/>
    <x v="3"/>
    <d v="1899-12-30T07:17:34"/>
    <s v="P10"/>
    <x v="1"/>
    <x v="161"/>
    <x v="161"/>
    <x v="3"/>
    <x v="0"/>
  </r>
  <r>
    <n v="13284475"/>
    <s v="ESTEBAN"/>
    <s v="OSORIO"/>
    <s v="LUCERO"/>
    <x v="4"/>
    <d v="1899-12-30T15:13:01"/>
    <s v="P20"/>
    <x v="0"/>
    <x v="161"/>
    <x v="161"/>
    <x v="3"/>
    <x v="0"/>
  </r>
  <r>
    <n v="13284475"/>
    <s v="ESTEBAN"/>
    <s v="OSORIO"/>
    <s v="LUCERO"/>
    <x v="4"/>
    <d v="1899-12-30T07:27:14"/>
    <s v="P10"/>
    <x v="1"/>
    <x v="161"/>
    <x v="161"/>
    <x v="3"/>
    <x v="0"/>
  </r>
  <r>
    <n v="13284709"/>
    <s v="KATHERINE ANDREA"/>
    <s v="MUÑOZ"/>
    <s v="RAMIREZ"/>
    <x v="0"/>
    <d v="1899-12-30T14:20:12"/>
    <s v="P20"/>
    <x v="0"/>
    <x v="162"/>
    <x v="162"/>
    <x v="0"/>
    <x v="0"/>
  </r>
  <r>
    <n v="13284709"/>
    <s v="KATHERINE ANDREA"/>
    <s v="MUÑOZ"/>
    <s v="RAMIREZ"/>
    <x v="0"/>
    <d v="1899-12-30T07:23:02"/>
    <s v="P10"/>
    <x v="1"/>
    <x v="162"/>
    <x v="162"/>
    <x v="3"/>
    <x v="0"/>
  </r>
  <r>
    <n v="13284709"/>
    <s v="KATHERINE ANDREA"/>
    <s v="MUÑOZ"/>
    <s v="RAMIREZ"/>
    <x v="1"/>
    <d v="1899-12-30T15:21:19"/>
    <s v="P20"/>
    <x v="0"/>
    <x v="162"/>
    <x v="162"/>
    <x v="3"/>
    <x v="0"/>
  </r>
  <r>
    <n v="13284709"/>
    <s v="KATHERINE ANDREA"/>
    <s v="MUÑOZ"/>
    <s v="RAMIREZ"/>
    <x v="1"/>
    <d v="1899-12-30T07:19:39"/>
    <s v="P10"/>
    <x v="1"/>
    <x v="162"/>
    <x v="162"/>
    <x v="3"/>
    <x v="0"/>
  </r>
  <r>
    <n v="13284709"/>
    <s v="KATHERINE ANDREA"/>
    <s v="MUÑOZ"/>
    <s v="RAMIREZ"/>
    <x v="2"/>
    <d v="1899-12-30T15:20:19"/>
    <s v="P20"/>
    <x v="0"/>
    <x v="162"/>
    <x v="162"/>
    <x v="3"/>
    <x v="0"/>
  </r>
  <r>
    <n v="13284709"/>
    <s v="KATHERINE ANDREA"/>
    <s v="MUÑOZ"/>
    <s v="RAMIREZ"/>
    <x v="2"/>
    <d v="1899-12-30T07:21:30"/>
    <s v="P10"/>
    <x v="1"/>
    <x v="162"/>
    <x v="162"/>
    <x v="3"/>
    <x v="0"/>
  </r>
  <r>
    <n v="13284709"/>
    <s v="KATHERINE ANDREA"/>
    <s v="MUÑOZ"/>
    <s v="RAMIREZ"/>
    <x v="3"/>
    <d v="1899-12-30T15:21:01"/>
    <s v="P20"/>
    <x v="0"/>
    <x v="162"/>
    <x v="162"/>
    <x v="3"/>
    <x v="0"/>
  </r>
  <r>
    <n v="13284709"/>
    <s v="KATHERINE ANDREA"/>
    <s v="MUÑOZ"/>
    <s v="RAMIREZ"/>
    <x v="3"/>
    <d v="1899-12-30T07:11:22"/>
    <s v="P10"/>
    <x v="1"/>
    <x v="162"/>
    <x v="162"/>
    <x v="3"/>
    <x v="0"/>
  </r>
  <r>
    <n v="13284709"/>
    <s v="KATHERINE ANDREA"/>
    <s v="MUÑOZ"/>
    <s v="RAMIREZ"/>
    <x v="4"/>
    <d v="1899-12-30T15:22:03"/>
    <s v="P20"/>
    <x v="0"/>
    <x v="162"/>
    <x v="162"/>
    <x v="3"/>
    <x v="0"/>
  </r>
  <r>
    <n v="13284709"/>
    <s v="KATHERINE ANDREA"/>
    <s v="MUÑOZ"/>
    <s v="RAMIREZ"/>
    <x v="4"/>
    <d v="1899-12-30T07:14:04"/>
    <s v="P10"/>
    <x v="1"/>
    <x v="162"/>
    <x v="162"/>
    <x v="3"/>
    <x v="0"/>
  </r>
  <r>
    <n v="13295279"/>
    <s v="JUAN OSVALDO"/>
    <s v="TOLEDO"/>
    <s v="YEVENES"/>
    <x v="0"/>
    <d v="1899-12-30T15:17:59"/>
    <s v="P20"/>
    <x v="0"/>
    <x v="163"/>
    <x v="163"/>
    <x v="3"/>
    <x v="0"/>
  </r>
  <r>
    <n v="13295279"/>
    <s v="JUAN OSVALDO"/>
    <s v="TOLEDO"/>
    <s v="YEVENES"/>
    <x v="0"/>
    <d v="1899-12-30T07:07:12"/>
    <s v="P10"/>
    <x v="1"/>
    <x v="163"/>
    <x v="163"/>
    <x v="3"/>
    <x v="0"/>
  </r>
  <r>
    <n v="13295279"/>
    <s v="JUAN OSVALDO"/>
    <s v="TOLEDO"/>
    <s v="YEVENES"/>
    <x v="1"/>
    <d v="1899-12-30T15:23:49"/>
    <s v="P20"/>
    <x v="0"/>
    <x v="163"/>
    <x v="163"/>
    <x v="3"/>
    <x v="0"/>
  </r>
  <r>
    <n v="13295279"/>
    <s v="JUAN OSVALDO"/>
    <s v="TOLEDO"/>
    <s v="YEVENES"/>
    <x v="1"/>
    <d v="1899-12-30T06:58:00"/>
    <s v="P10"/>
    <x v="1"/>
    <x v="163"/>
    <x v="163"/>
    <x v="3"/>
    <x v="0"/>
  </r>
  <r>
    <n v="13295279"/>
    <s v="JUAN OSVALDO"/>
    <s v="TOLEDO"/>
    <s v="YEVENES"/>
    <x v="6"/>
    <d v="1899-12-30T23:27:52"/>
    <s v="P10"/>
    <x v="1"/>
    <x v="163"/>
    <x v="163"/>
    <x v="3"/>
    <x v="0"/>
  </r>
  <r>
    <n v="13295279"/>
    <s v="JUAN OSVALDO"/>
    <s v="TOLEDO"/>
    <s v="YEVENES"/>
    <x v="2"/>
    <d v="1899-12-30T08:10:54"/>
    <s v="P20"/>
    <x v="0"/>
    <x v="163"/>
    <x v="163"/>
    <x v="3"/>
    <x v="0"/>
  </r>
  <r>
    <n v="13295279"/>
    <s v="JUAN OSVALDO"/>
    <s v="TOLEDO"/>
    <s v="YEVENES"/>
    <x v="3"/>
    <d v="1899-12-30T15:21:25"/>
    <s v="P20"/>
    <x v="0"/>
    <x v="163"/>
    <x v="163"/>
    <x v="3"/>
    <x v="0"/>
  </r>
  <r>
    <n v="13295279"/>
    <s v="JUAN OSVALDO"/>
    <s v="TOLEDO"/>
    <s v="YEVENES"/>
    <x v="3"/>
    <d v="1899-12-30T07:16:01"/>
    <s v="P10"/>
    <x v="1"/>
    <x v="163"/>
    <x v="163"/>
    <x v="3"/>
    <x v="0"/>
  </r>
  <r>
    <n v="13295279"/>
    <s v="JUAN OSVALDO"/>
    <s v="TOLEDO"/>
    <s v="YEVENES"/>
    <x v="4"/>
    <d v="1899-12-30T15:21:31"/>
    <s v="P20"/>
    <x v="0"/>
    <x v="163"/>
    <x v="163"/>
    <x v="3"/>
    <x v="0"/>
  </r>
  <r>
    <n v="13295279"/>
    <s v="JUAN OSVALDO"/>
    <s v="TOLEDO"/>
    <s v="YEVENES"/>
    <x v="4"/>
    <d v="1899-12-30T07:17:11"/>
    <s v="P10"/>
    <x v="1"/>
    <x v="163"/>
    <x v="163"/>
    <x v="3"/>
    <x v="0"/>
  </r>
  <r>
    <n v="13297988"/>
    <s v="JORGE"/>
    <s v="POBLETE"/>
    <s v="RIVEROS"/>
    <x v="0"/>
    <d v="1899-12-30T07:48:13"/>
    <s v="P20"/>
    <x v="0"/>
    <x v="164"/>
    <x v="164"/>
    <x v="1"/>
    <x v="1"/>
  </r>
  <r>
    <n v="13297988"/>
    <s v="JORGE"/>
    <s v="POBLETE"/>
    <s v="RIVEROS"/>
    <x v="0"/>
    <d v="1899-12-30T22:03:24"/>
    <s v="P10"/>
    <x v="1"/>
    <x v="164"/>
    <x v="164"/>
    <x v="1"/>
    <x v="1"/>
  </r>
  <r>
    <n v="13297988"/>
    <s v="JORGE"/>
    <s v="POBLETE"/>
    <s v="RIVEROS"/>
    <x v="1"/>
    <d v="1899-12-30T07:38:50"/>
    <s v="P20"/>
    <x v="0"/>
    <x v="164"/>
    <x v="164"/>
    <x v="1"/>
    <x v="1"/>
  </r>
  <r>
    <n v="13297988"/>
    <s v="JORGE"/>
    <s v="POBLETE"/>
    <s v="RIVEROS"/>
    <x v="2"/>
    <d v="1899-12-30T22:03:43"/>
    <s v="P10"/>
    <x v="1"/>
    <x v="164"/>
    <x v="164"/>
    <x v="1"/>
    <x v="1"/>
  </r>
  <r>
    <n v="13297988"/>
    <s v="JORGE"/>
    <s v="POBLETE"/>
    <s v="RIVEROS"/>
    <x v="3"/>
    <d v="1899-12-30T07:46:36"/>
    <s v="P20"/>
    <x v="0"/>
    <x v="164"/>
    <x v="164"/>
    <x v="1"/>
    <x v="1"/>
  </r>
  <r>
    <n v="13297988"/>
    <s v="JORGE"/>
    <s v="POBLETE"/>
    <s v="RIVEROS"/>
    <x v="3"/>
    <d v="1899-12-30T22:03:55"/>
    <s v="P10"/>
    <x v="1"/>
    <x v="164"/>
    <x v="164"/>
    <x v="1"/>
    <x v="1"/>
  </r>
  <r>
    <n v="13297988"/>
    <s v="JORGE"/>
    <s v="POBLETE"/>
    <s v="RIVEROS"/>
    <x v="4"/>
    <d v="1899-12-30T07:46:36"/>
    <s v="P20"/>
    <x v="0"/>
    <x v="164"/>
    <x v="164"/>
    <x v="1"/>
    <x v="1"/>
  </r>
  <r>
    <n v="13297988"/>
    <s v="JORGE"/>
    <s v="POBLETE"/>
    <s v="RIVEROS"/>
    <x v="4"/>
    <d v="1899-12-30T22:02:53"/>
    <s v="P10"/>
    <x v="1"/>
    <x v="164"/>
    <x v="164"/>
    <x v="1"/>
    <x v="1"/>
  </r>
  <r>
    <n v="13486775"/>
    <s v="RICARDO"/>
    <s v="CHAVEZ"/>
    <s v="FARIÑA"/>
    <x v="5"/>
    <d v="1899-12-30T00:00:00"/>
    <m/>
    <x v="2"/>
    <x v="165"/>
    <x v="165"/>
    <x v="2"/>
    <x v="2"/>
  </r>
  <r>
    <n v="13486907"/>
    <s v="MIGUEL ANGEL"/>
    <s v="MALDONADO"/>
    <s v="DIAZ"/>
    <x v="0"/>
    <d v="1899-12-30T17:27:17"/>
    <s v="P20"/>
    <x v="0"/>
    <x v="166"/>
    <x v="166"/>
    <x v="4"/>
    <x v="2"/>
  </r>
  <r>
    <n v="13486907"/>
    <s v="MIGUEL ANGEL"/>
    <s v="MALDONADO"/>
    <s v="DIAZ"/>
    <x v="0"/>
    <d v="1899-12-30T07:06:24"/>
    <s v="P10"/>
    <x v="1"/>
    <x v="166"/>
    <x v="166"/>
    <x v="4"/>
    <x v="2"/>
  </r>
  <r>
    <n v="13486907"/>
    <s v="MIGUEL ANGEL"/>
    <s v="MALDONADO"/>
    <s v="DIAZ"/>
    <x v="1"/>
    <d v="1899-12-30T14:59:11"/>
    <s v="P20"/>
    <x v="0"/>
    <x v="166"/>
    <x v="166"/>
    <x v="4"/>
    <x v="2"/>
  </r>
  <r>
    <n v="13486907"/>
    <s v="MIGUEL ANGEL"/>
    <s v="MALDONADO"/>
    <s v="DIAZ"/>
    <x v="1"/>
    <d v="1899-12-30T06:57:48"/>
    <s v="P10"/>
    <x v="1"/>
    <x v="166"/>
    <x v="166"/>
    <x v="4"/>
    <x v="2"/>
  </r>
  <r>
    <n v="13486907"/>
    <s v="MIGUEL ANGEL"/>
    <s v="MALDONADO"/>
    <s v="DIAZ"/>
    <x v="2"/>
    <d v="1899-12-30T17:40:31"/>
    <s v="P20"/>
    <x v="0"/>
    <x v="166"/>
    <x v="166"/>
    <x v="4"/>
    <x v="2"/>
  </r>
  <r>
    <n v="13486907"/>
    <s v="MIGUEL ANGEL"/>
    <s v="MALDONADO"/>
    <s v="DIAZ"/>
    <x v="2"/>
    <d v="1899-12-30T06:59:44"/>
    <s v="P10"/>
    <x v="1"/>
    <x v="166"/>
    <x v="166"/>
    <x v="4"/>
    <x v="2"/>
  </r>
  <r>
    <n v="13486907"/>
    <s v="MIGUEL ANGEL"/>
    <s v="MALDONADO"/>
    <s v="DIAZ"/>
    <x v="3"/>
    <d v="1899-12-30T15:02:21"/>
    <s v="P20"/>
    <x v="0"/>
    <x v="166"/>
    <x v="166"/>
    <x v="4"/>
    <x v="2"/>
  </r>
  <r>
    <n v="13486907"/>
    <s v="MIGUEL ANGEL"/>
    <s v="MALDONADO"/>
    <s v="DIAZ"/>
    <x v="3"/>
    <d v="1899-12-30T06:52:17"/>
    <s v="P10"/>
    <x v="1"/>
    <x v="166"/>
    <x v="166"/>
    <x v="4"/>
    <x v="2"/>
  </r>
  <r>
    <n v="13486907"/>
    <s v="MIGUEL ANGEL"/>
    <s v="MALDONADO"/>
    <s v="DIAZ"/>
    <x v="4"/>
    <d v="1899-12-30T15:10:39"/>
    <s v="P20"/>
    <x v="0"/>
    <x v="166"/>
    <x v="166"/>
    <x v="4"/>
    <x v="2"/>
  </r>
  <r>
    <n v="13486907"/>
    <s v="MIGUEL ANGEL"/>
    <s v="MALDONADO"/>
    <s v="DIAZ"/>
    <x v="4"/>
    <d v="1899-12-30T06:52:25"/>
    <s v="P10"/>
    <x v="1"/>
    <x v="166"/>
    <x v="166"/>
    <x v="4"/>
    <x v="2"/>
  </r>
  <r>
    <n v="13552988"/>
    <s v="DAVID"/>
    <s v="MOYA"/>
    <s v="BEROIZA"/>
    <x v="0"/>
    <d v="1899-12-30T07:55:44"/>
    <s v="P20"/>
    <x v="0"/>
    <x v="167"/>
    <x v="167"/>
    <x v="1"/>
    <x v="1"/>
  </r>
  <r>
    <n v="13552988"/>
    <s v="DAVID"/>
    <s v="MOYA"/>
    <s v="BEROIZA"/>
    <x v="0"/>
    <d v="1899-12-30T22:02:39"/>
    <s v="P10"/>
    <x v="1"/>
    <x v="167"/>
    <x v="167"/>
    <x v="1"/>
    <x v="1"/>
  </r>
  <r>
    <n v="13552988"/>
    <s v="DAVID"/>
    <s v="MOYA"/>
    <s v="BEROIZA"/>
    <x v="1"/>
    <d v="1899-12-30T07:54:39"/>
    <s v="P20"/>
    <x v="0"/>
    <x v="167"/>
    <x v="167"/>
    <x v="1"/>
    <x v="1"/>
  </r>
  <r>
    <n v="13552988"/>
    <s v="DAVID"/>
    <s v="MOYA"/>
    <s v="BEROIZA"/>
    <x v="2"/>
    <d v="1899-12-30T15:23:10"/>
    <s v="P20"/>
    <x v="0"/>
    <x v="167"/>
    <x v="167"/>
    <x v="3"/>
    <x v="0"/>
  </r>
  <r>
    <n v="13552988"/>
    <s v="DAVID"/>
    <s v="MOYA"/>
    <s v="BEROIZA"/>
    <x v="2"/>
    <d v="1899-12-30T07:22:00"/>
    <s v="P10"/>
    <x v="1"/>
    <x v="167"/>
    <x v="167"/>
    <x v="3"/>
    <x v="0"/>
  </r>
  <r>
    <n v="13552988"/>
    <s v="DAVID"/>
    <s v="MOYA"/>
    <s v="BEROIZA"/>
    <x v="3"/>
    <d v="1899-12-30T15:21:07"/>
    <s v="P20"/>
    <x v="0"/>
    <x v="167"/>
    <x v="167"/>
    <x v="3"/>
    <x v="0"/>
  </r>
  <r>
    <n v="13552988"/>
    <s v="DAVID"/>
    <s v="MOYA"/>
    <s v="BEROIZA"/>
    <x v="3"/>
    <d v="1899-12-30T07:02:16"/>
    <s v="P10"/>
    <x v="1"/>
    <x v="167"/>
    <x v="167"/>
    <x v="3"/>
    <x v="0"/>
  </r>
  <r>
    <n v="13552988"/>
    <s v="DAVID"/>
    <s v="MOYA"/>
    <s v="BEROIZA"/>
    <x v="4"/>
    <d v="1899-12-30T08:06:09"/>
    <s v="P20"/>
    <x v="0"/>
    <x v="167"/>
    <x v="167"/>
    <x v="1"/>
    <x v="1"/>
  </r>
  <r>
    <n v="13552988"/>
    <s v="DAVID"/>
    <s v="MOYA"/>
    <s v="BEROIZA"/>
    <x v="4"/>
    <d v="1899-12-30T07:03:16"/>
    <s v="P10"/>
    <x v="1"/>
    <x v="167"/>
    <x v="167"/>
    <x v="3"/>
    <x v="0"/>
  </r>
  <r>
    <n v="13552988"/>
    <s v="DAVID"/>
    <s v="MOYA"/>
    <s v="BEROIZA"/>
    <x v="4"/>
    <d v="1899-12-30T22:01:34"/>
    <s v="P10"/>
    <x v="1"/>
    <x v="167"/>
    <x v="167"/>
    <x v="1"/>
    <x v="1"/>
  </r>
  <r>
    <n v="13553033"/>
    <s v="CLAUDIO"/>
    <s v="RETAMALES"/>
    <s v="SEPULVEDA"/>
    <x v="0"/>
    <d v="1899-12-30T17:09:54"/>
    <s v="P20"/>
    <x v="0"/>
    <x v="168"/>
    <x v="168"/>
    <x v="3"/>
    <x v="0"/>
  </r>
  <r>
    <n v="13553033"/>
    <s v="CLAUDIO"/>
    <s v="RETAMALES"/>
    <s v="SEPULVEDA"/>
    <x v="0"/>
    <d v="1899-12-30T07:22:58"/>
    <s v="P10"/>
    <x v="1"/>
    <x v="168"/>
    <x v="168"/>
    <x v="3"/>
    <x v="0"/>
  </r>
  <r>
    <n v="13553033"/>
    <s v="CLAUDIO"/>
    <s v="RETAMALES"/>
    <s v="SEPULVEDA"/>
    <x v="1"/>
    <d v="1899-12-30T18:13:18"/>
    <s v="P20"/>
    <x v="0"/>
    <x v="168"/>
    <x v="168"/>
    <x v="3"/>
    <x v="0"/>
  </r>
  <r>
    <n v="13553033"/>
    <s v="CLAUDIO"/>
    <s v="RETAMALES"/>
    <s v="SEPULVEDA"/>
    <x v="1"/>
    <d v="1899-12-30T07:41:12"/>
    <s v="P10"/>
    <x v="1"/>
    <x v="168"/>
    <x v="168"/>
    <x v="1"/>
    <x v="1"/>
  </r>
  <r>
    <n v="13553033"/>
    <s v="CLAUDIO"/>
    <s v="RETAMALES"/>
    <s v="SEPULVEDA"/>
    <x v="2"/>
    <d v="1899-12-30T17:30:58"/>
    <s v="P20"/>
    <x v="0"/>
    <x v="168"/>
    <x v="168"/>
    <x v="3"/>
    <x v="0"/>
  </r>
  <r>
    <n v="13553033"/>
    <s v="CLAUDIO"/>
    <s v="RETAMALES"/>
    <s v="SEPULVEDA"/>
    <x v="2"/>
    <d v="1899-12-30T07:18:37"/>
    <s v="P10"/>
    <x v="1"/>
    <x v="168"/>
    <x v="168"/>
    <x v="3"/>
    <x v="0"/>
  </r>
  <r>
    <n v="13553033"/>
    <s v="CLAUDIO"/>
    <s v="RETAMALES"/>
    <s v="SEPULVEDA"/>
    <x v="3"/>
    <d v="1899-12-30T17:24:27"/>
    <s v="P20"/>
    <x v="0"/>
    <x v="168"/>
    <x v="168"/>
    <x v="3"/>
    <x v="0"/>
  </r>
  <r>
    <n v="13553033"/>
    <s v="CLAUDIO"/>
    <s v="RETAMALES"/>
    <s v="SEPULVEDA"/>
    <x v="3"/>
    <d v="1899-12-30T07:10:58"/>
    <s v="P10"/>
    <x v="1"/>
    <x v="168"/>
    <x v="168"/>
    <x v="3"/>
    <x v="0"/>
  </r>
  <r>
    <n v="13553033"/>
    <s v="CLAUDIO"/>
    <s v="RETAMALES"/>
    <s v="SEPULVEDA"/>
    <x v="4"/>
    <d v="1899-12-30T19:51:33"/>
    <s v="P20"/>
    <x v="0"/>
    <x v="168"/>
    <x v="168"/>
    <x v="2"/>
    <x v="2"/>
  </r>
  <r>
    <n v="13553033"/>
    <s v="CLAUDIO"/>
    <s v="RETAMALES"/>
    <s v="SEPULVEDA"/>
    <x v="4"/>
    <d v="1899-12-30T07:07:25"/>
    <s v="P10"/>
    <x v="1"/>
    <x v="168"/>
    <x v="168"/>
    <x v="3"/>
    <x v="0"/>
  </r>
  <r>
    <n v="13557248"/>
    <s v="OSCAR MAURICIO"/>
    <s v="BERRIOS"/>
    <s v="LOPEZ"/>
    <x v="0"/>
    <d v="1899-12-30T15:19:17"/>
    <s v="P20"/>
    <x v="0"/>
    <x v="169"/>
    <x v="169"/>
    <x v="1"/>
    <x v="1"/>
  </r>
  <r>
    <n v="13557248"/>
    <s v="OSCAR MAURICIO"/>
    <s v="BERRIOS"/>
    <s v="LOPEZ"/>
    <x v="0"/>
    <d v="1899-12-30T07:33:42"/>
    <s v="P10"/>
    <x v="1"/>
    <x v="169"/>
    <x v="169"/>
    <x v="1"/>
    <x v="1"/>
  </r>
  <r>
    <n v="13557248"/>
    <s v="OSCAR MAURICIO"/>
    <s v="BERRIOS"/>
    <s v="LOPEZ"/>
    <x v="6"/>
    <d v="1899-12-30T23:55:40"/>
    <s v="P10"/>
    <x v="1"/>
    <x v="169"/>
    <x v="169"/>
    <x v="1"/>
    <x v="1"/>
  </r>
  <r>
    <n v="13557248"/>
    <s v="OSCAR MAURICIO"/>
    <s v="BERRIOS"/>
    <s v="LOPEZ"/>
    <x v="2"/>
    <d v="1899-12-30T07:49:14"/>
    <s v="P20"/>
    <x v="0"/>
    <x v="169"/>
    <x v="169"/>
    <x v="1"/>
    <x v="1"/>
  </r>
  <r>
    <n v="13557248"/>
    <s v="OSCAR MAURICIO"/>
    <s v="BERRIOS"/>
    <s v="LOPEZ"/>
    <x v="2"/>
    <d v="1899-12-30T21:57:04"/>
    <s v="P20"/>
    <x v="0"/>
    <x v="169"/>
    <x v="169"/>
    <x v="1"/>
    <x v="1"/>
  </r>
  <r>
    <n v="13557248"/>
    <s v="OSCAR MAURICIO"/>
    <s v="BERRIOS"/>
    <s v="LOPEZ"/>
    <x v="2"/>
    <d v="1899-12-30T14:57:10"/>
    <s v="P10"/>
    <x v="1"/>
    <x v="169"/>
    <x v="169"/>
    <x v="1"/>
    <x v="1"/>
  </r>
  <r>
    <n v="13557248"/>
    <s v="OSCAR MAURICIO"/>
    <s v="BERRIOS"/>
    <s v="LOPEZ"/>
    <x v="3"/>
    <d v="1899-12-30T22:28:19"/>
    <s v="P20"/>
    <x v="0"/>
    <x v="169"/>
    <x v="169"/>
    <x v="1"/>
    <x v="1"/>
  </r>
  <r>
    <n v="13557248"/>
    <s v="OSCAR MAURICIO"/>
    <s v="BERRIOS"/>
    <s v="LOPEZ"/>
    <x v="3"/>
    <d v="1899-12-30T15:00:20"/>
    <s v="P10"/>
    <x v="1"/>
    <x v="169"/>
    <x v="169"/>
    <x v="1"/>
    <x v="1"/>
  </r>
  <r>
    <n v="13557248"/>
    <s v="OSCAR MAURICIO"/>
    <s v="BERRIOS"/>
    <s v="LOPEZ"/>
    <x v="4"/>
    <d v="1899-12-30T15:11:56"/>
    <s v="P20"/>
    <x v="0"/>
    <x v="169"/>
    <x v="169"/>
    <x v="1"/>
    <x v="1"/>
  </r>
  <r>
    <n v="13557248"/>
    <s v="OSCAR MAURICIO"/>
    <s v="BERRIOS"/>
    <s v="LOPEZ"/>
    <x v="4"/>
    <d v="1899-12-30T07:33:33"/>
    <s v="P10"/>
    <x v="1"/>
    <x v="169"/>
    <x v="169"/>
    <x v="1"/>
    <x v="1"/>
  </r>
  <r>
    <n v="13638571"/>
    <s v="EDUARDO"/>
    <s v="SALINAS"/>
    <s v="MARIN"/>
    <x v="5"/>
    <d v="1899-12-30T00:00:00"/>
    <m/>
    <x v="2"/>
    <x v="170"/>
    <x v="170"/>
    <x v="2"/>
    <x v="2"/>
  </r>
  <r>
    <n v="13681026"/>
    <s v="JULIO HERNAN"/>
    <s v="OYANEDEL"/>
    <s v="COFRE"/>
    <x v="0"/>
    <d v="1899-12-30T22:28:55"/>
    <s v="P20"/>
    <x v="0"/>
    <x v="171"/>
    <x v="171"/>
    <x v="0"/>
    <x v="0"/>
  </r>
  <r>
    <n v="13681026"/>
    <s v="JULIO HERNAN"/>
    <s v="OYANEDEL"/>
    <s v="COFRE"/>
    <x v="0"/>
    <d v="1899-12-30T14:35:02"/>
    <s v="P10"/>
    <x v="1"/>
    <x v="171"/>
    <x v="171"/>
    <x v="0"/>
    <x v="0"/>
  </r>
  <r>
    <n v="13681026"/>
    <s v="JULIO HERNAN"/>
    <s v="OYANEDEL"/>
    <s v="COFRE"/>
    <x v="1"/>
    <d v="1899-12-30T21:21:44"/>
    <s v="P20"/>
    <x v="0"/>
    <x v="171"/>
    <x v="171"/>
    <x v="0"/>
    <x v="0"/>
  </r>
  <r>
    <n v="13681026"/>
    <s v="JULIO HERNAN"/>
    <s v="OYANEDEL"/>
    <s v="COFRE"/>
    <x v="1"/>
    <d v="1899-12-30T14:48:11"/>
    <s v="P10"/>
    <x v="1"/>
    <x v="171"/>
    <x v="171"/>
    <x v="0"/>
    <x v="0"/>
  </r>
  <r>
    <n v="13681026"/>
    <s v="JULIO HERNAN"/>
    <s v="OYANEDEL"/>
    <s v="COFRE"/>
    <x v="2"/>
    <d v="1899-12-30T22:27:22"/>
    <s v="P20"/>
    <x v="0"/>
    <x v="171"/>
    <x v="171"/>
    <x v="0"/>
    <x v="0"/>
  </r>
  <r>
    <n v="13681026"/>
    <s v="JULIO HERNAN"/>
    <s v="OYANEDEL"/>
    <s v="COFRE"/>
    <x v="2"/>
    <d v="1899-12-30T14:34:55"/>
    <s v="P10"/>
    <x v="1"/>
    <x v="171"/>
    <x v="171"/>
    <x v="0"/>
    <x v="0"/>
  </r>
  <r>
    <n v="13681026"/>
    <s v="JULIO HERNAN"/>
    <s v="OYANEDEL"/>
    <s v="COFRE"/>
    <x v="3"/>
    <d v="1899-12-30T22:29:04"/>
    <s v="P20"/>
    <x v="0"/>
    <x v="171"/>
    <x v="171"/>
    <x v="0"/>
    <x v="0"/>
  </r>
  <r>
    <n v="13681026"/>
    <s v="JULIO HERNAN"/>
    <s v="OYANEDEL"/>
    <s v="COFRE"/>
    <x v="3"/>
    <d v="1899-12-30T14:38:43"/>
    <s v="P10"/>
    <x v="1"/>
    <x v="171"/>
    <x v="171"/>
    <x v="0"/>
    <x v="0"/>
  </r>
  <r>
    <n v="13681026"/>
    <s v="JULIO HERNAN"/>
    <s v="OYANEDEL"/>
    <s v="COFRE"/>
    <x v="4"/>
    <d v="1899-12-30T22:30:08"/>
    <s v="P20"/>
    <x v="0"/>
    <x v="171"/>
    <x v="171"/>
    <x v="0"/>
    <x v="0"/>
  </r>
  <r>
    <n v="13681026"/>
    <s v="JULIO HERNAN"/>
    <s v="OYANEDEL"/>
    <s v="COFRE"/>
    <x v="4"/>
    <d v="1899-12-30T15:06:29"/>
    <s v="P10"/>
    <x v="1"/>
    <x v="171"/>
    <x v="171"/>
    <x v="0"/>
    <x v="0"/>
  </r>
  <r>
    <n v="13688839"/>
    <s v="NOLBERTO"/>
    <s v="VILLAFAÑA"/>
    <s v="IBAÑEZ"/>
    <x v="0"/>
    <d v="1899-12-30T22:47:09"/>
    <s v="P20"/>
    <x v="0"/>
    <x v="172"/>
    <x v="172"/>
    <x v="0"/>
    <x v="0"/>
  </r>
  <r>
    <n v="13688839"/>
    <s v="NOLBERTO"/>
    <s v="VILLAFAÑA"/>
    <s v="IBAÑEZ"/>
    <x v="0"/>
    <d v="1899-12-30T14:32:45"/>
    <s v="P10"/>
    <x v="1"/>
    <x v="172"/>
    <x v="172"/>
    <x v="0"/>
    <x v="0"/>
  </r>
  <r>
    <n v="13688839"/>
    <s v="NOLBERTO"/>
    <s v="VILLAFAÑA"/>
    <s v="IBAÑEZ"/>
    <x v="1"/>
    <d v="1899-12-30T22:46:22"/>
    <s v="P20"/>
    <x v="0"/>
    <x v="172"/>
    <x v="172"/>
    <x v="0"/>
    <x v="0"/>
  </r>
  <r>
    <n v="13688839"/>
    <s v="NOLBERTO"/>
    <s v="VILLAFAÑA"/>
    <s v="IBAÑEZ"/>
    <x v="1"/>
    <d v="1899-12-30T14:35:33"/>
    <s v="P10"/>
    <x v="1"/>
    <x v="172"/>
    <x v="172"/>
    <x v="0"/>
    <x v="0"/>
  </r>
  <r>
    <n v="13688839"/>
    <s v="NOLBERTO"/>
    <s v="VILLAFAÑA"/>
    <s v="IBAÑEZ"/>
    <x v="2"/>
    <d v="1899-12-30T22:49:49"/>
    <s v="P20"/>
    <x v="0"/>
    <x v="172"/>
    <x v="172"/>
    <x v="0"/>
    <x v="0"/>
  </r>
  <r>
    <n v="13688839"/>
    <s v="NOLBERTO"/>
    <s v="VILLAFAÑA"/>
    <s v="IBAÑEZ"/>
    <x v="2"/>
    <d v="1899-12-30T14:35:42"/>
    <s v="P10"/>
    <x v="1"/>
    <x v="172"/>
    <x v="172"/>
    <x v="0"/>
    <x v="0"/>
  </r>
  <r>
    <n v="13688839"/>
    <s v="NOLBERTO"/>
    <s v="VILLAFAÑA"/>
    <s v="IBAÑEZ"/>
    <x v="3"/>
    <d v="1899-12-30T22:46:08"/>
    <s v="P20"/>
    <x v="0"/>
    <x v="172"/>
    <x v="172"/>
    <x v="0"/>
    <x v="0"/>
  </r>
  <r>
    <n v="13688839"/>
    <s v="NOLBERTO"/>
    <s v="VILLAFAÑA"/>
    <s v="IBAÑEZ"/>
    <x v="3"/>
    <d v="1899-12-30T14:30:24"/>
    <s v="P10"/>
    <x v="1"/>
    <x v="172"/>
    <x v="172"/>
    <x v="0"/>
    <x v="0"/>
  </r>
  <r>
    <n v="13688839"/>
    <s v="NOLBERTO"/>
    <s v="VILLAFAÑA"/>
    <s v="IBAÑEZ"/>
    <x v="4"/>
    <d v="1899-12-30T22:43:30"/>
    <s v="P20"/>
    <x v="0"/>
    <x v="172"/>
    <x v="172"/>
    <x v="0"/>
    <x v="0"/>
  </r>
  <r>
    <n v="13688839"/>
    <s v="NOLBERTO"/>
    <s v="VILLAFAÑA"/>
    <s v="IBAÑEZ"/>
    <x v="4"/>
    <d v="1899-12-30T14:32:41"/>
    <s v="P10"/>
    <x v="1"/>
    <x v="172"/>
    <x v="172"/>
    <x v="0"/>
    <x v="0"/>
  </r>
  <r>
    <n v="13700526"/>
    <s v="PATRICIO"/>
    <s v="MORALES"/>
    <s v="NUÑEZ"/>
    <x v="0"/>
    <d v="1899-12-30T07:52:39"/>
    <s v="P20"/>
    <x v="0"/>
    <x v="173"/>
    <x v="173"/>
    <x v="1"/>
    <x v="1"/>
  </r>
  <r>
    <n v="13700526"/>
    <s v="PATRICIO"/>
    <s v="MORALES"/>
    <s v="NUÑEZ"/>
    <x v="0"/>
    <d v="1899-12-30T22:03:52"/>
    <s v="P10"/>
    <x v="1"/>
    <x v="173"/>
    <x v="173"/>
    <x v="1"/>
    <x v="1"/>
  </r>
  <r>
    <n v="13700526"/>
    <s v="PATRICIO"/>
    <s v="MORALES"/>
    <s v="NUÑEZ"/>
    <x v="1"/>
    <d v="1899-12-30T07:52:33"/>
    <s v="P20"/>
    <x v="0"/>
    <x v="173"/>
    <x v="173"/>
    <x v="1"/>
    <x v="1"/>
  </r>
  <r>
    <n v="13700526"/>
    <s v="PATRICIO"/>
    <s v="MORALES"/>
    <s v="NUÑEZ"/>
    <x v="2"/>
    <d v="1899-12-30T22:04:05"/>
    <s v="P10"/>
    <x v="1"/>
    <x v="173"/>
    <x v="173"/>
    <x v="1"/>
    <x v="1"/>
  </r>
  <r>
    <n v="13700526"/>
    <s v="PATRICIO"/>
    <s v="MORALES"/>
    <s v="NUÑEZ"/>
    <x v="3"/>
    <d v="1899-12-30T07:51:27"/>
    <s v="P20"/>
    <x v="0"/>
    <x v="173"/>
    <x v="173"/>
    <x v="1"/>
    <x v="1"/>
  </r>
  <r>
    <n v="13700526"/>
    <s v="PATRICIO"/>
    <s v="MORALES"/>
    <s v="NUÑEZ"/>
    <x v="3"/>
    <d v="1899-12-30T22:04:28"/>
    <s v="P10"/>
    <x v="1"/>
    <x v="173"/>
    <x v="173"/>
    <x v="1"/>
    <x v="1"/>
  </r>
  <r>
    <n v="13700526"/>
    <s v="PATRICIO"/>
    <s v="MORALES"/>
    <s v="NUÑEZ"/>
    <x v="4"/>
    <d v="1899-12-30T07:54:16"/>
    <s v="P20"/>
    <x v="0"/>
    <x v="173"/>
    <x v="173"/>
    <x v="1"/>
    <x v="1"/>
  </r>
  <r>
    <n v="13700526"/>
    <s v="PATRICIO"/>
    <s v="MORALES"/>
    <s v="NUÑEZ"/>
    <x v="4"/>
    <d v="1899-12-30T22:03:02"/>
    <s v="P10"/>
    <x v="1"/>
    <x v="173"/>
    <x v="173"/>
    <x v="1"/>
    <x v="1"/>
  </r>
  <r>
    <n v="13701209"/>
    <s v="MARCELINO JHONATTAN"/>
    <s v="SANCHEZ"/>
    <s v="TORRES"/>
    <x v="0"/>
    <d v="1899-12-30T15:16:01"/>
    <s v="P20"/>
    <x v="0"/>
    <x v="174"/>
    <x v="174"/>
    <x v="4"/>
    <x v="2"/>
  </r>
  <r>
    <n v="13701209"/>
    <s v="MARCELINO JHONATTAN"/>
    <s v="SANCHEZ"/>
    <s v="TORRES"/>
    <x v="0"/>
    <d v="1899-12-30T07:03:37"/>
    <s v="P10"/>
    <x v="1"/>
    <x v="174"/>
    <x v="174"/>
    <x v="4"/>
    <x v="2"/>
  </r>
  <r>
    <n v="13701209"/>
    <s v="MARCELINO JHONATTAN"/>
    <s v="SANCHEZ"/>
    <s v="TORRES"/>
    <x v="1"/>
    <d v="1899-12-30T15:18:02"/>
    <s v="P20"/>
    <x v="0"/>
    <x v="174"/>
    <x v="174"/>
    <x v="4"/>
    <x v="2"/>
  </r>
  <r>
    <n v="13701209"/>
    <s v="MARCELINO JHONATTAN"/>
    <s v="SANCHEZ"/>
    <s v="TORRES"/>
    <x v="1"/>
    <d v="1899-12-30T07:02:53"/>
    <s v="P10"/>
    <x v="1"/>
    <x v="174"/>
    <x v="174"/>
    <x v="4"/>
    <x v="2"/>
  </r>
  <r>
    <n v="13701209"/>
    <s v="MARCELINO JHONATTAN"/>
    <s v="SANCHEZ"/>
    <s v="TORRES"/>
    <x v="2"/>
    <d v="1899-12-30T17:35:47"/>
    <s v="P20"/>
    <x v="0"/>
    <x v="174"/>
    <x v="174"/>
    <x v="4"/>
    <x v="2"/>
  </r>
  <r>
    <n v="13701209"/>
    <s v="MARCELINO JHONATTAN"/>
    <s v="SANCHEZ"/>
    <s v="TORRES"/>
    <x v="2"/>
    <d v="1899-12-30T07:04:43"/>
    <s v="P10"/>
    <x v="1"/>
    <x v="174"/>
    <x v="174"/>
    <x v="4"/>
    <x v="2"/>
  </r>
  <r>
    <n v="13701209"/>
    <s v="MARCELINO JHONATTAN"/>
    <s v="SANCHEZ"/>
    <s v="TORRES"/>
    <x v="3"/>
    <d v="1899-12-30T16:31:16"/>
    <s v="P10"/>
    <x v="1"/>
    <x v="174"/>
    <x v="174"/>
    <x v="4"/>
    <x v="2"/>
  </r>
  <r>
    <n v="13701209"/>
    <s v="MARCELINO JHONATTAN"/>
    <s v="SANCHEZ"/>
    <s v="TORRES"/>
    <x v="4"/>
    <d v="1899-12-30T00:15:44"/>
    <s v="P20"/>
    <x v="0"/>
    <x v="174"/>
    <x v="174"/>
    <x v="4"/>
    <x v="2"/>
  </r>
  <r>
    <n v="13701209"/>
    <s v="MARCELINO JHONATTAN"/>
    <s v="SANCHEZ"/>
    <s v="TORRES"/>
    <x v="4"/>
    <d v="1899-12-30T15:17:16"/>
    <s v="P20"/>
    <x v="0"/>
    <x v="174"/>
    <x v="174"/>
    <x v="4"/>
    <x v="2"/>
  </r>
  <r>
    <n v="13701209"/>
    <s v="MARCELINO JHONATTAN"/>
    <s v="SANCHEZ"/>
    <s v="TORRES"/>
    <x v="4"/>
    <d v="1899-12-30T07:03:26"/>
    <s v="P10"/>
    <x v="1"/>
    <x v="174"/>
    <x v="174"/>
    <x v="4"/>
    <x v="2"/>
  </r>
  <r>
    <n v="13769935"/>
    <s v="GONZALO"/>
    <s v="LEDESMA"/>
    <s v="ARRIAGADA"/>
    <x v="0"/>
    <d v="1899-12-30T18:06:30"/>
    <s v="P20"/>
    <x v="0"/>
    <x v="175"/>
    <x v="175"/>
    <x v="3"/>
    <x v="0"/>
  </r>
  <r>
    <n v="13769935"/>
    <s v="GONZALO"/>
    <s v="LEDESMA"/>
    <s v="ARRIAGADA"/>
    <x v="2"/>
    <d v="1899-12-30T18:57:50"/>
    <s v="P20"/>
    <x v="0"/>
    <x v="175"/>
    <x v="175"/>
    <x v="3"/>
    <x v="0"/>
  </r>
  <r>
    <n v="13769935"/>
    <s v="GONZALO"/>
    <s v="LEDESMA"/>
    <s v="ARRIAGADA"/>
    <x v="2"/>
    <d v="1899-12-30T08:34:02"/>
    <s v="P10"/>
    <x v="1"/>
    <x v="175"/>
    <x v="175"/>
    <x v="2"/>
    <x v="2"/>
  </r>
  <r>
    <n v="13769935"/>
    <s v="GONZALO"/>
    <s v="LEDESMA"/>
    <s v="ARRIAGADA"/>
    <x v="3"/>
    <d v="1899-12-30T19:11:55"/>
    <s v="P20"/>
    <x v="0"/>
    <x v="175"/>
    <x v="175"/>
    <x v="3"/>
    <x v="0"/>
  </r>
  <r>
    <n v="13769935"/>
    <s v="GONZALO"/>
    <s v="LEDESMA"/>
    <s v="ARRIAGADA"/>
    <x v="3"/>
    <d v="1899-12-30T08:45:39"/>
    <s v="P10"/>
    <x v="1"/>
    <x v="175"/>
    <x v="175"/>
    <x v="2"/>
    <x v="2"/>
  </r>
  <r>
    <n v="13769935"/>
    <s v="GONZALO"/>
    <s v="LEDESMA"/>
    <s v="ARRIAGADA"/>
    <x v="4"/>
    <d v="1899-12-30T08:30:19"/>
    <s v="P10"/>
    <x v="1"/>
    <x v="175"/>
    <x v="175"/>
    <x v="2"/>
    <x v="2"/>
  </r>
  <r>
    <n v="13834251"/>
    <s v="MARIA ELIANA"/>
    <s v="MILLAN"/>
    <s v="HERRERA"/>
    <x v="5"/>
    <d v="1899-12-30T00:00:00"/>
    <m/>
    <x v="2"/>
    <x v="176"/>
    <x v="176"/>
    <x v="4"/>
    <x v="2"/>
  </r>
  <r>
    <n v="13835073"/>
    <s v="AMERICO"/>
    <s v="NORESE"/>
    <s v="GUAJARDO"/>
    <x v="0"/>
    <d v="1899-12-30T07:51:10"/>
    <s v="P20"/>
    <x v="0"/>
    <x v="177"/>
    <x v="177"/>
    <x v="1"/>
    <x v="1"/>
  </r>
  <r>
    <n v="13835073"/>
    <s v="AMERICO"/>
    <s v="NORESE"/>
    <s v="GUAJARDO"/>
    <x v="0"/>
    <d v="1899-12-30T22:16:41"/>
    <s v="P10"/>
    <x v="1"/>
    <x v="177"/>
    <x v="177"/>
    <x v="1"/>
    <x v="1"/>
  </r>
  <r>
    <n v="13835073"/>
    <s v="AMERICO"/>
    <s v="NORESE"/>
    <s v="GUAJARDO"/>
    <x v="1"/>
    <d v="1899-12-30T06:24:39"/>
    <s v="P20"/>
    <x v="0"/>
    <x v="177"/>
    <x v="177"/>
    <x v="3"/>
    <x v="0"/>
  </r>
  <r>
    <n v="13835073"/>
    <s v="AMERICO"/>
    <s v="NORESE"/>
    <s v="GUAJARDO"/>
    <x v="2"/>
    <d v="1899-12-30T22:01:25"/>
    <s v="P10"/>
    <x v="1"/>
    <x v="177"/>
    <x v="177"/>
    <x v="1"/>
    <x v="1"/>
  </r>
  <r>
    <n v="13835073"/>
    <s v="AMERICO"/>
    <s v="NORESE"/>
    <s v="GUAJARDO"/>
    <x v="3"/>
    <d v="1899-12-30T07:51:49"/>
    <s v="P20"/>
    <x v="0"/>
    <x v="177"/>
    <x v="177"/>
    <x v="1"/>
    <x v="1"/>
  </r>
  <r>
    <n v="13835073"/>
    <s v="AMERICO"/>
    <s v="NORESE"/>
    <s v="GUAJARDO"/>
    <x v="3"/>
    <d v="1899-12-30T22:03:35"/>
    <s v="P10"/>
    <x v="1"/>
    <x v="177"/>
    <x v="177"/>
    <x v="1"/>
    <x v="1"/>
  </r>
  <r>
    <n v="13835073"/>
    <s v="AMERICO"/>
    <s v="NORESE"/>
    <s v="GUAJARDO"/>
    <x v="4"/>
    <d v="1899-12-30T07:54:49"/>
    <s v="P20"/>
    <x v="0"/>
    <x v="177"/>
    <x v="177"/>
    <x v="1"/>
    <x v="1"/>
  </r>
  <r>
    <n v="13835073"/>
    <s v="AMERICO"/>
    <s v="NORESE"/>
    <s v="GUAJARDO"/>
    <x v="4"/>
    <d v="1899-12-30T22:17:41"/>
    <s v="P10"/>
    <x v="1"/>
    <x v="177"/>
    <x v="177"/>
    <x v="1"/>
    <x v="1"/>
  </r>
  <r>
    <n v="13835848"/>
    <s v="MARION RAQUEL"/>
    <s v="MARIN"/>
    <s v="MOSCOSO"/>
    <x v="0"/>
    <d v="1899-12-30T07:49:14"/>
    <s v="P20"/>
    <x v="0"/>
    <x v="178"/>
    <x v="178"/>
    <x v="1"/>
    <x v="1"/>
  </r>
  <r>
    <n v="13835848"/>
    <s v="MARION RAQUEL"/>
    <s v="MARIN"/>
    <s v="MOSCOSO"/>
    <x v="0"/>
    <d v="1899-12-30T21:59:24"/>
    <s v="P10"/>
    <x v="1"/>
    <x v="178"/>
    <x v="178"/>
    <x v="1"/>
    <x v="1"/>
  </r>
  <r>
    <n v="13835848"/>
    <s v="MARION RAQUEL"/>
    <s v="MARIN"/>
    <s v="MOSCOSO"/>
    <x v="1"/>
    <d v="1899-12-30T07:49:50"/>
    <s v="P20"/>
    <x v="0"/>
    <x v="178"/>
    <x v="178"/>
    <x v="1"/>
    <x v="1"/>
  </r>
  <r>
    <n v="13835848"/>
    <s v="MARION RAQUEL"/>
    <s v="MARIN"/>
    <s v="MOSCOSO"/>
    <x v="2"/>
    <d v="1899-12-30T22:00:53"/>
    <s v="P10"/>
    <x v="1"/>
    <x v="178"/>
    <x v="178"/>
    <x v="1"/>
    <x v="1"/>
  </r>
  <r>
    <n v="13835848"/>
    <s v="MARION RAQUEL"/>
    <s v="MARIN"/>
    <s v="MOSCOSO"/>
    <x v="3"/>
    <d v="1899-12-30T07:43:25"/>
    <s v="P20"/>
    <x v="0"/>
    <x v="178"/>
    <x v="178"/>
    <x v="1"/>
    <x v="1"/>
  </r>
  <r>
    <n v="13835848"/>
    <s v="MARION RAQUEL"/>
    <s v="MARIN"/>
    <s v="MOSCOSO"/>
    <x v="3"/>
    <d v="1899-12-30T22:02:38"/>
    <s v="P10"/>
    <x v="1"/>
    <x v="178"/>
    <x v="178"/>
    <x v="1"/>
    <x v="1"/>
  </r>
  <r>
    <n v="13835848"/>
    <s v="MARION RAQUEL"/>
    <s v="MARIN"/>
    <s v="MOSCOSO"/>
    <x v="4"/>
    <d v="1899-12-30T07:43:47"/>
    <s v="P20"/>
    <x v="0"/>
    <x v="178"/>
    <x v="178"/>
    <x v="1"/>
    <x v="1"/>
  </r>
  <r>
    <n v="13835848"/>
    <s v="MARION RAQUEL"/>
    <s v="MARIN"/>
    <s v="MOSCOSO"/>
    <x v="4"/>
    <d v="1899-12-30T22:10:13"/>
    <s v="P10"/>
    <x v="1"/>
    <x v="178"/>
    <x v="178"/>
    <x v="1"/>
    <x v="1"/>
  </r>
  <r>
    <n v="13835927"/>
    <s v="FELIPE"/>
    <s v="ZAVALA"/>
    <s v="ARAVENA"/>
    <x v="5"/>
    <d v="1899-12-30T00:00:00"/>
    <m/>
    <x v="2"/>
    <x v="179"/>
    <x v="179"/>
    <x v="2"/>
    <x v="2"/>
  </r>
  <r>
    <n v="13836182"/>
    <s v="JOSE LUIS"/>
    <s v="SEPULVEDA"/>
    <s v="ANTILEO"/>
    <x v="0"/>
    <d v="1899-12-30T15:24:10"/>
    <s v="P20"/>
    <x v="0"/>
    <x v="180"/>
    <x v="180"/>
    <x v="3"/>
    <x v="0"/>
  </r>
  <r>
    <n v="13836182"/>
    <s v="JOSE LUIS"/>
    <s v="SEPULVEDA"/>
    <s v="ANTILEO"/>
    <x v="0"/>
    <d v="1899-12-30T07:05:28"/>
    <s v="P10"/>
    <x v="1"/>
    <x v="180"/>
    <x v="180"/>
    <x v="3"/>
    <x v="0"/>
  </r>
  <r>
    <n v="13836182"/>
    <s v="JOSE LUIS"/>
    <s v="SEPULVEDA"/>
    <s v="ANTILEO"/>
    <x v="1"/>
    <d v="1899-12-30T15:24:22"/>
    <s v="P20"/>
    <x v="0"/>
    <x v="180"/>
    <x v="180"/>
    <x v="3"/>
    <x v="0"/>
  </r>
  <r>
    <n v="13836182"/>
    <s v="JOSE LUIS"/>
    <s v="SEPULVEDA"/>
    <s v="ANTILEO"/>
    <x v="1"/>
    <d v="1899-12-30T07:32:11"/>
    <s v="P10"/>
    <x v="1"/>
    <x v="180"/>
    <x v="180"/>
    <x v="1"/>
    <x v="1"/>
  </r>
  <r>
    <n v="13836182"/>
    <s v="JOSE LUIS"/>
    <s v="SEPULVEDA"/>
    <s v="ANTILEO"/>
    <x v="2"/>
    <d v="1899-12-30T15:21:12"/>
    <s v="P20"/>
    <x v="0"/>
    <x v="180"/>
    <x v="180"/>
    <x v="3"/>
    <x v="0"/>
  </r>
  <r>
    <n v="13836182"/>
    <s v="JOSE LUIS"/>
    <s v="SEPULVEDA"/>
    <s v="ANTILEO"/>
    <x v="2"/>
    <d v="1899-12-30T07:16:07"/>
    <s v="P10"/>
    <x v="1"/>
    <x v="180"/>
    <x v="180"/>
    <x v="3"/>
    <x v="0"/>
  </r>
  <r>
    <n v="13836182"/>
    <s v="JOSE LUIS"/>
    <s v="SEPULVEDA"/>
    <s v="ANTILEO"/>
    <x v="3"/>
    <d v="1899-12-30T15:15:54"/>
    <s v="P20"/>
    <x v="0"/>
    <x v="180"/>
    <x v="180"/>
    <x v="3"/>
    <x v="0"/>
  </r>
  <r>
    <n v="13836182"/>
    <s v="JOSE LUIS"/>
    <s v="SEPULVEDA"/>
    <s v="ANTILEO"/>
    <x v="3"/>
    <d v="1899-12-30T07:05:55"/>
    <s v="P10"/>
    <x v="1"/>
    <x v="180"/>
    <x v="180"/>
    <x v="3"/>
    <x v="0"/>
  </r>
  <r>
    <n v="13836182"/>
    <s v="JOSE LUIS"/>
    <s v="SEPULVEDA"/>
    <s v="ANTILEO"/>
    <x v="4"/>
    <d v="1899-12-30T15:24:15"/>
    <s v="P20"/>
    <x v="0"/>
    <x v="180"/>
    <x v="180"/>
    <x v="3"/>
    <x v="0"/>
  </r>
  <r>
    <n v="13836182"/>
    <s v="JOSE LUIS"/>
    <s v="SEPULVEDA"/>
    <s v="ANTILEO"/>
    <x v="4"/>
    <d v="1899-12-30T07:13:55"/>
    <s v="P10"/>
    <x v="1"/>
    <x v="180"/>
    <x v="180"/>
    <x v="3"/>
    <x v="0"/>
  </r>
  <r>
    <n v="13838747"/>
    <s v="MAURICIO"/>
    <s v="ALLENDES"/>
    <s v="VARGAS"/>
    <x v="0"/>
    <d v="1899-12-30T15:23:39"/>
    <s v="P20"/>
    <x v="0"/>
    <x v="181"/>
    <x v="181"/>
    <x v="3"/>
    <x v="0"/>
  </r>
  <r>
    <n v="13838747"/>
    <s v="MAURICIO"/>
    <s v="ALLENDES"/>
    <s v="VARGAS"/>
    <x v="0"/>
    <d v="1899-12-30T07:07:20"/>
    <s v="P10"/>
    <x v="1"/>
    <x v="181"/>
    <x v="181"/>
    <x v="3"/>
    <x v="0"/>
  </r>
  <r>
    <n v="13838747"/>
    <s v="MAURICIO"/>
    <s v="ALLENDES"/>
    <s v="VARGAS"/>
    <x v="1"/>
    <d v="1899-12-30T22:53:39"/>
    <s v="P20"/>
    <x v="0"/>
    <x v="181"/>
    <x v="181"/>
    <x v="0"/>
    <x v="0"/>
  </r>
  <r>
    <n v="13838747"/>
    <s v="MAURICIO"/>
    <s v="ALLENDES"/>
    <s v="VARGAS"/>
    <x v="1"/>
    <d v="1899-12-30T15:45:18"/>
    <s v="P10"/>
    <x v="1"/>
    <x v="181"/>
    <x v="181"/>
    <x v="3"/>
    <x v="0"/>
  </r>
  <r>
    <n v="13838747"/>
    <s v="MAURICIO"/>
    <s v="ALLENDES"/>
    <s v="VARGAS"/>
    <x v="2"/>
    <d v="1899-12-30T15:19:22"/>
    <s v="P20"/>
    <x v="0"/>
    <x v="181"/>
    <x v="181"/>
    <x v="3"/>
    <x v="0"/>
  </r>
  <r>
    <n v="13838747"/>
    <s v="MAURICIO"/>
    <s v="ALLENDES"/>
    <s v="VARGAS"/>
    <x v="2"/>
    <d v="1899-12-30T07:04:26"/>
    <s v="P10"/>
    <x v="1"/>
    <x v="181"/>
    <x v="181"/>
    <x v="3"/>
    <x v="0"/>
  </r>
  <r>
    <n v="13838747"/>
    <s v="MAURICIO"/>
    <s v="ALLENDES"/>
    <s v="VARGAS"/>
    <x v="3"/>
    <d v="1899-12-30T15:19:27"/>
    <s v="P20"/>
    <x v="0"/>
    <x v="181"/>
    <x v="181"/>
    <x v="3"/>
    <x v="0"/>
  </r>
  <r>
    <n v="13838747"/>
    <s v="MAURICIO"/>
    <s v="ALLENDES"/>
    <s v="VARGAS"/>
    <x v="3"/>
    <d v="1899-12-30T07:06:01"/>
    <s v="P10"/>
    <x v="1"/>
    <x v="181"/>
    <x v="181"/>
    <x v="3"/>
    <x v="0"/>
  </r>
  <r>
    <n v="13838747"/>
    <s v="MAURICIO"/>
    <s v="ALLENDES"/>
    <s v="VARGAS"/>
    <x v="4"/>
    <d v="1899-12-30T15:22:37"/>
    <s v="P20"/>
    <x v="0"/>
    <x v="181"/>
    <x v="181"/>
    <x v="3"/>
    <x v="0"/>
  </r>
  <r>
    <n v="13838747"/>
    <s v="MAURICIO"/>
    <s v="ALLENDES"/>
    <s v="VARGAS"/>
    <x v="4"/>
    <d v="1899-12-30T07:05:58"/>
    <s v="P10"/>
    <x v="1"/>
    <x v="181"/>
    <x v="181"/>
    <x v="3"/>
    <x v="0"/>
  </r>
  <r>
    <n v="13839512"/>
    <s v="EMILIO"/>
    <s v="URETA"/>
    <s v="PAREDES"/>
    <x v="5"/>
    <d v="1899-12-30T00:00:00"/>
    <m/>
    <x v="2"/>
    <x v="182"/>
    <x v="182"/>
    <x v="2"/>
    <x v="2"/>
  </r>
  <r>
    <n v="13897327"/>
    <s v="DANIEL NEFTALI"/>
    <s v="ITURRIAGA"/>
    <s v="ORELLANA"/>
    <x v="0"/>
    <d v="1899-12-30T07:43:28"/>
    <s v="P20"/>
    <x v="0"/>
    <x v="183"/>
    <x v="183"/>
    <x v="1"/>
    <x v="1"/>
  </r>
  <r>
    <n v="13897327"/>
    <s v="DANIEL NEFTALI"/>
    <s v="ITURRIAGA"/>
    <s v="ORELLANA"/>
    <x v="0"/>
    <d v="1899-12-30T19:46:01"/>
    <s v="P10"/>
    <x v="1"/>
    <x v="183"/>
    <x v="183"/>
    <x v="2"/>
    <x v="2"/>
  </r>
  <r>
    <n v="13897327"/>
    <s v="DANIEL NEFTALI"/>
    <s v="ITURRIAGA"/>
    <s v="ORELLANA"/>
    <x v="1"/>
    <d v="1899-12-30T07:47:26"/>
    <s v="P20"/>
    <x v="0"/>
    <x v="183"/>
    <x v="183"/>
    <x v="1"/>
    <x v="1"/>
  </r>
  <r>
    <n v="13897327"/>
    <s v="DANIEL NEFTALI"/>
    <s v="ITURRIAGA"/>
    <s v="ORELLANA"/>
    <x v="2"/>
    <d v="1899-12-30T19:30:46"/>
    <s v="P10"/>
    <x v="1"/>
    <x v="183"/>
    <x v="183"/>
    <x v="2"/>
    <x v="2"/>
  </r>
  <r>
    <n v="13897327"/>
    <s v="DANIEL NEFTALI"/>
    <s v="ITURRIAGA"/>
    <s v="ORELLANA"/>
    <x v="3"/>
    <d v="1899-12-30T07:34:08"/>
    <s v="P20"/>
    <x v="0"/>
    <x v="183"/>
    <x v="183"/>
    <x v="1"/>
    <x v="1"/>
  </r>
  <r>
    <n v="13897327"/>
    <s v="DANIEL NEFTALI"/>
    <s v="ITURRIAGA"/>
    <s v="ORELLANA"/>
    <x v="3"/>
    <d v="1899-12-30T19:20:29"/>
    <s v="P10"/>
    <x v="1"/>
    <x v="183"/>
    <x v="183"/>
    <x v="3"/>
    <x v="0"/>
  </r>
  <r>
    <n v="13897327"/>
    <s v="DANIEL NEFTALI"/>
    <s v="ITURRIAGA"/>
    <s v="ORELLANA"/>
    <x v="4"/>
    <d v="1899-12-30T07:34:12"/>
    <s v="P20"/>
    <x v="0"/>
    <x v="183"/>
    <x v="183"/>
    <x v="1"/>
    <x v="1"/>
  </r>
  <r>
    <n v="13897327"/>
    <s v="DANIEL NEFTALI"/>
    <s v="ITURRIAGA"/>
    <s v="ORELLANA"/>
    <x v="4"/>
    <d v="1899-12-30T19:37:59"/>
    <s v="P10"/>
    <x v="1"/>
    <x v="183"/>
    <x v="183"/>
    <x v="2"/>
    <x v="2"/>
  </r>
  <r>
    <n v="13899407"/>
    <s v="MAURICIO ANDRES"/>
    <s v="BUSTAMANTE"/>
    <s v="GONZALEZ"/>
    <x v="0"/>
    <d v="1899-12-30T15:05:15"/>
    <s v="P20"/>
    <x v="0"/>
    <x v="184"/>
    <x v="184"/>
    <x v="4"/>
    <x v="2"/>
  </r>
  <r>
    <n v="13899407"/>
    <s v="MAURICIO ANDRES"/>
    <s v="BUSTAMANTE"/>
    <s v="GONZALEZ"/>
    <x v="0"/>
    <d v="1899-12-30T07:30:01"/>
    <s v="P10"/>
    <x v="1"/>
    <x v="184"/>
    <x v="184"/>
    <x v="4"/>
    <x v="2"/>
  </r>
  <r>
    <n v="13899407"/>
    <s v="MAURICIO ANDRES"/>
    <s v="BUSTAMANTE"/>
    <s v="GONZALEZ"/>
    <x v="1"/>
    <d v="1899-12-30T15:23:01"/>
    <s v="P20"/>
    <x v="0"/>
    <x v="184"/>
    <x v="184"/>
    <x v="4"/>
    <x v="2"/>
  </r>
  <r>
    <n v="13899407"/>
    <s v="MAURICIO ANDRES"/>
    <s v="BUSTAMANTE"/>
    <s v="GONZALEZ"/>
    <x v="1"/>
    <d v="1899-12-30T07:32:49"/>
    <s v="P10"/>
    <x v="1"/>
    <x v="184"/>
    <x v="184"/>
    <x v="4"/>
    <x v="2"/>
  </r>
  <r>
    <n v="13899407"/>
    <s v="MAURICIO ANDRES"/>
    <s v="BUSTAMANTE"/>
    <s v="GONZALEZ"/>
    <x v="2"/>
    <d v="1899-12-30T15:02:16"/>
    <s v="P20"/>
    <x v="0"/>
    <x v="184"/>
    <x v="184"/>
    <x v="4"/>
    <x v="2"/>
  </r>
  <r>
    <n v="13899407"/>
    <s v="MAURICIO ANDRES"/>
    <s v="BUSTAMANTE"/>
    <s v="GONZALEZ"/>
    <x v="2"/>
    <d v="1899-12-30T07:33:28"/>
    <s v="P10"/>
    <x v="1"/>
    <x v="184"/>
    <x v="184"/>
    <x v="4"/>
    <x v="2"/>
  </r>
  <r>
    <n v="13899407"/>
    <s v="MAURICIO ANDRES"/>
    <s v="BUSTAMANTE"/>
    <s v="GONZALEZ"/>
    <x v="3"/>
    <d v="1899-12-30T15:05:44"/>
    <s v="P20"/>
    <x v="0"/>
    <x v="184"/>
    <x v="184"/>
    <x v="4"/>
    <x v="2"/>
  </r>
  <r>
    <n v="13899407"/>
    <s v="MAURICIO ANDRES"/>
    <s v="BUSTAMANTE"/>
    <s v="GONZALEZ"/>
    <x v="3"/>
    <d v="1899-12-30T07:45:36"/>
    <s v="P10"/>
    <x v="1"/>
    <x v="184"/>
    <x v="184"/>
    <x v="4"/>
    <x v="2"/>
  </r>
  <r>
    <n v="13899407"/>
    <s v="MAURICIO ANDRES"/>
    <s v="BUSTAMANTE"/>
    <s v="GONZALEZ"/>
    <x v="4"/>
    <d v="1899-12-30T15:15:08"/>
    <s v="P20"/>
    <x v="0"/>
    <x v="184"/>
    <x v="184"/>
    <x v="4"/>
    <x v="2"/>
  </r>
  <r>
    <n v="13899407"/>
    <s v="MAURICIO ANDRES"/>
    <s v="BUSTAMANTE"/>
    <s v="GONZALEZ"/>
    <x v="4"/>
    <d v="1899-12-30T07:40:34"/>
    <s v="P10"/>
    <x v="1"/>
    <x v="184"/>
    <x v="184"/>
    <x v="4"/>
    <x v="2"/>
  </r>
  <r>
    <n v="14005554"/>
    <s v="LUIS"/>
    <s v="MATURANA"/>
    <s v="SANDOVAL"/>
    <x v="0"/>
    <d v="1899-12-30T22:49:48"/>
    <s v="P20"/>
    <x v="0"/>
    <x v="185"/>
    <x v="185"/>
    <x v="0"/>
    <x v="0"/>
  </r>
  <r>
    <n v="14005554"/>
    <s v="LUIS"/>
    <s v="MATURANA"/>
    <s v="SANDOVAL"/>
    <x v="0"/>
    <d v="1899-12-30T14:36:12"/>
    <s v="P10"/>
    <x v="1"/>
    <x v="185"/>
    <x v="185"/>
    <x v="0"/>
    <x v="0"/>
  </r>
  <r>
    <n v="14005554"/>
    <s v="LUIS"/>
    <s v="MATURANA"/>
    <s v="SANDOVAL"/>
    <x v="1"/>
    <d v="1899-12-30T22:46:55"/>
    <s v="P20"/>
    <x v="0"/>
    <x v="185"/>
    <x v="185"/>
    <x v="0"/>
    <x v="0"/>
  </r>
  <r>
    <n v="14005554"/>
    <s v="LUIS"/>
    <s v="MATURANA"/>
    <s v="SANDOVAL"/>
    <x v="1"/>
    <d v="1899-12-30T15:06:58"/>
    <s v="P10"/>
    <x v="1"/>
    <x v="185"/>
    <x v="185"/>
    <x v="3"/>
    <x v="0"/>
  </r>
  <r>
    <n v="14005554"/>
    <s v="LUIS"/>
    <s v="MATURANA"/>
    <s v="SANDOVAL"/>
    <x v="2"/>
    <d v="1899-12-30T22:48:00"/>
    <s v="P20"/>
    <x v="0"/>
    <x v="185"/>
    <x v="185"/>
    <x v="0"/>
    <x v="0"/>
  </r>
  <r>
    <n v="14005554"/>
    <s v="LUIS"/>
    <s v="MATURANA"/>
    <s v="SANDOVAL"/>
    <x v="2"/>
    <d v="1899-12-30T14:32:38"/>
    <s v="P10"/>
    <x v="1"/>
    <x v="185"/>
    <x v="185"/>
    <x v="0"/>
    <x v="0"/>
  </r>
  <r>
    <n v="14005554"/>
    <s v="LUIS"/>
    <s v="MATURANA"/>
    <s v="SANDOVAL"/>
    <x v="3"/>
    <d v="1899-12-30T22:49:43"/>
    <s v="P20"/>
    <x v="0"/>
    <x v="185"/>
    <x v="185"/>
    <x v="0"/>
    <x v="0"/>
  </r>
  <r>
    <n v="14005554"/>
    <s v="LUIS"/>
    <s v="MATURANA"/>
    <s v="SANDOVAL"/>
    <x v="3"/>
    <d v="1899-12-30T14:49:54"/>
    <s v="P10"/>
    <x v="1"/>
    <x v="185"/>
    <x v="185"/>
    <x v="0"/>
    <x v="0"/>
  </r>
  <r>
    <n v="14005554"/>
    <s v="LUIS"/>
    <s v="MATURANA"/>
    <s v="SANDOVAL"/>
    <x v="4"/>
    <d v="1899-12-30T22:51:38"/>
    <s v="P20"/>
    <x v="0"/>
    <x v="185"/>
    <x v="185"/>
    <x v="0"/>
    <x v="0"/>
  </r>
  <r>
    <n v="14005554"/>
    <s v="LUIS"/>
    <s v="MATURANA"/>
    <s v="SANDOVAL"/>
    <x v="4"/>
    <d v="1899-12-30T14:43:51"/>
    <s v="P10"/>
    <x v="1"/>
    <x v="185"/>
    <x v="185"/>
    <x v="0"/>
    <x v="0"/>
  </r>
  <r>
    <n v="14005587"/>
    <s v="GERARDO ALBERTO"/>
    <s v="RODRIGUEZ"/>
    <s v="TORO"/>
    <x v="1"/>
    <d v="1899-12-30T22:54:18"/>
    <s v="P20"/>
    <x v="0"/>
    <x v="186"/>
    <x v="186"/>
    <x v="0"/>
    <x v="0"/>
  </r>
  <r>
    <n v="14005587"/>
    <s v="GERARDO ALBERTO"/>
    <s v="RODRIGUEZ"/>
    <s v="TORO"/>
    <x v="1"/>
    <d v="1899-12-30T14:37:02"/>
    <s v="P10"/>
    <x v="1"/>
    <x v="186"/>
    <x v="186"/>
    <x v="0"/>
    <x v="0"/>
  </r>
  <r>
    <n v="14005685"/>
    <s v="NICOLAS ORLANDO"/>
    <s v="NARVAI"/>
    <s v="ZUBICUETA"/>
    <x v="0"/>
    <d v="1899-12-30T15:01:30"/>
    <s v="P20"/>
    <x v="0"/>
    <x v="187"/>
    <x v="187"/>
    <x v="4"/>
    <x v="2"/>
  </r>
  <r>
    <n v="14005685"/>
    <s v="NICOLAS ORLANDO"/>
    <s v="NARVAI"/>
    <s v="ZUBICUETA"/>
    <x v="0"/>
    <d v="1899-12-30T07:15:24"/>
    <s v="P10"/>
    <x v="1"/>
    <x v="187"/>
    <x v="187"/>
    <x v="4"/>
    <x v="2"/>
  </r>
  <r>
    <n v="14005685"/>
    <s v="NICOLAS ORLANDO"/>
    <s v="NARVAI"/>
    <s v="ZUBICUETA"/>
    <x v="2"/>
    <d v="1899-12-30T15:05:33"/>
    <s v="P20"/>
    <x v="0"/>
    <x v="187"/>
    <x v="187"/>
    <x v="4"/>
    <x v="2"/>
  </r>
  <r>
    <n v="14005685"/>
    <s v="NICOLAS ORLANDO"/>
    <s v="NARVAI"/>
    <s v="ZUBICUETA"/>
    <x v="2"/>
    <d v="1899-12-30T07:15:18"/>
    <s v="P10"/>
    <x v="1"/>
    <x v="187"/>
    <x v="187"/>
    <x v="4"/>
    <x v="2"/>
  </r>
  <r>
    <n v="14005685"/>
    <s v="NICOLAS ORLANDO"/>
    <s v="NARVAI"/>
    <s v="ZUBICUETA"/>
    <x v="3"/>
    <d v="1899-12-30T15:07:02"/>
    <s v="P20"/>
    <x v="0"/>
    <x v="187"/>
    <x v="187"/>
    <x v="4"/>
    <x v="2"/>
  </r>
  <r>
    <n v="14005685"/>
    <s v="NICOLAS ORLANDO"/>
    <s v="NARVAI"/>
    <s v="ZUBICUETA"/>
    <x v="3"/>
    <d v="1899-12-30T07:24:29"/>
    <s v="P10"/>
    <x v="1"/>
    <x v="187"/>
    <x v="187"/>
    <x v="4"/>
    <x v="2"/>
  </r>
  <r>
    <n v="14005685"/>
    <s v="NICOLAS ORLANDO"/>
    <s v="NARVAI"/>
    <s v="ZUBICUETA"/>
    <x v="4"/>
    <d v="1899-12-30T15:07:32"/>
    <s v="P20"/>
    <x v="0"/>
    <x v="187"/>
    <x v="187"/>
    <x v="4"/>
    <x v="2"/>
  </r>
  <r>
    <n v="14005685"/>
    <s v="NICOLAS ORLANDO"/>
    <s v="NARVAI"/>
    <s v="ZUBICUETA"/>
    <x v="4"/>
    <d v="1899-12-30T07:21:35"/>
    <s v="P10"/>
    <x v="1"/>
    <x v="187"/>
    <x v="187"/>
    <x v="4"/>
    <x v="2"/>
  </r>
  <r>
    <n v="14017495"/>
    <s v="CARLOS EUGENIO"/>
    <s v="OYARCE"/>
    <s v="DIAZ"/>
    <x v="0"/>
    <d v="1899-12-30T16:15:32"/>
    <s v="P10"/>
    <x v="1"/>
    <x v="188"/>
    <x v="188"/>
    <x v="0"/>
    <x v="0"/>
  </r>
  <r>
    <n v="14017495"/>
    <s v="CARLOS EUGENIO"/>
    <s v="OYARCE"/>
    <s v="DIAZ"/>
    <x v="1"/>
    <d v="1899-12-30T00:00:30"/>
    <s v="P20"/>
    <x v="0"/>
    <x v="188"/>
    <x v="188"/>
    <x v="0"/>
    <x v="0"/>
  </r>
  <r>
    <n v="14017495"/>
    <s v="CARLOS EUGENIO"/>
    <s v="OYARCE"/>
    <s v="DIAZ"/>
    <x v="1"/>
    <d v="1899-12-30T21:58:23"/>
    <s v="P20"/>
    <x v="0"/>
    <x v="188"/>
    <x v="188"/>
    <x v="0"/>
    <x v="0"/>
  </r>
  <r>
    <n v="14017495"/>
    <s v="CARLOS EUGENIO"/>
    <s v="OYARCE"/>
    <s v="DIAZ"/>
    <x v="1"/>
    <d v="1899-12-30T14:54:48"/>
    <s v="P10"/>
    <x v="1"/>
    <x v="188"/>
    <x v="188"/>
    <x v="0"/>
    <x v="0"/>
  </r>
  <r>
    <n v="14017495"/>
    <s v="CARLOS EUGENIO"/>
    <s v="OYARCE"/>
    <s v="DIAZ"/>
    <x v="2"/>
    <d v="1899-12-30T23:12:34"/>
    <s v="P20"/>
    <x v="0"/>
    <x v="188"/>
    <x v="188"/>
    <x v="0"/>
    <x v="0"/>
  </r>
  <r>
    <n v="14017495"/>
    <s v="CARLOS EUGENIO"/>
    <s v="OYARCE"/>
    <s v="DIAZ"/>
    <x v="2"/>
    <d v="1899-12-30T14:58:42"/>
    <s v="P10"/>
    <x v="1"/>
    <x v="188"/>
    <x v="188"/>
    <x v="0"/>
    <x v="0"/>
  </r>
  <r>
    <n v="14017495"/>
    <s v="CARLOS EUGENIO"/>
    <s v="OYARCE"/>
    <s v="DIAZ"/>
    <x v="3"/>
    <d v="1899-12-30T14:46:50"/>
    <s v="P10"/>
    <x v="1"/>
    <x v="188"/>
    <x v="188"/>
    <x v="0"/>
    <x v="0"/>
  </r>
  <r>
    <n v="14017495"/>
    <s v="CARLOS EUGENIO"/>
    <s v="OYARCE"/>
    <s v="DIAZ"/>
    <x v="4"/>
    <d v="1899-12-30T00:15:05"/>
    <s v="P20"/>
    <x v="0"/>
    <x v="188"/>
    <x v="188"/>
    <x v="0"/>
    <x v="0"/>
  </r>
  <r>
    <n v="14017495"/>
    <s v="CARLOS EUGENIO"/>
    <s v="OYARCE"/>
    <s v="DIAZ"/>
    <x v="4"/>
    <d v="1899-12-30T23:31:49"/>
    <s v="P20"/>
    <x v="0"/>
    <x v="188"/>
    <x v="188"/>
    <x v="0"/>
    <x v="0"/>
  </r>
  <r>
    <n v="14017495"/>
    <s v="CARLOS EUGENIO"/>
    <s v="OYARCE"/>
    <s v="DIAZ"/>
    <x v="4"/>
    <d v="1899-12-30T14:55:05"/>
    <s v="P10"/>
    <x v="1"/>
    <x v="188"/>
    <x v="188"/>
    <x v="0"/>
    <x v="0"/>
  </r>
  <r>
    <n v="14095347"/>
    <s v="ANDRES NICOLAS"/>
    <s v="CAÑOLES"/>
    <s v="VERA"/>
    <x v="0"/>
    <d v="1899-12-30T20:07:44"/>
    <s v="P20"/>
    <x v="0"/>
    <x v="189"/>
    <x v="189"/>
    <x v="2"/>
    <x v="2"/>
  </r>
  <r>
    <n v="14095347"/>
    <s v="ANDRES NICOLAS"/>
    <s v="CAÑOLES"/>
    <s v="VERA"/>
    <x v="0"/>
    <d v="1899-12-30T07:59:29"/>
    <s v="P10"/>
    <x v="1"/>
    <x v="189"/>
    <x v="189"/>
    <x v="1"/>
    <x v="1"/>
  </r>
  <r>
    <n v="14095347"/>
    <s v="ANDRES NICOLAS"/>
    <s v="CAÑOLES"/>
    <s v="VERA"/>
    <x v="1"/>
    <d v="1899-12-30T15:19:52"/>
    <s v="P20"/>
    <x v="0"/>
    <x v="189"/>
    <x v="189"/>
    <x v="3"/>
    <x v="0"/>
  </r>
  <r>
    <n v="14095347"/>
    <s v="ANDRES NICOLAS"/>
    <s v="CAÑOLES"/>
    <s v="VERA"/>
    <x v="1"/>
    <d v="1899-12-30T07:33:25"/>
    <s v="P10"/>
    <x v="1"/>
    <x v="189"/>
    <x v="189"/>
    <x v="1"/>
    <x v="1"/>
  </r>
  <r>
    <n v="14095347"/>
    <s v="ANDRES NICOLAS"/>
    <s v="CAÑOLES"/>
    <s v="VERA"/>
    <x v="2"/>
    <d v="1899-12-30T22:50:16"/>
    <s v="P20"/>
    <x v="0"/>
    <x v="189"/>
    <x v="189"/>
    <x v="0"/>
    <x v="0"/>
  </r>
  <r>
    <n v="14095347"/>
    <s v="ANDRES NICOLAS"/>
    <s v="CAÑOLES"/>
    <s v="VERA"/>
    <x v="2"/>
    <d v="1899-12-30T14:32:08"/>
    <s v="P10"/>
    <x v="1"/>
    <x v="189"/>
    <x v="189"/>
    <x v="0"/>
    <x v="0"/>
  </r>
  <r>
    <n v="14095347"/>
    <s v="ANDRES NICOLAS"/>
    <s v="CAÑOLES"/>
    <s v="VERA"/>
    <x v="3"/>
    <d v="1899-12-30T19:49:24"/>
    <s v="P20"/>
    <x v="0"/>
    <x v="189"/>
    <x v="189"/>
    <x v="2"/>
    <x v="2"/>
  </r>
  <r>
    <n v="14095347"/>
    <s v="ANDRES NICOLAS"/>
    <s v="CAÑOLES"/>
    <s v="VERA"/>
    <x v="3"/>
    <d v="1899-12-30T07:07:49"/>
    <s v="P10"/>
    <x v="1"/>
    <x v="189"/>
    <x v="189"/>
    <x v="3"/>
    <x v="0"/>
  </r>
  <r>
    <n v="14095347"/>
    <s v="ANDRES NICOLAS"/>
    <s v="CAÑOLES"/>
    <s v="VERA"/>
    <x v="4"/>
    <d v="1899-12-30T19:55:52"/>
    <s v="P20"/>
    <x v="0"/>
    <x v="189"/>
    <x v="189"/>
    <x v="2"/>
    <x v="2"/>
  </r>
  <r>
    <n v="14095347"/>
    <s v="ANDRES NICOLAS"/>
    <s v="CAÑOLES"/>
    <s v="VERA"/>
    <x v="4"/>
    <d v="1899-12-30T07:27:11"/>
    <s v="P10"/>
    <x v="1"/>
    <x v="189"/>
    <x v="189"/>
    <x v="3"/>
    <x v="0"/>
  </r>
  <r>
    <n v="14151454"/>
    <s v="RODRIGO ESTEBAN"/>
    <s v="LOPEZ"/>
    <s v="CERVERA"/>
    <x v="5"/>
    <d v="1899-12-30T00:00:00"/>
    <m/>
    <x v="2"/>
    <x v="190"/>
    <x v="190"/>
    <x v="2"/>
    <x v="2"/>
  </r>
  <r>
    <n v="14181387"/>
    <s v="JORGE ANDRES"/>
    <s v="DEL RIO"/>
    <s v="TRONCOSO"/>
    <x v="0"/>
    <d v="1899-12-30T15:09:34"/>
    <s v="P20"/>
    <x v="0"/>
    <x v="191"/>
    <x v="191"/>
    <x v="4"/>
    <x v="2"/>
  </r>
  <r>
    <n v="14181387"/>
    <s v="JORGE ANDRES"/>
    <s v="DEL RIO"/>
    <s v="TRONCOSO"/>
    <x v="0"/>
    <d v="1899-12-30T07:07:36"/>
    <s v="P10"/>
    <x v="1"/>
    <x v="191"/>
    <x v="191"/>
    <x v="4"/>
    <x v="2"/>
  </r>
  <r>
    <n v="14181387"/>
    <s v="JORGE ANDRES"/>
    <s v="DEL RIO"/>
    <s v="TRONCOSO"/>
    <x v="1"/>
    <d v="1899-12-30T15:21:14"/>
    <s v="P20"/>
    <x v="0"/>
    <x v="191"/>
    <x v="191"/>
    <x v="4"/>
    <x v="2"/>
  </r>
  <r>
    <n v="14181387"/>
    <s v="JORGE ANDRES"/>
    <s v="DEL RIO"/>
    <s v="TRONCOSO"/>
    <x v="1"/>
    <d v="1899-12-30T06:57:52"/>
    <s v="P10"/>
    <x v="1"/>
    <x v="191"/>
    <x v="191"/>
    <x v="4"/>
    <x v="2"/>
  </r>
  <r>
    <n v="14181387"/>
    <s v="JORGE ANDRES"/>
    <s v="DEL RIO"/>
    <s v="TRONCOSO"/>
    <x v="2"/>
    <d v="1899-12-30T22:35:05"/>
    <s v="P20"/>
    <x v="0"/>
    <x v="191"/>
    <x v="191"/>
    <x v="4"/>
    <x v="2"/>
  </r>
  <r>
    <n v="14181387"/>
    <s v="JORGE ANDRES"/>
    <s v="DEL RIO"/>
    <s v="TRONCOSO"/>
    <x v="2"/>
    <d v="1899-12-30T14:35:09"/>
    <s v="P10"/>
    <x v="1"/>
    <x v="191"/>
    <x v="191"/>
    <x v="4"/>
    <x v="2"/>
  </r>
  <r>
    <n v="14181387"/>
    <s v="JORGE ANDRES"/>
    <s v="DEL RIO"/>
    <s v="TRONCOSO"/>
    <x v="3"/>
    <d v="1899-12-30T15:11:16"/>
    <s v="P20"/>
    <x v="0"/>
    <x v="191"/>
    <x v="191"/>
    <x v="4"/>
    <x v="2"/>
  </r>
  <r>
    <n v="14181387"/>
    <s v="JORGE ANDRES"/>
    <s v="DEL RIO"/>
    <s v="TRONCOSO"/>
    <x v="3"/>
    <d v="1899-12-30T06:58:59"/>
    <s v="P10"/>
    <x v="1"/>
    <x v="191"/>
    <x v="191"/>
    <x v="4"/>
    <x v="2"/>
  </r>
  <r>
    <n v="14181387"/>
    <s v="JORGE ANDRES"/>
    <s v="DEL RIO"/>
    <s v="TRONCOSO"/>
    <x v="4"/>
    <d v="1899-12-30T15:09:32"/>
    <s v="P20"/>
    <x v="0"/>
    <x v="191"/>
    <x v="191"/>
    <x v="4"/>
    <x v="2"/>
  </r>
  <r>
    <n v="14181387"/>
    <s v="JORGE ANDRES"/>
    <s v="DEL RIO"/>
    <s v="TRONCOSO"/>
    <x v="4"/>
    <d v="1899-12-30T07:06:07"/>
    <s v="P10"/>
    <x v="1"/>
    <x v="191"/>
    <x v="191"/>
    <x v="4"/>
    <x v="2"/>
  </r>
  <r>
    <n v="14182371"/>
    <s v="OSCAR EDUARDO"/>
    <s v="VERA"/>
    <s v="PALAVECINO"/>
    <x v="0"/>
    <d v="1899-12-30T07:49:09"/>
    <s v="P20"/>
    <x v="0"/>
    <x v="192"/>
    <x v="192"/>
    <x v="1"/>
    <x v="1"/>
  </r>
  <r>
    <n v="14182371"/>
    <s v="OSCAR EDUARDO"/>
    <s v="VERA"/>
    <s v="PALAVECINO"/>
    <x v="0"/>
    <d v="1899-12-30T22:04:40"/>
    <s v="P10"/>
    <x v="1"/>
    <x v="192"/>
    <x v="192"/>
    <x v="1"/>
    <x v="1"/>
  </r>
  <r>
    <n v="14182371"/>
    <s v="OSCAR EDUARDO"/>
    <s v="VERA"/>
    <s v="PALAVECINO"/>
    <x v="1"/>
    <d v="1899-12-30T07:51:19"/>
    <s v="P20"/>
    <x v="0"/>
    <x v="192"/>
    <x v="192"/>
    <x v="1"/>
    <x v="1"/>
  </r>
  <r>
    <n v="14182371"/>
    <s v="OSCAR EDUARDO"/>
    <s v="VERA"/>
    <s v="PALAVECINO"/>
    <x v="2"/>
    <d v="1899-12-30T22:01:17"/>
    <s v="P10"/>
    <x v="1"/>
    <x v="192"/>
    <x v="192"/>
    <x v="1"/>
    <x v="1"/>
  </r>
  <r>
    <n v="14182371"/>
    <s v="OSCAR EDUARDO"/>
    <s v="VERA"/>
    <s v="PALAVECINO"/>
    <x v="3"/>
    <d v="1899-12-30T07:47:12"/>
    <s v="P20"/>
    <x v="0"/>
    <x v="192"/>
    <x v="192"/>
    <x v="1"/>
    <x v="1"/>
  </r>
  <r>
    <n v="14182371"/>
    <s v="OSCAR EDUARDO"/>
    <s v="VERA"/>
    <s v="PALAVECINO"/>
    <x v="3"/>
    <d v="1899-12-30T22:04:00"/>
    <s v="P10"/>
    <x v="1"/>
    <x v="192"/>
    <x v="192"/>
    <x v="1"/>
    <x v="1"/>
  </r>
  <r>
    <n v="14182371"/>
    <s v="OSCAR EDUARDO"/>
    <s v="VERA"/>
    <s v="PALAVECINO"/>
    <x v="4"/>
    <d v="1899-12-30T07:53:46"/>
    <s v="P20"/>
    <x v="0"/>
    <x v="192"/>
    <x v="192"/>
    <x v="1"/>
    <x v="1"/>
  </r>
  <r>
    <n v="14182371"/>
    <s v="OSCAR EDUARDO"/>
    <s v="VERA"/>
    <s v="PALAVECINO"/>
    <x v="4"/>
    <d v="1899-12-30T22:01:00"/>
    <s v="P10"/>
    <x v="1"/>
    <x v="192"/>
    <x v="192"/>
    <x v="1"/>
    <x v="1"/>
  </r>
  <r>
    <n v="14185109"/>
    <s v="GUILLERMO ANTONIO"/>
    <s v="REYES"/>
    <s v="FUENZALIDA"/>
    <x v="0"/>
    <d v="1899-12-30T07:41:26"/>
    <s v="P20"/>
    <x v="0"/>
    <x v="193"/>
    <x v="193"/>
    <x v="1"/>
    <x v="1"/>
  </r>
  <r>
    <n v="14185109"/>
    <s v="GUILLERMO ANTONIO"/>
    <s v="REYES"/>
    <s v="FUENZALIDA"/>
    <x v="0"/>
    <d v="1899-12-30T22:13:56"/>
    <s v="P10"/>
    <x v="1"/>
    <x v="193"/>
    <x v="193"/>
    <x v="1"/>
    <x v="1"/>
  </r>
  <r>
    <n v="14185109"/>
    <s v="GUILLERMO ANTONIO"/>
    <s v="REYES"/>
    <s v="FUENZALIDA"/>
    <x v="1"/>
    <d v="1899-12-30T07:43:50"/>
    <s v="P20"/>
    <x v="0"/>
    <x v="193"/>
    <x v="193"/>
    <x v="1"/>
    <x v="1"/>
  </r>
  <r>
    <n v="14185109"/>
    <s v="GUILLERMO ANTONIO"/>
    <s v="REYES"/>
    <s v="FUENZALIDA"/>
    <x v="2"/>
    <d v="1899-12-30T22:11:03"/>
    <s v="P10"/>
    <x v="1"/>
    <x v="193"/>
    <x v="193"/>
    <x v="1"/>
    <x v="1"/>
  </r>
  <r>
    <n v="14185109"/>
    <s v="GUILLERMO ANTONIO"/>
    <s v="REYES"/>
    <s v="FUENZALIDA"/>
    <x v="3"/>
    <d v="1899-12-30T07:37:18"/>
    <s v="P20"/>
    <x v="0"/>
    <x v="193"/>
    <x v="193"/>
    <x v="1"/>
    <x v="1"/>
  </r>
  <r>
    <n v="14185109"/>
    <s v="GUILLERMO ANTONIO"/>
    <s v="REYES"/>
    <s v="FUENZALIDA"/>
    <x v="3"/>
    <d v="1899-12-30T22:11:56"/>
    <s v="P10"/>
    <x v="1"/>
    <x v="193"/>
    <x v="193"/>
    <x v="1"/>
    <x v="1"/>
  </r>
  <r>
    <n v="14185109"/>
    <s v="GUILLERMO ANTONIO"/>
    <s v="REYES"/>
    <s v="FUENZALIDA"/>
    <x v="4"/>
    <d v="1899-12-30T07:36:11"/>
    <s v="P20"/>
    <x v="0"/>
    <x v="193"/>
    <x v="193"/>
    <x v="1"/>
    <x v="1"/>
  </r>
  <r>
    <n v="14185109"/>
    <s v="GUILLERMO ANTONIO"/>
    <s v="REYES"/>
    <s v="FUENZALIDA"/>
    <x v="4"/>
    <d v="1899-12-30T22:11:06"/>
    <s v="P10"/>
    <x v="1"/>
    <x v="193"/>
    <x v="193"/>
    <x v="1"/>
    <x v="1"/>
  </r>
  <r>
    <n v="14193049"/>
    <s v="CESAR"/>
    <s v="TAPIA"/>
    <s v="IBARRA"/>
    <x v="0"/>
    <d v="1899-12-30T15:24:14"/>
    <s v="P20"/>
    <x v="0"/>
    <x v="194"/>
    <x v="194"/>
    <x v="3"/>
    <x v="0"/>
  </r>
  <r>
    <n v="14193049"/>
    <s v="CESAR"/>
    <s v="TAPIA"/>
    <s v="IBARRA"/>
    <x v="0"/>
    <d v="1899-12-30T07:22:52"/>
    <s v="P10"/>
    <x v="1"/>
    <x v="194"/>
    <x v="194"/>
    <x v="3"/>
    <x v="0"/>
  </r>
  <r>
    <n v="14193049"/>
    <s v="CESAR"/>
    <s v="TAPIA"/>
    <s v="IBARRA"/>
    <x v="1"/>
    <d v="1899-12-30T15:26:53"/>
    <s v="P20"/>
    <x v="0"/>
    <x v="194"/>
    <x v="194"/>
    <x v="3"/>
    <x v="0"/>
  </r>
  <r>
    <n v="14193049"/>
    <s v="CESAR"/>
    <s v="TAPIA"/>
    <s v="IBARRA"/>
    <x v="1"/>
    <d v="1899-12-30T07:20:12"/>
    <s v="P10"/>
    <x v="1"/>
    <x v="194"/>
    <x v="194"/>
    <x v="3"/>
    <x v="0"/>
  </r>
  <r>
    <n v="14193049"/>
    <s v="CESAR"/>
    <s v="TAPIA"/>
    <s v="IBARRA"/>
    <x v="2"/>
    <d v="1899-12-30T15:23:00"/>
    <s v="P20"/>
    <x v="0"/>
    <x v="194"/>
    <x v="194"/>
    <x v="3"/>
    <x v="0"/>
  </r>
  <r>
    <n v="14193049"/>
    <s v="CESAR"/>
    <s v="TAPIA"/>
    <s v="IBARRA"/>
    <x v="2"/>
    <d v="1899-12-30T07:20:44"/>
    <s v="P10"/>
    <x v="1"/>
    <x v="194"/>
    <x v="194"/>
    <x v="3"/>
    <x v="0"/>
  </r>
  <r>
    <n v="14193049"/>
    <s v="CESAR"/>
    <s v="TAPIA"/>
    <s v="IBARRA"/>
    <x v="3"/>
    <d v="1899-12-30T15:14:51"/>
    <s v="P20"/>
    <x v="0"/>
    <x v="194"/>
    <x v="194"/>
    <x v="3"/>
    <x v="0"/>
  </r>
  <r>
    <n v="14193049"/>
    <s v="CESAR"/>
    <s v="TAPIA"/>
    <s v="IBARRA"/>
    <x v="3"/>
    <d v="1899-12-30T07:25:29"/>
    <s v="P10"/>
    <x v="1"/>
    <x v="194"/>
    <x v="194"/>
    <x v="3"/>
    <x v="0"/>
  </r>
  <r>
    <n v="14193049"/>
    <s v="CESAR"/>
    <s v="TAPIA"/>
    <s v="IBARRA"/>
    <x v="4"/>
    <d v="1899-12-30T15:23:21"/>
    <s v="P20"/>
    <x v="0"/>
    <x v="194"/>
    <x v="194"/>
    <x v="3"/>
    <x v="0"/>
  </r>
  <r>
    <n v="14193049"/>
    <s v="CESAR"/>
    <s v="TAPIA"/>
    <s v="IBARRA"/>
    <x v="4"/>
    <d v="1899-12-30T07:00:53"/>
    <s v="P10"/>
    <x v="1"/>
    <x v="194"/>
    <x v="194"/>
    <x v="3"/>
    <x v="0"/>
  </r>
  <r>
    <n v="14277186"/>
    <s v="ALEJANDRO PATRICIO"/>
    <s v="SANHUEZA"/>
    <s v="SOTO"/>
    <x v="0"/>
    <d v="1899-12-30T07:44:53"/>
    <s v="P20"/>
    <x v="0"/>
    <x v="195"/>
    <x v="195"/>
    <x v="1"/>
    <x v="1"/>
  </r>
  <r>
    <n v="14277186"/>
    <s v="ALEJANDRO PATRICIO"/>
    <s v="SANHUEZA"/>
    <s v="SOTO"/>
    <x v="0"/>
    <d v="1899-12-30T22:04:48"/>
    <s v="P10"/>
    <x v="1"/>
    <x v="195"/>
    <x v="195"/>
    <x v="1"/>
    <x v="1"/>
  </r>
  <r>
    <n v="14277186"/>
    <s v="ALEJANDRO PATRICIO"/>
    <s v="SANHUEZA"/>
    <s v="SOTO"/>
    <x v="1"/>
    <d v="1899-12-30T07:44:38"/>
    <s v="P20"/>
    <x v="0"/>
    <x v="195"/>
    <x v="195"/>
    <x v="1"/>
    <x v="1"/>
  </r>
  <r>
    <n v="14277186"/>
    <s v="ALEJANDRO PATRICIO"/>
    <s v="SANHUEZA"/>
    <s v="SOTO"/>
    <x v="2"/>
    <d v="1899-12-30T22:01:29"/>
    <s v="P10"/>
    <x v="1"/>
    <x v="195"/>
    <x v="195"/>
    <x v="1"/>
    <x v="1"/>
  </r>
  <r>
    <n v="14277186"/>
    <s v="ALEJANDRO PATRICIO"/>
    <s v="SANHUEZA"/>
    <s v="SOTO"/>
    <x v="3"/>
    <d v="1899-12-30T07:41:02"/>
    <s v="P20"/>
    <x v="0"/>
    <x v="195"/>
    <x v="195"/>
    <x v="1"/>
    <x v="1"/>
  </r>
  <r>
    <n v="14277186"/>
    <s v="ALEJANDRO PATRICIO"/>
    <s v="SANHUEZA"/>
    <s v="SOTO"/>
    <x v="3"/>
    <d v="1899-12-30T22:04:04"/>
    <s v="P10"/>
    <x v="1"/>
    <x v="195"/>
    <x v="195"/>
    <x v="1"/>
    <x v="1"/>
  </r>
  <r>
    <n v="14277186"/>
    <s v="ALEJANDRO PATRICIO"/>
    <s v="SANHUEZA"/>
    <s v="SOTO"/>
    <x v="4"/>
    <d v="1899-12-30T07:46:26"/>
    <s v="P20"/>
    <x v="0"/>
    <x v="195"/>
    <x v="195"/>
    <x v="1"/>
    <x v="1"/>
  </r>
  <r>
    <n v="14277186"/>
    <s v="ALEJANDRO PATRICIO"/>
    <s v="SANHUEZA"/>
    <s v="SOTO"/>
    <x v="4"/>
    <d v="1899-12-30T22:12:34"/>
    <s v="P10"/>
    <x v="1"/>
    <x v="195"/>
    <x v="195"/>
    <x v="1"/>
    <x v="1"/>
  </r>
  <r>
    <n v="14307619"/>
    <s v="LUIS ROBERTO"/>
    <s v="BERRIOS"/>
    <s v="LOPEZ"/>
    <x v="0"/>
    <d v="1899-12-30T22:46:06"/>
    <s v="P20"/>
    <x v="0"/>
    <x v="196"/>
    <x v="196"/>
    <x v="0"/>
    <x v="0"/>
  </r>
  <r>
    <n v="14307619"/>
    <s v="LUIS ROBERTO"/>
    <s v="BERRIOS"/>
    <s v="LOPEZ"/>
    <x v="0"/>
    <d v="1899-12-30T14:44:27"/>
    <s v="P10"/>
    <x v="1"/>
    <x v="196"/>
    <x v="196"/>
    <x v="0"/>
    <x v="0"/>
  </r>
  <r>
    <n v="14307619"/>
    <s v="LUIS ROBERTO"/>
    <s v="BERRIOS"/>
    <s v="LOPEZ"/>
    <x v="2"/>
    <d v="1899-12-30T22:44:43"/>
    <s v="P20"/>
    <x v="0"/>
    <x v="196"/>
    <x v="196"/>
    <x v="0"/>
    <x v="0"/>
  </r>
  <r>
    <n v="14307619"/>
    <s v="LUIS ROBERTO"/>
    <s v="BERRIOS"/>
    <s v="LOPEZ"/>
    <x v="2"/>
    <d v="1899-12-30T14:42:39"/>
    <s v="P10"/>
    <x v="1"/>
    <x v="196"/>
    <x v="196"/>
    <x v="0"/>
    <x v="0"/>
  </r>
  <r>
    <n v="14307619"/>
    <s v="LUIS ROBERTO"/>
    <s v="BERRIOS"/>
    <s v="LOPEZ"/>
    <x v="3"/>
    <d v="1899-12-30T22:47:40"/>
    <s v="P20"/>
    <x v="0"/>
    <x v="196"/>
    <x v="196"/>
    <x v="0"/>
    <x v="0"/>
  </r>
  <r>
    <n v="14307619"/>
    <s v="LUIS ROBERTO"/>
    <s v="BERRIOS"/>
    <s v="LOPEZ"/>
    <x v="3"/>
    <d v="1899-12-30T14:47:17"/>
    <s v="P10"/>
    <x v="1"/>
    <x v="196"/>
    <x v="196"/>
    <x v="0"/>
    <x v="0"/>
  </r>
  <r>
    <n v="14307619"/>
    <s v="LUIS ROBERTO"/>
    <s v="BERRIOS"/>
    <s v="LOPEZ"/>
    <x v="4"/>
    <d v="1899-12-30T22:47:35"/>
    <s v="P20"/>
    <x v="0"/>
    <x v="196"/>
    <x v="196"/>
    <x v="0"/>
    <x v="0"/>
  </r>
  <r>
    <n v="14307619"/>
    <s v="LUIS ROBERTO"/>
    <s v="BERRIOS"/>
    <s v="LOPEZ"/>
    <x v="4"/>
    <d v="1899-12-30T14:34:18"/>
    <s v="P10"/>
    <x v="1"/>
    <x v="196"/>
    <x v="196"/>
    <x v="0"/>
    <x v="0"/>
  </r>
  <r>
    <n v="14336328"/>
    <s v="HECTOR MANUEL"/>
    <s v="DURAN"/>
    <s v="HENRIQUEZ"/>
    <x v="0"/>
    <d v="1899-12-30T17:02:08"/>
    <s v="P20"/>
    <x v="0"/>
    <x v="197"/>
    <x v="197"/>
    <x v="3"/>
    <x v="0"/>
  </r>
  <r>
    <n v="14336328"/>
    <s v="HECTOR MANUEL"/>
    <s v="DURAN"/>
    <s v="HENRIQUEZ"/>
    <x v="0"/>
    <d v="1899-12-30T07:06:19"/>
    <s v="P10"/>
    <x v="1"/>
    <x v="197"/>
    <x v="197"/>
    <x v="3"/>
    <x v="0"/>
  </r>
  <r>
    <n v="14336328"/>
    <s v="HECTOR MANUEL"/>
    <s v="DURAN"/>
    <s v="HENRIQUEZ"/>
    <x v="1"/>
    <d v="1899-12-30T17:12:57"/>
    <s v="P20"/>
    <x v="0"/>
    <x v="197"/>
    <x v="197"/>
    <x v="3"/>
    <x v="0"/>
  </r>
  <r>
    <n v="14336328"/>
    <s v="HECTOR MANUEL"/>
    <s v="DURAN"/>
    <s v="HENRIQUEZ"/>
    <x v="1"/>
    <d v="1899-12-30T07:04:16"/>
    <s v="P10"/>
    <x v="1"/>
    <x v="197"/>
    <x v="197"/>
    <x v="3"/>
    <x v="0"/>
  </r>
  <r>
    <n v="14336328"/>
    <s v="HECTOR MANUEL"/>
    <s v="DURAN"/>
    <s v="HENRIQUEZ"/>
    <x v="2"/>
    <d v="1899-12-30T17:29:24"/>
    <s v="P20"/>
    <x v="0"/>
    <x v="197"/>
    <x v="197"/>
    <x v="3"/>
    <x v="0"/>
  </r>
  <r>
    <n v="14336328"/>
    <s v="HECTOR MANUEL"/>
    <s v="DURAN"/>
    <s v="HENRIQUEZ"/>
    <x v="2"/>
    <d v="1899-12-30T07:04:06"/>
    <s v="P10"/>
    <x v="1"/>
    <x v="197"/>
    <x v="197"/>
    <x v="3"/>
    <x v="0"/>
  </r>
  <r>
    <n v="14336328"/>
    <s v="HECTOR MANUEL"/>
    <s v="DURAN"/>
    <s v="HENRIQUEZ"/>
    <x v="3"/>
    <d v="1899-12-30T17:15:47"/>
    <s v="P20"/>
    <x v="0"/>
    <x v="197"/>
    <x v="197"/>
    <x v="3"/>
    <x v="0"/>
  </r>
  <r>
    <n v="14336328"/>
    <s v="HECTOR MANUEL"/>
    <s v="DURAN"/>
    <s v="HENRIQUEZ"/>
    <x v="3"/>
    <d v="1899-12-30T07:04:24"/>
    <s v="P10"/>
    <x v="1"/>
    <x v="197"/>
    <x v="197"/>
    <x v="3"/>
    <x v="0"/>
  </r>
  <r>
    <n v="14336328"/>
    <s v="HECTOR MANUEL"/>
    <s v="DURAN"/>
    <s v="HENRIQUEZ"/>
    <x v="4"/>
    <d v="1899-12-30T17:26:04"/>
    <s v="P20"/>
    <x v="0"/>
    <x v="197"/>
    <x v="197"/>
    <x v="3"/>
    <x v="0"/>
  </r>
  <r>
    <n v="14336328"/>
    <s v="HECTOR MANUEL"/>
    <s v="DURAN"/>
    <s v="HENRIQUEZ"/>
    <x v="4"/>
    <d v="1899-12-30T07:05:11"/>
    <s v="P10"/>
    <x v="1"/>
    <x v="197"/>
    <x v="197"/>
    <x v="3"/>
    <x v="0"/>
  </r>
  <r>
    <n v="14336364"/>
    <s v="ARIEL A."/>
    <s v="HERRERA"/>
    <s v="PALMA"/>
    <x v="0"/>
    <d v="1899-12-30T07:17:34"/>
    <s v="P20"/>
    <x v="0"/>
    <x v="198"/>
    <x v="198"/>
    <x v="1"/>
    <x v="1"/>
  </r>
  <r>
    <n v="14336364"/>
    <s v="ARIEL A."/>
    <s v="HERRERA"/>
    <s v="PALMA"/>
    <x v="0"/>
    <d v="1899-12-30T22:12:59"/>
    <s v="P10"/>
    <x v="1"/>
    <x v="198"/>
    <x v="198"/>
    <x v="1"/>
    <x v="1"/>
  </r>
  <r>
    <n v="14336364"/>
    <s v="ARIEL A."/>
    <s v="HERRERA"/>
    <s v="PALMA"/>
    <x v="1"/>
    <d v="1899-12-30T07:35:35"/>
    <s v="P20"/>
    <x v="0"/>
    <x v="198"/>
    <x v="198"/>
    <x v="1"/>
    <x v="1"/>
  </r>
  <r>
    <n v="14336364"/>
    <s v="ARIEL A."/>
    <s v="HERRERA"/>
    <s v="PALMA"/>
    <x v="7"/>
    <d v="1899-12-30T23:46:55"/>
    <s v="P10"/>
    <x v="1"/>
    <x v="198"/>
    <x v="198"/>
    <x v="1"/>
    <x v="1"/>
  </r>
  <r>
    <n v="14336364"/>
    <s v="ARIEL A."/>
    <s v="HERRERA"/>
    <s v="PALMA"/>
    <x v="6"/>
    <d v="1899-12-30T23:42:32"/>
    <s v="P10"/>
    <x v="1"/>
    <x v="198"/>
    <x v="198"/>
    <x v="1"/>
    <x v="1"/>
  </r>
  <r>
    <n v="14336364"/>
    <s v="ARIEL A."/>
    <s v="HERRERA"/>
    <s v="PALMA"/>
    <x v="2"/>
    <d v="1899-12-30T07:49:07"/>
    <s v="P20"/>
    <x v="0"/>
    <x v="198"/>
    <x v="198"/>
    <x v="1"/>
    <x v="1"/>
  </r>
  <r>
    <n v="14336364"/>
    <s v="ARIEL A."/>
    <s v="HERRERA"/>
    <s v="PALMA"/>
    <x v="3"/>
    <d v="1899-12-30T18:24:33"/>
    <s v="P20"/>
    <x v="0"/>
    <x v="198"/>
    <x v="198"/>
    <x v="1"/>
    <x v="1"/>
  </r>
  <r>
    <n v="14336364"/>
    <s v="ARIEL A."/>
    <s v="HERRERA"/>
    <s v="PALMA"/>
    <x v="3"/>
    <d v="1899-12-30T08:18:18"/>
    <s v="P10"/>
    <x v="1"/>
    <x v="198"/>
    <x v="198"/>
    <x v="1"/>
    <x v="1"/>
  </r>
  <r>
    <n v="14336364"/>
    <s v="ARIEL A."/>
    <s v="HERRERA"/>
    <s v="PALMA"/>
    <x v="3"/>
    <d v="1899-12-30T22:14:41"/>
    <s v="P10"/>
    <x v="1"/>
    <x v="198"/>
    <x v="198"/>
    <x v="1"/>
    <x v="1"/>
  </r>
  <r>
    <n v="14336364"/>
    <s v="ARIEL A."/>
    <s v="HERRERA"/>
    <s v="PALMA"/>
    <x v="4"/>
    <d v="1899-12-30T07:16:05"/>
    <s v="P20"/>
    <x v="0"/>
    <x v="198"/>
    <x v="198"/>
    <x v="1"/>
    <x v="1"/>
  </r>
  <r>
    <n v="14336364"/>
    <s v="ARIEL A."/>
    <s v="HERRERA"/>
    <s v="PALMA"/>
    <x v="4"/>
    <d v="1899-12-30T22:14:00"/>
    <s v="P10"/>
    <x v="1"/>
    <x v="198"/>
    <x v="198"/>
    <x v="1"/>
    <x v="1"/>
  </r>
  <r>
    <n v="14383969"/>
    <s v="AMERICO ANDRES"/>
    <s v="RUBIO"/>
    <s v="GUZMAN"/>
    <x v="0"/>
    <d v="1899-12-30T07:48:38"/>
    <s v="P20"/>
    <x v="0"/>
    <x v="199"/>
    <x v="199"/>
    <x v="1"/>
    <x v="1"/>
  </r>
  <r>
    <n v="14383969"/>
    <s v="AMERICO ANDRES"/>
    <s v="RUBIO"/>
    <s v="GUZMAN"/>
    <x v="0"/>
    <d v="1899-12-30T22:03:37"/>
    <s v="P10"/>
    <x v="1"/>
    <x v="199"/>
    <x v="199"/>
    <x v="1"/>
    <x v="1"/>
  </r>
  <r>
    <n v="14383969"/>
    <s v="AMERICO ANDRES"/>
    <s v="RUBIO"/>
    <s v="GUZMAN"/>
    <x v="1"/>
    <d v="1899-12-30T07:47:14"/>
    <s v="P20"/>
    <x v="0"/>
    <x v="199"/>
    <x v="199"/>
    <x v="1"/>
    <x v="1"/>
  </r>
  <r>
    <n v="14383969"/>
    <s v="AMERICO ANDRES"/>
    <s v="RUBIO"/>
    <s v="GUZMAN"/>
    <x v="2"/>
    <d v="1899-12-30T22:03:40"/>
    <s v="P10"/>
    <x v="1"/>
    <x v="199"/>
    <x v="199"/>
    <x v="1"/>
    <x v="1"/>
  </r>
  <r>
    <n v="14383969"/>
    <s v="AMERICO ANDRES"/>
    <s v="RUBIO"/>
    <s v="GUZMAN"/>
    <x v="3"/>
    <d v="1899-12-30T07:40:19"/>
    <s v="P20"/>
    <x v="0"/>
    <x v="199"/>
    <x v="199"/>
    <x v="1"/>
    <x v="1"/>
  </r>
  <r>
    <n v="14383969"/>
    <s v="AMERICO ANDRES"/>
    <s v="RUBIO"/>
    <s v="GUZMAN"/>
    <x v="3"/>
    <d v="1899-12-30T22:03:43"/>
    <s v="P10"/>
    <x v="1"/>
    <x v="199"/>
    <x v="199"/>
    <x v="1"/>
    <x v="1"/>
  </r>
  <r>
    <n v="14383969"/>
    <s v="AMERICO ANDRES"/>
    <s v="RUBIO"/>
    <s v="GUZMAN"/>
    <x v="4"/>
    <d v="1899-12-30T07:46:52"/>
    <s v="P20"/>
    <x v="0"/>
    <x v="199"/>
    <x v="199"/>
    <x v="1"/>
    <x v="1"/>
  </r>
  <r>
    <n v="14383969"/>
    <s v="AMERICO ANDRES"/>
    <s v="RUBIO"/>
    <s v="GUZMAN"/>
    <x v="4"/>
    <d v="1899-12-30T22:02:31"/>
    <s v="P10"/>
    <x v="1"/>
    <x v="199"/>
    <x v="199"/>
    <x v="1"/>
    <x v="1"/>
  </r>
  <r>
    <n v="14595059"/>
    <s v="YESENIA DE LOURDES"/>
    <s v="DIAZ"/>
    <s v="GALVEZ"/>
    <x v="0"/>
    <d v="1899-12-30T07:47:21"/>
    <s v="P20"/>
    <x v="0"/>
    <x v="200"/>
    <x v="200"/>
    <x v="1"/>
    <x v="1"/>
  </r>
  <r>
    <n v="14595059"/>
    <s v="YESENIA DE LOURDES"/>
    <s v="DIAZ"/>
    <s v="GALVEZ"/>
    <x v="0"/>
    <d v="1899-12-30T22:03:28"/>
    <s v="P10"/>
    <x v="1"/>
    <x v="200"/>
    <x v="200"/>
    <x v="1"/>
    <x v="1"/>
  </r>
  <r>
    <n v="14595059"/>
    <s v="YESENIA DE LOURDES"/>
    <s v="DIAZ"/>
    <s v="GALVEZ"/>
    <x v="1"/>
    <d v="1899-12-30T07:47:00"/>
    <s v="P20"/>
    <x v="0"/>
    <x v="200"/>
    <x v="200"/>
    <x v="1"/>
    <x v="1"/>
  </r>
  <r>
    <n v="14595059"/>
    <s v="YESENIA DE LOURDES"/>
    <s v="DIAZ"/>
    <s v="GALVEZ"/>
    <x v="2"/>
    <d v="1899-12-30T22:03:11"/>
    <s v="P10"/>
    <x v="1"/>
    <x v="200"/>
    <x v="200"/>
    <x v="1"/>
    <x v="1"/>
  </r>
  <r>
    <n v="14595059"/>
    <s v="YESENIA DE LOURDES"/>
    <s v="DIAZ"/>
    <s v="GALVEZ"/>
    <x v="3"/>
    <d v="1899-12-30T07:46:28"/>
    <s v="P20"/>
    <x v="0"/>
    <x v="200"/>
    <x v="200"/>
    <x v="1"/>
    <x v="1"/>
  </r>
  <r>
    <n v="14595059"/>
    <s v="YESENIA DE LOURDES"/>
    <s v="DIAZ"/>
    <s v="GALVEZ"/>
    <x v="3"/>
    <d v="1899-12-30T22:03:18"/>
    <s v="P10"/>
    <x v="1"/>
    <x v="200"/>
    <x v="200"/>
    <x v="1"/>
    <x v="1"/>
  </r>
  <r>
    <n v="14595059"/>
    <s v="YESENIA DE LOURDES"/>
    <s v="DIAZ"/>
    <s v="GALVEZ"/>
    <x v="4"/>
    <d v="1899-12-30T07:45:42"/>
    <s v="P20"/>
    <x v="0"/>
    <x v="200"/>
    <x v="200"/>
    <x v="1"/>
    <x v="1"/>
  </r>
  <r>
    <n v="14595059"/>
    <s v="YESENIA DE LOURDES"/>
    <s v="DIAZ"/>
    <s v="GALVEZ"/>
    <x v="4"/>
    <d v="1899-12-30T22:02:23"/>
    <s v="P10"/>
    <x v="1"/>
    <x v="200"/>
    <x v="200"/>
    <x v="1"/>
    <x v="1"/>
  </r>
  <r>
    <n v="15102640"/>
    <s v="LUIS"/>
    <s v="MARDONES"/>
    <s v="ROJAS"/>
    <x v="0"/>
    <d v="1899-12-30T22:41:17"/>
    <s v="P20"/>
    <x v="0"/>
    <x v="201"/>
    <x v="201"/>
    <x v="0"/>
    <x v="0"/>
  </r>
  <r>
    <n v="15102640"/>
    <s v="LUIS"/>
    <s v="MARDONES"/>
    <s v="ROJAS"/>
    <x v="0"/>
    <d v="1899-12-30T14:56:01"/>
    <s v="P10"/>
    <x v="1"/>
    <x v="201"/>
    <x v="201"/>
    <x v="0"/>
    <x v="0"/>
  </r>
  <r>
    <n v="15102640"/>
    <s v="LUIS"/>
    <s v="MARDONES"/>
    <s v="ROJAS"/>
    <x v="1"/>
    <d v="1899-12-30T22:53:54"/>
    <s v="P20"/>
    <x v="0"/>
    <x v="201"/>
    <x v="201"/>
    <x v="0"/>
    <x v="0"/>
  </r>
  <r>
    <n v="15102640"/>
    <s v="LUIS"/>
    <s v="MARDONES"/>
    <s v="ROJAS"/>
    <x v="1"/>
    <d v="1899-12-30T14:54:03"/>
    <s v="P10"/>
    <x v="1"/>
    <x v="201"/>
    <x v="201"/>
    <x v="0"/>
    <x v="0"/>
  </r>
  <r>
    <n v="15102640"/>
    <s v="LUIS"/>
    <s v="MARDONES"/>
    <s v="ROJAS"/>
    <x v="2"/>
    <d v="1899-12-30T22:38:27"/>
    <s v="P20"/>
    <x v="0"/>
    <x v="201"/>
    <x v="201"/>
    <x v="0"/>
    <x v="0"/>
  </r>
  <r>
    <n v="15102640"/>
    <s v="LUIS"/>
    <s v="MARDONES"/>
    <s v="ROJAS"/>
    <x v="2"/>
    <d v="1899-12-30T14:49:45"/>
    <s v="P10"/>
    <x v="1"/>
    <x v="201"/>
    <x v="201"/>
    <x v="0"/>
    <x v="0"/>
  </r>
  <r>
    <n v="15102640"/>
    <s v="LUIS"/>
    <s v="MARDONES"/>
    <s v="ROJAS"/>
    <x v="3"/>
    <d v="1899-12-30T22:42:10"/>
    <s v="P20"/>
    <x v="0"/>
    <x v="201"/>
    <x v="201"/>
    <x v="0"/>
    <x v="0"/>
  </r>
  <r>
    <n v="15102640"/>
    <s v="LUIS"/>
    <s v="MARDONES"/>
    <s v="ROJAS"/>
    <x v="3"/>
    <d v="1899-12-30T14:43:02"/>
    <s v="P10"/>
    <x v="1"/>
    <x v="201"/>
    <x v="201"/>
    <x v="0"/>
    <x v="0"/>
  </r>
  <r>
    <n v="15102640"/>
    <s v="LUIS"/>
    <s v="MARDONES"/>
    <s v="ROJAS"/>
    <x v="4"/>
    <d v="1899-12-30T22:36:30"/>
    <s v="P20"/>
    <x v="0"/>
    <x v="201"/>
    <x v="201"/>
    <x v="0"/>
    <x v="0"/>
  </r>
  <r>
    <n v="15102640"/>
    <s v="LUIS"/>
    <s v="MARDONES"/>
    <s v="ROJAS"/>
    <x v="4"/>
    <d v="1899-12-30T14:45:36"/>
    <s v="P10"/>
    <x v="1"/>
    <x v="201"/>
    <x v="201"/>
    <x v="0"/>
    <x v="0"/>
  </r>
  <r>
    <n v="15327501"/>
    <s v="LEONARDO"/>
    <s v="VASQUEZ"/>
    <s v="MONTECINO"/>
    <x v="0"/>
    <d v="1899-12-30T22:49:31"/>
    <s v="P20"/>
    <x v="0"/>
    <x v="202"/>
    <x v="202"/>
    <x v="0"/>
    <x v="0"/>
  </r>
  <r>
    <n v="15327501"/>
    <s v="LEONARDO"/>
    <s v="VASQUEZ"/>
    <s v="MONTECINO"/>
    <x v="0"/>
    <d v="1899-12-30T14:36:30"/>
    <s v="P10"/>
    <x v="1"/>
    <x v="202"/>
    <x v="202"/>
    <x v="0"/>
    <x v="0"/>
  </r>
  <r>
    <n v="15327501"/>
    <s v="LEONARDO"/>
    <s v="VASQUEZ"/>
    <s v="MONTECINO"/>
    <x v="1"/>
    <d v="1899-12-30T22:51:37"/>
    <s v="P20"/>
    <x v="0"/>
    <x v="202"/>
    <x v="202"/>
    <x v="0"/>
    <x v="0"/>
  </r>
  <r>
    <n v="15327501"/>
    <s v="LEONARDO"/>
    <s v="VASQUEZ"/>
    <s v="MONTECINO"/>
    <x v="1"/>
    <d v="1899-12-30T14:41:41"/>
    <s v="P10"/>
    <x v="1"/>
    <x v="202"/>
    <x v="202"/>
    <x v="0"/>
    <x v="0"/>
  </r>
  <r>
    <n v="15327501"/>
    <s v="LEONARDO"/>
    <s v="VASQUEZ"/>
    <s v="MONTECINO"/>
    <x v="2"/>
    <d v="1899-12-30T22:46:12"/>
    <s v="P20"/>
    <x v="0"/>
    <x v="202"/>
    <x v="202"/>
    <x v="0"/>
    <x v="0"/>
  </r>
  <r>
    <n v="15327501"/>
    <s v="LEONARDO"/>
    <s v="VASQUEZ"/>
    <s v="MONTECINO"/>
    <x v="2"/>
    <d v="1899-12-30T14:32:25"/>
    <s v="P10"/>
    <x v="1"/>
    <x v="202"/>
    <x v="202"/>
    <x v="0"/>
    <x v="0"/>
  </r>
  <r>
    <n v="15327501"/>
    <s v="LEONARDO"/>
    <s v="VASQUEZ"/>
    <s v="MONTECINO"/>
    <x v="3"/>
    <d v="1899-12-30T22:45:26"/>
    <s v="P20"/>
    <x v="0"/>
    <x v="202"/>
    <x v="202"/>
    <x v="0"/>
    <x v="0"/>
  </r>
  <r>
    <n v="15327501"/>
    <s v="LEONARDO"/>
    <s v="VASQUEZ"/>
    <s v="MONTECINO"/>
    <x v="3"/>
    <d v="1899-12-30T14:33:37"/>
    <s v="P10"/>
    <x v="1"/>
    <x v="202"/>
    <x v="202"/>
    <x v="0"/>
    <x v="0"/>
  </r>
  <r>
    <n v="15327501"/>
    <s v="LEONARDO"/>
    <s v="VASQUEZ"/>
    <s v="MONTECINO"/>
    <x v="4"/>
    <d v="1899-12-30T22:49:05"/>
    <s v="P20"/>
    <x v="0"/>
    <x v="202"/>
    <x v="202"/>
    <x v="0"/>
    <x v="0"/>
  </r>
  <r>
    <n v="15327501"/>
    <s v="LEONARDO"/>
    <s v="VASQUEZ"/>
    <s v="MONTECINO"/>
    <x v="4"/>
    <d v="1899-12-30T14:29:40"/>
    <s v="P10"/>
    <x v="1"/>
    <x v="202"/>
    <x v="202"/>
    <x v="0"/>
    <x v="0"/>
  </r>
  <r>
    <n v="15391242"/>
    <s v="JUAN HUMBERTO"/>
    <s v="GUERRERO"/>
    <s v="MALIO"/>
    <x v="5"/>
    <d v="1899-12-30T00:00:00"/>
    <m/>
    <x v="2"/>
    <x v="203"/>
    <x v="203"/>
    <x v="2"/>
    <x v="2"/>
  </r>
  <r>
    <n v="15391242"/>
    <s v="JUAN HUMBERTO"/>
    <s v="GUERRERO"/>
    <s v="MALIO"/>
    <x v="2"/>
    <d v="1899-12-30T15:04:02"/>
    <s v="P20"/>
    <x v="0"/>
    <x v="203"/>
    <x v="203"/>
    <x v="3"/>
    <x v="0"/>
  </r>
  <r>
    <n v="15391242"/>
    <s v="JUAN HUMBERTO"/>
    <s v="GUERRERO"/>
    <s v="MALIO"/>
    <x v="2"/>
    <d v="1899-12-30T06:56:12"/>
    <s v="P10"/>
    <x v="1"/>
    <x v="203"/>
    <x v="203"/>
    <x v="3"/>
    <x v="0"/>
  </r>
  <r>
    <n v="15391242"/>
    <s v="JUAN HUMBERTO"/>
    <s v="GUERRERO"/>
    <s v="MALIO"/>
    <x v="3"/>
    <d v="1899-12-30T15:03:15"/>
    <s v="P20"/>
    <x v="0"/>
    <x v="203"/>
    <x v="203"/>
    <x v="3"/>
    <x v="0"/>
  </r>
  <r>
    <n v="15391242"/>
    <s v="JUAN HUMBERTO"/>
    <s v="GUERRERO"/>
    <s v="MALIO"/>
    <x v="3"/>
    <d v="1899-12-30T07:20:59"/>
    <s v="P10"/>
    <x v="1"/>
    <x v="203"/>
    <x v="203"/>
    <x v="3"/>
    <x v="0"/>
  </r>
  <r>
    <n v="15391242"/>
    <s v="JUAN HUMBERTO"/>
    <s v="GUERRERO"/>
    <s v="MALIO"/>
    <x v="4"/>
    <d v="1899-12-30T07:34:25"/>
    <s v="P10"/>
    <x v="1"/>
    <x v="203"/>
    <x v="203"/>
    <x v="1"/>
    <x v="1"/>
  </r>
  <r>
    <n v="15436097"/>
    <s v="LUIS"/>
    <s v="VALENZUELA"/>
    <s v="DIAZ"/>
    <x v="0"/>
    <d v="1899-12-30T07:55:51"/>
    <s v="P20"/>
    <x v="0"/>
    <x v="204"/>
    <x v="204"/>
    <x v="1"/>
    <x v="1"/>
  </r>
  <r>
    <n v="15436097"/>
    <s v="LUIS"/>
    <s v="VALENZUELA"/>
    <s v="DIAZ"/>
    <x v="0"/>
    <d v="1899-12-30T22:05:35"/>
    <s v="P10"/>
    <x v="1"/>
    <x v="204"/>
    <x v="204"/>
    <x v="1"/>
    <x v="1"/>
  </r>
  <r>
    <n v="15436097"/>
    <s v="LUIS"/>
    <s v="VALENZUELA"/>
    <s v="DIAZ"/>
    <x v="1"/>
    <d v="1899-12-30T07:53:58"/>
    <s v="P20"/>
    <x v="0"/>
    <x v="204"/>
    <x v="204"/>
    <x v="1"/>
    <x v="1"/>
  </r>
  <r>
    <n v="15436097"/>
    <s v="LUIS"/>
    <s v="VALENZUELA"/>
    <s v="DIAZ"/>
    <x v="2"/>
    <d v="1899-12-30T22:00:57"/>
    <s v="P10"/>
    <x v="1"/>
    <x v="204"/>
    <x v="204"/>
    <x v="1"/>
    <x v="1"/>
  </r>
  <r>
    <n v="15436097"/>
    <s v="LUIS"/>
    <s v="VALENZUELA"/>
    <s v="DIAZ"/>
    <x v="3"/>
    <d v="1899-12-30T08:05:07"/>
    <s v="P20"/>
    <x v="0"/>
    <x v="204"/>
    <x v="204"/>
    <x v="1"/>
    <x v="1"/>
  </r>
  <r>
    <n v="15436097"/>
    <s v="LUIS"/>
    <s v="VALENZUELA"/>
    <s v="DIAZ"/>
    <x v="3"/>
    <d v="1899-12-30T22:52:24"/>
    <s v="P10"/>
    <x v="1"/>
    <x v="204"/>
    <x v="204"/>
    <x v="0"/>
    <x v="0"/>
  </r>
  <r>
    <n v="15436097"/>
    <s v="LUIS"/>
    <s v="VALENZUELA"/>
    <s v="DIAZ"/>
    <x v="4"/>
    <d v="1899-12-30T07:52:57"/>
    <s v="P20"/>
    <x v="0"/>
    <x v="204"/>
    <x v="204"/>
    <x v="1"/>
    <x v="1"/>
  </r>
  <r>
    <n v="15436097"/>
    <s v="LUIS"/>
    <s v="VALENZUELA"/>
    <s v="DIAZ"/>
    <x v="4"/>
    <d v="1899-12-30T22:03:11"/>
    <s v="P10"/>
    <x v="1"/>
    <x v="204"/>
    <x v="204"/>
    <x v="1"/>
    <x v="1"/>
  </r>
  <r>
    <n v="15437429"/>
    <s v="JULIO"/>
    <s v="NADEAU"/>
    <s v="JOFRE"/>
    <x v="0"/>
    <d v="1899-12-30T17:30:34"/>
    <s v="P20"/>
    <x v="0"/>
    <x v="205"/>
    <x v="205"/>
    <x v="3"/>
    <x v="0"/>
  </r>
  <r>
    <n v="15437429"/>
    <s v="JULIO"/>
    <s v="NADEAU"/>
    <s v="JOFRE"/>
    <x v="0"/>
    <d v="1899-12-30T08:43:34"/>
    <s v="P10"/>
    <x v="1"/>
    <x v="205"/>
    <x v="205"/>
    <x v="2"/>
    <x v="2"/>
  </r>
  <r>
    <n v="15437429"/>
    <s v="JULIO"/>
    <s v="NADEAU"/>
    <s v="JOFRE"/>
    <x v="2"/>
    <d v="1899-12-30T17:35:43"/>
    <s v="P20"/>
    <x v="0"/>
    <x v="205"/>
    <x v="205"/>
    <x v="3"/>
    <x v="0"/>
  </r>
  <r>
    <n v="15437429"/>
    <s v="JULIO"/>
    <s v="NADEAU"/>
    <s v="JOFRE"/>
    <x v="2"/>
    <d v="1899-12-30T08:31:44"/>
    <s v="P10"/>
    <x v="1"/>
    <x v="205"/>
    <x v="205"/>
    <x v="2"/>
    <x v="2"/>
  </r>
  <r>
    <n v="15437429"/>
    <s v="JULIO"/>
    <s v="NADEAU"/>
    <s v="JOFRE"/>
    <x v="3"/>
    <d v="1899-12-30T17:33:05"/>
    <s v="P20"/>
    <x v="0"/>
    <x v="205"/>
    <x v="205"/>
    <x v="3"/>
    <x v="0"/>
  </r>
  <r>
    <n v="15437429"/>
    <s v="JULIO"/>
    <s v="NADEAU"/>
    <s v="JOFRE"/>
    <x v="3"/>
    <d v="1899-12-30T08:38:04"/>
    <s v="P10"/>
    <x v="1"/>
    <x v="205"/>
    <x v="205"/>
    <x v="2"/>
    <x v="2"/>
  </r>
  <r>
    <n v="15437429"/>
    <s v="JULIO"/>
    <s v="NADEAU"/>
    <s v="JOFRE"/>
    <x v="4"/>
    <d v="1899-12-30T17:38:01"/>
    <s v="P20"/>
    <x v="0"/>
    <x v="205"/>
    <x v="205"/>
    <x v="3"/>
    <x v="0"/>
  </r>
  <r>
    <n v="15437429"/>
    <s v="JULIO"/>
    <s v="NADEAU"/>
    <s v="JOFRE"/>
    <x v="4"/>
    <d v="1899-12-30T08:34:36"/>
    <s v="P10"/>
    <x v="1"/>
    <x v="205"/>
    <x v="205"/>
    <x v="2"/>
    <x v="2"/>
  </r>
  <r>
    <n v="15439409"/>
    <s v="MARICEL ANDREA"/>
    <s v="BRAVO"/>
    <s v="SALAMANCA"/>
    <x v="0"/>
    <d v="1899-12-30T11:08:34"/>
    <s v="P20"/>
    <x v="0"/>
    <x v="206"/>
    <x v="206"/>
    <x v="2"/>
    <x v="2"/>
  </r>
  <r>
    <n v="15439409"/>
    <s v="MARICEL ANDREA"/>
    <s v="BRAVO"/>
    <s v="SALAMANCA"/>
    <x v="0"/>
    <d v="1899-12-30T07:22:18"/>
    <s v="P10"/>
    <x v="1"/>
    <x v="206"/>
    <x v="206"/>
    <x v="3"/>
    <x v="0"/>
  </r>
  <r>
    <n v="15439409"/>
    <s v="MARICEL ANDREA"/>
    <s v="BRAVO"/>
    <s v="SALAMANCA"/>
    <x v="2"/>
    <d v="1899-12-30T11:58:38"/>
    <s v="P20"/>
    <x v="0"/>
    <x v="206"/>
    <x v="206"/>
    <x v="2"/>
    <x v="2"/>
  </r>
  <r>
    <n v="15439409"/>
    <s v="MARICEL ANDREA"/>
    <s v="BRAVO"/>
    <s v="SALAMANCA"/>
    <x v="2"/>
    <d v="1899-12-30T07:14:20"/>
    <s v="P10"/>
    <x v="1"/>
    <x v="206"/>
    <x v="206"/>
    <x v="3"/>
    <x v="0"/>
  </r>
  <r>
    <n v="15439409"/>
    <s v="MARICEL ANDREA"/>
    <s v="BRAVO"/>
    <s v="SALAMANCA"/>
    <x v="3"/>
    <d v="1899-12-30T15:12:36"/>
    <s v="P20"/>
    <x v="0"/>
    <x v="206"/>
    <x v="206"/>
    <x v="3"/>
    <x v="0"/>
  </r>
  <r>
    <n v="15439409"/>
    <s v="MARICEL ANDREA"/>
    <s v="BRAVO"/>
    <s v="SALAMANCA"/>
    <x v="3"/>
    <d v="1899-12-30T06:58:31"/>
    <s v="P10"/>
    <x v="1"/>
    <x v="206"/>
    <x v="206"/>
    <x v="3"/>
    <x v="0"/>
  </r>
  <r>
    <n v="15439409"/>
    <s v="MARICEL ANDREA"/>
    <s v="BRAVO"/>
    <s v="SALAMANCA"/>
    <x v="4"/>
    <d v="1899-12-30T15:13:47"/>
    <s v="P20"/>
    <x v="0"/>
    <x v="206"/>
    <x v="206"/>
    <x v="3"/>
    <x v="0"/>
  </r>
  <r>
    <n v="15439409"/>
    <s v="MARICEL ANDREA"/>
    <s v="BRAVO"/>
    <s v="SALAMANCA"/>
    <x v="4"/>
    <d v="1899-12-30T07:17:18"/>
    <s v="P10"/>
    <x v="1"/>
    <x v="206"/>
    <x v="206"/>
    <x v="3"/>
    <x v="0"/>
  </r>
  <r>
    <n v="15441831"/>
    <s v="ROBERTO MARIO"/>
    <s v="VALDERRAMA"/>
    <s v="CAÑAS"/>
    <x v="0"/>
    <d v="1899-12-30T22:50:03"/>
    <s v="P20"/>
    <x v="0"/>
    <x v="207"/>
    <x v="207"/>
    <x v="3"/>
    <x v="0"/>
  </r>
  <r>
    <n v="15441831"/>
    <s v="ROBERTO MARIO"/>
    <s v="VALDERRAMA"/>
    <s v="CAÑAS"/>
    <x v="0"/>
    <d v="1899-12-30T11:45:31"/>
    <s v="P10"/>
    <x v="1"/>
    <x v="207"/>
    <x v="207"/>
    <x v="3"/>
    <x v="0"/>
  </r>
  <r>
    <n v="15441831"/>
    <s v="ROBERTO MARIO"/>
    <s v="VALDERRAMA"/>
    <s v="CAÑAS"/>
    <x v="1"/>
    <d v="1899-12-30T23:01:11"/>
    <s v="P20"/>
    <x v="0"/>
    <x v="207"/>
    <x v="207"/>
    <x v="3"/>
    <x v="0"/>
  </r>
  <r>
    <n v="15441831"/>
    <s v="ROBERTO MARIO"/>
    <s v="VALDERRAMA"/>
    <s v="CAÑAS"/>
    <x v="1"/>
    <d v="1899-12-30T12:30:39"/>
    <s v="P10"/>
    <x v="1"/>
    <x v="207"/>
    <x v="207"/>
    <x v="3"/>
    <x v="0"/>
  </r>
  <r>
    <n v="15444116"/>
    <s v="MANUEL ROBERTO"/>
    <s v="MAULEN"/>
    <s v="GUTIERREZ"/>
    <x v="0"/>
    <d v="1899-12-30T22:47:56"/>
    <s v="P20"/>
    <x v="0"/>
    <x v="208"/>
    <x v="208"/>
    <x v="0"/>
    <x v="0"/>
  </r>
  <r>
    <n v="15444116"/>
    <s v="MANUEL ROBERTO"/>
    <s v="MAULEN"/>
    <s v="GUTIERREZ"/>
    <x v="0"/>
    <d v="1899-12-30T14:38:45"/>
    <s v="P10"/>
    <x v="1"/>
    <x v="208"/>
    <x v="208"/>
    <x v="0"/>
    <x v="0"/>
  </r>
  <r>
    <n v="15444116"/>
    <s v="MANUEL ROBERTO"/>
    <s v="MAULEN"/>
    <s v="GUTIERREZ"/>
    <x v="1"/>
    <d v="1899-12-30T15:21:38"/>
    <s v="P20"/>
    <x v="0"/>
    <x v="208"/>
    <x v="208"/>
    <x v="3"/>
    <x v="0"/>
  </r>
  <r>
    <n v="15444116"/>
    <s v="MANUEL ROBERTO"/>
    <s v="MAULEN"/>
    <s v="GUTIERREZ"/>
    <x v="1"/>
    <d v="1899-12-30T06:57:40"/>
    <s v="P10"/>
    <x v="1"/>
    <x v="208"/>
    <x v="208"/>
    <x v="3"/>
    <x v="0"/>
  </r>
  <r>
    <n v="15444116"/>
    <s v="MANUEL ROBERTO"/>
    <s v="MAULEN"/>
    <s v="GUTIERREZ"/>
    <x v="2"/>
    <d v="1899-12-30T22:45:21"/>
    <s v="P20"/>
    <x v="0"/>
    <x v="208"/>
    <x v="208"/>
    <x v="0"/>
    <x v="0"/>
  </r>
  <r>
    <n v="15444116"/>
    <s v="MANUEL ROBERTO"/>
    <s v="MAULEN"/>
    <s v="GUTIERREZ"/>
    <x v="2"/>
    <d v="1899-12-30T14:31:03"/>
    <s v="P10"/>
    <x v="1"/>
    <x v="208"/>
    <x v="208"/>
    <x v="0"/>
    <x v="0"/>
  </r>
  <r>
    <n v="15444116"/>
    <s v="MANUEL ROBERTO"/>
    <s v="MAULEN"/>
    <s v="GUTIERREZ"/>
    <x v="3"/>
    <d v="1899-12-30T22:46:54"/>
    <s v="P20"/>
    <x v="0"/>
    <x v="208"/>
    <x v="208"/>
    <x v="0"/>
    <x v="0"/>
  </r>
  <r>
    <n v="15444116"/>
    <s v="MANUEL ROBERTO"/>
    <s v="MAULEN"/>
    <s v="GUTIERREZ"/>
    <x v="3"/>
    <d v="1899-12-30T14:29:14"/>
    <s v="P10"/>
    <x v="1"/>
    <x v="208"/>
    <x v="208"/>
    <x v="0"/>
    <x v="0"/>
  </r>
  <r>
    <n v="15444116"/>
    <s v="MANUEL ROBERTO"/>
    <s v="MAULEN"/>
    <s v="GUTIERREZ"/>
    <x v="4"/>
    <d v="1899-12-30T22:49:42"/>
    <s v="P20"/>
    <x v="0"/>
    <x v="208"/>
    <x v="208"/>
    <x v="0"/>
    <x v="0"/>
  </r>
  <r>
    <n v="15444116"/>
    <s v="MANUEL ROBERTO"/>
    <s v="MAULEN"/>
    <s v="GUTIERREZ"/>
    <x v="4"/>
    <d v="1899-12-30T14:37:58"/>
    <s v="P10"/>
    <x v="1"/>
    <x v="208"/>
    <x v="208"/>
    <x v="0"/>
    <x v="0"/>
  </r>
  <r>
    <n v="15444698"/>
    <s v="MAURICIO ALEJANDRO"/>
    <s v="RETAMAL"/>
    <s v="ACUÑA"/>
    <x v="0"/>
    <d v="1899-12-30T07:34:42"/>
    <s v="P20"/>
    <x v="0"/>
    <x v="209"/>
    <x v="209"/>
    <x v="1"/>
    <x v="1"/>
  </r>
  <r>
    <n v="15444698"/>
    <s v="MAURICIO ALEJANDRO"/>
    <s v="RETAMAL"/>
    <s v="ACUÑA"/>
    <x v="0"/>
    <d v="1899-12-30T22:04:05"/>
    <s v="P10"/>
    <x v="1"/>
    <x v="209"/>
    <x v="209"/>
    <x v="1"/>
    <x v="1"/>
  </r>
  <r>
    <n v="15444698"/>
    <s v="MAURICIO ALEJANDRO"/>
    <s v="RETAMAL"/>
    <s v="ACUÑA"/>
    <x v="1"/>
    <d v="1899-12-30T07:42:11"/>
    <s v="P20"/>
    <x v="0"/>
    <x v="209"/>
    <x v="209"/>
    <x v="1"/>
    <x v="1"/>
  </r>
  <r>
    <n v="15444698"/>
    <s v="MAURICIO ALEJANDRO"/>
    <s v="RETAMAL"/>
    <s v="ACUÑA"/>
    <x v="6"/>
    <d v="1899-12-30T23:50:16"/>
    <s v="P10"/>
    <x v="1"/>
    <x v="209"/>
    <x v="209"/>
    <x v="1"/>
    <x v="1"/>
  </r>
  <r>
    <n v="15444698"/>
    <s v="MAURICIO ALEJANDRO"/>
    <s v="RETAMAL"/>
    <s v="ACUÑA"/>
    <x v="2"/>
    <d v="1899-12-30T07:31:37"/>
    <s v="P20"/>
    <x v="0"/>
    <x v="209"/>
    <x v="209"/>
    <x v="1"/>
    <x v="1"/>
  </r>
  <r>
    <n v="15444698"/>
    <s v="MAURICIO ALEJANDRO"/>
    <s v="RETAMAL"/>
    <s v="ACUÑA"/>
    <x v="2"/>
    <d v="1899-12-30T22:04:13"/>
    <s v="P10"/>
    <x v="1"/>
    <x v="209"/>
    <x v="209"/>
    <x v="1"/>
    <x v="1"/>
  </r>
  <r>
    <n v="15444698"/>
    <s v="MAURICIO ALEJANDRO"/>
    <s v="RETAMAL"/>
    <s v="ACUÑA"/>
    <x v="3"/>
    <d v="1899-12-30T07:35:18"/>
    <s v="P20"/>
    <x v="0"/>
    <x v="209"/>
    <x v="209"/>
    <x v="1"/>
    <x v="1"/>
  </r>
  <r>
    <n v="15444698"/>
    <s v="MAURICIO ALEJANDRO"/>
    <s v="RETAMAL"/>
    <s v="ACUÑA"/>
    <x v="3"/>
    <d v="1899-12-30T22:04:35"/>
    <s v="P10"/>
    <x v="1"/>
    <x v="209"/>
    <x v="209"/>
    <x v="1"/>
    <x v="1"/>
  </r>
  <r>
    <n v="15444698"/>
    <s v="MAURICIO ALEJANDRO"/>
    <s v="RETAMAL"/>
    <s v="ACUÑA"/>
    <x v="4"/>
    <d v="1899-12-30T07:28:18"/>
    <s v="P20"/>
    <x v="0"/>
    <x v="209"/>
    <x v="209"/>
    <x v="1"/>
    <x v="1"/>
  </r>
  <r>
    <n v="15444698"/>
    <s v="MAURICIO ALEJANDRO"/>
    <s v="RETAMAL"/>
    <s v="ACUÑA"/>
    <x v="4"/>
    <d v="1899-12-30T22:03:30"/>
    <s v="P10"/>
    <x v="1"/>
    <x v="209"/>
    <x v="209"/>
    <x v="1"/>
    <x v="1"/>
  </r>
  <r>
    <n v="15444951"/>
    <s v="MIGUEL ANTONIO"/>
    <s v="PLAZA"/>
    <s v="ARAYA"/>
    <x v="0"/>
    <d v="1899-12-30T07:36:25"/>
    <s v="P20"/>
    <x v="0"/>
    <x v="210"/>
    <x v="210"/>
    <x v="1"/>
    <x v="1"/>
  </r>
  <r>
    <n v="15444951"/>
    <s v="MIGUEL ANTONIO"/>
    <s v="PLAZA"/>
    <s v="ARAYA"/>
    <x v="0"/>
    <d v="1899-12-30T22:14:05"/>
    <s v="P10"/>
    <x v="1"/>
    <x v="210"/>
    <x v="210"/>
    <x v="1"/>
    <x v="1"/>
  </r>
  <r>
    <n v="15444951"/>
    <s v="MIGUEL ANTONIO"/>
    <s v="PLAZA"/>
    <s v="ARAYA"/>
    <x v="1"/>
    <d v="1899-12-30T07:39:51"/>
    <s v="P20"/>
    <x v="0"/>
    <x v="210"/>
    <x v="210"/>
    <x v="1"/>
    <x v="1"/>
  </r>
  <r>
    <n v="15444951"/>
    <s v="MIGUEL ANTONIO"/>
    <s v="PLAZA"/>
    <s v="ARAYA"/>
    <x v="2"/>
    <d v="1899-12-30T22:15:46"/>
    <s v="P10"/>
    <x v="1"/>
    <x v="210"/>
    <x v="210"/>
    <x v="1"/>
    <x v="1"/>
  </r>
  <r>
    <n v="15444951"/>
    <s v="MIGUEL ANTONIO"/>
    <s v="PLAZA"/>
    <s v="ARAYA"/>
    <x v="3"/>
    <d v="1899-12-30T07:54:14"/>
    <s v="P20"/>
    <x v="0"/>
    <x v="210"/>
    <x v="210"/>
    <x v="1"/>
    <x v="1"/>
  </r>
  <r>
    <n v="15444951"/>
    <s v="MIGUEL ANTONIO"/>
    <s v="PLAZA"/>
    <s v="ARAYA"/>
    <x v="3"/>
    <d v="1899-12-30T22:27:29"/>
    <s v="P10"/>
    <x v="1"/>
    <x v="210"/>
    <x v="210"/>
    <x v="1"/>
    <x v="1"/>
  </r>
  <r>
    <n v="15444951"/>
    <s v="MIGUEL ANTONIO"/>
    <s v="PLAZA"/>
    <s v="ARAYA"/>
    <x v="4"/>
    <d v="1899-12-30T08:04:01"/>
    <s v="P20"/>
    <x v="0"/>
    <x v="210"/>
    <x v="210"/>
    <x v="1"/>
    <x v="1"/>
  </r>
  <r>
    <n v="15444951"/>
    <s v="MIGUEL ANTONIO"/>
    <s v="PLAZA"/>
    <s v="ARAYA"/>
    <x v="4"/>
    <d v="1899-12-30T22:37:06"/>
    <s v="P10"/>
    <x v="1"/>
    <x v="210"/>
    <x v="210"/>
    <x v="1"/>
    <x v="1"/>
  </r>
  <r>
    <n v="15445100"/>
    <s v="FELIPE ANDRES"/>
    <s v="MACAYA"/>
    <s v="MOSCOSO"/>
    <x v="0"/>
    <d v="1899-12-30T07:46:44"/>
    <s v="P20"/>
    <x v="0"/>
    <x v="211"/>
    <x v="211"/>
    <x v="1"/>
    <x v="1"/>
  </r>
  <r>
    <n v="15445100"/>
    <s v="FELIPE ANDRES"/>
    <s v="MACAYA"/>
    <s v="MOSCOSO"/>
    <x v="0"/>
    <d v="1899-12-30T22:04:00"/>
    <s v="P10"/>
    <x v="1"/>
    <x v="211"/>
    <x v="211"/>
    <x v="1"/>
    <x v="1"/>
  </r>
  <r>
    <n v="15445100"/>
    <s v="FELIPE ANDRES"/>
    <s v="MACAYA"/>
    <s v="MOSCOSO"/>
    <x v="1"/>
    <d v="1899-12-30T07:51:57"/>
    <s v="P20"/>
    <x v="0"/>
    <x v="211"/>
    <x v="211"/>
    <x v="1"/>
    <x v="1"/>
  </r>
  <r>
    <n v="15445100"/>
    <s v="FELIPE ANDRES"/>
    <s v="MACAYA"/>
    <s v="MOSCOSO"/>
    <x v="2"/>
    <d v="1899-12-30T22:04:20"/>
    <s v="P10"/>
    <x v="1"/>
    <x v="211"/>
    <x v="211"/>
    <x v="1"/>
    <x v="1"/>
  </r>
  <r>
    <n v="15445100"/>
    <s v="FELIPE ANDRES"/>
    <s v="MACAYA"/>
    <s v="MOSCOSO"/>
    <x v="3"/>
    <d v="1899-12-30T07:44:37"/>
    <s v="P20"/>
    <x v="0"/>
    <x v="211"/>
    <x v="211"/>
    <x v="1"/>
    <x v="1"/>
  </r>
  <r>
    <n v="15445100"/>
    <s v="FELIPE ANDRES"/>
    <s v="MACAYA"/>
    <s v="MOSCOSO"/>
    <x v="3"/>
    <d v="1899-12-30T22:18:47"/>
    <s v="P10"/>
    <x v="1"/>
    <x v="211"/>
    <x v="211"/>
    <x v="1"/>
    <x v="1"/>
  </r>
  <r>
    <n v="15445100"/>
    <s v="FELIPE ANDRES"/>
    <s v="MACAYA"/>
    <s v="MOSCOSO"/>
    <x v="4"/>
    <d v="1899-12-30T07:53:27"/>
    <s v="P20"/>
    <x v="0"/>
    <x v="211"/>
    <x v="211"/>
    <x v="1"/>
    <x v="1"/>
  </r>
  <r>
    <n v="15445100"/>
    <s v="FELIPE ANDRES"/>
    <s v="MACAYA"/>
    <s v="MOSCOSO"/>
    <x v="4"/>
    <d v="1899-12-30T22:05:27"/>
    <s v="P10"/>
    <x v="1"/>
    <x v="211"/>
    <x v="211"/>
    <x v="1"/>
    <x v="1"/>
  </r>
  <r>
    <n v="15449281"/>
    <s v="ROBERTO FABIAN"/>
    <s v="DURAN"/>
    <s v="MIRANDA"/>
    <x v="0"/>
    <d v="1899-12-30T17:05:15"/>
    <s v="P20"/>
    <x v="0"/>
    <x v="212"/>
    <x v="212"/>
    <x v="3"/>
    <x v="0"/>
  </r>
  <r>
    <n v="15449281"/>
    <s v="ROBERTO FABIAN"/>
    <s v="DURAN"/>
    <s v="MIRANDA"/>
    <x v="0"/>
    <d v="1899-12-30T07:03:27"/>
    <s v="P10"/>
    <x v="1"/>
    <x v="212"/>
    <x v="212"/>
    <x v="3"/>
    <x v="0"/>
  </r>
  <r>
    <n v="15449281"/>
    <s v="ROBERTO FABIAN"/>
    <s v="DURAN"/>
    <s v="MIRANDA"/>
    <x v="1"/>
    <d v="1899-12-30T16:58:24"/>
    <s v="P20"/>
    <x v="0"/>
    <x v="212"/>
    <x v="212"/>
    <x v="3"/>
    <x v="0"/>
  </r>
  <r>
    <n v="15449281"/>
    <s v="ROBERTO FABIAN"/>
    <s v="DURAN"/>
    <s v="MIRANDA"/>
    <x v="1"/>
    <d v="1899-12-30T07:21:07"/>
    <s v="P10"/>
    <x v="1"/>
    <x v="212"/>
    <x v="212"/>
    <x v="3"/>
    <x v="0"/>
  </r>
  <r>
    <n v="15449281"/>
    <s v="ROBERTO FABIAN"/>
    <s v="DURAN"/>
    <s v="MIRANDA"/>
    <x v="2"/>
    <d v="1899-12-30T17:28:51"/>
    <s v="P20"/>
    <x v="0"/>
    <x v="212"/>
    <x v="212"/>
    <x v="3"/>
    <x v="0"/>
  </r>
  <r>
    <n v="15449281"/>
    <s v="ROBERTO FABIAN"/>
    <s v="DURAN"/>
    <s v="MIRANDA"/>
    <x v="2"/>
    <d v="1899-12-30T07:01:56"/>
    <s v="P10"/>
    <x v="1"/>
    <x v="212"/>
    <x v="212"/>
    <x v="3"/>
    <x v="0"/>
  </r>
  <r>
    <n v="15449281"/>
    <s v="ROBERTO FABIAN"/>
    <s v="DURAN"/>
    <s v="MIRANDA"/>
    <x v="3"/>
    <d v="1899-12-30T17:23:49"/>
    <s v="P20"/>
    <x v="0"/>
    <x v="212"/>
    <x v="212"/>
    <x v="3"/>
    <x v="0"/>
  </r>
  <r>
    <n v="15449281"/>
    <s v="ROBERTO FABIAN"/>
    <s v="DURAN"/>
    <s v="MIRANDA"/>
    <x v="3"/>
    <d v="1899-12-30T07:02:56"/>
    <s v="P10"/>
    <x v="1"/>
    <x v="212"/>
    <x v="212"/>
    <x v="3"/>
    <x v="0"/>
  </r>
  <r>
    <n v="15449281"/>
    <s v="ROBERTO FABIAN"/>
    <s v="DURAN"/>
    <s v="MIRANDA"/>
    <x v="4"/>
    <d v="1899-12-30T17:33:07"/>
    <s v="P20"/>
    <x v="0"/>
    <x v="212"/>
    <x v="212"/>
    <x v="3"/>
    <x v="0"/>
  </r>
  <r>
    <n v="15449281"/>
    <s v="ROBERTO FABIAN"/>
    <s v="DURAN"/>
    <s v="MIRANDA"/>
    <x v="4"/>
    <d v="1899-12-30T07:02:49"/>
    <s v="P10"/>
    <x v="1"/>
    <x v="212"/>
    <x v="212"/>
    <x v="3"/>
    <x v="0"/>
  </r>
  <r>
    <n v="15533689"/>
    <s v="ROBERTO"/>
    <s v="DURAN"/>
    <s v="BRAVO"/>
    <x v="0"/>
    <d v="1899-12-30T13:50:55"/>
    <s v="P20"/>
    <x v="0"/>
    <x v="213"/>
    <x v="213"/>
    <x v="3"/>
    <x v="0"/>
  </r>
  <r>
    <n v="15533689"/>
    <s v="ROBERTO"/>
    <s v="DURAN"/>
    <s v="BRAVO"/>
    <x v="0"/>
    <d v="1899-12-30T07:11:39"/>
    <s v="P10"/>
    <x v="1"/>
    <x v="213"/>
    <x v="213"/>
    <x v="3"/>
    <x v="0"/>
  </r>
  <r>
    <n v="15533689"/>
    <s v="ROBERTO"/>
    <s v="DURAN"/>
    <s v="BRAVO"/>
    <x v="1"/>
    <d v="1899-12-30T19:26:07"/>
    <s v="P20"/>
    <x v="0"/>
    <x v="213"/>
    <x v="213"/>
    <x v="3"/>
    <x v="0"/>
  </r>
  <r>
    <n v="15533689"/>
    <s v="ROBERTO"/>
    <s v="DURAN"/>
    <s v="BRAVO"/>
    <x v="1"/>
    <d v="1899-12-30T07:09:53"/>
    <s v="P10"/>
    <x v="1"/>
    <x v="213"/>
    <x v="213"/>
    <x v="3"/>
    <x v="0"/>
  </r>
  <r>
    <n v="15533689"/>
    <s v="ROBERTO"/>
    <s v="DURAN"/>
    <s v="BRAVO"/>
    <x v="3"/>
    <d v="1899-12-30T17:40:08"/>
    <s v="P20"/>
    <x v="0"/>
    <x v="213"/>
    <x v="213"/>
    <x v="3"/>
    <x v="0"/>
  </r>
  <r>
    <n v="15533689"/>
    <s v="ROBERTO"/>
    <s v="DURAN"/>
    <s v="BRAVO"/>
    <x v="3"/>
    <d v="1899-12-30T07:23:02"/>
    <s v="P10"/>
    <x v="1"/>
    <x v="213"/>
    <x v="213"/>
    <x v="3"/>
    <x v="0"/>
  </r>
  <r>
    <n v="15533689"/>
    <s v="ROBERTO"/>
    <s v="DURAN"/>
    <s v="BRAVO"/>
    <x v="4"/>
    <d v="1899-12-30T16:17:55"/>
    <s v="P20"/>
    <x v="0"/>
    <x v="213"/>
    <x v="213"/>
    <x v="3"/>
    <x v="0"/>
  </r>
  <r>
    <n v="15533689"/>
    <s v="ROBERTO"/>
    <s v="DURAN"/>
    <s v="BRAVO"/>
    <x v="4"/>
    <d v="1899-12-30T07:24:45"/>
    <s v="P10"/>
    <x v="1"/>
    <x v="213"/>
    <x v="213"/>
    <x v="3"/>
    <x v="0"/>
  </r>
  <r>
    <n v="15702200"/>
    <s v="CESAR"/>
    <s v="CERNA"/>
    <s v="VARGAS"/>
    <x v="0"/>
    <d v="1899-12-30T07:48:44"/>
    <s v="P20"/>
    <x v="0"/>
    <x v="214"/>
    <x v="214"/>
    <x v="1"/>
    <x v="1"/>
  </r>
  <r>
    <n v="15702200"/>
    <s v="CESAR"/>
    <s v="CERNA"/>
    <s v="VARGAS"/>
    <x v="0"/>
    <d v="1899-12-30T21:54:50"/>
    <s v="P10"/>
    <x v="1"/>
    <x v="214"/>
    <x v="214"/>
    <x v="1"/>
    <x v="1"/>
  </r>
  <r>
    <n v="15702200"/>
    <s v="CESAR"/>
    <s v="CERNA"/>
    <s v="VARGAS"/>
    <x v="1"/>
    <d v="1899-12-30T07:52:16"/>
    <s v="P20"/>
    <x v="0"/>
    <x v="214"/>
    <x v="214"/>
    <x v="1"/>
    <x v="1"/>
  </r>
  <r>
    <n v="15702200"/>
    <s v="CESAR"/>
    <s v="CERNA"/>
    <s v="VARGAS"/>
    <x v="3"/>
    <d v="1899-12-30T22:00:18"/>
    <s v="P10"/>
    <x v="1"/>
    <x v="214"/>
    <x v="214"/>
    <x v="1"/>
    <x v="1"/>
  </r>
  <r>
    <n v="15702200"/>
    <s v="CESAR"/>
    <s v="CERNA"/>
    <s v="VARGAS"/>
    <x v="4"/>
    <d v="1899-12-30T07:53:32"/>
    <s v="P20"/>
    <x v="0"/>
    <x v="214"/>
    <x v="214"/>
    <x v="1"/>
    <x v="1"/>
  </r>
  <r>
    <n v="15702200"/>
    <s v="CESAR"/>
    <s v="CERNA"/>
    <s v="VARGAS"/>
    <x v="4"/>
    <d v="1899-12-30T21:55:29"/>
    <s v="P10"/>
    <x v="1"/>
    <x v="214"/>
    <x v="214"/>
    <x v="1"/>
    <x v="1"/>
  </r>
  <r>
    <n v="15786314"/>
    <s v="JUAN PABLO"/>
    <s v="PALMA"/>
    <s v="VERA"/>
    <x v="0"/>
    <d v="1899-12-30T22:30:16"/>
    <s v="P20"/>
    <x v="0"/>
    <x v="215"/>
    <x v="215"/>
    <x v="0"/>
    <x v="0"/>
  </r>
  <r>
    <n v="15786314"/>
    <s v="JUAN PABLO"/>
    <s v="PALMA"/>
    <s v="VERA"/>
    <x v="0"/>
    <d v="1899-12-30T14:30:50"/>
    <s v="P10"/>
    <x v="1"/>
    <x v="215"/>
    <x v="215"/>
    <x v="0"/>
    <x v="0"/>
  </r>
  <r>
    <n v="15786314"/>
    <s v="JUAN PABLO"/>
    <s v="PALMA"/>
    <s v="VERA"/>
    <x v="1"/>
    <d v="1899-12-30T22:39:08"/>
    <s v="P20"/>
    <x v="0"/>
    <x v="215"/>
    <x v="215"/>
    <x v="0"/>
    <x v="0"/>
  </r>
  <r>
    <n v="15786314"/>
    <s v="JUAN PABLO"/>
    <s v="PALMA"/>
    <s v="VERA"/>
    <x v="1"/>
    <d v="1899-12-30T14:52:52"/>
    <s v="P10"/>
    <x v="1"/>
    <x v="215"/>
    <x v="215"/>
    <x v="0"/>
    <x v="0"/>
  </r>
  <r>
    <n v="15786314"/>
    <s v="JUAN PABLO"/>
    <s v="PALMA"/>
    <s v="VERA"/>
    <x v="3"/>
    <d v="1899-12-30T22:32:05"/>
    <s v="P20"/>
    <x v="0"/>
    <x v="215"/>
    <x v="215"/>
    <x v="0"/>
    <x v="0"/>
  </r>
  <r>
    <n v="15786314"/>
    <s v="JUAN PABLO"/>
    <s v="PALMA"/>
    <s v="VERA"/>
    <x v="3"/>
    <d v="1899-12-30T15:13:20"/>
    <s v="P10"/>
    <x v="1"/>
    <x v="215"/>
    <x v="215"/>
    <x v="3"/>
    <x v="0"/>
  </r>
  <r>
    <n v="15786314"/>
    <s v="JUAN PABLO"/>
    <s v="PALMA"/>
    <s v="VERA"/>
    <x v="4"/>
    <d v="1899-12-30T22:30:16"/>
    <s v="P20"/>
    <x v="0"/>
    <x v="215"/>
    <x v="215"/>
    <x v="0"/>
    <x v="0"/>
  </r>
  <r>
    <n v="15786314"/>
    <s v="JUAN PABLO"/>
    <s v="PALMA"/>
    <s v="VERA"/>
    <x v="4"/>
    <d v="1899-12-30T14:29:47"/>
    <s v="P10"/>
    <x v="1"/>
    <x v="215"/>
    <x v="215"/>
    <x v="0"/>
    <x v="0"/>
  </r>
  <r>
    <n v="15823421"/>
    <s v="ALEXIS"/>
    <s v="ORIAS"/>
    <s v="ORIAS"/>
    <x v="0"/>
    <d v="1899-12-30T07:49:36"/>
    <s v="P20"/>
    <x v="0"/>
    <x v="216"/>
    <x v="216"/>
    <x v="1"/>
    <x v="1"/>
  </r>
  <r>
    <n v="15823421"/>
    <s v="ALEXIS"/>
    <s v="ORIAS"/>
    <s v="ORIAS"/>
    <x v="0"/>
    <d v="1899-12-30T23:07:29"/>
    <s v="P10"/>
    <x v="1"/>
    <x v="216"/>
    <x v="216"/>
    <x v="0"/>
    <x v="0"/>
  </r>
  <r>
    <n v="15823421"/>
    <s v="ALEXIS"/>
    <s v="ORIAS"/>
    <s v="ORIAS"/>
    <x v="1"/>
    <d v="1899-12-30T07:50:00"/>
    <s v="P20"/>
    <x v="0"/>
    <x v="216"/>
    <x v="216"/>
    <x v="1"/>
    <x v="1"/>
  </r>
  <r>
    <n v="15823421"/>
    <s v="ALEXIS"/>
    <s v="ORIAS"/>
    <s v="ORIAS"/>
    <x v="2"/>
    <d v="1899-12-30T22:01:01"/>
    <s v="P10"/>
    <x v="1"/>
    <x v="216"/>
    <x v="216"/>
    <x v="1"/>
    <x v="1"/>
  </r>
  <r>
    <n v="15823421"/>
    <s v="ALEXIS"/>
    <s v="ORIAS"/>
    <s v="ORIAS"/>
    <x v="3"/>
    <d v="1899-12-30T07:42:13"/>
    <s v="P20"/>
    <x v="0"/>
    <x v="216"/>
    <x v="216"/>
    <x v="1"/>
    <x v="1"/>
  </r>
  <r>
    <n v="15823421"/>
    <s v="ALEXIS"/>
    <s v="ORIAS"/>
    <s v="ORIAS"/>
    <x v="3"/>
    <d v="1899-12-30T23:20:07"/>
    <s v="P10"/>
    <x v="1"/>
    <x v="216"/>
    <x v="216"/>
    <x v="0"/>
    <x v="0"/>
  </r>
  <r>
    <n v="15823421"/>
    <s v="ALEXIS"/>
    <s v="ORIAS"/>
    <s v="ORIAS"/>
    <x v="4"/>
    <d v="1899-12-30T07:53:10"/>
    <s v="P20"/>
    <x v="0"/>
    <x v="216"/>
    <x v="216"/>
    <x v="1"/>
    <x v="1"/>
  </r>
  <r>
    <n v="15823421"/>
    <s v="ALEXIS"/>
    <s v="ORIAS"/>
    <s v="ORIAS"/>
    <x v="4"/>
    <d v="1899-12-30T22:50:21"/>
    <s v="P10"/>
    <x v="1"/>
    <x v="216"/>
    <x v="216"/>
    <x v="0"/>
    <x v="0"/>
  </r>
  <r>
    <n v="15891790"/>
    <s v="LUIS ALBERTO"/>
    <s v="SALINAS"/>
    <s v="SALDIAS"/>
    <x v="0"/>
    <d v="1899-12-30T17:08:26"/>
    <s v="P20"/>
    <x v="0"/>
    <x v="217"/>
    <x v="217"/>
    <x v="3"/>
    <x v="0"/>
  </r>
  <r>
    <n v="15891790"/>
    <s v="LUIS ALBERTO"/>
    <s v="SALINAS"/>
    <s v="SALDIAS"/>
    <x v="0"/>
    <d v="1899-12-30T07:27:38"/>
    <s v="P10"/>
    <x v="1"/>
    <x v="217"/>
    <x v="217"/>
    <x v="3"/>
    <x v="0"/>
  </r>
  <r>
    <n v="15891790"/>
    <s v="LUIS ALBERTO"/>
    <s v="SALINAS"/>
    <s v="SALDIAS"/>
    <x v="1"/>
    <d v="1899-12-30T15:08:07"/>
    <s v="P20"/>
    <x v="0"/>
    <x v="217"/>
    <x v="217"/>
    <x v="3"/>
    <x v="0"/>
  </r>
  <r>
    <n v="15891790"/>
    <s v="LUIS ALBERTO"/>
    <s v="SALINAS"/>
    <s v="SALDIAS"/>
    <x v="1"/>
    <d v="1899-12-30T08:20:23"/>
    <s v="P10"/>
    <x v="1"/>
    <x v="217"/>
    <x v="217"/>
    <x v="1"/>
    <x v="1"/>
  </r>
  <r>
    <n v="15891790"/>
    <s v="LUIS ALBERTO"/>
    <s v="SALINAS"/>
    <s v="SALDIAS"/>
    <x v="2"/>
    <d v="1899-12-30T17:35:14"/>
    <s v="P20"/>
    <x v="0"/>
    <x v="217"/>
    <x v="217"/>
    <x v="3"/>
    <x v="0"/>
  </r>
  <r>
    <n v="15891790"/>
    <s v="LUIS ALBERTO"/>
    <s v="SALINAS"/>
    <s v="SALDIAS"/>
    <x v="2"/>
    <d v="1899-12-30T07:28:47"/>
    <s v="P10"/>
    <x v="1"/>
    <x v="217"/>
    <x v="217"/>
    <x v="3"/>
    <x v="0"/>
  </r>
  <r>
    <n v="15891790"/>
    <s v="LUIS ALBERTO"/>
    <s v="SALINAS"/>
    <s v="SALDIAS"/>
    <x v="3"/>
    <d v="1899-12-30T16:52:56"/>
    <s v="P20"/>
    <x v="0"/>
    <x v="217"/>
    <x v="217"/>
    <x v="3"/>
    <x v="0"/>
  </r>
  <r>
    <n v="15891790"/>
    <s v="LUIS ALBERTO"/>
    <s v="SALINAS"/>
    <s v="SALDIAS"/>
    <x v="3"/>
    <d v="1899-12-30T07:00:03"/>
    <s v="P10"/>
    <x v="1"/>
    <x v="217"/>
    <x v="217"/>
    <x v="3"/>
    <x v="0"/>
  </r>
  <r>
    <n v="15891790"/>
    <s v="LUIS ALBERTO"/>
    <s v="SALINAS"/>
    <s v="SALDIAS"/>
    <x v="4"/>
    <d v="1899-12-30T15:07:26"/>
    <s v="P20"/>
    <x v="0"/>
    <x v="217"/>
    <x v="217"/>
    <x v="3"/>
    <x v="0"/>
  </r>
  <r>
    <n v="15891790"/>
    <s v="LUIS ALBERTO"/>
    <s v="SALINAS"/>
    <s v="SALDIAS"/>
    <x v="4"/>
    <d v="1899-12-30T07:27:32"/>
    <s v="P10"/>
    <x v="1"/>
    <x v="217"/>
    <x v="217"/>
    <x v="3"/>
    <x v="0"/>
  </r>
  <r>
    <n v="15899732"/>
    <s v="ALEJANDRO ANDRES"/>
    <s v="JAQUE"/>
    <s v="VARGAS"/>
    <x v="0"/>
    <d v="1899-12-30T07:51:35"/>
    <s v="P20"/>
    <x v="0"/>
    <x v="218"/>
    <x v="218"/>
    <x v="1"/>
    <x v="1"/>
  </r>
  <r>
    <n v="15899732"/>
    <s v="ALEJANDRO ANDRES"/>
    <s v="JAQUE"/>
    <s v="VARGAS"/>
    <x v="0"/>
    <d v="1899-12-30T22:04:35"/>
    <s v="P10"/>
    <x v="1"/>
    <x v="218"/>
    <x v="218"/>
    <x v="1"/>
    <x v="1"/>
  </r>
  <r>
    <n v="15899732"/>
    <s v="ALEJANDRO ANDRES"/>
    <s v="JAQUE"/>
    <s v="VARGAS"/>
    <x v="1"/>
    <d v="1899-12-30T07:54:48"/>
    <s v="P20"/>
    <x v="0"/>
    <x v="218"/>
    <x v="218"/>
    <x v="1"/>
    <x v="1"/>
  </r>
  <r>
    <n v="15899732"/>
    <s v="ALEJANDRO ANDRES"/>
    <s v="JAQUE"/>
    <s v="VARGAS"/>
    <x v="2"/>
    <d v="1899-12-30T22:01:04"/>
    <s v="P10"/>
    <x v="1"/>
    <x v="218"/>
    <x v="218"/>
    <x v="1"/>
    <x v="1"/>
  </r>
  <r>
    <n v="15899732"/>
    <s v="ALEJANDRO ANDRES"/>
    <s v="JAQUE"/>
    <s v="VARGAS"/>
    <x v="3"/>
    <d v="1899-12-30T07:47:05"/>
    <s v="P20"/>
    <x v="0"/>
    <x v="218"/>
    <x v="218"/>
    <x v="1"/>
    <x v="1"/>
  </r>
  <r>
    <n v="15899732"/>
    <s v="ALEJANDRO ANDRES"/>
    <s v="JAQUE"/>
    <s v="VARGAS"/>
    <x v="3"/>
    <d v="1899-12-30T22:21:10"/>
    <s v="P10"/>
    <x v="1"/>
    <x v="218"/>
    <x v="218"/>
    <x v="1"/>
    <x v="1"/>
  </r>
  <r>
    <n v="15899732"/>
    <s v="ALEJANDRO ANDRES"/>
    <s v="JAQUE"/>
    <s v="VARGAS"/>
    <x v="4"/>
    <d v="1899-12-30T07:56:03"/>
    <s v="P20"/>
    <x v="0"/>
    <x v="218"/>
    <x v="218"/>
    <x v="1"/>
    <x v="1"/>
  </r>
  <r>
    <n v="15899732"/>
    <s v="ALEJANDRO ANDRES"/>
    <s v="JAQUE"/>
    <s v="VARGAS"/>
    <x v="4"/>
    <d v="1899-12-30T22:01:04"/>
    <s v="P10"/>
    <x v="1"/>
    <x v="218"/>
    <x v="218"/>
    <x v="1"/>
    <x v="1"/>
  </r>
  <r>
    <n v="16029464"/>
    <s v="VICTOR"/>
    <s v="REYES"/>
    <s v="GALVEZ"/>
    <x v="0"/>
    <d v="1899-12-30T17:30:04"/>
    <s v="P20"/>
    <x v="0"/>
    <x v="219"/>
    <x v="219"/>
    <x v="3"/>
    <x v="0"/>
  </r>
  <r>
    <n v="16029464"/>
    <s v="VICTOR"/>
    <s v="REYES"/>
    <s v="GALVEZ"/>
    <x v="0"/>
    <d v="1899-12-30T07:04:03"/>
    <s v="P10"/>
    <x v="1"/>
    <x v="219"/>
    <x v="219"/>
    <x v="3"/>
    <x v="0"/>
  </r>
  <r>
    <n v="16029464"/>
    <s v="VICTOR"/>
    <s v="REYES"/>
    <s v="GALVEZ"/>
    <x v="1"/>
    <d v="1899-12-30T15:08:40"/>
    <s v="P20"/>
    <x v="0"/>
    <x v="219"/>
    <x v="219"/>
    <x v="3"/>
    <x v="0"/>
  </r>
  <r>
    <n v="16029464"/>
    <s v="VICTOR"/>
    <s v="REYES"/>
    <s v="GALVEZ"/>
    <x v="1"/>
    <d v="1899-12-30T07:03:23"/>
    <s v="P10"/>
    <x v="1"/>
    <x v="219"/>
    <x v="219"/>
    <x v="3"/>
    <x v="0"/>
  </r>
  <r>
    <n v="16029464"/>
    <s v="VICTOR"/>
    <s v="REYES"/>
    <s v="GALVEZ"/>
    <x v="2"/>
    <d v="1899-12-30T17:32:53"/>
    <s v="P20"/>
    <x v="0"/>
    <x v="219"/>
    <x v="219"/>
    <x v="3"/>
    <x v="0"/>
  </r>
  <r>
    <n v="16029464"/>
    <s v="VICTOR"/>
    <s v="REYES"/>
    <s v="GALVEZ"/>
    <x v="2"/>
    <d v="1899-12-30T07:02:08"/>
    <s v="P10"/>
    <x v="1"/>
    <x v="219"/>
    <x v="219"/>
    <x v="3"/>
    <x v="0"/>
  </r>
  <r>
    <n v="16029464"/>
    <s v="VICTOR"/>
    <s v="REYES"/>
    <s v="GALVEZ"/>
    <x v="3"/>
    <d v="1899-12-30T19:27:44"/>
    <s v="P20"/>
    <x v="0"/>
    <x v="219"/>
    <x v="219"/>
    <x v="3"/>
    <x v="0"/>
  </r>
  <r>
    <n v="16029464"/>
    <s v="VICTOR"/>
    <s v="REYES"/>
    <s v="GALVEZ"/>
    <x v="3"/>
    <d v="1899-12-30T07:02:41"/>
    <s v="P10"/>
    <x v="1"/>
    <x v="219"/>
    <x v="219"/>
    <x v="3"/>
    <x v="0"/>
  </r>
  <r>
    <n v="16029464"/>
    <s v="VICTOR"/>
    <s v="REYES"/>
    <s v="GALVEZ"/>
    <x v="4"/>
    <d v="1899-12-30T17:35:47"/>
    <s v="P20"/>
    <x v="0"/>
    <x v="219"/>
    <x v="219"/>
    <x v="3"/>
    <x v="0"/>
  </r>
  <r>
    <n v="16029464"/>
    <s v="VICTOR"/>
    <s v="REYES"/>
    <s v="GALVEZ"/>
    <x v="4"/>
    <d v="1899-12-30T07:03:12"/>
    <s v="P10"/>
    <x v="1"/>
    <x v="219"/>
    <x v="219"/>
    <x v="3"/>
    <x v="0"/>
  </r>
  <r>
    <n v="16031949"/>
    <s v="JONATHAN JESUS"/>
    <s v="ESPINOZA"/>
    <s v="MORENO"/>
    <x v="0"/>
    <d v="1899-12-30T15:20:16"/>
    <s v="P20"/>
    <x v="0"/>
    <x v="220"/>
    <x v="220"/>
    <x v="4"/>
    <x v="2"/>
  </r>
  <r>
    <n v="16031949"/>
    <s v="JONATHAN JESUS"/>
    <s v="ESPINOZA"/>
    <s v="MORENO"/>
    <x v="0"/>
    <d v="1899-12-30T07:05:51"/>
    <s v="P10"/>
    <x v="1"/>
    <x v="220"/>
    <x v="220"/>
    <x v="4"/>
    <x v="2"/>
  </r>
  <r>
    <n v="16031949"/>
    <s v="JONATHAN JESUS"/>
    <s v="ESPINOZA"/>
    <s v="MORENO"/>
    <x v="1"/>
    <d v="1899-12-30T15:19:39"/>
    <s v="P20"/>
    <x v="0"/>
    <x v="220"/>
    <x v="220"/>
    <x v="4"/>
    <x v="2"/>
  </r>
  <r>
    <n v="16031949"/>
    <s v="JONATHAN JESUS"/>
    <s v="ESPINOZA"/>
    <s v="MORENO"/>
    <x v="1"/>
    <d v="1899-12-30T07:10:57"/>
    <s v="P10"/>
    <x v="1"/>
    <x v="220"/>
    <x v="220"/>
    <x v="4"/>
    <x v="2"/>
  </r>
  <r>
    <n v="16031949"/>
    <s v="JONATHAN JESUS"/>
    <s v="ESPINOZA"/>
    <s v="MORENO"/>
    <x v="2"/>
    <d v="1899-12-30T15:19:31"/>
    <s v="P20"/>
    <x v="0"/>
    <x v="220"/>
    <x v="220"/>
    <x v="4"/>
    <x v="2"/>
  </r>
  <r>
    <n v="16031949"/>
    <s v="JONATHAN JESUS"/>
    <s v="ESPINOZA"/>
    <s v="MORENO"/>
    <x v="2"/>
    <d v="1899-12-30T07:00:14"/>
    <s v="P10"/>
    <x v="1"/>
    <x v="220"/>
    <x v="220"/>
    <x v="4"/>
    <x v="2"/>
  </r>
  <r>
    <n v="16031949"/>
    <s v="JONATHAN JESUS"/>
    <s v="ESPINOZA"/>
    <s v="MORENO"/>
    <x v="3"/>
    <d v="1899-12-30T15:16:42"/>
    <s v="P20"/>
    <x v="0"/>
    <x v="220"/>
    <x v="220"/>
    <x v="4"/>
    <x v="2"/>
  </r>
  <r>
    <n v="16031949"/>
    <s v="JONATHAN JESUS"/>
    <s v="ESPINOZA"/>
    <s v="MORENO"/>
    <x v="3"/>
    <d v="1899-12-30T07:06:06"/>
    <s v="P10"/>
    <x v="1"/>
    <x v="220"/>
    <x v="220"/>
    <x v="4"/>
    <x v="2"/>
  </r>
  <r>
    <n v="16031949"/>
    <s v="JONATHAN JESUS"/>
    <s v="ESPINOZA"/>
    <s v="MORENO"/>
    <x v="4"/>
    <d v="1899-12-30T15:19:20"/>
    <s v="P20"/>
    <x v="0"/>
    <x v="220"/>
    <x v="220"/>
    <x v="4"/>
    <x v="2"/>
  </r>
  <r>
    <n v="16031949"/>
    <s v="JONATHAN JESUS"/>
    <s v="ESPINOZA"/>
    <s v="MORENO"/>
    <x v="4"/>
    <d v="1899-12-30T07:04:09"/>
    <s v="P10"/>
    <x v="1"/>
    <x v="220"/>
    <x v="220"/>
    <x v="4"/>
    <x v="2"/>
  </r>
  <r>
    <n v="16132065"/>
    <s v="EMERSON"/>
    <s v="GALLARDO"/>
    <s v="LUCERO"/>
    <x v="0"/>
    <d v="1899-12-30T23:02:20"/>
    <s v="P20"/>
    <x v="0"/>
    <x v="221"/>
    <x v="221"/>
    <x v="0"/>
    <x v="0"/>
  </r>
  <r>
    <n v="16132065"/>
    <s v="EMERSON"/>
    <s v="GALLARDO"/>
    <s v="LUCERO"/>
    <x v="0"/>
    <d v="1899-12-30T14:57:42"/>
    <s v="P10"/>
    <x v="1"/>
    <x v="221"/>
    <x v="221"/>
    <x v="0"/>
    <x v="0"/>
  </r>
  <r>
    <n v="16132065"/>
    <s v="EMERSON"/>
    <s v="GALLARDO"/>
    <s v="LUCERO"/>
    <x v="1"/>
    <d v="1899-12-30T22:03:43"/>
    <s v="P20"/>
    <x v="0"/>
    <x v="221"/>
    <x v="221"/>
    <x v="0"/>
    <x v="0"/>
  </r>
  <r>
    <n v="16132065"/>
    <s v="EMERSON"/>
    <s v="GALLARDO"/>
    <s v="LUCERO"/>
    <x v="1"/>
    <d v="1899-12-30T14:39:38"/>
    <s v="P10"/>
    <x v="1"/>
    <x v="221"/>
    <x v="221"/>
    <x v="0"/>
    <x v="0"/>
  </r>
  <r>
    <n v="16132065"/>
    <s v="EMERSON"/>
    <s v="GALLARDO"/>
    <s v="LUCERO"/>
    <x v="2"/>
    <d v="1899-12-30T22:31:31"/>
    <s v="P20"/>
    <x v="0"/>
    <x v="221"/>
    <x v="221"/>
    <x v="0"/>
    <x v="0"/>
  </r>
  <r>
    <n v="16132065"/>
    <s v="EMERSON"/>
    <s v="GALLARDO"/>
    <s v="LUCERO"/>
    <x v="2"/>
    <d v="1899-12-30T14:53:04"/>
    <s v="P10"/>
    <x v="1"/>
    <x v="221"/>
    <x v="221"/>
    <x v="0"/>
    <x v="0"/>
  </r>
  <r>
    <n v="16132065"/>
    <s v="EMERSON"/>
    <s v="GALLARDO"/>
    <s v="LUCERO"/>
    <x v="3"/>
    <d v="1899-12-30T22:28:43"/>
    <s v="P20"/>
    <x v="0"/>
    <x v="221"/>
    <x v="221"/>
    <x v="0"/>
    <x v="0"/>
  </r>
  <r>
    <n v="16132065"/>
    <s v="EMERSON"/>
    <s v="GALLARDO"/>
    <s v="LUCERO"/>
    <x v="3"/>
    <d v="1899-12-30T14:48:48"/>
    <s v="P10"/>
    <x v="1"/>
    <x v="221"/>
    <x v="221"/>
    <x v="0"/>
    <x v="0"/>
  </r>
  <r>
    <n v="16132065"/>
    <s v="EMERSON"/>
    <s v="GALLARDO"/>
    <s v="LUCERO"/>
    <x v="4"/>
    <d v="1899-12-30T22:38:32"/>
    <s v="P20"/>
    <x v="0"/>
    <x v="221"/>
    <x v="221"/>
    <x v="0"/>
    <x v="0"/>
  </r>
  <r>
    <n v="16132065"/>
    <s v="EMERSON"/>
    <s v="GALLARDO"/>
    <s v="LUCERO"/>
    <x v="4"/>
    <d v="1899-12-30T14:55:38"/>
    <s v="P10"/>
    <x v="1"/>
    <x v="221"/>
    <x v="221"/>
    <x v="0"/>
    <x v="0"/>
  </r>
  <r>
    <n v="16149604"/>
    <s v="RODRIGO ALEJANDRO"/>
    <s v="POBLETE"/>
    <s v="SANDOVAL"/>
    <x v="0"/>
    <d v="1899-12-30T17:10:01"/>
    <s v="P20"/>
    <x v="0"/>
    <x v="222"/>
    <x v="222"/>
    <x v="3"/>
    <x v="0"/>
  </r>
  <r>
    <n v="16149604"/>
    <s v="RODRIGO ALEJANDRO"/>
    <s v="POBLETE"/>
    <s v="SANDOVAL"/>
    <x v="0"/>
    <d v="1899-12-30T07:05:15"/>
    <s v="P10"/>
    <x v="1"/>
    <x v="222"/>
    <x v="222"/>
    <x v="3"/>
    <x v="0"/>
  </r>
  <r>
    <n v="16149604"/>
    <s v="RODRIGO ALEJANDRO"/>
    <s v="POBLETE"/>
    <s v="SANDOVAL"/>
    <x v="1"/>
    <d v="1899-12-30T17:13:02"/>
    <s v="P20"/>
    <x v="0"/>
    <x v="222"/>
    <x v="222"/>
    <x v="3"/>
    <x v="0"/>
  </r>
  <r>
    <n v="16149604"/>
    <s v="RODRIGO ALEJANDRO"/>
    <s v="POBLETE"/>
    <s v="SANDOVAL"/>
    <x v="1"/>
    <d v="1899-12-30T07:03:56"/>
    <s v="P10"/>
    <x v="1"/>
    <x v="222"/>
    <x v="222"/>
    <x v="3"/>
    <x v="0"/>
  </r>
  <r>
    <n v="16149604"/>
    <s v="RODRIGO ALEJANDRO"/>
    <s v="POBLETE"/>
    <s v="SANDOVAL"/>
    <x v="2"/>
    <d v="1899-12-30T17:35:35"/>
    <s v="P20"/>
    <x v="0"/>
    <x v="222"/>
    <x v="222"/>
    <x v="3"/>
    <x v="0"/>
  </r>
  <r>
    <n v="16149604"/>
    <s v="RODRIGO ALEJANDRO"/>
    <s v="POBLETE"/>
    <s v="SANDOVAL"/>
    <x v="2"/>
    <d v="1899-12-30T07:04:31"/>
    <s v="P10"/>
    <x v="1"/>
    <x v="222"/>
    <x v="222"/>
    <x v="3"/>
    <x v="0"/>
  </r>
  <r>
    <n v="16149604"/>
    <s v="RODRIGO ALEJANDRO"/>
    <s v="POBLETE"/>
    <s v="SANDOVAL"/>
    <x v="3"/>
    <d v="1899-12-30T17:24:56"/>
    <s v="P20"/>
    <x v="0"/>
    <x v="222"/>
    <x v="222"/>
    <x v="3"/>
    <x v="0"/>
  </r>
  <r>
    <n v="16149604"/>
    <s v="RODRIGO ALEJANDRO"/>
    <s v="POBLETE"/>
    <s v="SANDOVAL"/>
    <x v="3"/>
    <d v="1899-12-30T07:03:39"/>
    <s v="P10"/>
    <x v="1"/>
    <x v="222"/>
    <x v="222"/>
    <x v="3"/>
    <x v="0"/>
  </r>
  <r>
    <n v="16149604"/>
    <s v="RODRIGO ALEJANDRO"/>
    <s v="POBLETE"/>
    <s v="SANDOVAL"/>
    <x v="4"/>
    <d v="1899-12-30T17:34:59"/>
    <s v="P20"/>
    <x v="0"/>
    <x v="222"/>
    <x v="222"/>
    <x v="3"/>
    <x v="0"/>
  </r>
  <r>
    <n v="16149604"/>
    <s v="RODRIGO ALEJANDRO"/>
    <s v="POBLETE"/>
    <s v="SANDOVAL"/>
    <x v="4"/>
    <d v="1899-12-30T07:04:37"/>
    <s v="P10"/>
    <x v="1"/>
    <x v="222"/>
    <x v="222"/>
    <x v="3"/>
    <x v="0"/>
  </r>
  <r>
    <n v="16169301"/>
    <s v="JOSE MAURICIO"/>
    <s v="ÑANCUCHEO"/>
    <s v="MARIQUEO"/>
    <x v="0"/>
    <d v="1899-12-30T22:40:09"/>
    <s v="P20"/>
    <x v="0"/>
    <x v="223"/>
    <x v="223"/>
    <x v="0"/>
    <x v="0"/>
  </r>
  <r>
    <n v="16169301"/>
    <s v="JOSE MAURICIO"/>
    <s v="ÑANCUCHEO"/>
    <s v="MARIQUEO"/>
    <x v="0"/>
    <d v="1899-12-30T14:35:46"/>
    <s v="P10"/>
    <x v="1"/>
    <x v="223"/>
    <x v="223"/>
    <x v="0"/>
    <x v="0"/>
  </r>
  <r>
    <n v="16169301"/>
    <s v="JOSE MAURICIO"/>
    <s v="ÑANCUCHEO"/>
    <s v="MARIQUEO"/>
    <x v="1"/>
    <d v="1899-12-30T22:49:38"/>
    <s v="P20"/>
    <x v="0"/>
    <x v="223"/>
    <x v="223"/>
    <x v="0"/>
    <x v="0"/>
  </r>
  <r>
    <n v="16169301"/>
    <s v="JOSE MAURICIO"/>
    <s v="ÑANCUCHEO"/>
    <s v="MARIQUEO"/>
    <x v="1"/>
    <d v="1899-12-30T14:41:53"/>
    <s v="P10"/>
    <x v="1"/>
    <x v="223"/>
    <x v="223"/>
    <x v="0"/>
    <x v="0"/>
  </r>
  <r>
    <n v="16169301"/>
    <s v="JOSE MAURICIO"/>
    <s v="ÑANCUCHEO"/>
    <s v="MARIQUEO"/>
    <x v="2"/>
    <d v="1899-12-30T22:44:16"/>
    <s v="P20"/>
    <x v="0"/>
    <x v="223"/>
    <x v="223"/>
    <x v="0"/>
    <x v="0"/>
  </r>
  <r>
    <n v="16169301"/>
    <s v="JOSE MAURICIO"/>
    <s v="ÑANCUCHEO"/>
    <s v="MARIQUEO"/>
    <x v="2"/>
    <d v="1899-12-30T14:32:16"/>
    <s v="P10"/>
    <x v="1"/>
    <x v="223"/>
    <x v="223"/>
    <x v="0"/>
    <x v="0"/>
  </r>
  <r>
    <n v="16169301"/>
    <s v="JOSE MAURICIO"/>
    <s v="ÑANCUCHEO"/>
    <s v="MARIQUEO"/>
    <x v="3"/>
    <d v="1899-12-30T22:41:09"/>
    <s v="P20"/>
    <x v="0"/>
    <x v="223"/>
    <x v="223"/>
    <x v="0"/>
    <x v="0"/>
  </r>
  <r>
    <n v="16169301"/>
    <s v="JOSE MAURICIO"/>
    <s v="ÑANCUCHEO"/>
    <s v="MARIQUEO"/>
    <x v="3"/>
    <d v="1899-12-30T14:33:23"/>
    <s v="P10"/>
    <x v="1"/>
    <x v="223"/>
    <x v="223"/>
    <x v="0"/>
    <x v="0"/>
  </r>
  <r>
    <n v="16169301"/>
    <s v="JOSE MAURICIO"/>
    <s v="ÑANCUCHEO"/>
    <s v="MARIQUEO"/>
    <x v="4"/>
    <d v="1899-12-30T22:42:45"/>
    <s v="P20"/>
    <x v="0"/>
    <x v="223"/>
    <x v="223"/>
    <x v="0"/>
    <x v="0"/>
  </r>
  <r>
    <n v="16169301"/>
    <s v="JOSE MAURICIO"/>
    <s v="ÑANCUCHEO"/>
    <s v="MARIQUEO"/>
    <x v="4"/>
    <d v="1899-12-30T14:33:46"/>
    <s v="P10"/>
    <x v="1"/>
    <x v="223"/>
    <x v="223"/>
    <x v="0"/>
    <x v="0"/>
  </r>
  <r>
    <n v="16191666"/>
    <s v="KAREN FABIOLA"/>
    <s v="ALARCON"/>
    <s v="SILVA"/>
    <x v="0"/>
    <d v="1899-12-30T17:35:06"/>
    <s v="P20"/>
    <x v="0"/>
    <x v="224"/>
    <x v="224"/>
    <x v="4"/>
    <x v="2"/>
  </r>
  <r>
    <n v="16191666"/>
    <s v="KAREN FABIOLA"/>
    <s v="ALARCON"/>
    <s v="SILVA"/>
    <x v="0"/>
    <d v="1899-12-30T07:41:48"/>
    <s v="P10"/>
    <x v="1"/>
    <x v="224"/>
    <x v="224"/>
    <x v="4"/>
    <x v="2"/>
  </r>
  <r>
    <n v="16191666"/>
    <s v="KAREN FABIOLA"/>
    <s v="ALARCON"/>
    <s v="SILVA"/>
    <x v="2"/>
    <d v="1899-12-30T17:38:26"/>
    <s v="P20"/>
    <x v="0"/>
    <x v="224"/>
    <x v="224"/>
    <x v="4"/>
    <x v="2"/>
  </r>
  <r>
    <n v="16191666"/>
    <s v="KAREN FABIOLA"/>
    <s v="ALARCON"/>
    <s v="SILVA"/>
    <x v="2"/>
    <d v="1899-12-30T07:21:15"/>
    <s v="P10"/>
    <x v="1"/>
    <x v="224"/>
    <x v="224"/>
    <x v="4"/>
    <x v="2"/>
  </r>
  <r>
    <n v="16191666"/>
    <s v="KAREN FABIOLA"/>
    <s v="ALARCON"/>
    <s v="SILVA"/>
    <x v="3"/>
    <d v="1899-12-30T17:39:02"/>
    <s v="P20"/>
    <x v="0"/>
    <x v="224"/>
    <x v="224"/>
    <x v="4"/>
    <x v="2"/>
  </r>
  <r>
    <n v="16191666"/>
    <s v="KAREN FABIOLA"/>
    <s v="ALARCON"/>
    <s v="SILVA"/>
    <x v="3"/>
    <d v="1899-12-30T07:39:48"/>
    <s v="P10"/>
    <x v="1"/>
    <x v="224"/>
    <x v="224"/>
    <x v="4"/>
    <x v="2"/>
  </r>
  <r>
    <n v="16191666"/>
    <s v="KAREN FABIOLA"/>
    <s v="ALARCON"/>
    <s v="SILVA"/>
    <x v="4"/>
    <d v="1899-12-30T17:38:58"/>
    <s v="P20"/>
    <x v="0"/>
    <x v="224"/>
    <x v="224"/>
    <x v="4"/>
    <x v="2"/>
  </r>
  <r>
    <n v="16191666"/>
    <s v="KAREN FABIOLA"/>
    <s v="ALARCON"/>
    <s v="SILVA"/>
    <x v="4"/>
    <d v="1899-12-30T07:11:41"/>
    <s v="P10"/>
    <x v="1"/>
    <x v="224"/>
    <x v="224"/>
    <x v="4"/>
    <x v="2"/>
  </r>
  <r>
    <n v="16266817"/>
    <s v="RODRIGO ALEJANDRO"/>
    <s v="PEREZ"/>
    <s v="PADILLA"/>
    <x v="0"/>
    <d v="1899-12-30T17:26:33"/>
    <s v="P20"/>
    <x v="0"/>
    <x v="225"/>
    <x v="225"/>
    <x v="4"/>
    <x v="2"/>
  </r>
  <r>
    <n v="16266817"/>
    <s v="RODRIGO ALEJANDRO"/>
    <s v="PEREZ"/>
    <s v="PADILLA"/>
    <x v="0"/>
    <d v="1899-12-30T07:16:11"/>
    <s v="P10"/>
    <x v="1"/>
    <x v="225"/>
    <x v="225"/>
    <x v="4"/>
    <x v="2"/>
  </r>
  <r>
    <n v="16266817"/>
    <s v="RODRIGO ALEJANDRO"/>
    <s v="PEREZ"/>
    <s v="PADILLA"/>
    <x v="1"/>
    <d v="1899-12-30T15:20:10"/>
    <s v="P20"/>
    <x v="0"/>
    <x v="225"/>
    <x v="225"/>
    <x v="4"/>
    <x v="2"/>
  </r>
  <r>
    <n v="16266817"/>
    <s v="RODRIGO ALEJANDRO"/>
    <s v="PEREZ"/>
    <s v="PADILLA"/>
    <x v="1"/>
    <d v="1899-12-30T07:13:50"/>
    <s v="P10"/>
    <x v="1"/>
    <x v="225"/>
    <x v="225"/>
    <x v="4"/>
    <x v="2"/>
  </r>
  <r>
    <n v="16266817"/>
    <s v="RODRIGO ALEJANDRO"/>
    <s v="PEREZ"/>
    <s v="PADILLA"/>
    <x v="2"/>
    <d v="1899-12-30T17:30:36"/>
    <s v="P20"/>
    <x v="0"/>
    <x v="225"/>
    <x v="225"/>
    <x v="4"/>
    <x v="2"/>
  </r>
  <r>
    <n v="16266817"/>
    <s v="RODRIGO ALEJANDRO"/>
    <s v="PEREZ"/>
    <s v="PADILLA"/>
    <x v="2"/>
    <d v="1899-12-30T07:08:05"/>
    <s v="P10"/>
    <x v="1"/>
    <x v="225"/>
    <x v="225"/>
    <x v="4"/>
    <x v="2"/>
  </r>
  <r>
    <n v="16266817"/>
    <s v="RODRIGO ALEJANDRO"/>
    <s v="PEREZ"/>
    <s v="PADILLA"/>
    <x v="3"/>
    <d v="1899-12-30T15:16:30"/>
    <s v="P20"/>
    <x v="0"/>
    <x v="225"/>
    <x v="225"/>
    <x v="4"/>
    <x v="2"/>
  </r>
  <r>
    <n v="16266817"/>
    <s v="RODRIGO ALEJANDRO"/>
    <s v="PEREZ"/>
    <s v="PADILLA"/>
    <x v="3"/>
    <d v="1899-12-30T07:23:09"/>
    <s v="P10"/>
    <x v="1"/>
    <x v="225"/>
    <x v="225"/>
    <x v="4"/>
    <x v="2"/>
  </r>
  <r>
    <n v="16266817"/>
    <s v="RODRIGO ALEJANDRO"/>
    <s v="PEREZ"/>
    <s v="PADILLA"/>
    <x v="4"/>
    <d v="1899-12-30T17:37:21"/>
    <s v="P20"/>
    <x v="0"/>
    <x v="225"/>
    <x v="225"/>
    <x v="4"/>
    <x v="2"/>
  </r>
  <r>
    <n v="16266817"/>
    <s v="RODRIGO ALEJANDRO"/>
    <s v="PEREZ"/>
    <s v="PADILLA"/>
    <x v="4"/>
    <d v="1899-12-30T07:09:57"/>
    <s v="P10"/>
    <x v="1"/>
    <x v="225"/>
    <x v="225"/>
    <x v="4"/>
    <x v="2"/>
  </r>
  <r>
    <n v="16266873"/>
    <s v="CARLOS"/>
    <s v="MONTANARES"/>
    <s v="MONTANARES"/>
    <x v="0"/>
    <d v="1899-12-30T22:47:19"/>
    <s v="P20"/>
    <x v="0"/>
    <x v="226"/>
    <x v="226"/>
    <x v="0"/>
    <x v="0"/>
  </r>
  <r>
    <n v="16266873"/>
    <s v="CARLOS"/>
    <s v="MONTANARES"/>
    <s v="MONTANARES"/>
    <x v="0"/>
    <d v="1899-12-30T15:01:18"/>
    <s v="P10"/>
    <x v="1"/>
    <x v="226"/>
    <x v="226"/>
    <x v="3"/>
    <x v="0"/>
  </r>
  <r>
    <n v="16266873"/>
    <s v="CARLOS"/>
    <s v="MONTANARES"/>
    <s v="MONTANARES"/>
    <x v="2"/>
    <d v="1899-12-30T22:25:05"/>
    <s v="P20"/>
    <x v="0"/>
    <x v="226"/>
    <x v="226"/>
    <x v="1"/>
    <x v="1"/>
  </r>
  <r>
    <n v="16266873"/>
    <s v="CARLOS"/>
    <s v="MONTANARES"/>
    <s v="MONTANARES"/>
    <x v="2"/>
    <d v="1899-12-30T15:58:02"/>
    <s v="P10"/>
    <x v="1"/>
    <x v="226"/>
    <x v="226"/>
    <x v="3"/>
    <x v="0"/>
  </r>
  <r>
    <n v="16266873"/>
    <s v="CARLOS"/>
    <s v="MONTANARES"/>
    <s v="MONTANARES"/>
    <x v="3"/>
    <d v="1899-12-30T22:28:23"/>
    <s v="P20"/>
    <x v="0"/>
    <x v="226"/>
    <x v="226"/>
    <x v="1"/>
    <x v="1"/>
  </r>
  <r>
    <n v="16266873"/>
    <s v="CARLOS"/>
    <s v="MONTANARES"/>
    <s v="MONTANARES"/>
    <x v="3"/>
    <d v="1899-12-30T14:46:09"/>
    <s v="P10"/>
    <x v="1"/>
    <x v="226"/>
    <x v="226"/>
    <x v="0"/>
    <x v="0"/>
  </r>
  <r>
    <n v="16266873"/>
    <s v="CARLOS"/>
    <s v="MONTANARES"/>
    <s v="MONTANARES"/>
    <x v="4"/>
    <d v="1899-12-30T22:27:51"/>
    <s v="P20"/>
    <x v="0"/>
    <x v="226"/>
    <x v="226"/>
    <x v="1"/>
    <x v="1"/>
  </r>
  <r>
    <n v="16266873"/>
    <s v="CARLOS"/>
    <s v="MONTANARES"/>
    <s v="MONTANARES"/>
    <x v="4"/>
    <d v="1899-12-30T14:44:36"/>
    <s v="P10"/>
    <x v="1"/>
    <x v="226"/>
    <x v="226"/>
    <x v="0"/>
    <x v="0"/>
  </r>
  <r>
    <n v="16267560"/>
    <s v="BRAULIO SEBASTIAN"/>
    <s v="VICENCIO"/>
    <s v="ALVEAR"/>
    <x v="0"/>
    <d v="1899-12-30T07:49:30"/>
    <s v="P20"/>
    <x v="0"/>
    <x v="227"/>
    <x v="227"/>
    <x v="1"/>
    <x v="1"/>
  </r>
  <r>
    <n v="16267560"/>
    <s v="BRAULIO SEBASTIAN"/>
    <s v="VICENCIO"/>
    <s v="ALVEAR"/>
    <x v="0"/>
    <d v="1899-12-30T23:07:34"/>
    <s v="P10"/>
    <x v="1"/>
    <x v="227"/>
    <x v="227"/>
    <x v="0"/>
    <x v="0"/>
  </r>
  <r>
    <n v="16267560"/>
    <s v="BRAULIO SEBASTIAN"/>
    <s v="VICENCIO"/>
    <s v="ALVEAR"/>
    <x v="1"/>
    <d v="1899-12-30T07:41:17"/>
    <s v="P20"/>
    <x v="0"/>
    <x v="227"/>
    <x v="227"/>
    <x v="1"/>
    <x v="1"/>
  </r>
  <r>
    <n v="16267560"/>
    <s v="BRAULIO SEBASTIAN"/>
    <s v="VICENCIO"/>
    <s v="ALVEAR"/>
    <x v="2"/>
    <d v="1899-12-30T23:10:51"/>
    <s v="P10"/>
    <x v="1"/>
    <x v="227"/>
    <x v="227"/>
    <x v="0"/>
    <x v="0"/>
  </r>
  <r>
    <n v="16267560"/>
    <s v="BRAULIO SEBASTIAN"/>
    <s v="VICENCIO"/>
    <s v="ALVEAR"/>
    <x v="3"/>
    <d v="1899-12-30T07:42:08"/>
    <s v="P20"/>
    <x v="0"/>
    <x v="227"/>
    <x v="227"/>
    <x v="1"/>
    <x v="1"/>
  </r>
  <r>
    <n v="16267560"/>
    <s v="BRAULIO SEBASTIAN"/>
    <s v="VICENCIO"/>
    <s v="ALVEAR"/>
    <x v="3"/>
    <d v="1899-12-30T22:18:57"/>
    <s v="P10"/>
    <x v="1"/>
    <x v="227"/>
    <x v="227"/>
    <x v="1"/>
    <x v="1"/>
  </r>
  <r>
    <n v="16267560"/>
    <s v="BRAULIO SEBASTIAN"/>
    <s v="VICENCIO"/>
    <s v="ALVEAR"/>
    <x v="4"/>
    <d v="1899-12-30T07:53:59"/>
    <s v="P20"/>
    <x v="0"/>
    <x v="227"/>
    <x v="227"/>
    <x v="1"/>
    <x v="1"/>
  </r>
  <r>
    <n v="16267560"/>
    <s v="BRAULIO SEBASTIAN"/>
    <s v="VICENCIO"/>
    <s v="ALVEAR"/>
    <x v="4"/>
    <d v="1899-12-30T22:50:28"/>
    <s v="P10"/>
    <x v="1"/>
    <x v="227"/>
    <x v="227"/>
    <x v="0"/>
    <x v="0"/>
  </r>
  <r>
    <n v="16268829"/>
    <s v="ALBERTO AGUSTIN"/>
    <s v="MORALES"/>
    <s v="DIAZ"/>
    <x v="2"/>
    <d v="1899-12-30T22:08:02"/>
    <s v="P10"/>
    <x v="1"/>
    <x v="228"/>
    <x v="228"/>
    <x v="1"/>
    <x v="1"/>
  </r>
  <r>
    <n v="16268829"/>
    <s v="ALBERTO AGUSTIN"/>
    <s v="MORALES"/>
    <s v="DIAZ"/>
    <x v="3"/>
    <d v="1899-12-30T07:50:52"/>
    <s v="P20"/>
    <x v="0"/>
    <x v="228"/>
    <x v="228"/>
    <x v="1"/>
    <x v="1"/>
  </r>
  <r>
    <n v="16296340"/>
    <s v="FRANCISCO JAVIER"/>
    <s v="RIQUELME"/>
    <s v="GONZALEZ"/>
    <x v="0"/>
    <d v="1899-12-30T22:43:16"/>
    <s v="P20"/>
    <x v="0"/>
    <x v="229"/>
    <x v="229"/>
    <x v="0"/>
    <x v="0"/>
  </r>
  <r>
    <n v="16296340"/>
    <s v="FRANCISCO JAVIER"/>
    <s v="RIQUELME"/>
    <s v="GONZALEZ"/>
    <x v="0"/>
    <d v="1899-12-30T14:36:43"/>
    <s v="P10"/>
    <x v="1"/>
    <x v="229"/>
    <x v="229"/>
    <x v="0"/>
    <x v="0"/>
  </r>
  <r>
    <n v="16296340"/>
    <s v="FRANCISCO JAVIER"/>
    <s v="RIQUELME"/>
    <s v="GONZALEZ"/>
    <x v="1"/>
    <d v="1899-12-30T19:21:35"/>
    <s v="P20"/>
    <x v="0"/>
    <x v="229"/>
    <x v="229"/>
    <x v="0"/>
    <x v="0"/>
  </r>
  <r>
    <n v="16296340"/>
    <s v="FRANCISCO JAVIER"/>
    <s v="RIQUELME"/>
    <s v="GONZALEZ"/>
    <x v="1"/>
    <d v="1899-12-30T14:37:30"/>
    <s v="P10"/>
    <x v="1"/>
    <x v="229"/>
    <x v="229"/>
    <x v="0"/>
    <x v="0"/>
  </r>
  <r>
    <n v="16296340"/>
    <s v="FRANCISCO JAVIER"/>
    <s v="RIQUELME"/>
    <s v="GONZALEZ"/>
    <x v="2"/>
    <d v="1899-12-30T15:13:42"/>
    <s v="P20"/>
    <x v="0"/>
    <x v="229"/>
    <x v="229"/>
    <x v="0"/>
    <x v="0"/>
  </r>
  <r>
    <n v="16296340"/>
    <s v="FRANCISCO JAVIER"/>
    <s v="RIQUELME"/>
    <s v="GONZALEZ"/>
    <x v="2"/>
    <d v="1899-12-30T07:15:53"/>
    <s v="P10"/>
    <x v="1"/>
    <x v="229"/>
    <x v="229"/>
    <x v="0"/>
    <x v="0"/>
  </r>
  <r>
    <n v="16296340"/>
    <s v="FRANCISCO JAVIER"/>
    <s v="RIQUELME"/>
    <s v="GONZALEZ"/>
    <x v="3"/>
    <d v="1899-12-30T22:40:27"/>
    <s v="P20"/>
    <x v="0"/>
    <x v="229"/>
    <x v="229"/>
    <x v="0"/>
    <x v="0"/>
  </r>
  <r>
    <n v="16296340"/>
    <s v="FRANCISCO JAVIER"/>
    <s v="RIQUELME"/>
    <s v="GONZALEZ"/>
    <x v="3"/>
    <d v="1899-12-30T14:37:20"/>
    <s v="P10"/>
    <x v="1"/>
    <x v="229"/>
    <x v="229"/>
    <x v="0"/>
    <x v="0"/>
  </r>
  <r>
    <n v="16296340"/>
    <s v="FRANCISCO JAVIER"/>
    <s v="RIQUELME"/>
    <s v="GONZALEZ"/>
    <x v="4"/>
    <d v="1899-12-30T22:40:34"/>
    <s v="P20"/>
    <x v="0"/>
    <x v="229"/>
    <x v="229"/>
    <x v="0"/>
    <x v="0"/>
  </r>
  <r>
    <n v="16296340"/>
    <s v="FRANCISCO JAVIER"/>
    <s v="RIQUELME"/>
    <s v="GONZALEZ"/>
    <x v="4"/>
    <d v="1899-12-30T14:36:25"/>
    <s v="P10"/>
    <x v="1"/>
    <x v="229"/>
    <x v="229"/>
    <x v="0"/>
    <x v="0"/>
  </r>
  <r>
    <n v="16380050"/>
    <s v="MARCELO ALEJANDRO"/>
    <s v="FLORES"/>
    <s v="ARANDA"/>
    <x v="0"/>
    <d v="1899-12-30T15:22:13"/>
    <s v="P20"/>
    <x v="0"/>
    <x v="230"/>
    <x v="230"/>
    <x v="4"/>
    <x v="2"/>
  </r>
  <r>
    <n v="16380050"/>
    <s v="MARCELO ALEJANDRO"/>
    <s v="FLORES"/>
    <s v="ARANDA"/>
    <x v="0"/>
    <d v="1899-12-30T07:29:03"/>
    <s v="P10"/>
    <x v="1"/>
    <x v="230"/>
    <x v="230"/>
    <x v="4"/>
    <x v="2"/>
  </r>
  <r>
    <n v="16380050"/>
    <s v="MARCELO ALEJANDRO"/>
    <s v="FLORES"/>
    <s v="ARANDA"/>
    <x v="1"/>
    <d v="1899-12-30T15:27:54"/>
    <s v="P20"/>
    <x v="0"/>
    <x v="230"/>
    <x v="230"/>
    <x v="4"/>
    <x v="2"/>
  </r>
  <r>
    <n v="16380050"/>
    <s v="MARCELO ALEJANDRO"/>
    <s v="FLORES"/>
    <s v="ARANDA"/>
    <x v="1"/>
    <d v="1899-12-30T07:19:13"/>
    <s v="P10"/>
    <x v="1"/>
    <x v="230"/>
    <x v="230"/>
    <x v="4"/>
    <x v="2"/>
  </r>
  <r>
    <n v="16380050"/>
    <s v="MARCELO ALEJANDRO"/>
    <s v="FLORES"/>
    <s v="ARANDA"/>
    <x v="2"/>
    <d v="1899-12-30T15:20:14"/>
    <s v="P20"/>
    <x v="0"/>
    <x v="230"/>
    <x v="230"/>
    <x v="4"/>
    <x v="2"/>
  </r>
  <r>
    <n v="16380050"/>
    <s v="MARCELO ALEJANDRO"/>
    <s v="FLORES"/>
    <s v="ARANDA"/>
    <x v="2"/>
    <d v="1899-12-30T07:23:01"/>
    <s v="P10"/>
    <x v="1"/>
    <x v="230"/>
    <x v="230"/>
    <x v="4"/>
    <x v="2"/>
  </r>
  <r>
    <n v="16380050"/>
    <s v="MARCELO ALEJANDRO"/>
    <s v="FLORES"/>
    <s v="ARANDA"/>
    <x v="3"/>
    <d v="1899-12-30T15:12:54"/>
    <s v="P20"/>
    <x v="0"/>
    <x v="230"/>
    <x v="230"/>
    <x v="4"/>
    <x v="2"/>
  </r>
  <r>
    <n v="16380050"/>
    <s v="MARCELO ALEJANDRO"/>
    <s v="FLORES"/>
    <s v="ARANDA"/>
    <x v="3"/>
    <d v="1899-12-30T07:20:14"/>
    <s v="P10"/>
    <x v="1"/>
    <x v="230"/>
    <x v="230"/>
    <x v="4"/>
    <x v="2"/>
  </r>
  <r>
    <n v="16380050"/>
    <s v="MARCELO ALEJANDRO"/>
    <s v="FLORES"/>
    <s v="ARANDA"/>
    <x v="4"/>
    <d v="1899-12-30T15:22:19"/>
    <s v="P20"/>
    <x v="0"/>
    <x v="230"/>
    <x v="230"/>
    <x v="4"/>
    <x v="2"/>
  </r>
  <r>
    <n v="16380050"/>
    <s v="MARCELO ALEJANDRO"/>
    <s v="FLORES"/>
    <s v="ARANDA"/>
    <x v="4"/>
    <d v="1899-12-30T07:25:20"/>
    <s v="P10"/>
    <x v="1"/>
    <x v="230"/>
    <x v="230"/>
    <x v="4"/>
    <x v="2"/>
  </r>
  <r>
    <n v="16408490"/>
    <s v="JUAN MIGUEL"/>
    <s v="POZO"/>
    <s v="CAMPOS"/>
    <x v="5"/>
    <d v="1899-12-30T00:00:00"/>
    <m/>
    <x v="2"/>
    <x v="231"/>
    <x v="231"/>
    <x v="2"/>
    <x v="2"/>
  </r>
  <r>
    <n v="16413939"/>
    <s v="FABIAN"/>
    <s v="ESPINOZA"/>
    <s v="MATURANA"/>
    <x v="0"/>
    <d v="1899-12-30T22:52:32"/>
    <s v="P20"/>
    <x v="0"/>
    <x v="232"/>
    <x v="232"/>
    <x v="3"/>
    <x v="0"/>
  </r>
  <r>
    <n v="16413939"/>
    <s v="FABIAN"/>
    <s v="ESPINOZA"/>
    <s v="MATURANA"/>
    <x v="0"/>
    <d v="1899-12-30T12:20:48"/>
    <s v="P10"/>
    <x v="1"/>
    <x v="232"/>
    <x v="232"/>
    <x v="3"/>
    <x v="0"/>
  </r>
  <r>
    <n v="16413939"/>
    <s v="FABIAN"/>
    <s v="ESPINOZA"/>
    <s v="MATURANA"/>
    <x v="1"/>
    <d v="1899-12-30T22:54:12"/>
    <s v="P20"/>
    <x v="0"/>
    <x v="232"/>
    <x v="232"/>
    <x v="3"/>
    <x v="0"/>
  </r>
  <r>
    <n v="16413939"/>
    <s v="FABIAN"/>
    <s v="ESPINOZA"/>
    <s v="MATURANA"/>
    <x v="1"/>
    <d v="1899-12-30T13:04:19"/>
    <s v="P10"/>
    <x v="1"/>
    <x v="232"/>
    <x v="232"/>
    <x v="3"/>
    <x v="0"/>
  </r>
  <r>
    <n v="16413939"/>
    <s v="FABIAN"/>
    <s v="ESPINOZA"/>
    <s v="MATURANA"/>
    <x v="7"/>
    <d v="1899-12-30T23:57:07"/>
    <s v="P10"/>
    <x v="1"/>
    <x v="232"/>
    <x v="232"/>
    <x v="3"/>
    <x v="0"/>
  </r>
  <r>
    <n v="16413939"/>
    <s v="FABIAN"/>
    <s v="ESPINOZA"/>
    <s v="MATURANA"/>
    <x v="2"/>
    <d v="1899-12-30T22:39:56"/>
    <s v="P20"/>
    <x v="0"/>
    <x v="232"/>
    <x v="232"/>
    <x v="3"/>
    <x v="0"/>
  </r>
  <r>
    <n v="16413939"/>
    <s v="FABIAN"/>
    <s v="ESPINOZA"/>
    <s v="MATURANA"/>
    <x v="2"/>
    <d v="1899-12-30T11:52:29"/>
    <s v="P10"/>
    <x v="1"/>
    <x v="232"/>
    <x v="232"/>
    <x v="3"/>
    <x v="0"/>
  </r>
  <r>
    <n v="16413939"/>
    <s v="FABIAN"/>
    <s v="ESPINOZA"/>
    <s v="MATURANA"/>
    <x v="3"/>
    <d v="1899-12-30T22:55:06"/>
    <s v="P20"/>
    <x v="0"/>
    <x v="232"/>
    <x v="232"/>
    <x v="3"/>
    <x v="0"/>
  </r>
  <r>
    <n v="16413939"/>
    <s v="FABIAN"/>
    <s v="ESPINOZA"/>
    <s v="MATURANA"/>
    <x v="3"/>
    <d v="1899-12-30T13:09:08"/>
    <s v="P10"/>
    <x v="1"/>
    <x v="232"/>
    <x v="232"/>
    <x v="3"/>
    <x v="0"/>
  </r>
  <r>
    <n v="16413939"/>
    <s v="FABIAN"/>
    <s v="ESPINOZA"/>
    <s v="MATURANA"/>
    <x v="4"/>
    <d v="1899-12-30T22:51:45"/>
    <s v="P20"/>
    <x v="0"/>
    <x v="232"/>
    <x v="232"/>
    <x v="3"/>
    <x v="0"/>
  </r>
  <r>
    <n v="16413939"/>
    <s v="FABIAN"/>
    <s v="ESPINOZA"/>
    <s v="MATURANA"/>
    <x v="4"/>
    <d v="1899-12-30T12:10:02"/>
    <s v="P10"/>
    <x v="1"/>
    <x v="232"/>
    <x v="232"/>
    <x v="3"/>
    <x v="0"/>
  </r>
  <r>
    <n v="16441340"/>
    <s v="LUIS HERNAN"/>
    <s v="CACERES"/>
    <s v="ORMAZABAL"/>
    <x v="0"/>
    <d v="1899-12-30T22:33:02"/>
    <s v="P20"/>
    <x v="0"/>
    <x v="233"/>
    <x v="233"/>
    <x v="0"/>
    <x v="0"/>
  </r>
  <r>
    <n v="16441340"/>
    <s v="LUIS HERNAN"/>
    <s v="CACERES"/>
    <s v="ORMAZABAL"/>
    <x v="0"/>
    <d v="1899-12-30T14:55:28"/>
    <s v="P10"/>
    <x v="1"/>
    <x v="233"/>
    <x v="233"/>
    <x v="0"/>
    <x v="0"/>
  </r>
  <r>
    <n v="16441340"/>
    <s v="LUIS HERNAN"/>
    <s v="CACERES"/>
    <s v="ORMAZABAL"/>
    <x v="1"/>
    <d v="1899-12-30T22:33:22"/>
    <s v="P20"/>
    <x v="0"/>
    <x v="233"/>
    <x v="233"/>
    <x v="0"/>
    <x v="0"/>
  </r>
  <r>
    <n v="16441340"/>
    <s v="LUIS HERNAN"/>
    <s v="CACERES"/>
    <s v="ORMAZABAL"/>
    <x v="1"/>
    <d v="1899-12-30T14:51:23"/>
    <s v="P10"/>
    <x v="1"/>
    <x v="233"/>
    <x v="233"/>
    <x v="0"/>
    <x v="0"/>
  </r>
  <r>
    <n v="16441340"/>
    <s v="LUIS HERNAN"/>
    <s v="CACERES"/>
    <s v="ORMAZABAL"/>
    <x v="2"/>
    <d v="1899-12-30T22:25:21"/>
    <s v="P20"/>
    <x v="0"/>
    <x v="233"/>
    <x v="233"/>
    <x v="0"/>
    <x v="0"/>
  </r>
  <r>
    <n v="16441340"/>
    <s v="LUIS HERNAN"/>
    <s v="CACERES"/>
    <s v="ORMAZABAL"/>
    <x v="2"/>
    <d v="1899-12-30T14:53:26"/>
    <s v="P10"/>
    <x v="1"/>
    <x v="233"/>
    <x v="233"/>
    <x v="0"/>
    <x v="0"/>
  </r>
  <r>
    <n v="16441340"/>
    <s v="LUIS HERNAN"/>
    <s v="CACERES"/>
    <s v="ORMAZABAL"/>
    <x v="3"/>
    <d v="1899-12-30T22:27:43"/>
    <s v="P20"/>
    <x v="0"/>
    <x v="233"/>
    <x v="233"/>
    <x v="0"/>
    <x v="0"/>
  </r>
  <r>
    <n v="16441340"/>
    <s v="LUIS HERNAN"/>
    <s v="CACERES"/>
    <s v="ORMAZABAL"/>
    <x v="3"/>
    <d v="1899-12-30T14:51:45"/>
    <s v="P10"/>
    <x v="1"/>
    <x v="233"/>
    <x v="233"/>
    <x v="0"/>
    <x v="0"/>
  </r>
  <r>
    <n v="16441340"/>
    <s v="LUIS HERNAN"/>
    <s v="CACERES"/>
    <s v="ORMAZABAL"/>
    <x v="4"/>
    <d v="1899-12-30T22:30:50"/>
    <s v="P20"/>
    <x v="0"/>
    <x v="233"/>
    <x v="233"/>
    <x v="0"/>
    <x v="0"/>
  </r>
  <r>
    <n v="16441340"/>
    <s v="LUIS HERNAN"/>
    <s v="CACERES"/>
    <s v="ORMAZABAL"/>
    <x v="4"/>
    <d v="1899-12-30T14:57:27"/>
    <s v="P10"/>
    <x v="1"/>
    <x v="233"/>
    <x v="233"/>
    <x v="0"/>
    <x v="0"/>
  </r>
  <r>
    <n v="16441596"/>
    <s v="DAYANA PAULETTE"/>
    <s v="VIDAL"/>
    <s v="OTAROLA"/>
    <x v="5"/>
    <d v="1899-12-30T00:00:00"/>
    <m/>
    <x v="2"/>
    <x v="234"/>
    <x v="234"/>
    <x v="2"/>
    <x v="2"/>
  </r>
  <r>
    <n v="16478330"/>
    <s v="DAVID ALEJANDRO"/>
    <s v="ALVAREZ"/>
    <s v="CATALAN"/>
    <x v="0"/>
    <d v="1899-12-30T01:30:23"/>
    <s v="P20"/>
    <x v="0"/>
    <x v="235"/>
    <x v="235"/>
    <x v="0"/>
    <x v="0"/>
  </r>
  <r>
    <n v="16478330"/>
    <s v="DAVID ALEJANDRO"/>
    <s v="ALVAREZ"/>
    <s v="CATALAN"/>
    <x v="0"/>
    <d v="1899-12-30T15:03:12"/>
    <s v="P10"/>
    <x v="1"/>
    <x v="235"/>
    <x v="235"/>
    <x v="0"/>
    <x v="0"/>
  </r>
  <r>
    <n v="16478330"/>
    <s v="DAVID ALEJANDRO"/>
    <s v="ALVAREZ"/>
    <s v="CATALAN"/>
    <x v="1"/>
    <d v="1899-12-30T00:00:51"/>
    <s v="P20"/>
    <x v="0"/>
    <x v="235"/>
    <x v="235"/>
    <x v="0"/>
    <x v="0"/>
  </r>
  <r>
    <n v="16478330"/>
    <s v="DAVID ALEJANDRO"/>
    <s v="ALVAREZ"/>
    <s v="CATALAN"/>
    <x v="1"/>
    <d v="1899-12-30T22:11:57"/>
    <s v="P20"/>
    <x v="0"/>
    <x v="235"/>
    <x v="235"/>
    <x v="0"/>
    <x v="0"/>
  </r>
  <r>
    <n v="16478330"/>
    <s v="DAVID ALEJANDRO"/>
    <s v="ALVAREZ"/>
    <s v="CATALAN"/>
    <x v="1"/>
    <d v="1899-12-30T14:58:41"/>
    <s v="P10"/>
    <x v="1"/>
    <x v="235"/>
    <x v="235"/>
    <x v="0"/>
    <x v="0"/>
  </r>
  <r>
    <n v="16478330"/>
    <s v="DAVID ALEJANDRO"/>
    <s v="ALVAREZ"/>
    <s v="CATALAN"/>
    <x v="2"/>
    <d v="1899-12-30T23:12:24"/>
    <s v="P20"/>
    <x v="0"/>
    <x v="235"/>
    <x v="235"/>
    <x v="0"/>
    <x v="0"/>
  </r>
  <r>
    <n v="16478330"/>
    <s v="DAVID ALEJANDRO"/>
    <s v="ALVAREZ"/>
    <s v="CATALAN"/>
    <x v="2"/>
    <d v="1899-12-30T14:46:07"/>
    <s v="P10"/>
    <x v="1"/>
    <x v="235"/>
    <x v="235"/>
    <x v="0"/>
    <x v="0"/>
  </r>
  <r>
    <n v="16478330"/>
    <s v="DAVID ALEJANDRO"/>
    <s v="ALVAREZ"/>
    <s v="CATALAN"/>
    <x v="3"/>
    <d v="1899-12-30T13:57:57"/>
    <s v="P20"/>
    <x v="0"/>
    <x v="235"/>
    <x v="235"/>
    <x v="0"/>
    <x v="0"/>
  </r>
  <r>
    <n v="16478330"/>
    <s v="DAVID ALEJANDRO"/>
    <s v="ALVAREZ"/>
    <s v="CATALAN"/>
    <x v="3"/>
    <d v="1899-12-30T07:01:44"/>
    <s v="P10"/>
    <x v="1"/>
    <x v="235"/>
    <x v="235"/>
    <x v="0"/>
    <x v="0"/>
  </r>
  <r>
    <n v="16478330"/>
    <s v="DAVID ALEJANDRO"/>
    <s v="ALVAREZ"/>
    <s v="CATALAN"/>
    <x v="4"/>
    <d v="1899-12-30T15:01:29"/>
    <s v="P10"/>
    <x v="1"/>
    <x v="235"/>
    <x v="235"/>
    <x v="0"/>
    <x v="0"/>
  </r>
  <r>
    <n v="16558908"/>
    <s v="MARCELO EDUARDO"/>
    <s v="ROJAS"/>
    <s v="MUÑOZ"/>
    <x v="0"/>
    <d v="1899-12-30T15:24:19"/>
    <s v="P20"/>
    <x v="0"/>
    <x v="236"/>
    <x v="236"/>
    <x v="3"/>
    <x v="0"/>
  </r>
  <r>
    <n v="16558908"/>
    <s v="MARCELO EDUARDO"/>
    <s v="ROJAS"/>
    <s v="MUÑOZ"/>
    <x v="0"/>
    <d v="1899-12-30T07:07:52"/>
    <s v="P10"/>
    <x v="1"/>
    <x v="236"/>
    <x v="236"/>
    <x v="3"/>
    <x v="0"/>
  </r>
  <r>
    <n v="16558908"/>
    <s v="MARCELO EDUARDO"/>
    <s v="ROJAS"/>
    <s v="MUÑOZ"/>
    <x v="1"/>
    <d v="1899-12-30T15:24:02"/>
    <s v="P20"/>
    <x v="0"/>
    <x v="236"/>
    <x v="236"/>
    <x v="3"/>
    <x v="0"/>
  </r>
  <r>
    <n v="16558908"/>
    <s v="MARCELO EDUARDO"/>
    <s v="ROJAS"/>
    <s v="MUÑOZ"/>
    <x v="1"/>
    <d v="1899-12-30T07:05:01"/>
    <s v="P10"/>
    <x v="1"/>
    <x v="236"/>
    <x v="236"/>
    <x v="3"/>
    <x v="0"/>
  </r>
  <r>
    <n v="16558908"/>
    <s v="MARCELO EDUARDO"/>
    <s v="ROJAS"/>
    <s v="MUÑOZ"/>
    <x v="2"/>
    <d v="1899-12-30T15:11:41"/>
    <s v="P20"/>
    <x v="0"/>
    <x v="236"/>
    <x v="236"/>
    <x v="3"/>
    <x v="0"/>
  </r>
  <r>
    <n v="16558908"/>
    <s v="MARCELO EDUARDO"/>
    <s v="ROJAS"/>
    <s v="MUÑOZ"/>
    <x v="2"/>
    <d v="1899-12-30T07:04:48"/>
    <s v="P10"/>
    <x v="1"/>
    <x v="236"/>
    <x v="236"/>
    <x v="3"/>
    <x v="0"/>
  </r>
  <r>
    <n v="16558908"/>
    <s v="MARCELO EDUARDO"/>
    <s v="ROJAS"/>
    <s v="MUÑOZ"/>
    <x v="3"/>
    <d v="1899-12-30T15:15:34"/>
    <s v="P20"/>
    <x v="0"/>
    <x v="236"/>
    <x v="236"/>
    <x v="3"/>
    <x v="0"/>
  </r>
  <r>
    <n v="16558908"/>
    <s v="MARCELO EDUARDO"/>
    <s v="ROJAS"/>
    <s v="MUÑOZ"/>
    <x v="3"/>
    <d v="1899-12-30T07:12:53"/>
    <s v="P10"/>
    <x v="1"/>
    <x v="236"/>
    <x v="236"/>
    <x v="3"/>
    <x v="0"/>
  </r>
  <r>
    <n v="16558908"/>
    <s v="MARCELO EDUARDO"/>
    <s v="ROJAS"/>
    <s v="MUÑOZ"/>
    <x v="4"/>
    <d v="1899-12-30T15:11:34"/>
    <s v="P20"/>
    <x v="0"/>
    <x v="236"/>
    <x v="236"/>
    <x v="3"/>
    <x v="0"/>
  </r>
  <r>
    <n v="16558908"/>
    <s v="MARCELO EDUARDO"/>
    <s v="ROJAS"/>
    <s v="MUÑOZ"/>
    <x v="4"/>
    <d v="1899-12-30T07:06:11"/>
    <s v="P10"/>
    <x v="1"/>
    <x v="236"/>
    <x v="236"/>
    <x v="3"/>
    <x v="0"/>
  </r>
  <r>
    <n v="16649200"/>
    <s v="VICTOR ALFONSO"/>
    <s v="MARTINEZ"/>
    <s v="RIVERA"/>
    <x v="0"/>
    <d v="1899-12-30T22:48:10"/>
    <s v="P20"/>
    <x v="0"/>
    <x v="237"/>
    <x v="237"/>
    <x v="3"/>
    <x v="0"/>
  </r>
  <r>
    <n v="16649200"/>
    <s v="VICTOR ALFONSO"/>
    <s v="MARTINEZ"/>
    <s v="RIVERA"/>
    <x v="0"/>
    <d v="1899-12-30T12:20:57"/>
    <s v="P10"/>
    <x v="1"/>
    <x v="237"/>
    <x v="237"/>
    <x v="3"/>
    <x v="0"/>
  </r>
  <r>
    <n v="16649200"/>
    <s v="VICTOR ALFONSO"/>
    <s v="MARTINEZ"/>
    <s v="RIVERA"/>
    <x v="1"/>
    <d v="1899-12-30T22:48:23"/>
    <s v="P20"/>
    <x v="0"/>
    <x v="237"/>
    <x v="237"/>
    <x v="3"/>
    <x v="0"/>
  </r>
  <r>
    <n v="16649200"/>
    <s v="VICTOR ALFONSO"/>
    <s v="MARTINEZ"/>
    <s v="RIVERA"/>
    <x v="1"/>
    <d v="1899-12-30T12:30:17"/>
    <s v="P10"/>
    <x v="1"/>
    <x v="237"/>
    <x v="237"/>
    <x v="3"/>
    <x v="0"/>
  </r>
  <r>
    <n v="16649200"/>
    <s v="VICTOR ALFONSO"/>
    <s v="MARTINEZ"/>
    <s v="RIVERA"/>
    <x v="2"/>
    <d v="1899-12-30T22:48:33"/>
    <s v="P20"/>
    <x v="0"/>
    <x v="237"/>
    <x v="237"/>
    <x v="3"/>
    <x v="0"/>
  </r>
  <r>
    <n v="16649200"/>
    <s v="VICTOR ALFONSO"/>
    <s v="MARTINEZ"/>
    <s v="RIVERA"/>
    <x v="2"/>
    <d v="1899-12-30T12:36:39"/>
    <s v="P10"/>
    <x v="1"/>
    <x v="237"/>
    <x v="237"/>
    <x v="3"/>
    <x v="0"/>
  </r>
  <r>
    <n v="16649200"/>
    <s v="VICTOR ALFONSO"/>
    <s v="MARTINEZ"/>
    <s v="RIVERA"/>
    <x v="3"/>
    <d v="1899-12-30T22:46:21"/>
    <s v="P20"/>
    <x v="0"/>
    <x v="237"/>
    <x v="237"/>
    <x v="3"/>
    <x v="0"/>
  </r>
  <r>
    <n v="16649200"/>
    <s v="VICTOR ALFONSO"/>
    <s v="MARTINEZ"/>
    <s v="RIVERA"/>
    <x v="3"/>
    <d v="1899-12-30T11:55:33"/>
    <s v="P10"/>
    <x v="1"/>
    <x v="237"/>
    <x v="237"/>
    <x v="3"/>
    <x v="0"/>
  </r>
  <r>
    <n v="16649200"/>
    <s v="VICTOR ALFONSO"/>
    <s v="MARTINEZ"/>
    <s v="RIVERA"/>
    <x v="4"/>
    <d v="1899-12-30T22:51:08"/>
    <s v="P20"/>
    <x v="0"/>
    <x v="237"/>
    <x v="237"/>
    <x v="3"/>
    <x v="0"/>
  </r>
  <r>
    <n v="16649200"/>
    <s v="VICTOR ALFONSO"/>
    <s v="MARTINEZ"/>
    <s v="RIVERA"/>
    <x v="4"/>
    <d v="1899-12-30T12:00:55"/>
    <s v="P10"/>
    <x v="1"/>
    <x v="237"/>
    <x v="237"/>
    <x v="3"/>
    <x v="0"/>
  </r>
  <r>
    <n v="16691386"/>
    <s v="LORENZO ARTURO"/>
    <s v="SANDOVAL"/>
    <s v="ALTAMIRANO"/>
    <x v="0"/>
    <d v="1899-12-30T22:40:30"/>
    <s v="P20"/>
    <x v="0"/>
    <x v="238"/>
    <x v="238"/>
    <x v="0"/>
    <x v="0"/>
  </r>
  <r>
    <n v="16691386"/>
    <s v="LORENZO ARTURO"/>
    <s v="SANDOVAL"/>
    <s v="ALTAMIRANO"/>
    <x v="0"/>
    <d v="1899-12-30T14:37:30"/>
    <s v="P10"/>
    <x v="1"/>
    <x v="238"/>
    <x v="238"/>
    <x v="0"/>
    <x v="0"/>
  </r>
  <r>
    <n v="16691386"/>
    <s v="LORENZO ARTURO"/>
    <s v="SANDOVAL"/>
    <s v="ALTAMIRANO"/>
    <x v="1"/>
    <d v="1899-12-30T22:40:47"/>
    <s v="P20"/>
    <x v="0"/>
    <x v="238"/>
    <x v="238"/>
    <x v="0"/>
    <x v="0"/>
  </r>
  <r>
    <n v="16691386"/>
    <s v="LORENZO ARTURO"/>
    <s v="SANDOVAL"/>
    <s v="ALTAMIRANO"/>
    <x v="1"/>
    <d v="1899-12-30T14:37:44"/>
    <s v="P10"/>
    <x v="1"/>
    <x v="238"/>
    <x v="238"/>
    <x v="0"/>
    <x v="0"/>
  </r>
  <r>
    <n v="16691386"/>
    <s v="LORENZO ARTURO"/>
    <s v="SANDOVAL"/>
    <s v="ALTAMIRANO"/>
    <x v="2"/>
    <d v="1899-12-30T22:38:19"/>
    <s v="P20"/>
    <x v="0"/>
    <x v="238"/>
    <x v="238"/>
    <x v="0"/>
    <x v="0"/>
  </r>
  <r>
    <n v="16691386"/>
    <s v="LORENZO ARTURO"/>
    <s v="SANDOVAL"/>
    <s v="ALTAMIRANO"/>
    <x v="2"/>
    <d v="1899-12-30T14:34:18"/>
    <s v="P10"/>
    <x v="1"/>
    <x v="238"/>
    <x v="238"/>
    <x v="0"/>
    <x v="0"/>
  </r>
  <r>
    <n v="16691386"/>
    <s v="LORENZO ARTURO"/>
    <s v="SANDOVAL"/>
    <s v="ALTAMIRANO"/>
    <x v="3"/>
    <d v="1899-12-30T22:38:48"/>
    <s v="P20"/>
    <x v="0"/>
    <x v="238"/>
    <x v="238"/>
    <x v="0"/>
    <x v="0"/>
  </r>
  <r>
    <n v="16691386"/>
    <s v="LORENZO ARTURO"/>
    <s v="SANDOVAL"/>
    <s v="ALTAMIRANO"/>
    <x v="3"/>
    <d v="1899-12-30T14:38:04"/>
    <s v="P10"/>
    <x v="1"/>
    <x v="238"/>
    <x v="238"/>
    <x v="0"/>
    <x v="0"/>
  </r>
  <r>
    <n v="16691386"/>
    <s v="LORENZO ARTURO"/>
    <s v="SANDOVAL"/>
    <s v="ALTAMIRANO"/>
    <x v="4"/>
    <d v="1899-12-30T22:40:16"/>
    <s v="P20"/>
    <x v="0"/>
    <x v="238"/>
    <x v="238"/>
    <x v="0"/>
    <x v="0"/>
  </r>
  <r>
    <n v="16691386"/>
    <s v="LORENZO ARTURO"/>
    <s v="SANDOVAL"/>
    <s v="ALTAMIRANO"/>
    <x v="4"/>
    <d v="1899-12-30T14:36:28"/>
    <s v="P10"/>
    <x v="1"/>
    <x v="238"/>
    <x v="238"/>
    <x v="0"/>
    <x v="0"/>
  </r>
  <r>
    <n v="16695463"/>
    <s v="CAMILO ALEXANDER"/>
    <s v="CARVAJAL"/>
    <s v="APPELGREN"/>
    <x v="0"/>
    <d v="1899-12-30T22:37:02"/>
    <s v="P20"/>
    <x v="0"/>
    <x v="239"/>
    <x v="239"/>
    <x v="0"/>
    <x v="0"/>
  </r>
  <r>
    <n v="16695463"/>
    <s v="CAMILO ALEXANDER"/>
    <s v="CARVAJAL"/>
    <s v="APPELGREN"/>
    <x v="0"/>
    <d v="1899-12-30T14:55:56"/>
    <s v="P10"/>
    <x v="1"/>
    <x v="239"/>
    <x v="239"/>
    <x v="0"/>
    <x v="0"/>
  </r>
  <r>
    <n v="16695463"/>
    <s v="CAMILO ALEXANDER"/>
    <s v="CARVAJAL"/>
    <s v="APPELGREN"/>
    <x v="1"/>
    <d v="1899-12-30T23:01:30"/>
    <s v="P20"/>
    <x v="0"/>
    <x v="239"/>
    <x v="239"/>
    <x v="0"/>
    <x v="0"/>
  </r>
  <r>
    <n v="16695463"/>
    <s v="CAMILO ALEXANDER"/>
    <s v="CARVAJAL"/>
    <s v="APPELGREN"/>
    <x v="1"/>
    <d v="1899-12-30T14:53:26"/>
    <s v="P10"/>
    <x v="1"/>
    <x v="239"/>
    <x v="239"/>
    <x v="0"/>
    <x v="0"/>
  </r>
  <r>
    <n v="16695463"/>
    <s v="CAMILO ALEXANDER"/>
    <s v="CARVAJAL"/>
    <s v="APPELGREN"/>
    <x v="2"/>
    <d v="1899-12-30T22:43:08"/>
    <s v="P20"/>
    <x v="0"/>
    <x v="239"/>
    <x v="239"/>
    <x v="0"/>
    <x v="0"/>
  </r>
  <r>
    <n v="16695463"/>
    <s v="CAMILO ALEXANDER"/>
    <s v="CARVAJAL"/>
    <s v="APPELGREN"/>
    <x v="2"/>
    <d v="1899-12-30T14:53:48"/>
    <s v="P10"/>
    <x v="1"/>
    <x v="239"/>
    <x v="239"/>
    <x v="0"/>
    <x v="0"/>
  </r>
  <r>
    <n v="16695463"/>
    <s v="CAMILO ALEXANDER"/>
    <s v="CARVAJAL"/>
    <s v="APPELGREN"/>
    <x v="3"/>
    <d v="1899-12-30T22:35:21"/>
    <s v="P20"/>
    <x v="0"/>
    <x v="239"/>
    <x v="239"/>
    <x v="0"/>
    <x v="0"/>
  </r>
  <r>
    <n v="16695463"/>
    <s v="CAMILO ALEXANDER"/>
    <s v="CARVAJAL"/>
    <s v="APPELGREN"/>
    <x v="3"/>
    <d v="1899-12-30T14:49:16"/>
    <s v="P10"/>
    <x v="1"/>
    <x v="239"/>
    <x v="239"/>
    <x v="0"/>
    <x v="0"/>
  </r>
  <r>
    <n v="16695463"/>
    <s v="CAMILO ALEXANDER"/>
    <s v="CARVAJAL"/>
    <s v="APPELGREN"/>
    <x v="4"/>
    <d v="1899-12-30T22:44:49"/>
    <s v="P20"/>
    <x v="0"/>
    <x v="239"/>
    <x v="239"/>
    <x v="0"/>
    <x v="0"/>
  </r>
  <r>
    <n v="16695463"/>
    <s v="CAMILO ALEXANDER"/>
    <s v="CARVAJAL"/>
    <s v="APPELGREN"/>
    <x v="4"/>
    <d v="1899-12-30T14:54:06"/>
    <s v="P10"/>
    <x v="1"/>
    <x v="239"/>
    <x v="239"/>
    <x v="0"/>
    <x v="0"/>
  </r>
  <r>
    <n v="16697450"/>
    <s v="NATALIA BELEN"/>
    <s v="REYES"/>
    <s v="ESPINOZA"/>
    <x v="0"/>
    <d v="1899-12-30T15:42:52"/>
    <s v="P20"/>
    <x v="0"/>
    <x v="240"/>
    <x v="240"/>
    <x v="4"/>
    <x v="2"/>
  </r>
  <r>
    <n v="16697450"/>
    <s v="NATALIA BELEN"/>
    <s v="REYES"/>
    <s v="ESPINOZA"/>
    <x v="0"/>
    <d v="1899-12-30T07:19:13"/>
    <s v="P10"/>
    <x v="1"/>
    <x v="240"/>
    <x v="240"/>
    <x v="4"/>
    <x v="2"/>
  </r>
  <r>
    <n v="16697450"/>
    <s v="NATALIA BELEN"/>
    <s v="REYES"/>
    <s v="ESPINOZA"/>
    <x v="2"/>
    <d v="1899-12-30T19:49:30"/>
    <s v="P20"/>
    <x v="0"/>
    <x v="240"/>
    <x v="240"/>
    <x v="4"/>
    <x v="2"/>
  </r>
  <r>
    <n v="16697450"/>
    <s v="NATALIA BELEN"/>
    <s v="REYES"/>
    <s v="ESPINOZA"/>
    <x v="2"/>
    <d v="1899-12-30T10:12:52"/>
    <s v="P10"/>
    <x v="1"/>
    <x v="240"/>
    <x v="240"/>
    <x v="4"/>
    <x v="2"/>
  </r>
  <r>
    <n v="16697450"/>
    <s v="NATALIA BELEN"/>
    <s v="REYES"/>
    <s v="ESPINOZA"/>
    <x v="3"/>
    <d v="1899-12-30T15:30:02"/>
    <s v="P20"/>
    <x v="0"/>
    <x v="240"/>
    <x v="240"/>
    <x v="4"/>
    <x v="2"/>
  </r>
  <r>
    <n v="16697450"/>
    <s v="NATALIA BELEN"/>
    <s v="REYES"/>
    <s v="ESPINOZA"/>
    <x v="3"/>
    <d v="1899-12-30T07:17:52"/>
    <s v="P10"/>
    <x v="1"/>
    <x v="240"/>
    <x v="240"/>
    <x v="4"/>
    <x v="2"/>
  </r>
  <r>
    <n v="16697450"/>
    <s v="NATALIA BELEN"/>
    <s v="REYES"/>
    <s v="ESPINOZA"/>
    <x v="4"/>
    <d v="1899-12-30T15:32:21"/>
    <s v="P20"/>
    <x v="0"/>
    <x v="240"/>
    <x v="240"/>
    <x v="4"/>
    <x v="2"/>
  </r>
  <r>
    <n v="16697450"/>
    <s v="NATALIA BELEN"/>
    <s v="REYES"/>
    <s v="ESPINOZA"/>
    <x v="4"/>
    <d v="1899-12-30T07:27:04"/>
    <s v="P10"/>
    <x v="1"/>
    <x v="240"/>
    <x v="240"/>
    <x v="4"/>
    <x v="2"/>
  </r>
  <r>
    <n v="16907382"/>
    <s v="OLIVER HANS"/>
    <s v="BUGUEÑO"/>
    <s v="MEDEL"/>
    <x v="0"/>
    <d v="1899-12-30T22:47:28"/>
    <s v="P20"/>
    <x v="0"/>
    <x v="241"/>
    <x v="241"/>
    <x v="0"/>
    <x v="0"/>
  </r>
  <r>
    <n v="16907382"/>
    <s v="OLIVER HANS"/>
    <s v="BUGUEÑO"/>
    <s v="MEDEL"/>
    <x v="0"/>
    <d v="1899-12-30T12:20:52"/>
    <s v="P10"/>
    <x v="1"/>
    <x v="241"/>
    <x v="241"/>
    <x v="0"/>
    <x v="0"/>
  </r>
  <r>
    <n v="16907382"/>
    <s v="OLIVER HANS"/>
    <s v="BUGUEÑO"/>
    <s v="MEDEL"/>
    <x v="1"/>
    <d v="1899-12-30T22:44:41"/>
    <s v="P20"/>
    <x v="0"/>
    <x v="241"/>
    <x v="241"/>
    <x v="0"/>
    <x v="0"/>
  </r>
  <r>
    <n v="16907382"/>
    <s v="OLIVER HANS"/>
    <s v="BUGUEÑO"/>
    <s v="MEDEL"/>
    <x v="1"/>
    <d v="1899-12-30T12:31:27"/>
    <s v="P10"/>
    <x v="1"/>
    <x v="241"/>
    <x v="241"/>
    <x v="0"/>
    <x v="0"/>
  </r>
  <r>
    <n v="16907382"/>
    <s v="OLIVER HANS"/>
    <s v="BUGUEÑO"/>
    <s v="MEDEL"/>
    <x v="2"/>
    <d v="1899-12-30T22:46:03"/>
    <s v="P20"/>
    <x v="0"/>
    <x v="241"/>
    <x v="241"/>
    <x v="0"/>
    <x v="0"/>
  </r>
  <r>
    <n v="16907382"/>
    <s v="OLIVER HANS"/>
    <s v="BUGUEÑO"/>
    <s v="MEDEL"/>
    <x v="2"/>
    <d v="1899-12-30T12:36:45"/>
    <s v="P10"/>
    <x v="1"/>
    <x v="241"/>
    <x v="241"/>
    <x v="0"/>
    <x v="0"/>
  </r>
  <r>
    <n v="16907382"/>
    <s v="OLIVER HANS"/>
    <s v="BUGUEÑO"/>
    <s v="MEDEL"/>
    <x v="3"/>
    <d v="1899-12-30T22:47:32"/>
    <s v="P20"/>
    <x v="0"/>
    <x v="241"/>
    <x v="241"/>
    <x v="0"/>
    <x v="0"/>
  </r>
  <r>
    <n v="16907382"/>
    <s v="OLIVER HANS"/>
    <s v="BUGUEÑO"/>
    <s v="MEDEL"/>
    <x v="3"/>
    <d v="1899-12-30T11:55:27"/>
    <s v="P10"/>
    <x v="1"/>
    <x v="241"/>
    <x v="241"/>
    <x v="0"/>
    <x v="0"/>
  </r>
  <r>
    <n v="16907382"/>
    <s v="OLIVER HANS"/>
    <s v="BUGUEÑO"/>
    <s v="MEDEL"/>
    <x v="4"/>
    <d v="1899-12-30T22:50:59"/>
    <s v="P20"/>
    <x v="0"/>
    <x v="241"/>
    <x v="241"/>
    <x v="0"/>
    <x v="0"/>
  </r>
  <r>
    <n v="16907382"/>
    <s v="OLIVER HANS"/>
    <s v="BUGUEÑO"/>
    <s v="MEDEL"/>
    <x v="4"/>
    <d v="1899-12-30T12:00:59"/>
    <s v="P10"/>
    <x v="1"/>
    <x v="241"/>
    <x v="241"/>
    <x v="0"/>
    <x v="0"/>
  </r>
  <r>
    <n v="17002272"/>
    <s v="JUAN DIEGO ALEXIS"/>
    <s v="GARCES"/>
    <s v="MUÑOZ"/>
    <x v="0"/>
    <d v="1899-12-30T14:06:26"/>
    <s v="P20"/>
    <x v="0"/>
    <x v="242"/>
    <x v="242"/>
    <x v="4"/>
    <x v="2"/>
  </r>
  <r>
    <n v="17002272"/>
    <s v="JUAN DIEGO ALEXIS"/>
    <s v="GARCES"/>
    <s v="MUÑOZ"/>
    <x v="0"/>
    <d v="1899-12-30T07:38:02"/>
    <s v="P10"/>
    <x v="1"/>
    <x v="242"/>
    <x v="242"/>
    <x v="4"/>
    <x v="2"/>
  </r>
  <r>
    <n v="17002272"/>
    <s v="JUAN DIEGO ALEXIS"/>
    <s v="GARCES"/>
    <s v="MUÑOZ"/>
    <x v="1"/>
    <d v="1899-12-30T15:21:08"/>
    <s v="P20"/>
    <x v="0"/>
    <x v="242"/>
    <x v="242"/>
    <x v="4"/>
    <x v="2"/>
  </r>
  <r>
    <n v="17002272"/>
    <s v="JUAN DIEGO ALEXIS"/>
    <s v="GARCES"/>
    <s v="MUÑOZ"/>
    <x v="1"/>
    <d v="1899-12-30T07:33:58"/>
    <s v="P10"/>
    <x v="1"/>
    <x v="242"/>
    <x v="242"/>
    <x v="4"/>
    <x v="2"/>
  </r>
  <r>
    <n v="17002272"/>
    <s v="JUAN DIEGO ALEXIS"/>
    <s v="GARCES"/>
    <s v="MUÑOZ"/>
    <x v="2"/>
    <d v="1899-12-30T15:25:53"/>
    <s v="P20"/>
    <x v="0"/>
    <x v="242"/>
    <x v="242"/>
    <x v="4"/>
    <x v="2"/>
  </r>
  <r>
    <n v="17002272"/>
    <s v="JUAN DIEGO ALEXIS"/>
    <s v="GARCES"/>
    <s v="MUÑOZ"/>
    <x v="2"/>
    <d v="1899-12-30T07:20:41"/>
    <s v="P10"/>
    <x v="1"/>
    <x v="242"/>
    <x v="242"/>
    <x v="4"/>
    <x v="2"/>
  </r>
  <r>
    <n v="17002272"/>
    <s v="JUAN DIEGO ALEXIS"/>
    <s v="GARCES"/>
    <s v="MUÑOZ"/>
    <x v="3"/>
    <d v="1899-12-30T15:23:44"/>
    <s v="P20"/>
    <x v="0"/>
    <x v="242"/>
    <x v="242"/>
    <x v="4"/>
    <x v="2"/>
  </r>
  <r>
    <n v="17002272"/>
    <s v="JUAN DIEGO ALEXIS"/>
    <s v="GARCES"/>
    <s v="MUÑOZ"/>
    <x v="3"/>
    <d v="1899-12-30T07:14:29"/>
    <s v="P10"/>
    <x v="1"/>
    <x v="242"/>
    <x v="242"/>
    <x v="4"/>
    <x v="2"/>
  </r>
  <r>
    <n v="17002272"/>
    <s v="JUAN DIEGO ALEXIS"/>
    <s v="GARCES"/>
    <s v="MUÑOZ"/>
    <x v="4"/>
    <d v="1899-12-30T15:23:11"/>
    <s v="P20"/>
    <x v="0"/>
    <x v="242"/>
    <x v="242"/>
    <x v="4"/>
    <x v="2"/>
  </r>
  <r>
    <n v="17002272"/>
    <s v="JUAN DIEGO ALEXIS"/>
    <s v="GARCES"/>
    <s v="MUÑOZ"/>
    <x v="4"/>
    <d v="1899-12-30T07:29:18"/>
    <s v="P10"/>
    <x v="1"/>
    <x v="242"/>
    <x v="242"/>
    <x v="4"/>
    <x v="2"/>
  </r>
  <r>
    <n v="17065312"/>
    <s v="ARIEL ALFREDO"/>
    <s v="GALVEZ"/>
    <s v="CERNA"/>
    <x v="0"/>
    <d v="1899-12-30T15:44:39"/>
    <s v="P20"/>
    <x v="0"/>
    <x v="243"/>
    <x v="243"/>
    <x v="3"/>
    <x v="0"/>
  </r>
  <r>
    <n v="17065312"/>
    <s v="ARIEL ALFREDO"/>
    <s v="GALVEZ"/>
    <s v="CERNA"/>
    <x v="0"/>
    <d v="1899-12-30T07:18:03"/>
    <s v="P10"/>
    <x v="1"/>
    <x v="243"/>
    <x v="243"/>
    <x v="3"/>
    <x v="0"/>
  </r>
  <r>
    <n v="17065312"/>
    <s v="ARIEL ALFREDO"/>
    <s v="GALVEZ"/>
    <s v="CERNA"/>
    <x v="1"/>
    <d v="1899-12-30T11:39:23"/>
    <s v="P20"/>
    <x v="0"/>
    <x v="243"/>
    <x v="243"/>
    <x v="2"/>
    <x v="2"/>
  </r>
  <r>
    <n v="17065312"/>
    <s v="ARIEL ALFREDO"/>
    <s v="GALVEZ"/>
    <s v="CERNA"/>
    <x v="1"/>
    <d v="1899-12-30T08:08:50"/>
    <s v="P10"/>
    <x v="1"/>
    <x v="243"/>
    <x v="243"/>
    <x v="1"/>
    <x v="1"/>
  </r>
  <r>
    <n v="17065312"/>
    <s v="ARIEL ALFREDO"/>
    <s v="GALVEZ"/>
    <s v="CERNA"/>
    <x v="2"/>
    <d v="1899-12-30T20:49:52"/>
    <s v="P20"/>
    <x v="0"/>
    <x v="243"/>
    <x v="243"/>
    <x v="2"/>
    <x v="2"/>
  </r>
  <r>
    <n v="17065312"/>
    <s v="ARIEL ALFREDO"/>
    <s v="GALVEZ"/>
    <s v="CERNA"/>
    <x v="2"/>
    <d v="1899-12-30T14:56:06"/>
    <s v="P10"/>
    <x v="1"/>
    <x v="243"/>
    <x v="243"/>
    <x v="0"/>
    <x v="0"/>
  </r>
  <r>
    <n v="17065312"/>
    <s v="ARIEL ALFREDO"/>
    <s v="GALVEZ"/>
    <s v="CERNA"/>
    <x v="3"/>
    <d v="1899-12-30T13:52:56"/>
    <s v="P20"/>
    <x v="0"/>
    <x v="243"/>
    <x v="243"/>
    <x v="2"/>
    <x v="2"/>
  </r>
  <r>
    <n v="17065312"/>
    <s v="ARIEL ALFREDO"/>
    <s v="GALVEZ"/>
    <s v="CERNA"/>
    <x v="3"/>
    <d v="1899-12-30T07:18:52"/>
    <s v="P10"/>
    <x v="1"/>
    <x v="243"/>
    <x v="243"/>
    <x v="3"/>
    <x v="0"/>
  </r>
  <r>
    <n v="17065312"/>
    <s v="ARIEL ALFREDO"/>
    <s v="GALVEZ"/>
    <s v="CERNA"/>
    <x v="4"/>
    <d v="1899-12-30T22:10:54"/>
    <s v="P20"/>
    <x v="0"/>
    <x v="243"/>
    <x v="243"/>
    <x v="1"/>
    <x v="1"/>
  </r>
  <r>
    <n v="17065312"/>
    <s v="ARIEL ALFREDO"/>
    <s v="GALVEZ"/>
    <s v="CERNA"/>
    <x v="4"/>
    <d v="1899-12-30T14:29:59"/>
    <s v="P10"/>
    <x v="1"/>
    <x v="243"/>
    <x v="243"/>
    <x v="0"/>
    <x v="0"/>
  </r>
  <r>
    <n v="17245009"/>
    <s v="RODRIGO ALEJANDRO"/>
    <s v="ROJAS"/>
    <s v="SALAMANCA"/>
    <x v="5"/>
    <d v="1899-12-30T00:00:00"/>
    <m/>
    <x v="2"/>
    <x v="244"/>
    <x v="244"/>
    <x v="4"/>
    <x v="2"/>
  </r>
  <r>
    <n v="17542884"/>
    <s v="FRANCISCO JAVIER"/>
    <s v="CASTILLO"/>
    <s v="AHUMADA"/>
    <x v="0"/>
    <d v="1899-12-30T15:25:12"/>
    <s v="P20"/>
    <x v="0"/>
    <x v="245"/>
    <x v="245"/>
    <x v="3"/>
    <x v="0"/>
  </r>
  <r>
    <n v="17542884"/>
    <s v="FRANCISCO JAVIER"/>
    <s v="CASTILLO"/>
    <s v="AHUMADA"/>
    <x v="0"/>
    <d v="1899-12-30T07:07:16"/>
    <s v="P10"/>
    <x v="1"/>
    <x v="245"/>
    <x v="245"/>
    <x v="3"/>
    <x v="0"/>
  </r>
  <r>
    <n v="17542884"/>
    <s v="FRANCISCO JAVIER"/>
    <s v="CASTILLO"/>
    <s v="AHUMADA"/>
    <x v="1"/>
    <d v="1899-12-30T15:32:00"/>
    <s v="P20"/>
    <x v="0"/>
    <x v="245"/>
    <x v="245"/>
    <x v="3"/>
    <x v="0"/>
  </r>
  <r>
    <n v="17542884"/>
    <s v="FRANCISCO JAVIER"/>
    <s v="CASTILLO"/>
    <s v="AHUMADA"/>
    <x v="1"/>
    <d v="1899-12-30T07:12:33"/>
    <s v="P10"/>
    <x v="1"/>
    <x v="245"/>
    <x v="245"/>
    <x v="3"/>
    <x v="0"/>
  </r>
  <r>
    <n v="17542884"/>
    <s v="FRANCISCO JAVIER"/>
    <s v="CASTILLO"/>
    <s v="AHUMADA"/>
    <x v="2"/>
    <d v="1899-12-30T15:23:05"/>
    <s v="P20"/>
    <x v="0"/>
    <x v="245"/>
    <x v="245"/>
    <x v="3"/>
    <x v="0"/>
  </r>
  <r>
    <n v="17542884"/>
    <s v="FRANCISCO JAVIER"/>
    <s v="CASTILLO"/>
    <s v="AHUMADA"/>
    <x v="2"/>
    <d v="1899-12-30T07:05:38"/>
    <s v="P10"/>
    <x v="1"/>
    <x v="245"/>
    <x v="245"/>
    <x v="3"/>
    <x v="0"/>
  </r>
  <r>
    <n v="17542884"/>
    <s v="FRANCISCO JAVIER"/>
    <s v="CASTILLO"/>
    <s v="AHUMADA"/>
    <x v="3"/>
    <d v="1899-12-30T15:20:56"/>
    <s v="P20"/>
    <x v="0"/>
    <x v="245"/>
    <x v="245"/>
    <x v="3"/>
    <x v="0"/>
  </r>
  <r>
    <n v="17542884"/>
    <s v="FRANCISCO JAVIER"/>
    <s v="CASTILLO"/>
    <s v="AHUMADA"/>
    <x v="3"/>
    <d v="1899-12-30T07:05:20"/>
    <s v="P10"/>
    <x v="1"/>
    <x v="245"/>
    <x v="245"/>
    <x v="3"/>
    <x v="0"/>
  </r>
  <r>
    <n v="17542884"/>
    <s v="FRANCISCO JAVIER"/>
    <s v="CASTILLO"/>
    <s v="AHUMADA"/>
    <x v="4"/>
    <d v="1899-12-30T15:23:16"/>
    <s v="P20"/>
    <x v="0"/>
    <x v="245"/>
    <x v="245"/>
    <x v="3"/>
    <x v="0"/>
  </r>
  <r>
    <n v="17542884"/>
    <s v="FRANCISCO JAVIER"/>
    <s v="CASTILLO"/>
    <s v="AHUMADA"/>
    <x v="4"/>
    <d v="1899-12-30T07:54:42"/>
    <s v="P10"/>
    <x v="1"/>
    <x v="245"/>
    <x v="245"/>
    <x v="1"/>
    <x v="1"/>
  </r>
  <r>
    <n v="17543156"/>
    <s v="FELIPE ANDRES"/>
    <s v="PALACIOS"/>
    <s v="VENEGAS"/>
    <x v="0"/>
    <d v="1899-12-30T22:48:27"/>
    <s v="P20"/>
    <x v="0"/>
    <x v="246"/>
    <x v="246"/>
    <x v="0"/>
    <x v="0"/>
  </r>
  <r>
    <n v="17543156"/>
    <s v="FELIPE ANDRES"/>
    <s v="PALACIOS"/>
    <s v="VENEGAS"/>
    <x v="0"/>
    <d v="1899-12-30T14:35:55"/>
    <s v="P10"/>
    <x v="1"/>
    <x v="246"/>
    <x v="246"/>
    <x v="0"/>
    <x v="0"/>
  </r>
  <r>
    <n v="17543156"/>
    <s v="FELIPE ANDRES"/>
    <s v="PALACIOS"/>
    <s v="VENEGAS"/>
    <x v="1"/>
    <d v="1899-12-30T22:47:12"/>
    <s v="P20"/>
    <x v="0"/>
    <x v="246"/>
    <x v="246"/>
    <x v="0"/>
    <x v="0"/>
  </r>
  <r>
    <n v="17543156"/>
    <s v="FELIPE ANDRES"/>
    <s v="PALACIOS"/>
    <s v="VENEGAS"/>
    <x v="1"/>
    <d v="1899-12-30T14:41:57"/>
    <s v="P10"/>
    <x v="1"/>
    <x v="246"/>
    <x v="246"/>
    <x v="0"/>
    <x v="0"/>
  </r>
  <r>
    <n v="17543156"/>
    <s v="FELIPE ANDRES"/>
    <s v="PALACIOS"/>
    <s v="VENEGAS"/>
    <x v="2"/>
    <d v="1899-12-30T22:47:38"/>
    <s v="P20"/>
    <x v="0"/>
    <x v="246"/>
    <x v="246"/>
    <x v="0"/>
    <x v="0"/>
  </r>
  <r>
    <n v="17543156"/>
    <s v="FELIPE ANDRES"/>
    <s v="PALACIOS"/>
    <s v="VENEGAS"/>
    <x v="2"/>
    <d v="1899-12-30T14:32:34"/>
    <s v="P10"/>
    <x v="1"/>
    <x v="246"/>
    <x v="246"/>
    <x v="0"/>
    <x v="0"/>
  </r>
  <r>
    <n v="17543156"/>
    <s v="FELIPE ANDRES"/>
    <s v="PALACIOS"/>
    <s v="VENEGAS"/>
    <x v="3"/>
    <d v="1899-12-30T22:49:15"/>
    <s v="P20"/>
    <x v="0"/>
    <x v="246"/>
    <x v="246"/>
    <x v="0"/>
    <x v="0"/>
  </r>
  <r>
    <n v="17543156"/>
    <s v="FELIPE ANDRES"/>
    <s v="PALACIOS"/>
    <s v="VENEGAS"/>
    <x v="3"/>
    <d v="1899-12-30T14:33:42"/>
    <s v="P10"/>
    <x v="1"/>
    <x v="246"/>
    <x v="246"/>
    <x v="0"/>
    <x v="0"/>
  </r>
  <r>
    <n v="17543156"/>
    <s v="FELIPE ANDRES"/>
    <s v="PALACIOS"/>
    <s v="VENEGAS"/>
    <x v="4"/>
    <d v="1899-12-30T22:48:26"/>
    <s v="P20"/>
    <x v="0"/>
    <x v="246"/>
    <x v="246"/>
    <x v="0"/>
    <x v="0"/>
  </r>
  <r>
    <n v="17543156"/>
    <s v="FELIPE ANDRES"/>
    <s v="PALACIOS"/>
    <s v="VENEGAS"/>
    <x v="4"/>
    <d v="1899-12-30T14:33:54"/>
    <s v="P10"/>
    <x v="1"/>
    <x v="246"/>
    <x v="246"/>
    <x v="0"/>
    <x v="0"/>
  </r>
  <r>
    <n v="17546614"/>
    <s v="ISAAC ELIU"/>
    <s v="MARTINEZ"/>
    <s v="ZURA"/>
    <x v="0"/>
    <d v="1899-12-30T15:08:34"/>
    <s v="P20"/>
    <x v="0"/>
    <x v="247"/>
    <x v="247"/>
    <x v="4"/>
    <x v="2"/>
  </r>
  <r>
    <n v="17546614"/>
    <s v="ISAAC ELIU"/>
    <s v="MARTINEZ"/>
    <s v="ZURA"/>
    <x v="0"/>
    <d v="1899-12-30T07:07:30"/>
    <s v="P10"/>
    <x v="1"/>
    <x v="247"/>
    <x v="247"/>
    <x v="4"/>
    <x v="2"/>
  </r>
  <r>
    <n v="17546614"/>
    <s v="ISAAC ELIU"/>
    <s v="MARTINEZ"/>
    <s v="ZURA"/>
    <x v="1"/>
    <d v="1899-12-30T14:02:49"/>
    <s v="P20"/>
    <x v="0"/>
    <x v="247"/>
    <x v="247"/>
    <x v="4"/>
    <x v="2"/>
  </r>
  <r>
    <n v="17546614"/>
    <s v="ISAAC ELIU"/>
    <s v="MARTINEZ"/>
    <s v="ZURA"/>
    <x v="1"/>
    <d v="1899-12-30T06:57:56"/>
    <s v="P10"/>
    <x v="1"/>
    <x v="247"/>
    <x v="247"/>
    <x v="4"/>
    <x v="2"/>
  </r>
  <r>
    <n v="17546614"/>
    <s v="ISAAC ELIU"/>
    <s v="MARTINEZ"/>
    <s v="ZURA"/>
    <x v="7"/>
    <d v="1899-12-30T23:24:52"/>
    <s v="P10"/>
    <x v="1"/>
    <x v="247"/>
    <x v="247"/>
    <x v="4"/>
    <x v="2"/>
  </r>
  <r>
    <n v="17546614"/>
    <s v="ISAAC ELIU"/>
    <s v="MARTINEZ"/>
    <s v="ZURA"/>
    <x v="2"/>
    <d v="1899-12-30T15:10:28"/>
    <s v="P20"/>
    <x v="0"/>
    <x v="247"/>
    <x v="247"/>
    <x v="4"/>
    <x v="2"/>
  </r>
  <r>
    <n v="17546614"/>
    <s v="ISAAC ELIU"/>
    <s v="MARTINEZ"/>
    <s v="ZURA"/>
    <x v="2"/>
    <d v="1899-12-30T07:00:06"/>
    <s v="P10"/>
    <x v="1"/>
    <x v="247"/>
    <x v="247"/>
    <x v="4"/>
    <x v="2"/>
  </r>
  <r>
    <n v="17546614"/>
    <s v="ISAAC ELIU"/>
    <s v="MARTINEZ"/>
    <s v="ZURA"/>
    <x v="3"/>
    <d v="1899-12-30T15:08:52"/>
    <s v="P20"/>
    <x v="0"/>
    <x v="247"/>
    <x v="247"/>
    <x v="4"/>
    <x v="2"/>
  </r>
  <r>
    <n v="17546614"/>
    <s v="ISAAC ELIU"/>
    <s v="MARTINEZ"/>
    <s v="ZURA"/>
    <x v="3"/>
    <d v="1899-12-30T06:58:26"/>
    <s v="P10"/>
    <x v="1"/>
    <x v="247"/>
    <x v="247"/>
    <x v="4"/>
    <x v="2"/>
  </r>
  <r>
    <n v="17546614"/>
    <s v="ISAAC ELIU"/>
    <s v="MARTINEZ"/>
    <s v="ZURA"/>
    <x v="4"/>
    <d v="1899-12-30T15:06:44"/>
    <s v="P20"/>
    <x v="0"/>
    <x v="247"/>
    <x v="247"/>
    <x v="4"/>
    <x v="2"/>
  </r>
  <r>
    <n v="17546614"/>
    <s v="ISAAC ELIU"/>
    <s v="MARTINEZ"/>
    <s v="ZURA"/>
    <x v="4"/>
    <d v="1899-12-30T07:06:02"/>
    <s v="P10"/>
    <x v="1"/>
    <x v="247"/>
    <x v="247"/>
    <x v="4"/>
    <x v="2"/>
  </r>
  <r>
    <n v="17609782"/>
    <s v="CRISTIAN DANIEL"/>
    <s v="ALVAREZ"/>
    <s v="REYES"/>
    <x v="0"/>
    <d v="1899-12-30T17:36:31"/>
    <s v="P20"/>
    <x v="0"/>
    <x v="248"/>
    <x v="248"/>
    <x v="4"/>
    <x v="2"/>
  </r>
  <r>
    <n v="17609782"/>
    <s v="CRISTIAN DANIEL"/>
    <s v="ALVAREZ"/>
    <s v="REYES"/>
    <x v="0"/>
    <d v="1899-12-30T07:46:05"/>
    <s v="P10"/>
    <x v="1"/>
    <x v="248"/>
    <x v="248"/>
    <x v="4"/>
    <x v="2"/>
  </r>
  <r>
    <n v="17609782"/>
    <s v="CRISTIAN DANIEL"/>
    <s v="ALVAREZ"/>
    <s v="REYES"/>
    <x v="2"/>
    <d v="1899-12-30T17:39:04"/>
    <s v="P20"/>
    <x v="0"/>
    <x v="248"/>
    <x v="248"/>
    <x v="4"/>
    <x v="2"/>
  </r>
  <r>
    <n v="17609782"/>
    <s v="CRISTIAN DANIEL"/>
    <s v="ALVAREZ"/>
    <s v="REYES"/>
    <x v="2"/>
    <d v="1899-12-30T07:04:18"/>
    <s v="P10"/>
    <x v="1"/>
    <x v="248"/>
    <x v="248"/>
    <x v="4"/>
    <x v="2"/>
  </r>
  <r>
    <n v="17609782"/>
    <s v="CRISTIAN DANIEL"/>
    <s v="ALVAREZ"/>
    <s v="REYES"/>
    <x v="3"/>
    <d v="1899-12-30T17:40:22"/>
    <s v="P20"/>
    <x v="0"/>
    <x v="248"/>
    <x v="248"/>
    <x v="4"/>
    <x v="2"/>
  </r>
  <r>
    <n v="17609782"/>
    <s v="CRISTIAN DANIEL"/>
    <s v="ALVAREZ"/>
    <s v="REYES"/>
    <x v="3"/>
    <d v="1899-12-30T07:39:23"/>
    <s v="P10"/>
    <x v="1"/>
    <x v="248"/>
    <x v="248"/>
    <x v="4"/>
    <x v="2"/>
  </r>
  <r>
    <n v="17609782"/>
    <s v="CRISTIAN DANIEL"/>
    <s v="ALVAREZ"/>
    <s v="REYES"/>
    <x v="4"/>
    <d v="1899-12-30T17:40:53"/>
    <s v="P20"/>
    <x v="0"/>
    <x v="248"/>
    <x v="248"/>
    <x v="4"/>
    <x v="2"/>
  </r>
  <r>
    <n v="17609782"/>
    <s v="CRISTIAN DANIEL"/>
    <s v="ALVAREZ"/>
    <s v="REYES"/>
    <x v="4"/>
    <d v="1899-12-30T07:46:02"/>
    <s v="P10"/>
    <x v="1"/>
    <x v="248"/>
    <x v="248"/>
    <x v="4"/>
    <x v="2"/>
  </r>
  <r>
    <n v="17755770"/>
    <s v="CRISTIAN EDUARDO"/>
    <s v="MEZA"/>
    <s v="MEZA"/>
    <x v="5"/>
    <d v="1899-12-30T00:00:00"/>
    <m/>
    <x v="2"/>
    <x v="249"/>
    <x v="249"/>
    <x v="2"/>
    <x v="2"/>
  </r>
  <r>
    <n v="17755770"/>
    <s v="CRISTIAN EDUARDO"/>
    <s v="MEZA"/>
    <s v="MEZA"/>
    <x v="2"/>
    <d v="1899-12-30T22:12:17"/>
    <s v="P10"/>
    <x v="1"/>
    <x v="249"/>
    <x v="249"/>
    <x v="1"/>
    <x v="1"/>
  </r>
  <r>
    <n v="17755770"/>
    <s v="CRISTIAN EDUARDO"/>
    <s v="MEZA"/>
    <s v="MEZA"/>
    <x v="3"/>
    <d v="1899-12-30T07:51:14"/>
    <s v="P20"/>
    <x v="0"/>
    <x v="249"/>
    <x v="249"/>
    <x v="1"/>
    <x v="1"/>
  </r>
  <r>
    <n v="17755770"/>
    <s v="CRISTIAN EDUARDO"/>
    <s v="MEZA"/>
    <s v="MEZA"/>
    <x v="3"/>
    <d v="1899-12-30T22:21:05"/>
    <s v="P10"/>
    <x v="1"/>
    <x v="249"/>
    <x v="249"/>
    <x v="1"/>
    <x v="1"/>
  </r>
  <r>
    <n v="17755770"/>
    <s v="CRISTIAN EDUARDO"/>
    <s v="MEZA"/>
    <s v="MEZA"/>
    <x v="4"/>
    <d v="1899-12-30T07:52:52"/>
    <s v="P20"/>
    <x v="0"/>
    <x v="249"/>
    <x v="249"/>
    <x v="1"/>
    <x v="1"/>
  </r>
  <r>
    <n v="17926694"/>
    <s v="JAEL DENNISSE"/>
    <s v="DENIS"/>
    <s v="ESCOBAR"/>
    <x v="0"/>
    <d v="1899-12-30T17:37:16"/>
    <s v="P20"/>
    <x v="0"/>
    <x v="250"/>
    <x v="250"/>
    <x v="4"/>
    <x v="2"/>
  </r>
  <r>
    <n v="17926694"/>
    <s v="JAEL DENNISSE"/>
    <s v="DENIS"/>
    <s v="ESCOBAR"/>
    <x v="0"/>
    <d v="1899-12-30T08:45:20"/>
    <s v="P10"/>
    <x v="1"/>
    <x v="250"/>
    <x v="250"/>
    <x v="4"/>
    <x v="2"/>
  </r>
  <r>
    <n v="17926694"/>
    <s v="JAEL DENNISSE"/>
    <s v="DENIS"/>
    <s v="ESCOBAR"/>
    <x v="1"/>
    <d v="1899-12-30T15:21:09"/>
    <s v="P20"/>
    <x v="0"/>
    <x v="250"/>
    <x v="250"/>
    <x v="4"/>
    <x v="2"/>
  </r>
  <r>
    <n v="17926694"/>
    <s v="JAEL DENNISSE"/>
    <s v="DENIS"/>
    <s v="ESCOBAR"/>
    <x v="1"/>
    <d v="1899-12-30T08:46:04"/>
    <s v="P10"/>
    <x v="1"/>
    <x v="250"/>
    <x v="250"/>
    <x v="4"/>
    <x v="2"/>
  </r>
  <r>
    <n v="17926694"/>
    <s v="JAEL DENNISSE"/>
    <s v="DENIS"/>
    <s v="ESCOBAR"/>
    <x v="2"/>
    <d v="1899-12-30T18:24:01"/>
    <s v="P20"/>
    <x v="0"/>
    <x v="250"/>
    <x v="250"/>
    <x v="4"/>
    <x v="2"/>
  </r>
  <r>
    <n v="17926694"/>
    <s v="JAEL DENNISSE"/>
    <s v="DENIS"/>
    <s v="ESCOBAR"/>
    <x v="2"/>
    <d v="1899-12-30T07:35:30"/>
    <s v="P10"/>
    <x v="1"/>
    <x v="250"/>
    <x v="250"/>
    <x v="4"/>
    <x v="2"/>
  </r>
  <r>
    <n v="17926694"/>
    <s v="JAEL DENNISSE"/>
    <s v="DENIS"/>
    <s v="ESCOBAR"/>
    <x v="3"/>
    <d v="1899-12-30T18:36:52"/>
    <s v="P20"/>
    <x v="0"/>
    <x v="250"/>
    <x v="250"/>
    <x v="4"/>
    <x v="2"/>
  </r>
  <r>
    <n v="17926694"/>
    <s v="JAEL DENNISSE"/>
    <s v="DENIS"/>
    <s v="ESCOBAR"/>
    <x v="3"/>
    <d v="1899-12-30T08:33:26"/>
    <s v="P10"/>
    <x v="1"/>
    <x v="250"/>
    <x v="250"/>
    <x v="4"/>
    <x v="2"/>
  </r>
  <r>
    <n v="17926694"/>
    <s v="JAEL DENNISSE"/>
    <s v="DENIS"/>
    <s v="ESCOBAR"/>
    <x v="4"/>
    <d v="1899-12-30T18:47:32"/>
    <s v="P20"/>
    <x v="0"/>
    <x v="250"/>
    <x v="250"/>
    <x v="4"/>
    <x v="2"/>
  </r>
  <r>
    <n v="17926694"/>
    <s v="JAEL DENNISSE"/>
    <s v="DENIS"/>
    <s v="ESCOBAR"/>
    <x v="4"/>
    <d v="1899-12-30T08:43:59"/>
    <s v="P10"/>
    <x v="1"/>
    <x v="250"/>
    <x v="250"/>
    <x v="4"/>
    <x v="2"/>
  </r>
  <r>
    <n v="17929108"/>
    <s v="CRISTIAN ALFREDO"/>
    <s v="DONOSO"/>
    <s v="SANTIBAÑEZ"/>
    <x v="0"/>
    <d v="1899-12-30T17:09:08"/>
    <s v="P20"/>
    <x v="0"/>
    <x v="251"/>
    <x v="251"/>
    <x v="3"/>
    <x v="0"/>
  </r>
  <r>
    <n v="17929108"/>
    <s v="CRISTIAN ALFREDO"/>
    <s v="DONOSO"/>
    <s v="SANTIBAÑEZ"/>
    <x v="0"/>
    <d v="1899-12-30T07:05:20"/>
    <s v="P10"/>
    <x v="1"/>
    <x v="251"/>
    <x v="251"/>
    <x v="3"/>
    <x v="0"/>
  </r>
  <r>
    <n v="17929108"/>
    <s v="CRISTIAN ALFREDO"/>
    <s v="DONOSO"/>
    <s v="SANTIBAÑEZ"/>
    <x v="1"/>
    <d v="1899-12-30T17:02:14"/>
    <s v="P20"/>
    <x v="0"/>
    <x v="251"/>
    <x v="251"/>
    <x v="3"/>
    <x v="0"/>
  </r>
  <r>
    <n v="17929108"/>
    <s v="CRISTIAN ALFREDO"/>
    <s v="DONOSO"/>
    <s v="SANTIBAÑEZ"/>
    <x v="1"/>
    <d v="1899-12-30T07:04:04"/>
    <s v="P10"/>
    <x v="1"/>
    <x v="251"/>
    <x v="251"/>
    <x v="3"/>
    <x v="0"/>
  </r>
  <r>
    <n v="17929108"/>
    <s v="CRISTIAN ALFREDO"/>
    <s v="DONOSO"/>
    <s v="SANTIBAÑEZ"/>
    <x v="2"/>
    <d v="1899-12-30T17:35:30"/>
    <s v="P20"/>
    <x v="0"/>
    <x v="251"/>
    <x v="251"/>
    <x v="3"/>
    <x v="0"/>
  </r>
  <r>
    <n v="17929108"/>
    <s v="CRISTIAN ALFREDO"/>
    <s v="DONOSO"/>
    <s v="SANTIBAÑEZ"/>
    <x v="2"/>
    <d v="1899-12-30T07:02:23"/>
    <s v="P10"/>
    <x v="1"/>
    <x v="251"/>
    <x v="251"/>
    <x v="3"/>
    <x v="0"/>
  </r>
  <r>
    <n v="17929108"/>
    <s v="CRISTIAN ALFREDO"/>
    <s v="DONOSO"/>
    <s v="SANTIBAÑEZ"/>
    <x v="3"/>
    <d v="1899-12-30T17:24:36"/>
    <s v="P20"/>
    <x v="0"/>
    <x v="251"/>
    <x v="251"/>
    <x v="3"/>
    <x v="0"/>
  </r>
  <r>
    <n v="17929108"/>
    <s v="CRISTIAN ALFREDO"/>
    <s v="DONOSO"/>
    <s v="SANTIBAÑEZ"/>
    <x v="3"/>
    <d v="1899-12-30T07:03:44"/>
    <s v="P10"/>
    <x v="1"/>
    <x v="251"/>
    <x v="251"/>
    <x v="3"/>
    <x v="0"/>
  </r>
  <r>
    <n v="17929108"/>
    <s v="CRISTIAN ALFREDO"/>
    <s v="DONOSO"/>
    <s v="SANTIBAÑEZ"/>
    <x v="4"/>
    <d v="1899-12-30T17:35:07"/>
    <s v="P20"/>
    <x v="0"/>
    <x v="251"/>
    <x v="251"/>
    <x v="3"/>
    <x v="0"/>
  </r>
  <r>
    <n v="17929108"/>
    <s v="CRISTIAN ALFREDO"/>
    <s v="DONOSO"/>
    <s v="SANTIBAÑEZ"/>
    <x v="4"/>
    <d v="1899-12-30T07:04:41"/>
    <s v="P10"/>
    <x v="1"/>
    <x v="251"/>
    <x v="251"/>
    <x v="3"/>
    <x v="0"/>
  </r>
  <r>
    <n v="18045411"/>
    <s v="RICARDO ANDRES"/>
    <s v="GONZALEZ"/>
    <s v="GONZALEZ"/>
    <x v="0"/>
    <d v="1899-12-30T22:46:35"/>
    <s v="P20"/>
    <x v="0"/>
    <x v="252"/>
    <x v="252"/>
    <x v="0"/>
    <x v="0"/>
  </r>
  <r>
    <n v="18045411"/>
    <s v="RICARDO ANDRES"/>
    <s v="GONZALEZ"/>
    <s v="GONZALEZ"/>
    <x v="0"/>
    <d v="1899-12-30T14:37:36"/>
    <s v="P10"/>
    <x v="1"/>
    <x v="252"/>
    <x v="252"/>
    <x v="0"/>
    <x v="0"/>
  </r>
  <r>
    <n v="18045411"/>
    <s v="RICARDO ANDRES"/>
    <s v="GONZALEZ"/>
    <s v="GONZALEZ"/>
    <x v="1"/>
    <d v="1899-12-30T22:47:01"/>
    <s v="P20"/>
    <x v="0"/>
    <x v="252"/>
    <x v="252"/>
    <x v="0"/>
    <x v="0"/>
  </r>
  <r>
    <n v="18045411"/>
    <s v="RICARDO ANDRES"/>
    <s v="GONZALEZ"/>
    <s v="GONZALEZ"/>
    <x v="1"/>
    <d v="1899-12-30T14:37:57"/>
    <s v="P10"/>
    <x v="1"/>
    <x v="252"/>
    <x v="252"/>
    <x v="0"/>
    <x v="0"/>
  </r>
  <r>
    <n v="18045411"/>
    <s v="RICARDO ANDRES"/>
    <s v="GONZALEZ"/>
    <s v="GONZALEZ"/>
    <x v="2"/>
    <d v="1899-12-30T22:47:11"/>
    <s v="P20"/>
    <x v="0"/>
    <x v="252"/>
    <x v="252"/>
    <x v="0"/>
    <x v="0"/>
  </r>
  <r>
    <n v="18045411"/>
    <s v="RICARDO ANDRES"/>
    <s v="GONZALEZ"/>
    <s v="GONZALEZ"/>
    <x v="2"/>
    <d v="1899-12-30T14:35:00"/>
    <s v="P10"/>
    <x v="1"/>
    <x v="252"/>
    <x v="252"/>
    <x v="0"/>
    <x v="0"/>
  </r>
  <r>
    <n v="18045411"/>
    <s v="RICARDO ANDRES"/>
    <s v="GONZALEZ"/>
    <s v="GONZALEZ"/>
    <x v="3"/>
    <d v="1899-12-30T22:47:08"/>
    <s v="P20"/>
    <x v="0"/>
    <x v="252"/>
    <x v="252"/>
    <x v="0"/>
    <x v="0"/>
  </r>
  <r>
    <n v="18045411"/>
    <s v="RICARDO ANDRES"/>
    <s v="GONZALEZ"/>
    <s v="GONZALEZ"/>
    <x v="3"/>
    <d v="1899-12-30T14:38:50"/>
    <s v="P10"/>
    <x v="1"/>
    <x v="252"/>
    <x v="252"/>
    <x v="0"/>
    <x v="0"/>
  </r>
  <r>
    <n v="18045411"/>
    <s v="RICARDO ANDRES"/>
    <s v="GONZALEZ"/>
    <s v="GONZALEZ"/>
    <x v="4"/>
    <d v="1899-12-30T22:49:30"/>
    <s v="P20"/>
    <x v="0"/>
    <x v="252"/>
    <x v="252"/>
    <x v="0"/>
    <x v="0"/>
  </r>
  <r>
    <n v="18045411"/>
    <s v="RICARDO ANDRES"/>
    <s v="GONZALEZ"/>
    <s v="GONZALEZ"/>
    <x v="4"/>
    <d v="1899-12-30T14:36:36"/>
    <s v="P10"/>
    <x v="1"/>
    <x v="252"/>
    <x v="252"/>
    <x v="0"/>
    <x v="0"/>
  </r>
  <r>
    <n v="18074081"/>
    <s v="MATIAS ANDRES"/>
    <s v="REYES"/>
    <s v="SERRANO"/>
    <x v="0"/>
    <d v="1899-12-30T07:41:37"/>
    <s v="P20"/>
    <x v="0"/>
    <x v="253"/>
    <x v="253"/>
    <x v="1"/>
    <x v="1"/>
  </r>
  <r>
    <n v="18074081"/>
    <s v="MATIAS ANDRES"/>
    <s v="REYES"/>
    <s v="SERRANO"/>
    <x v="2"/>
    <d v="1899-12-30T22:00:02"/>
    <s v="P10"/>
    <x v="1"/>
    <x v="253"/>
    <x v="253"/>
    <x v="1"/>
    <x v="1"/>
  </r>
  <r>
    <n v="18074081"/>
    <s v="MATIAS ANDRES"/>
    <s v="REYES"/>
    <s v="SERRANO"/>
    <x v="3"/>
    <d v="1899-12-30T07:49:46"/>
    <s v="P20"/>
    <x v="0"/>
    <x v="253"/>
    <x v="253"/>
    <x v="1"/>
    <x v="1"/>
  </r>
  <r>
    <n v="18074081"/>
    <s v="MATIAS ANDRES"/>
    <s v="REYES"/>
    <s v="SERRANO"/>
    <x v="3"/>
    <d v="1899-12-30T22:00:55"/>
    <s v="P10"/>
    <x v="1"/>
    <x v="253"/>
    <x v="253"/>
    <x v="1"/>
    <x v="1"/>
  </r>
  <r>
    <n v="18074081"/>
    <s v="MATIAS ANDRES"/>
    <s v="REYES"/>
    <s v="SERRANO"/>
    <x v="4"/>
    <d v="1899-12-30T07:44:55"/>
    <s v="P20"/>
    <x v="0"/>
    <x v="253"/>
    <x v="253"/>
    <x v="1"/>
    <x v="1"/>
  </r>
  <r>
    <n v="18074081"/>
    <s v="MATIAS ANDRES"/>
    <s v="REYES"/>
    <s v="SERRANO"/>
    <x v="4"/>
    <d v="1899-12-30T22:03:54"/>
    <s v="P10"/>
    <x v="1"/>
    <x v="253"/>
    <x v="253"/>
    <x v="1"/>
    <x v="1"/>
  </r>
  <r>
    <n v="18187438"/>
    <s v="NICOLAS FRANCISCO"/>
    <s v="GAVELO"/>
    <s v="DEVIA"/>
    <x v="0"/>
    <d v="1899-12-30T15:18:20"/>
    <s v="P20"/>
    <x v="0"/>
    <x v="254"/>
    <x v="254"/>
    <x v="3"/>
    <x v="0"/>
  </r>
  <r>
    <n v="18187438"/>
    <s v="NICOLAS FRANCISCO"/>
    <s v="GAVELO"/>
    <s v="DEVIA"/>
    <x v="0"/>
    <d v="1899-12-30T06:59:14"/>
    <s v="P10"/>
    <x v="1"/>
    <x v="254"/>
    <x v="254"/>
    <x v="3"/>
    <x v="0"/>
  </r>
  <r>
    <n v="18187438"/>
    <s v="NICOLAS FRANCISCO"/>
    <s v="GAVELO"/>
    <s v="DEVIA"/>
    <x v="1"/>
    <d v="1899-12-30T15:20:04"/>
    <s v="P20"/>
    <x v="0"/>
    <x v="254"/>
    <x v="254"/>
    <x v="3"/>
    <x v="0"/>
  </r>
  <r>
    <n v="18187438"/>
    <s v="NICOLAS FRANCISCO"/>
    <s v="GAVELO"/>
    <s v="DEVIA"/>
    <x v="1"/>
    <d v="1899-12-30T07:04:47"/>
    <s v="P10"/>
    <x v="1"/>
    <x v="254"/>
    <x v="254"/>
    <x v="3"/>
    <x v="0"/>
  </r>
  <r>
    <n v="18187438"/>
    <s v="NICOLAS FRANCISCO"/>
    <s v="GAVELO"/>
    <s v="DEVIA"/>
    <x v="2"/>
    <d v="1899-12-30T15:15:22"/>
    <s v="P20"/>
    <x v="0"/>
    <x v="254"/>
    <x v="254"/>
    <x v="3"/>
    <x v="0"/>
  </r>
  <r>
    <n v="18187438"/>
    <s v="NICOLAS FRANCISCO"/>
    <s v="GAVELO"/>
    <s v="DEVIA"/>
    <x v="2"/>
    <d v="1899-12-30T06:59:57"/>
    <s v="P10"/>
    <x v="1"/>
    <x v="254"/>
    <x v="254"/>
    <x v="3"/>
    <x v="0"/>
  </r>
  <r>
    <n v="18187438"/>
    <s v="NICOLAS FRANCISCO"/>
    <s v="GAVELO"/>
    <s v="DEVIA"/>
    <x v="3"/>
    <d v="1899-12-30T15:14:10"/>
    <s v="P20"/>
    <x v="0"/>
    <x v="254"/>
    <x v="254"/>
    <x v="3"/>
    <x v="0"/>
  </r>
  <r>
    <n v="18187438"/>
    <s v="NICOLAS FRANCISCO"/>
    <s v="GAVELO"/>
    <s v="DEVIA"/>
    <x v="3"/>
    <d v="1899-12-30T06:58:35"/>
    <s v="P10"/>
    <x v="1"/>
    <x v="254"/>
    <x v="254"/>
    <x v="3"/>
    <x v="0"/>
  </r>
  <r>
    <n v="18187438"/>
    <s v="NICOLAS FRANCISCO"/>
    <s v="GAVELO"/>
    <s v="DEVIA"/>
    <x v="4"/>
    <d v="1899-12-30T15:19:16"/>
    <s v="P20"/>
    <x v="0"/>
    <x v="254"/>
    <x v="254"/>
    <x v="3"/>
    <x v="0"/>
  </r>
  <r>
    <n v="18187438"/>
    <s v="NICOLAS FRANCISCO"/>
    <s v="GAVELO"/>
    <s v="DEVIA"/>
    <x v="4"/>
    <d v="1899-12-30T07:05:49"/>
    <s v="P10"/>
    <x v="1"/>
    <x v="254"/>
    <x v="254"/>
    <x v="3"/>
    <x v="0"/>
  </r>
  <r>
    <n v="18364293"/>
    <s v="CRISTOPHER ANDRES"/>
    <s v="ZUÑIGA"/>
    <s v="CACERES"/>
    <x v="0"/>
    <d v="1899-12-30T07:48:49"/>
    <s v="P20"/>
    <x v="0"/>
    <x v="255"/>
    <x v="255"/>
    <x v="1"/>
    <x v="1"/>
  </r>
  <r>
    <n v="18364293"/>
    <s v="CRISTOPHER ANDRES"/>
    <s v="ZUÑIGA"/>
    <s v="CACERES"/>
    <x v="0"/>
    <d v="1899-12-30T22:09:50"/>
    <s v="P10"/>
    <x v="1"/>
    <x v="255"/>
    <x v="255"/>
    <x v="1"/>
    <x v="1"/>
  </r>
  <r>
    <n v="18364293"/>
    <s v="CRISTOPHER ANDRES"/>
    <s v="ZUÑIGA"/>
    <s v="CACERES"/>
    <x v="1"/>
    <d v="1899-12-30T07:47:20"/>
    <s v="P20"/>
    <x v="0"/>
    <x v="255"/>
    <x v="255"/>
    <x v="1"/>
    <x v="1"/>
  </r>
  <r>
    <n v="18364293"/>
    <s v="CRISTOPHER ANDRES"/>
    <s v="ZUÑIGA"/>
    <s v="CACERES"/>
    <x v="2"/>
    <d v="1899-12-30T22:03:28"/>
    <s v="P10"/>
    <x v="1"/>
    <x v="255"/>
    <x v="255"/>
    <x v="1"/>
    <x v="1"/>
  </r>
  <r>
    <n v="18364293"/>
    <s v="CRISTOPHER ANDRES"/>
    <s v="ZUÑIGA"/>
    <s v="CACERES"/>
    <x v="3"/>
    <d v="1899-12-30T07:40:32"/>
    <s v="P20"/>
    <x v="0"/>
    <x v="255"/>
    <x v="255"/>
    <x v="1"/>
    <x v="1"/>
  </r>
  <r>
    <n v="18364293"/>
    <s v="CRISTOPHER ANDRES"/>
    <s v="ZUÑIGA"/>
    <s v="CACERES"/>
    <x v="3"/>
    <d v="1899-12-30T22:04:17"/>
    <s v="P10"/>
    <x v="1"/>
    <x v="255"/>
    <x v="255"/>
    <x v="1"/>
    <x v="1"/>
  </r>
  <r>
    <n v="18364293"/>
    <s v="CRISTOPHER ANDRES"/>
    <s v="ZUÑIGA"/>
    <s v="CACERES"/>
    <x v="4"/>
    <d v="1899-12-30T07:44:01"/>
    <s v="P20"/>
    <x v="0"/>
    <x v="255"/>
    <x v="255"/>
    <x v="1"/>
    <x v="1"/>
  </r>
  <r>
    <n v="18364293"/>
    <s v="CRISTOPHER ANDRES"/>
    <s v="ZUÑIGA"/>
    <s v="CACERES"/>
    <x v="4"/>
    <d v="1899-12-30T22:03:26"/>
    <s v="P10"/>
    <x v="1"/>
    <x v="255"/>
    <x v="255"/>
    <x v="1"/>
    <x v="1"/>
  </r>
  <r>
    <n v="20342651"/>
    <s v="CARLOS PATRICIO"/>
    <s v="PEREZ"/>
    <s v="SALAZAR"/>
    <x v="0"/>
    <d v="1899-12-30T07:36:27"/>
    <s v="P20"/>
    <x v="0"/>
    <x v="256"/>
    <x v="256"/>
    <x v="1"/>
    <x v="1"/>
  </r>
  <r>
    <n v="20342651"/>
    <s v="CARLOS PATRICIO"/>
    <s v="PEREZ"/>
    <s v="SALAZAR"/>
    <x v="0"/>
    <d v="1899-12-30T19:21:30"/>
    <s v="P10"/>
    <x v="1"/>
    <x v="256"/>
    <x v="256"/>
    <x v="3"/>
    <x v="0"/>
  </r>
  <r>
    <n v="20342651"/>
    <s v="CARLOS PATRICIO"/>
    <s v="PEREZ"/>
    <s v="SALAZAR"/>
    <x v="1"/>
    <d v="1899-12-30T07:32:58"/>
    <s v="P20"/>
    <x v="0"/>
    <x v="256"/>
    <x v="256"/>
    <x v="1"/>
    <x v="1"/>
  </r>
  <r>
    <n v="20342651"/>
    <s v="CARLOS PATRICIO"/>
    <s v="PEREZ"/>
    <s v="SALAZAR"/>
    <x v="6"/>
    <d v="1899-12-30T23:27:13"/>
    <s v="P10"/>
    <x v="1"/>
    <x v="256"/>
    <x v="256"/>
    <x v="0"/>
    <x v="0"/>
  </r>
  <r>
    <n v="20342651"/>
    <s v="CARLOS PATRICIO"/>
    <s v="PEREZ"/>
    <s v="SALAZAR"/>
    <x v="2"/>
    <d v="1899-12-30T07:35:53"/>
    <s v="P20"/>
    <x v="0"/>
    <x v="256"/>
    <x v="256"/>
    <x v="1"/>
    <x v="1"/>
  </r>
  <r>
    <n v="20342651"/>
    <s v="CARLOS PATRICIO"/>
    <s v="PEREZ"/>
    <s v="SALAZAR"/>
    <x v="2"/>
    <d v="1899-12-30T22:09:34"/>
    <s v="P10"/>
    <x v="1"/>
    <x v="256"/>
    <x v="256"/>
    <x v="1"/>
    <x v="1"/>
  </r>
  <r>
    <n v="20342651"/>
    <s v="CARLOS PATRICIO"/>
    <s v="PEREZ"/>
    <s v="SALAZAR"/>
    <x v="3"/>
    <d v="1899-12-30T07:33:11"/>
    <s v="P20"/>
    <x v="0"/>
    <x v="256"/>
    <x v="256"/>
    <x v="1"/>
    <x v="1"/>
  </r>
  <r>
    <n v="20342651"/>
    <s v="CARLOS PATRICIO"/>
    <s v="PEREZ"/>
    <s v="SALAZAR"/>
    <x v="3"/>
    <d v="1899-12-30T19:09:33"/>
    <s v="P10"/>
    <x v="1"/>
    <x v="256"/>
    <x v="256"/>
    <x v="3"/>
    <x v="0"/>
  </r>
  <r>
    <n v="20342651"/>
    <s v="CARLOS PATRICIO"/>
    <s v="PEREZ"/>
    <s v="SALAZAR"/>
    <x v="4"/>
    <d v="1899-12-30T07:34:16"/>
    <s v="P20"/>
    <x v="0"/>
    <x v="256"/>
    <x v="256"/>
    <x v="1"/>
    <x v="1"/>
  </r>
  <r>
    <n v="20342651"/>
    <s v="CARLOS PATRICIO"/>
    <s v="PEREZ"/>
    <s v="SALAZAR"/>
    <x v="4"/>
    <d v="1899-12-30T19:12:32"/>
    <s v="P10"/>
    <x v="1"/>
    <x v="256"/>
    <x v="256"/>
    <x v="3"/>
    <x v="0"/>
  </r>
  <r>
    <n v="21318186"/>
    <s v="CLAUDIO ALBERTO"/>
    <s v="DONOSO"/>
    <s v="ROSAS"/>
    <x v="0"/>
    <d v="1899-12-30T17:45:11"/>
    <s v="P20"/>
    <x v="0"/>
    <x v="257"/>
    <x v="257"/>
    <x v="3"/>
    <x v="0"/>
  </r>
  <r>
    <n v="21318186"/>
    <s v="CLAUDIO ALBERTO"/>
    <s v="DONOSO"/>
    <s v="ROSAS"/>
    <x v="0"/>
    <d v="1899-12-30T07:06:42"/>
    <s v="P10"/>
    <x v="1"/>
    <x v="257"/>
    <x v="257"/>
    <x v="3"/>
    <x v="0"/>
  </r>
  <r>
    <n v="21318186"/>
    <s v="CLAUDIO ALBERTO"/>
    <s v="DONOSO"/>
    <s v="ROSAS"/>
    <x v="1"/>
    <d v="1899-12-30T23:01:18"/>
    <s v="P20"/>
    <x v="0"/>
    <x v="257"/>
    <x v="257"/>
    <x v="0"/>
    <x v="0"/>
  </r>
  <r>
    <n v="21318186"/>
    <s v="CLAUDIO ALBERTO"/>
    <s v="DONOSO"/>
    <s v="ROSAS"/>
    <x v="1"/>
    <d v="1899-12-30T07:04:42"/>
    <s v="P10"/>
    <x v="1"/>
    <x v="257"/>
    <x v="257"/>
    <x v="3"/>
    <x v="0"/>
  </r>
  <r>
    <n v="21318186"/>
    <s v="CLAUDIO ALBERTO"/>
    <s v="DONOSO"/>
    <s v="ROSAS"/>
    <x v="2"/>
    <d v="1899-12-30T20:09:17"/>
    <s v="P20"/>
    <x v="0"/>
    <x v="257"/>
    <x v="257"/>
    <x v="2"/>
    <x v="2"/>
  </r>
  <r>
    <n v="21318186"/>
    <s v="CLAUDIO ALBERTO"/>
    <s v="DONOSO"/>
    <s v="ROSAS"/>
    <x v="2"/>
    <d v="1899-12-30T07:03:40"/>
    <s v="P10"/>
    <x v="1"/>
    <x v="257"/>
    <x v="257"/>
    <x v="3"/>
    <x v="0"/>
  </r>
  <r>
    <n v="21318186"/>
    <s v="CLAUDIO ALBERTO"/>
    <s v="DONOSO"/>
    <s v="ROSAS"/>
    <x v="3"/>
    <d v="1899-12-30T20:15:20"/>
    <s v="P20"/>
    <x v="0"/>
    <x v="257"/>
    <x v="257"/>
    <x v="2"/>
    <x v="2"/>
  </r>
  <r>
    <n v="21318186"/>
    <s v="CLAUDIO ALBERTO"/>
    <s v="DONOSO"/>
    <s v="ROSAS"/>
    <x v="3"/>
    <d v="1899-12-30T07:04:58"/>
    <s v="P10"/>
    <x v="1"/>
    <x v="257"/>
    <x v="257"/>
    <x v="3"/>
    <x v="0"/>
  </r>
  <r>
    <n v="21318186"/>
    <s v="CLAUDIO ALBERTO"/>
    <s v="DONOSO"/>
    <s v="ROSAS"/>
    <x v="4"/>
    <d v="1899-12-30T17:40:57"/>
    <s v="P20"/>
    <x v="0"/>
    <x v="257"/>
    <x v="257"/>
    <x v="3"/>
    <x v="0"/>
  </r>
  <r>
    <n v="21318186"/>
    <s v="CLAUDIO ALBERTO"/>
    <s v="DONOSO"/>
    <s v="ROSAS"/>
    <x v="4"/>
    <d v="1899-12-30T07:05:32"/>
    <s v="P10"/>
    <x v="1"/>
    <x v="257"/>
    <x v="257"/>
    <x v="3"/>
    <x v="0"/>
  </r>
  <r>
    <n v="21516766"/>
    <s v="LUIS"/>
    <s v="VALDEZ"/>
    <s v="WERNLI"/>
    <x v="6"/>
    <d v="1899-12-30T23:42:46"/>
    <s v="P10"/>
    <x v="1"/>
    <x v="258"/>
    <x v="258"/>
    <x v="1"/>
    <x v="1"/>
  </r>
  <r>
    <n v="21516766"/>
    <s v="LUIS"/>
    <s v="VALDEZ"/>
    <s v="WERNLI"/>
    <x v="2"/>
    <d v="1899-12-30T07:35:46"/>
    <s v="P20"/>
    <x v="0"/>
    <x v="258"/>
    <x v="258"/>
    <x v="1"/>
    <x v="1"/>
  </r>
  <r>
    <n v="22637242"/>
    <s v="MARISOL"/>
    <s v="ALVAREZ"/>
    <s v="-"/>
    <x v="0"/>
    <d v="1899-12-30T18:15:52"/>
    <s v="P20"/>
    <x v="0"/>
    <x v="259"/>
    <x v="259"/>
    <x v="3"/>
    <x v="0"/>
  </r>
  <r>
    <n v="22637242"/>
    <s v="MARISOL"/>
    <s v="ALVAREZ"/>
    <s v="-"/>
    <x v="0"/>
    <d v="1899-12-30T08:31:49"/>
    <s v="P10"/>
    <x v="1"/>
    <x v="259"/>
    <x v="259"/>
    <x v="2"/>
    <x v="2"/>
  </r>
  <r>
    <n v="22637242"/>
    <s v="MARISOL"/>
    <s v="ALVAREZ"/>
    <s v="-"/>
    <x v="2"/>
    <d v="1899-12-30T18:57:52"/>
    <s v="P20"/>
    <x v="0"/>
    <x v="259"/>
    <x v="259"/>
    <x v="3"/>
    <x v="0"/>
  </r>
  <r>
    <n v="22637242"/>
    <s v="MARISOL"/>
    <s v="ALVAREZ"/>
    <s v="-"/>
    <x v="2"/>
    <d v="1899-12-30T08:32:59"/>
    <s v="P10"/>
    <x v="1"/>
    <x v="259"/>
    <x v="259"/>
    <x v="2"/>
    <x v="2"/>
  </r>
  <r>
    <n v="22637242"/>
    <s v="MARISOL"/>
    <s v="ALVAREZ"/>
    <s v="-"/>
    <x v="3"/>
    <d v="1899-12-30T19:11:52"/>
    <s v="P20"/>
    <x v="0"/>
    <x v="259"/>
    <x v="259"/>
    <x v="3"/>
    <x v="0"/>
  </r>
  <r>
    <n v="22637242"/>
    <s v="MARISOL"/>
    <s v="ALVAREZ"/>
    <s v="-"/>
    <x v="3"/>
    <d v="1899-12-30T08:32:35"/>
    <s v="P10"/>
    <x v="1"/>
    <x v="259"/>
    <x v="259"/>
    <x v="2"/>
    <x v="2"/>
  </r>
  <r>
    <n v="22637242"/>
    <s v="MARISOL"/>
    <s v="ALVAREZ"/>
    <s v="-"/>
    <x v="4"/>
    <d v="1899-12-30T18:18:56"/>
    <s v="P20"/>
    <x v="0"/>
    <x v="259"/>
    <x v="259"/>
    <x v="3"/>
    <x v="0"/>
  </r>
  <r>
    <n v="22637242"/>
    <s v="MARISOL"/>
    <s v="ALVAREZ"/>
    <s v="-"/>
    <x v="4"/>
    <d v="1899-12-30T08:35:31"/>
    <s v="P10"/>
    <x v="1"/>
    <x v="259"/>
    <x v="259"/>
    <x v="2"/>
    <x v="2"/>
  </r>
  <r>
    <n v="23040236"/>
    <s v="SEBASTIAN"/>
    <s v="PEREZ"/>
    <s v="SALAZAR"/>
    <x v="0"/>
    <d v="1899-12-30T15:35:22"/>
    <s v="P20"/>
    <x v="0"/>
    <x v="260"/>
    <x v="260"/>
    <x v="4"/>
    <x v="2"/>
  </r>
  <r>
    <n v="23040236"/>
    <s v="SEBASTIAN"/>
    <s v="PEREZ"/>
    <s v="SALAZAR"/>
    <x v="0"/>
    <d v="1899-12-30T08:48:59"/>
    <s v="P10"/>
    <x v="1"/>
    <x v="260"/>
    <x v="260"/>
    <x v="4"/>
    <x v="2"/>
  </r>
  <r>
    <n v="23040236"/>
    <s v="SEBASTIAN"/>
    <s v="PEREZ"/>
    <s v="SALAZAR"/>
    <x v="2"/>
    <d v="1899-12-30T17:39:09"/>
    <s v="P20"/>
    <x v="0"/>
    <x v="260"/>
    <x v="260"/>
    <x v="4"/>
    <x v="2"/>
  </r>
  <r>
    <n v="23040236"/>
    <s v="SEBASTIAN"/>
    <s v="PEREZ"/>
    <s v="SALAZAR"/>
    <x v="2"/>
    <d v="1899-12-30T07:00:10"/>
    <s v="P10"/>
    <x v="1"/>
    <x v="260"/>
    <x v="260"/>
    <x v="4"/>
    <x v="2"/>
  </r>
  <r>
    <n v="23040236"/>
    <s v="SEBASTIAN"/>
    <s v="PEREZ"/>
    <s v="SALAZAR"/>
    <x v="3"/>
    <d v="1899-12-30T17:40:15"/>
    <s v="P20"/>
    <x v="0"/>
    <x v="260"/>
    <x v="260"/>
    <x v="4"/>
    <x v="2"/>
  </r>
  <r>
    <n v="23040236"/>
    <s v="SEBASTIAN"/>
    <s v="PEREZ"/>
    <s v="SALAZAR"/>
    <x v="3"/>
    <d v="1899-12-30T06:58:22"/>
    <s v="P10"/>
    <x v="1"/>
    <x v="260"/>
    <x v="260"/>
    <x v="4"/>
    <x v="2"/>
  </r>
  <r>
    <n v="23040236"/>
    <s v="SEBASTIAN"/>
    <s v="PEREZ"/>
    <s v="SALAZAR"/>
    <x v="4"/>
    <d v="1899-12-30T17:40:48"/>
    <s v="P20"/>
    <x v="0"/>
    <x v="260"/>
    <x v="260"/>
    <x v="4"/>
    <x v="2"/>
  </r>
  <r>
    <n v="23040236"/>
    <s v="SEBASTIAN"/>
    <s v="PEREZ"/>
    <s v="SALAZAR"/>
    <x v="4"/>
    <d v="1899-12-30T07:27:07"/>
    <s v="P10"/>
    <x v="1"/>
    <x v="260"/>
    <x v="260"/>
    <x v="4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1"/>
    <x v="261"/>
    <x v="2"/>
    <x v="2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  <r>
    <m/>
    <m/>
    <m/>
    <m/>
    <x v="8"/>
    <m/>
    <m/>
    <x v="2"/>
    <x v="262"/>
    <x v="262"/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compact="0" compactData="0" gridDropZones="1" multipleFieldFilters="0">
  <location ref="B6:H1186" firstHeaderRow="1" firstDataRow="2" firstDataCol="5"/>
  <pivotFields count="12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9">
        <item x="5"/>
        <item x="0"/>
        <item x="1"/>
        <item x="7"/>
        <item x="6"/>
        <item x="2"/>
        <item x="3"/>
        <item x="4"/>
        <item x="8"/>
      </items>
    </pivotField>
    <pivotField dataField="1" compact="0" outline="0" showAll="0"/>
    <pivotField compact="0" outline="0" showAll="0"/>
    <pivotField axis="axisCol" compact="0" outline="0" showAll="0">
      <items count="4">
        <item x="1"/>
        <item x="0"/>
        <item h="1" x="2"/>
        <item t="default"/>
      </items>
    </pivotField>
    <pivotField axis="axisRow" compact="0" outline="0" showAll="0" defaultSubtotal="0">
      <items count="263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8"/>
        <item x="149"/>
        <item x="150"/>
        <item x="151"/>
        <item x="152"/>
        <item x="153"/>
        <item x="154"/>
        <item x="155"/>
        <item x="147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0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5"/>
        <item x="58"/>
        <item x="79"/>
        <item x="261"/>
        <item x="262"/>
      </items>
    </pivotField>
    <pivotField axis="axisRow" compact="0" outline="0" showAll="0" defaultSubtotal="0">
      <items count="263">
        <item x="37"/>
        <item x="228"/>
        <item x="119"/>
        <item x="195"/>
        <item x="218"/>
        <item x="147"/>
        <item x="216"/>
        <item x="126"/>
        <item x="177"/>
        <item x="199"/>
        <item x="25"/>
        <item x="58"/>
        <item x="189"/>
        <item x="144"/>
        <item x="133"/>
        <item x="71"/>
        <item x="92"/>
        <item x="118"/>
        <item x="198"/>
        <item x="243"/>
        <item x="97"/>
        <item x="9"/>
        <item x="3"/>
        <item x="47"/>
        <item x="227"/>
        <item x="48"/>
        <item x="239"/>
        <item x="28"/>
        <item x="1"/>
        <item x="128"/>
        <item x="226"/>
        <item x="14"/>
        <item x="137"/>
        <item x="94"/>
        <item x="55"/>
        <item x="188"/>
        <item x="256"/>
        <item x="110"/>
        <item x="214"/>
        <item x="194"/>
        <item x="127"/>
        <item x="107"/>
        <item x="120"/>
        <item x="168"/>
        <item x="257"/>
        <item x="124"/>
        <item x="134"/>
        <item x="103"/>
        <item x="251"/>
        <item x="248"/>
        <item x="249"/>
        <item x="255"/>
        <item x="96"/>
        <item x="154"/>
        <item x="183"/>
        <item x="98"/>
        <item x="60"/>
        <item x="167"/>
        <item x="235"/>
        <item x="234"/>
        <item x="152"/>
        <item x="12"/>
        <item x="170"/>
        <item x="39"/>
        <item x="86"/>
        <item x="26"/>
        <item x="149"/>
        <item x="101"/>
        <item x="221"/>
        <item x="182"/>
        <item x="82"/>
        <item x="161"/>
        <item x="0"/>
        <item x="53"/>
        <item x="232"/>
        <item x="156"/>
        <item x="179"/>
        <item x="211"/>
        <item x="246"/>
        <item x="90"/>
        <item x="11"/>
        <item x="19"/>
        <item x="157"/>
        <item x="245"/>
        <item x="229"/>
        <item x="83"/>
        <item x="139"/>
        <item x="151"/>
        <item x="186"/>
        <item x="35"/>
        <item x="175"/>
        <item x="78"/>
        <item x="8"/>
        <item x="193"/>
        <item x="18"/>
        <item x="197"/>
        <item x="105"/>
        <item x="57"/>
        <item x="42"/>
        <item x="150"/>
        <item x="247"/>
        <item x="17"/>
        <item x="250"/>
        <item x="111"/>
        <item x="220"/>
        <item x="62"/>
        <item x="164"/>
        <item x="191"/>
        <item x="43"/>
        <item x="20"/>
        <item x="31"/>
        <item x="159"/>
        <item x="109"/>
        <item x="63"/>
        <item x="180"/>
        <item x="22"/>
        <item x="112"/>
        <item x="223"/>
        <item x="45"/>
        <item x="203"/>
        <item x="41"/>
        <item x="49"/>
        <item x="148"/>
        <item x="242"/>
        <item x="106"/>
        <item x="21"/>
        <item x="80"/>
        <item x="6"/>
        <item x="231"/>
        <item x="163"/>
        <item x="79"/>
        <item x="215"/>
        <item x="16"/>
        <item x="15"/>
        <item x="123"/>
        <item x="205"/>
        <item x="29"/>
        <item x="171"/>
        <item x="224"/>
        <item x="162"/>
        <item x="72"/>
        <item x="202"/>
        <item x="44"/>
        <item x="81"/>
        <item x="238"/>
        <item x="2"/>
        <item x="129"/>
        <item x="201"/>
        <item x="185"/>
        <item x="121"/>
        <item x="70"/>
        <item x="258"/>
        <item x="204"/>
        <item x="85"/>
        <item x="115"/>
        <item x="65"/>
        <item x="217"/>
        <item x="233"/>
        <item x="117"/>
        <item x="104"/>
        <item x="66"/>
        <item x="196"/>
        <item x="116"/>
        <item x="158"/>
        <item x="208"/>
        <item x="68"/>
        <item x="56"/>
        <item x="174"/>
        <item x="230"/>
        <item x="140"/>
        <item x="236"/>
        <item x="143"/>
        <item x="84"/>
        <item x="160"/>
        <item x="102"/>
        <item x="67"/>
        <item x="95"/>
        <item x="32"/>
        <item x="113"/>
        <item x="130"/>
        <item x="176"/>
        <item x="206"/>
        <item x="135"/>
        <item x="40"/>
        <item x="178"/>
        <item x="259"/>
        <item x="253"/>
        <item x="181"/>
        <item x="132"/>
        <item x="108"/>
        <item x="209"/>
        <item x="184"/>
        <item x="166"/>
        <item x="30"/>
        <item x="88"/>
        <item x="33"/>
        <item x="210"/>
        <item x="69"/>
        <item x="240"/>
        <item x="7"/>
        <item x="4"/>
        <item x="254"/>
        <item x="187"/>
        <item x="172"/>
        <item x="241"/>
        <item x="76"/>
        <item x="13"/>
        <item x="23"/>
        <item x="50"/>
        <item x="192"/>
        <item x="169"/>
        <item x="54"/>
        <item x="59"/>
        <item x="46"/>
        <item x="122"/>
        <item x="10"/>
        <item x="173"/>
        <item x="27"/>
        <item x="142"/>
        <item x="91"/>
        <item x="52"/>
        <item x="5"/>
        <item x="36"/>
        <item x="89"/>
        <item x="165"/>
        <item x="100"/>
        <item x="252"/>
        <item x="93"/>
        <item x="213"/>
        <item x="131"/>
        <item x="212"/>
        <item x="136"/>
        <item x="207"/>
        <item x="99"/>
        <item x="146"/>
        <item x="222"/>
        <item x="225"/>
        <item x="244"/>
        <item x="190"/>
        <item x="141"/>
        <item x="24"/>
        <item x="114"/>
        <item x="64"/>
        <item x="260"/>
        <item x="61"/>
        <item x="138"/>
        <item x="125"/>
        <item x="153"/>
        <item x="87"/>
        <item x="145"/>
        <item x="74"/>
        <item x="219"/>
        <item x="237"/>
        <item x="51"/>
        <item x="155"/>
        <item x="73"/>
        <item x="75"/>
        <item x="77"/>
        <item x="34"/>
        <item x="38"/>
        <item x="200"/>
        <item x="261"/>
        <item x="262"/>
      </items>
    </pivotField>
    <pivotField axis="axisRow" compact="0" outline="0" showAll="0" defaultSubtotal="0">
      <items count="7">
        <item x="3"/>
        <item x="0"/>
        <item x="1"/>
        <item x="5"/>
        <item m="1" x="6"/>
        <item x="2"/>
        <item x="4"/>
      </items>
    </pivotField>
    <pivotField axis="axisRow" compact="0" outline="0" showAll="0" defaultSubtotal="0">
      <items count="5">
        <item m="1" x="4"/>
        <item x="0"/>
        <item x="1"/>
        <item x="3"/>
        <item x="2"/>
      </items>
    </pivotField>
  </pivotFields>
  <rowFields count="5">
    <field x="8"/>
    <field x="9"/>
    <field x="4"/>
    <field x="10"/>
    <field x="11"/>
  </rowFields>
  <rowItems count="1179">
    <i>
      <x/>
      <x v="72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"/>
      <x v="28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3"/>
      <x v="22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4"/>
      <x v="200"/>
      <x v="1"/>
      <x/>
      <x v="1"/>
    </i>
    <i r="3">
      <x v="1"/>
      <x v="1"/>
    </i>
    <i r="2">
      <x v="2"/>
      <x/>
      <x v="1"/>
    </i>
    <i r="2">
      <x v="5"/>
      <x/>
      <x v="1"/>
    </i>
    <i r="3">
      <x v="1"/>
      <x v="1"/>
    </i>
    <i r="2">
      <x v="6"/>
      <x/>
      <x v="1"/>
    </i>
    <i r="2">
      <x v="7"/>
      <x/>
      <x v="1"/>
    </i>
    <i r="3">
      <x v="5"/>
      <x v="4"/>
    </i>
    <i>
      <x v="5"/>
      <x v="127"/>
      <x v="1"/>
      <x/>
      <x v="1"/>
    </i>
    <i r="2">
      <x v="5"/>
      <x/>
      <x v="1"/>
    </i>
    <i r="2">
      <x v="6"/>
      <x/>
      <x v="1"/>
    </i>
    <i r="2">
      <x v="7"/>
      <x/>
      <x v="1"/>
    </i>
    <i>
      <x v="7"/>
      <x v="92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8"/>
      <x v="21"/>
      <x v="1"/>
      <x/>
      <x v="1"/>
    </i>
    <i r="2">
      <x v="5"/>
      <x/>
      <x v="1"/>
    </i>
    <i r="2">
      <x v="6"/>
      <x/>
      <x v="1"/>
    </i>
    <i r="2">
      <x v="7"/>
      <x/>
      <x v="1"/>
    </i>
    <i>
      <x v="9"/>
      <x v="215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0"/>
      <x v="80"/>
      <x v="1"/>
      <x/>
      <x v="1"/>
    </i>
    <i r="3">
      <x v="1"/>
      <x v="1"/>
    </i>
    <i r="2">
      <x v="2"/>
      <x/>
      <x v="1"/>
    </i>
    <i r="3">
      <x v="1"/>
      <x v="1"/>
    </i>
    <i r="2">
      <x v="5"/>
      <x/>
      <x v="1"/>
    </i>
    <i r="3">
      <x v="1"/>
      <x v="1"/>
    </i>
    <i r="2">
      <x v="6"/>
      <x/>
      <x v="1"/>
    </i>
    <i r="2">
      <x v="7"/>
      <x/>
      <x v="1"/>
    </i>
    <i r="3">
      <x v="1"/>
      <x v="1"/>
    </i>
    <i>
      <x v="12"/>
      <x v="206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3"/>
      <x v="31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4"/>
      <x v="13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6"/>
      <x v="101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7"/>
      <x v="94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8"/>
      <x v="81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9"/>
      <x v="109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0"/>
      <x v="125"/>
      <x v="1"/>
      <x/>
      <x v="1"/>
    </i>
    <i r="3">
      <x v="5"/>
      <x v="4"/>
    </i>
    <i r="2">
      <x v="5"/>
      <x/>
      <x v="1"/>
    </i>
    <i r="2">
      <x v="6"/>
      <x/>
      <x v="1"/>
    </i>
    <i r="2">
      <x v="7"/>
      <x/>
      <x v="1"/>
    </i>
    <i>
      <x v="21"/>
      <x v="115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2"/>
      <x v="207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3"/>
      <x v="240"/>
      <x v="1"/>
      <x v="1"/>
      <x v="1"/>
    </i>
    <i r="3">
      <x v="2"/>
      <x v="2"/>
    </i>
    <i r="2">
      <x v="2"/>
      <x v="1"/>
      <x v="1"/>
    </i>
    <i r="3">
      <x v="5"/>
      <x v="4"/>
    </i>
    <i r="2">
      <x v="5"/>
      <x v="1"/>
      <x v="1"/>
    </i>
    <i r="2">
      <x v="6"/>
      <x v="1"/>
      <x v="1"/>
    </i>
    <i r="3">
      <x v="2"/>
      <x v="2"/>
    </i>
    <i r="2">
      <x v="7"/>
      <x v="1"/>
      <x v="1"/>
    </i>
    <i>
      <x v="24"/>
      <x v="10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6"/>
      <x v="21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7"/>
      <x v="2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8"/>
      <x v="136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9"/>
      <x v="19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30"/>
      <x v="110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31"/>
      <x v="177"/>
      <x v="4"/>
      <x/>
      <x v="1"/>
    </i>
    <i r="2">
      <x v="5"/>
      <x/>
      <x v="1"/>
    </i>
    <i r="2">
      <x v="6"/>
      <x/>
      <x v="1"/>
    </i>
    <i>
      <x v="32"/>
      <x v="195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33"/>
      <x v="258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34"/>
      <x v="89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35"/>
      <x v="222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36"/>
      <x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37"/>
      <x v="259"/>
      <x v="1"/>
      <x/>
      <x v="1"/>
    </i>
    <i r="3">
      <x v="5"/>
      <x v="4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38"/>
      <x v="6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39"/>
      <x v="18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40"/>
      <x v="120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41"/>
      <x v="9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42"/>
      <x v="10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43"/>
      <x v="142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44"/>
      <x v="118"/>
      <x v="1"/>
      <x v="2"/>
      <x v="2"/>
    </i>
    <i r="2">
      <x v="2"/>
      <x v="2"/>
      <x v="2"/>
    </i>
    <i r="2">
      <x v="5"/>
      <x v="2"/>
      <x v="2"/>
    </i>
    <i r="2">
      <x v="6"/>
      <x v="1"/>
      <x v="1"/>
    </i>
    <i r="3">
      <x v="2"/>
      <x v="2"/>
    </i>
    <i r="2">
      <x v="7"/>
      <x v="2"/>
      <x v="2"/>
    </i>
    <i>
      <x v="45"/>
      <x v="213"/>
      <x v="1"/>
      <x/>
      <x v="1"/>
    </i>
    <i r="2">
      <x v="2"/>
      <x/>
      <x v="1"/>
    </i>
    <i r="2">
      <x v="5"/>
      <x/>
      <x v="1"/>
    </i>
    <i r="3">
      <x v="5"/>
      <x v="4"/>
    </i>
    <i r="2">
      <x v="6"/>
      <x/>
      <x v="1"/>
    </i>
    <i r="2">
      <x v="7"/>
      <x/>
      <x v="1"/>
    </i>
    <i>
      <x v="46"/>
      <x v="23"/>
      <x v="1"/>
      <x/>
      <x v="1"/>
    </i>
    <i r="2">
      <x v="2"/>
      <x/>
      <x v="1"/>
    </i>
    <i r="2">
      <x v="5"/>
      <x/>
      <x v="1"/>
    </i>
    <i r="2">
      <x v="6"/>
      <x/>
      <x v="1"/>
    </i>
    <i>
      <x v="47"/>
      <x v="25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48"/>
      <x v="121"/>
      <x v="1"/>
      <x/>
      <x v="1"/>
    </i>
    <i r="2">
      <x v="2"/>
      <x/>
      <x v="1"/>
    </i>
    <i r="3">
      <x v="5"/>
      <x v="4"/>
    </i>
    <i r="2">
      <x v="5"/>
      <x/>
      <x v="1"/>
    </i>
    <i r="2">
      <x v="6"/>
      <x/>
      <x v="1"/>
    </i>
    <i r="2">
      <x v="7"/>
      <x/>
      <x v="1"/>
    </i>
    <i>
      <x v="49"/>
      <x v="208"/>
      <x v="1"/>
      <x/>
      <x v="1"/>
    </i>
    <i r="3">
      <x v="2"/>
      <x v="2"/>
    </i>
    <i r="2">
      <x v="2"/>
      <x v="2"/>
      <x v="2"/>
    </i>
    <i r="2">
      <x v="6"/>
      <x/>
      <x v="1"/>
    </i>
    <i r="2">
      <x v="7"/>
      <x/>
      <x v="1"/>
    </i>
    <i r="3">
      <x v="2"/>
      <x v="2"/>
    </i>
    <i>
      <x v="50"/>
      <x v="253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51"/>
      <x v="220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52"/>
      <x v="73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53"/>
      <x v="211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54"/>
      <x v="34"/>
      <x v="1"/>
      <x v="2"/>
      <x v="2"/>
    </i>
    <i r="2">
      <x v="2"/>
      <x v="2"/>
      <x v="2"/>
    </i>
    <i r="2">
      <x v="4"/>
      <x v="5"/>
      <x v="4"/>
    </i>
    <i r="2">
      <x v="5"/>
      <x v="2"/>
      <x v="2"/>
    </i>
    <i r="2">
      <x v="6"/>
      <x v="2"/>
      <x v="2"/>
    </i>
    <i r="2">
      <x v="7"/>
      <x v="2"/>
      <x v="2"/>
    </i>
    <i>
      <x v="55"/>
      <x v="166"/>
      <x v="1"/>
      <x/>
      <x v="1"/>
    </i>
    <i r="2">
      <x v="2"/>
      <x/>
      <x v="1"/>
    </i>
    <i r="2">
      <x v="3"/>
      <x v="5"/>
      <x v="4"/>
    </i>
    <i r="2">
      <x v="5"/>
      <x/>
      <x v="1"/>
    </i>
    <i r="2">
      <x v="6"/>
      <x/>
      <x v="1"/>
    </i>
    <i r="2">
      <x v="7"/>
      <x/>
      <x v="1"/>
    </i>
    <i>
      <x v="56"/>
      <x v="97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57"/>
      <x v="212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58"/>
      <x v="56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59"/>
      <x v="244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60"/>
      <x v="105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61"/>
      <x v="11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63"/>
      <x v="155"/>
      <x v="1"/>
      <x v="2"/>
      <x v="2"/>
    </i>
    <i r="2">
      <x v="2"/>
      <x v="2"/>
      <x v="2"/>
    </i>
    <i r="2">
      <x v="4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64"/>
      <x v="160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65"/>
      <x v="175"/>
      <x v="1"/>
      <x/>
      <x v="1"/>
    </i>
    <i r="3">
      <x v="2"/>
      <x v="2"/>
    </i>
    <i r="2">
      <x v="2"/>
      <x v="1"/>
      <x v="1"/>
    </i>
    <i r="3">
      <x v="2"/>
      <x v="2"/>
    </i>
    <i r="2">
      <x v="5"/>
      <x v="2"/>
      <x v="2"/>
    </i>
    <i r="2">
      <x v="6"/>
      <x v="2"/>
      <x v="2"/>
    </i>
    <i r="2">
      <x v="7"/>
      <x/>
      <x v="1"/>
    </i>
    <i r="3">
      <x v="2"/>
      <x v="2"/>
    </i>
    <i>
      <x v="66"/>
      <x v="165"/>
      <x v="1"/>
      <x/>
      <x v="1"/>
    </i>
    <i r="2">
      <x v="2"/>
      <x/>
      <x v="1"/>
    </i>
    <i r="2">
      <x v="6"/>
      <x/>
      <x v="1"/>
    </i>
    <i r="2">
      <x v="7"/>
      <x/>
      <x v="1"/>
    </i>
    <i>
      <x v="67"/>
      <x v="19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69"/>
      <x v="15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70"/>
      <x v="140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71"/>
      <x v="255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72"/>
      <x v="250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73"/>
      <x v="256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74"/>
      <x v="205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75"/>
      <x v="257"/>
      <x v="1"/>
      <x/>
      <x v="1"/>
    </i>
    <i r="3">
      <x v="5"/>
      <x v="4"/>
    </i>
    <i r="2">
      <x v="2"/>
      <x/>
      <x v="1"/>
    </i>
    <i r="2">
      <x v="5"/>
      <x/>
      <x v="1"/>
    </i>
    <i r="3">
      <x v="5"/>
      <x v="4"/>
    </i>
    <i r="2">
      <x v="6"/>
      <x/>
      <x v="1"/>
    </i>
    <i r="3">
      <x v="5"/>
      <x v="4"/>
    </i>
    <i r="2">
      <x v="7"/>
      <x/>
      <x v="1"/>
    </i>
    <i r="3">
      <x v="5"/>
      <x v="4"/>
    </i>
    <i>
      <x v="76"/>
      <x v="91"/>
      <x v="1"/>
      <x/>
      <x v="1"/>
    </i>
    <i r="2">
      <x v="5"/>
      <x/>
      <x v="1"/>
    </i>
    <i r="2">
      <x v="6"/>
      <x/>
      <x v="1"/>
    </i>
    <i r="2">
      <x v="7"/>
      <x/>
      <x v="1"/>
    </i>
    <i>
      <x v="78"/>
      <x v="14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80"/>
      <x v="85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81"/>
      <x v="172"/>
      <x v="1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82"/>
      <x v="15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83"/>
      <x v="64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84"/>
      <x v="24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85"/>
      <x v="194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86"/>
      <x v="22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87"/>
      <x v="79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88"/>
      <x v="219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89"/>
      <x v="16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90"/>
      <x v="227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91"/>
      <x v="33"/>
      <x v="1"/>
      <x v="6"/>
      <x v="4"/>
    </i>
    <i r="2">
      <x v="2"/>
      <x v="6"/>
      <x v="4"/>
    </i>
    <i r="2">
      <x v="3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92"/>
      <x v="176"/>
      <x v="1"/>
      <x v="2"/>
      <x v="2"/>
    </i>
    <i r="2">
      <x v="2"/>
      <x v="2"/>
      <x v="2"/>
    </i>
    <i r="2">
      <x v="4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94"/>
      <x v="20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95"/>
      <x v="55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96"/>
      <x v="23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97"/>
      <x v="225"/>
      <x v="1"/>
      <x/>
      <x v="1"/>
    </i>
    <i r="2">
      <x v="2"/>
      <x/>
      <x v="1"/>
    </i>
    <i r="3">
      <x v="2"/>
      <x v="2"/>
    </i>
    <i r="2">
      <x v="5"/>
      <x/>
      <x v="1"/>
    </i>
    <i r="2">
      <x v="7"/>
      <x/>
      <x v="1"/>
    </i>
    <i>
      <x v="98"/>
      <x v="67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99"/>
      <x v="174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00"/>
      <x v="47"/>
      <x v="1"/>
      <x/>
      <x v="1"/>
    </i>
    <i r="3"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01"/>
      <x v="159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02"/>
      <x v="96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03"/>
      <x v="124"/>
      <x v="1"/>
      <x v="6"/>
      <x v="4"/>
    </i>
    <i r="2">
      <x v="2"/>
      <x v="6"/>
      <x v="4"/>
    </i>
    <i r="2">
      <x v="3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04"/>
      <x v="41"/>
      <x v="1"/>
      <x/>
      <x v="1"/>
    </i>
    <i r="2">
      <x v="2"/>
      <x/>
      <x v="1"/>
    </i>
    <i r="2">
      <x v="6"/>
      <x/>
      <x v="1"/>
    </i>
    <i r="2">
      <x v="7"/>
      <x/>
      <x v="1"/>
    </i>
    <i>
      <x v="105"/>
      <x v="189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06"/>
      <x v="112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08"/>
      <x v="103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09"/>
      <x v="116"/>
      <x v="1"/>
      <x v="1"/>
      <x v="1"/>
    </i>
    <i r="2">
      <x v="2"/>
      <x v="1"/>
      <x v="1"/>
    </i>
    <i r="2">
      <x v="5"/>
      <x v="1"/>
      <x v="1"/>
    </i>
    <i r="2">
      <x v="7"/>
      <x v="1"/>
      <x v="1"/>
    </i>
    <i>
      <x v="110"/>
      <x v="17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11"/>
      <x v="241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12"/>
      <x v="154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13"/>
      <x v="162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14"/>
      <x v="158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15"/>
      <x v="17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17"/>
      <x v="42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18"/>
      <x v="149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19"/>
      <x v="214"/>
      <x v="1"/>
      <x v="6"/>
      <x v="4"/>
    </i>
    <i r="2">
      <x v="2"/>
      <x v="6"/>
      <x v="4"/>
    </i>
    <i r="2">
      <x v="6"/>
      <x v="6"/>
      <x v="4"/>
    </i>
    <i r="2">
      <x v="7"/>
      <x v="6"/>
      <x v="4"/>
    </i>
    <i>
      <x v="120"/>
      <x v="134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21"/>
      <x v="45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22"/>
      <x v="246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24"/>
      <x v="40"/>
      <x v="1"/>
      <x/>
      <x v="1"/>
    </i>
    <i r="2">
      <x v="2"/>
      <x v="1"/>
      <x v="1"/>
    </i>
    <i r="3">
      <x v="5"/>
      <x v="4"/>
    </i>
    <i r="2">
      <x v="6"/>
      <x/>
      <x v="1"/>
    </i>
    <i r="2">
      <x v="7"/>
      <x/>
      <x v="1"/>
    </i>
    <i r="3">
      <x v="5"/>
      <x v="4"/>
    </i>
    <i>
      <x v="126"/>
      <x v="146"/>
      <x v="1"/>
      <x v="1"/>
      <x v="1"/>
    </i>
    <i r="2">
      <x v="2"/>
      <x/>
      <x v="1"/>
    </i>
    <i r="2">
      <x v="5"/>
      <x v="1"/>
      <x v="1"/>
    </i>
    <i r="2">
      <x v="6"/>
      <x v="1"/>
      <x v="1"/>
    </i>
    <i r="2">
      <x v="7"/>
      <x v="1"/>
      <x v="1"/>
    </i>
    <i>
      <x v="127"/>
      <x v="179"/>
      <x v="1"/>
      <x/>
      <x v="1"/>
    </i>
    <i r="3">
      <x v="5"/>
      <x v="4"/>
    </i>
    <i r="2">
      <x v="5"/>
      <x/>
      <x v="1"/>
    </i>
    <i r="3">
      <x v="2"/>
      <x v="2"/>
    </i>
    <i r="2">
      <x v="6"/>
      <x/>
      <x v="1"/>
    </i>
    <i r="3">
      <x v="2"/>
      <x v="2"/>
    </i>
    <i r="2">
      <x v="7"/>
      <x/>
      <x v="1"/>
    </i>
    <i r="3">
      <x v="2"/>
      <x v="2"/>
    </i>
    <i>
      <x v="128"/>
      <x v="229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30"/>
      <x v="14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31"/>
      <x v="46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33"/>
      <x v="231"/>
      <x v="1"/>
      <x v="2"/>
      <x v="2"/>
    </i>
    <i r="2">
      <x v="2"/>
      <x v="2"/>
      <x v="2"/>
    </i>
    <i r="2">
      <x v="5"/>
      <x v="1"/>
      <x v="1"/>
    </i>
    <i r="2">
      <x v="6"/>
      <x v="1"/>
      <x v="1"/>
    </i>
    <i r="2">
      <x v="7"/>
      <x v="1"/>
      <x v="1"/>
    </i>
    <i>
      <x v="135"/>
      <x v="245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36"/>
      <x v="86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37"/>
      <x v="169"/>
      <x v="1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38"/>
      <x v="239"/>
      <x v="1"/>
      <x/>
      <x v="1"/>
    </i>
    <i r="3">
      <x v="2"/>
      <x v="2"/>
    </i>
    <i r="2">
      <x v="2"/>
      <x/>
      <x v="1"/>
    </i>
    <i r="2">
      <x v="5"/>
      <x/>
      <x v="1"/>
    </i>
    <i r="2">
      <x v="6"/>
      <x/>
      <x v="1"/>
    </i>
    <i>
      <x v="141"/>
      <x v="1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43"/>
      <x v="234"/>
      <x v="1"/>
      <x/>
      <x v="1"/>
    </i>
    <i r="3">
      <x v="2"/>
      <x v="2"/>
    </i>
    <i r="2">
      <x v="2"/>
      <x v="2"/>
      <x v="2"/>
    </i>
    <i r="2">
      <x v="5"/>
      <x v="1"/>
      <x v="1"/>
    </i>
    <i r="3">
      <x v="5"/>
      <x v="4"/>
    </i>
    <i r="2">
      <x v="6"/>
      <x v="1"/>
      <x v="1"/>
    </i>
    <i r="3">
      <x v="5"/>
      <x v="4"/>
    </i>
    <i r="2">
      <x v="7"/>
      <x/>
      <x v="1"/>
    </i>
    <i>
      <x v="144"/>
      <x v="122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45"/>
      <x v="66"/>
      <x v="1"/>
      <x v="6"/>
      <x v="4"/>
    </i>
    <i r="2">
      <x v="2"/>
      <x v="6"/>
      <x v="4"/>
    </i>
    <i r="2">
      <x v="6"/>
      <x v="6"/>
      <x v="4"/>
    </i>
    <i r="2">
      <x v="7"/>
      <x v="6"/>
      <x v="4"/>
    </i>
    <i>
      <x v="146"/>
      <x v="99"/>
      <x v="1"/>
      <x v="2"/>
      <x v="2"/>
    </i>
    <i r="3">
      <x v="5"/>
      <x v="4"/>
    </i>
    <i r="2">
      <x v="2"/>
      <x v="2"/>
      <x v="2"/>
    </i>
    <i r="2">
      <x v="5"/>
      <x/>
      <x v="1"/>
    </i>
    <i r="2">
      <x v="6"/>
      <x/>
      <x v="1"/>
    </i>
    <i r="3">
      <x v="2"/>
      <x v="2"/>
    </i>
    <i r="2">
      <x v="7"/>
      <x/>
      <x v="1"/>
    </i>
    <i r="3">
      <x v="2"/>
      <x v="2"/>
    </i>
    <i>
      <x v="148"/>
      <x v="60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49"/>
      <x v="24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50"/>
      <x v="53"/>
      <x v="1"/>
      <x/>
      <x v="1"/>
    </i>
    <i r="2">
      <x v="2"/>
      <x/>
      <x v="1"/>
    </i>
    <i r="2">
      <x v="4"/>
      <x/>
      <x v="1"/>
    </i>
    <i r="2">
      <x v="5"/>
      <x/>
      <x v="1"/>
    </i>
    <i r="2">
      <x v="6"/>
      <x/>
      <x v="1"/>
    </i>
    <i r="2">
      <x v="7"/>
      <x/>
      <x v="1"/>
    </i>
    <i>
      <x v="151"/>
      <x v="254"/>
      <x v="1"/>
      <x v="2"/>
      <x v="2"/>
    </i>
    <i r="3">
      <x v="5"/>
      <x v="4"/>
    </i>
    <i r="2">
      <x v="2"/>
      <x v="5"/>
      <x v="4"/>
    </i>
    <i r="2">
      <x v="5"/>
      <x v="2"/>
      <x v="2"/>
    </i>
    <i r="2">
      <x v="6"/>
      <x v="5"/>
      <x v="4"/>
    </i>
    <i r="2">
      <x v="7"/>
      <x v="2"/>
      <x v="2"/>
    </i>
    <i>
      <x v="153"/>
      <x v="75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54"/>
      <x v="82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56"/>
      <x v="111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57"/>
      <x v="173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58"/>
      <x v="71"/>
      <x v="1"/>
      <x/>
      <x v="1"/>
    </i>
    <i r="2">
      <x v="2"/>
      <x/>
      <x v="1"/>
    </i>
    <i r="2">
      <x v="3"/>
      <x v="5"/>
      <x v="4"/>
    </i>
    <i r="2">
      <x v="5"/>
      <x/>
      <x v="1"/>
    </i>
    <i r="2">
      <x v="6"/>
      <x/>
      <x v="1"/>
    </i>
    <i r="2">
      <x v="7"/>
      <x/>
      <x v="1"/>
    </i>
    <i>
      <x v="159"/>
      <x v="139"/>
      <x v="1"/>
      <x/>
      <x v="1"/>
    </i>
    <i r="3">
      <x v="1"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60"/>
      <x v="129"/>
      <x v="1"/>
      <x/>
      <x v="1"/>
    </i>
    <i r="2">
      <x v="2"/>
      <x/>
      <x v="1"/>
    </i>
    <i r="2">
      <x v="4"/>
      <x/>
      <x v="1"/>
    </i>
    <i r="2">
      <x v="5"/>
      <x/>
      <x v="1"/>
    </i>
    <i r="2">
      <x v="6"/>
      <x/>
      <x v="1"/>
    </i>
    <i r="2">
      <x v="7"/>
      <x/>
      <x v="1"/>
    </i>
    <i>
      <x v="161"/>
      <x v="106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63"/>
      <x v="192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64"/>
      <x v="57"/>
      <x v="1"/>
      <x v="2"/>
      <x v="2"/>
    </i>
    <i r="2">
      <x v="2"/>
      <x v="2"/>
      <x v="2"/>
    </i>
    <i r="2">
      <x v="5"/>
      <x/>
      <x v="1"/>
    </i>
    <i r="2">
      <x v="6"/>
      <x/>
      <x v="1"/>
    </i>
    <i r="2">
      <x v="7"/>
      <x/>
      <x v="1"/>
    </i>
    <i r="3">
      <x v="2"/>
      <x v="2"/>
    </i>
    <i>
      <x v="165"/>
      <x v="43"/>
      <x v="1"/>
      <x/>
      <x v="1"/>
    </i>
    <i r="2">
      <x v="2"/>
      <x/>
      <x v="1"/>
    </i>
    <i r="3">
      <x v="2"/>
      <x v="2"/>
    </i>
    <i r="2">
      <x v="5"/>
      <x/>
      <x v="1"/>
    </i>
    <i r="2">
      <x v="6"/>
      <x/>
      <x v="1"/>
    </i>
    <i r="2">
      <x v="7"/>
      <x/>
      <x v="1"/>
    </i>
    <i r="3">
      <x v="5"/>
      <x v="4"/>
    </i>
    <i>
      <x v="166"/>
      <x v="210"/>
      <x v="1"/>
      <x v="2"/>
      <x v="2"/>
    </i>
    <i r="2">
      <x v="4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68"/>
      <x v="13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69"/>
      <x v="203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70"/>
      <x v="216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71"/>
      <x v="167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72"/>
      <x v="90"/>
      <x v="1"/>
      <x/>
      <x v="1"/>
    </i>
    <i r="2">
      <x v="5"/>
      <x/>
      <x v="1"/>
    </i>
    <i r="3">
      <x v="5"/>
      <x v="4"/>
    </i>
    <i r="2">
      <x v="6"/>
      <x/>
      <x v="1"/>
    </i>
    <i r="3">
      <x v="5"/>
      <x v="4"/>
    </i>
    <i r="2">
      <x v="7"/>
      <x v="5"/>
      <x v="4"/>
    </i>
    <i>
      <x v="174"/>
      <x v="8"/>
      <x v="1"/>
      <x v="2"/>
      <x v="2"/>
    </i>
    <i r="2">
      <x v="2"/>
      <x/>
      <x v="1"/>
    </i>
    <i r="2">
      <x v="5"/>
      <x v="2"/>
      <x v="2"/>
    </i>
    <i r="2">
      <x v="6"/>
      <x v="2"/>
      <x v="2"/>
    </i>
    <i r="2">
      <x v="7"/>
      <x v="2"/>
      <x v="2"/>
    </i>
    <i>
      <x v="175"/>
      <x v="184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77"/>
      <x v="114"/>
      <x v="1"/>
      <x/>
      <x v="1"/>
    </i>
    <i r="2">
      <x v="2"/>
      <x/>
      <x v="1"/>
    </i>
    <i r="3">
      <x v="2"/>
      <x v="2"/>
    </i>
    <i r="2">
      <x v="5"/>
      <x/>
      <x v="1"/>
    </i>
    <i r="2">
      <x v="6"/>
      <x/>
      <x v="1"/>
    </i>
    <i r="2">
      <x v="7"/>
      <x/>
      <x v="1"/>
    </i>
    <i>
      <x v="178"/>
      <x v="187"/>
      <x v="1"/>
      <x/>
      <x v="1"/>
    </i>
    <i r="2">
      <x v="2"/>
      <x/>
      <x v="1"/>
    </i>
    <i r="3">
      <x v="1"/>
      <x v="1"/>
    </i>
    <i r="2">
      <x v="5"/>
      <x/>
      <x v="1"/>
    </i>
    <i r="2">
      <x v="6"/>
      <x/>
      <x v="1"/>
    </i>
    <i r="2">
      <x v="7"/>
      <x/>
      <x v="1"/>
    </i>
    <i>
      <x v="180"/>
      <x v="54"/>
      <x v="1"/>
      <x v="2"/>
      <x v="2"/>
    </i>
    <i r="3">
      <x v="5"/>
      <x v="4"/>
    </i>
    <i r="2">
      <x v="2"/>
      <x v="2"/>
      <x v="2"/>
    </i>
    <i r="2">
      <x v="5"/>
      <x v="5"/>
      <x v="4"/>
    </i>
    <i r="2">
      <x v="6"/>
      <x/>
      <x v="1"/>
    </i>
    <i r="3">
      <x v="2"/>
      <x v="2"/>
    </i>
    <i r="2">
      <x v="7"/>
      <x v="2"/>
      <x v="2"/>
    </i>
    <i r="3">
      <x v="5"/>
      <x v="4"/>
    </i>
    <i>
      <x v="181"/>
      <x v="191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82"/>
      <x v="148"/>
      <x v="1"/>
      <x v="1"/>
      <x v="1"/>
    </i>
    <i r="2">
      <x v="2"/>
      <x/>
      <x v="1"/>
    </i>
    <i r="3"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83"/>
      <x v="88"/>
      <x v="2"/>
      <x v="1"/>
      <x v="1"/>
    </i>
    <i>
      <x v="184"/>
      <x v="202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85"/>
      <x v="35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86"/>
      <x v="12"/>
      <x v="1"/>
      <x v="2"/>
      <x v="2"/>
    </i>
    <i r="3">
      <x v="5"/>
      <x v="4"/>
    </i>
    <i r="2">
      <x v="2"/>
      <x/>
      <x v="1"/>
    </i>
    <i r="3">
      <x v="2"/>
      <x v="2"/>
    </i>
    <i r="2">
      <x v="5"/>
      <x v="1"/>
      <x v="1"/>
    </i>
    <i r="2">
      <x v="6"/>
      <x/>
      <x v="1"/>
    </i>
    <i r="3">
      <x v="5"/>
      <x v="4"/>
    </i>
    <i r="2">
      <x v="7"/>
      <x/>
      <x v="1"/>
    </i>
    <i r="3">
      <x v="5"/>
      <x v="4"/>
    </i>
    <i>
      <x v="188"/>
      <x v="107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189"/>
      <x v="209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0"/>
      <x v="9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1"/>
      <x v="39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92"/>
      <x v="3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3"/>
      <x v="161"/>
      <x v="1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94"/>
      <x v="95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195"/>
      <x v="18"/>
      <x v="1"/>
      <x v="2"/>
      <x v="2"/>
    </i>
    <i r="2">
      <x v="2"/>
      <x v="2"/>
      <x v="2"/>
    </i>
    <i r="2">
      <x v="3"/>
      <x v="2"/>
      <x v="2"/>
    </i>
    <i r="2">
      <x v="4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6"/>
      <x v="9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7"/>
      <x v="260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198"/>
      <x v="14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199"/>
      <x v="141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00"/>
      <x v="119"/>
      <x v="5"/>
      <x/>
      <x v="1"/>
    </i>
    <i r="2">
      <x v="6"/>
      <x/>
      <x v="1"/>
    </i>
    <i r="2">
      <x v="7"/>
      <x v="2"/>
      <x v="2"/>
    </i>
    <i>
      <x v="201"/>
      <x v="152"/>
      <x v="1"/>
      <x v="2"/>
      <x v="2"/>
    </i>
    <i r="2">
      <x v="2"/>
      <x v="2"/>
      <x v="2"/>
    </i>
    <i r="2">
      <x v="5"/>
      <x v="2"/>
      <x v="2"/>
    </i>
    <i r="2">
      <x v="6"/>
      <x v="1"/>
      <x v="1"/>
    </i>
    <i r="3">
      <x v="2"/>
      <x v="2"/>
    </i>
    <i r="2">
      <x v="7"/>
      <x v="2"/>
      <x v="2"/>
    </i>
    <i>
      <x v="202"/>
      <x v="135"/>
      <x v="1"/>
      <x/>
      <x v="1"/>
    </i>
    <i r="3">
      <x v="5"/>
      <x v="4"/>
    </i>
    <i r="2">
      <x v="5"/>
      <x/>
      <x v="1"/>
    </i>
    <i r="3">
      <x v="5"/>
      <x v="4"/>
    </i>
    <i r="2">
      <x v="6"/>
      <x/>
      <x v="1"/>
    </i>
    <i r="3">
      <x v="5"/>
      <x v="4"/>
    </i>
    <i r="2">
      <x v="7"/>
      <x/>
      <x v="1"/>
    </i>
    <i r="3">
      <x v="5"/>
      <x v="4"/>
    </i>
    <i>
      <x v="203"/>
      <x v="181"/>
      <x v="1"/>
      <x/>
      <x v="1"/>
    </i>
    <i r="3">
      <x v="5"/>
      <x v="4"/>
    </i>
    <i r="2">
      <x v="5"/>
      <x/>
      <x v="1"/>
    </i>
    <i r="3">
      <x v="5"/>
      <x v="4"/>
    </i>
    <i r="2">
      <x v="6"/>
      <x/>
      <x v="1"/>
    </i>
    <i r="2">
      <x v="7"/>
      <x/>
      <x v="1"/>
    </i>
    <i>
      <x v="204"/>
      <x v="232"/>
      <x v="1"/>
      <x/>
      <x v="1"/>
    </i>
    <i r="2">
      <x v="2"/>
      <x/>
      <x v="1"/>
    </i>
    <i>
      <x v="205"/>
      <x v="190"/>
      <x v="1"/>
      <x v="2"/>
      <x v="2"/>
    </i>
    <i r="2">
      <x v="2"/>
      <x v="2"/>
      <x v="2"/>
    </i>
    <i r="2">
      <x v="4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06"/>
      <x v="196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07"/>
      <x v="77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08"/>
      <x v="230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09"/>
      <x v="228"/>
      <x v="1"/>
      <x/>
      <x v="1"/>
    </i>
    <i r="2">
      <x v="2"/>
      <x/>
      <x v="1"/>
    </i>
    <i r="2">
      <x v="6"/>
      <x/>
      <x v="1"/>
    </i>
    <i r="2">
      <x v="7"/>
      <x/>
      <x v="1"/>
    </i>
    <i>
      <x v="210"/>
      <x v="38"/>
      <x v="1"/>
      <x v="2"/>
      <x v="2"/>
    </i>
    <i r="2">
      <x v="2"/>
      <x v="2"/>
      <x v="2"/>
    </i>
    <i r="2">
      <x v="6"/>
      <x v="2"/>
      <x v="2"/>
    </i>
    <i r="2">
      <x v="7"/>
      <x v="2"/>
      <x v="2"/>
    </i>
    <i>
      <x v="211"/>
      <x v="131"/>
      <x v="1"/>
      <x v="1"/>
      <x v="1"/>
    </i>
    <i r="2">
      <x v="2"/>
      <x v="1"/>
      <x v="1"/>
    </i>
    <i r="2">
      <x v="6"/>
      <x/>
      <x v="1"/>
    </i>
    <i r="3">
      <x v="1"/>
      <x v="1"/>
    </i>
    <i r="2">
      <x v="7"/>
      <x v="1"/>
      <x v="1"/>
    </i>
    <i>
      <x v="212"/>
      <x v="6"/>
      <x v="1"/>
      <x v="1"/>
      <x v="1"/>
    </i>
    <i r="3">
      <x v="2"/>
      <x v="2"/>
    </i>
    <i r="2">
      <x v="2"/>
      <x v="2"/>
      <x v="2"/>
    </i>
    <i r="2">
      <x v="5"/>
      <x v="2"/>
      <x v="2"/>
    </i>
    <i r="2">
      <x v="6"/>
      <x v="1"/>
      <x v="1"/>
    </i>
    <i r="3">
      <x v="2"/>
      <x v="2"/>
    </i>
    <i r="2">
      <x v="7"/>
      <x v="1"/>
      <x v="1"/>
    </i>
    <i r="3">
      <x v="2"/>
      <x v="2"/>
    </i>
    <i>
      <x v="213"/>
      <x v="156"/>
      <x v="1"/>
      <x/>
      <x v="1"/>
    </i>
    <i r="2">
      <x v="2"/>
      <x/>
      <x v="1"/>
    </i>
    <i r="3">
      <x v="2"/>
      <x v="2"/>
    </i>
    <i r="2">
      <x v="5"/>
      <x/>
      <x v="1"/>
    </i>
    <i r="2">
      <x v="6"/>
      <x/>
      <x v="1"/>
    </i>
    <i r="2">
      <x v="7"/>
      <x/>
      <x v="1"/>
    </i>
    <i>
      <x v="214"/>
      <x v="4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15"/>
      <x v="164"/>
      <x v="1"/>
      <x v="1"/>
      <x v="1"/>
    </i>
    <i r="2">
      <x v="2"/>
      <x/>
      <x v="1"/>
    </i>
    <i r="2">
      <x v="5"/>
      <x v="1"/>
      <x v="1"/>
    </i>
    <i r="2">
      <x v="6"/>
      <x v="1"/>
      <x v="1"/>
    </i>
    <i r="2">
      <x v="7"/>
      <x v="1"/>
      <x v="1"/>
    </i>
    <i>
      <x v="216"/>
      <x v="251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17"/>
      <x v="104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18"/>
      <x v="6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19"/>
      <x v="235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20"/>
      <x v="11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21"/>
      <x v="138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22"/>
      <x v="236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23"/>
      <x v="30"/>
      <x v="1"/>
      <x/>
      <x v="1"/>
    </i>
    <i r="3">
      <x v="1"/>
      <x v="1"/>
    </i>
    <i r="2">
      <x v="5"/>
      <x/>
      <x v="1"/>
    </i>
    <i r="3">
      <x v="2"/>
      <x v="2"/>
    </i>
    <i r="2">
      <x v="6"/>
      <x v="1"/>
      <x v="1"/>
    </i>
    <i r="3">
      <x v="2"/>
      <x v="2"/>
    </i>
    <i r="2">
      <x v="7"/>
      <x v="1"/>
      <x v="1"/>
    </i>
    <i r="3">
      <x v="2"/>
      <x v="2"/>
    </i>
    <i>
      <x v="224"/>
      <x v="24"/>
      <x v="1"/>
      <x v="1"/>
      <x v="1"/>
    </i>
    <i r="3">
      <x v="2"/>
      <x v="2"/>
    </i>
    <i r="2">
      <x v="2"/>
      <x v="2"/>
      <x v="2"/>
    </i>
    <i r="2">
      <x v="5"/>
      <x v="1"/>
      <x v="1"/>
    </i>
    <i r="2">
      <x v="6"/>
      <x v="2"/>
      <x v="2"/>
    </i>
    <i r="2">
      <x v="7"/>
      <x v="1"/>
      <x v="1"/>
    </i>
    <i r="3">
      <x v="2"/>
      <x v="2"/>
    </i>
    <i>
      <x v="225"/>
      <x v="1"/>
      <x v="5"/>
      <x v="2"/>
      <x v="2"/>
    </i>
    <i r="2">
      <x v="6"/>
      <x v="2"/>
      <x v="2"/>
    </i>
    <i>
      <x v="226"/>
      <x v="84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27"/>
      <x v="168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29"/>
      <x v="74"/>
      <x v="1"/>
      <x/>
      <x v="1"/>
    </i>
    <i r="2">
      <x v="2"/>
      <x/>
      <x v="1"/>
    </i>
    <i r="2">
      <x v="3"/>
      <x/>
      <x v="1"/>
    </i>
    <i r="2">
      <x v="5"/>
      <x/>
      <x v="1"/>
    </i>
    <i r="2">
      <x v="6"/>
      <x/>
      <x v="1"/>
    </i>
    <i r="2">
      <x v="7"/>
      <x/>
      <x v="1"/>
    </i>
    <i>
      <x v="230"/>
      <x v="157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32"/>
      <x v="5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33"/>
      <x v="170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34"/>
      <x v="252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35"/>
      <x v="144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36"/>
      <x v="26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37"/>
      <x v="198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38"/>
      <x v="204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39"/>
      <x v="123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40"/>
      <x v="19"/>
      <x v="1"/>
      <x/>
      <x v="1"/>
    </i>
    <i r="2">
      <x v="2"/>
      <x v="2"/>
      <x v="2"/>
    </i>
    <i r="3">
      <x v="5"/>
      <x v="4"/>
    </i>
    <i r="2">
      <x v="5"/>
      <x v="1"/>
      <x v="1"/>
    </i>
    <i r="3">
      <x v="5"/>
      <x v="4"/>
    </i>
    <i r="2">
      <x v="6"/>
      <x/>
      <x v="1"/>
    </i>
    <i r="3">
      <x v="5"/>
      <x v="4"/>
    </i>
    <i r="2">
      <x v="7"/>
      <x v="1"/>
      <x v="1"/>
    </i>
    <i r="3">
      <x v="2"/>
      <x v="2"/>
    </i>
    <i>
      <x v="242"/>
      <x v="83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 r="3">
      <x v="2"/>
      <x v="2"/>
    </i>
    <i>
      <x v="243"/>
      <x v="78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44"/>
      <x v="100"/>
      <x v="1"/>
      <x v="6"/>
      <x v="4"/>
    </i>
    <i r="2">
      <x v="2"/>
      <x v="6"/>
      <x v="4"/>
    </i>
    <i r="2">
      <x v="3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45"/>
      <x v="49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46"/>
      <x v="50"/>
      <x v="5"/>
      <x v="2"/>
      <x v="2"/>
    </i>
    <i r="2">
      <x v="6"/>
      <x v="2"/>
      <x v="2"/>
    </i>
    <i r="2">
      <x v="7"/>
      <x v="2"/>
      <x v="2"/>
    </i>
    <i>
      <x v="247"/>
      <x v="102"/>
      <x v="1"/>
      <x v="6"/>
      <x v="4"/>
    </i>
    <i r="2">
      <x v="2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48"/>
      <x v="48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49"/>
      <x v="226"/>
      <x v="1"/>
      <x v="1"/>
      <x v="1"/>
    </i>
    <i r="2">
      <x v="2"/>
      <x v="1"/>
      <x v="1"/>
    </i>
    <i r="2">
      <x v="5"/>
      <x v="1"/>
      <x v="1"/>
    </i>
    <i r="2">
      <x v="6"/>
      <x v="1"/>
      <x v="1"/>
    </i>
    <i r="2">
      <x v="7"/>
      <x v="1"/>
      <x v="1"/>
    </i>
    <i>
      <x v="250"/>
      <x v="186"/>
      <x v="1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51"/>
      <x v="201"/>
      <x v="1"/>
      <x/>
      <x v="1"/>
    </i>
    <i r="2">
      <x v="2"/>
      <x/>
      <x v="1"/>
    </i>
    <i r="2">
      <x v="5"/>
      <x/>
      <x v="1"/>
    </i>
    <i r="2">
      <x v="6"/>
      <x/>
      <x v="1"/>
    </i>
    <i r="2">
      <x v="7"/>
      <x/>
      <x v="1"/>
    </i>
    <i>
      <x v="252"/>
      <x v="51"/>
      <x v="1"/>
      <x v="2"/>
      <x v="2"/>
    </i>
    <i r="2">
      <x v="2"/>
      <x v="2"/>
      <x v="2"/>
    </i>
    <i r="2">
      <x v="5"/>
      <x v="2"/>
      <x v="2"/>
    </i>
    <i r="2">
      <x v="6"/>
      <x v="2"/>
      <x v="2"/>
    </i>
    <i r="2">
      <x v="7"/>
      <x v="2"/>
      <x v="2"/>
    </i>
    <i>
      <x v="253"/>
      <x v="36"/>
      <x v="1"/>
      <x/>
      <x v="1"/>
    </i>
    <i r="3">
      <x v="2"/>
      <x v="2"/>
    </i>
    <i r="2">
      <x v="2"/>
      <x v="2"/>
      <x v="2"/>
    </i>
    <i r="2">
      <x v="4"/>
      <x v="1"/>
      <x v="1"/>
    </i>
    <i r="2">
      <x v="5"/>
      <x v="2"/>
      <x v="2"/>
    </i>
    <i r="2">
      <x v="6"/>
      <x/>
      <x v="1"/>
    </i>
    <i r="3">
      <x v="2"/>
      <x v="2"/>
    </i>
    <i r="2">
      <x v="7"/>
      <x/>
      <x v="1"/>
    </i>
    <i r="3">
      <x v="2"/>
      <x v="2"/>
    </i>
    <i>
      <x v="254"/>
      <x v="44"/>
      <x v="1"/>
      <x/>
      <x v="1"/>
    </i>
    <i r="2">
      <x v="2"/>
      <x/>
      <x v="1"/>
    </i>
    <i r="3">
      <x v="1"/>
      <x v="1"/>
    </i>
    <i r="2">
      <x v="5"/>
      <x/>
      <x v="1"/>
    </i>
    <i r="3">
      <x v="5"/>
      <x v="4"/>
    </i>
    <i r="2">
      <x v="6"/>
      <x/>
      <x v="1"/>
    </i>
    <i r="3">
      <x v="5"/>
      <x v="4"/>
    </i>
    <i r="2">
      <x v="7"/>
      <x/>
      <x v="1"/>
    </i>
    <i>
      <x v="255"/>
      <x v="151"/>
      <x v="4"/>
      <x v="2"/>
      <x v="2"/>
    </i>
    <i r="2">
      <x v="5"/>
      <x v="2"/>
      <x v="2"/>
    </i>
    <i>
      <x v="256"/>
      <x v="185"/>
      <x v="1"/>
      <x/>
      <x v="1"/>
    </i>
    <i r="3">
      <x v="5"/>
      <x v="4"/>
    </i>
    <i r="2">
      <x v="5"/>
      <x/>
      <x v="1"/>
    </i>
    <i r="3">
      <x v="5"/>
      <x v="4"/>
    </i>
    <i r="2">
      <x v="6"/>
      <x/>
      <x v="1"/>
    </i>
    <i r="3">
      <x v="5"/>
      <x v="4"/>
    </i>
    <i r="2">
      <x v="7"/>
      <x/>
      <x v="1"/>
    </i>
    <i r="3">
      <x v="5"/>
      <x v="4"/>
    </i>
    <i>
      <x v="257"/>
      <x v="243"/>
      <x v="1"/>
      <x v="6"/>
      <x v="4"/>
    </i>
    <i r="2">
      <x v="5"/>
      <x v="6"/>
      <x v="4"/>
    </i>
    <i r="2">
      <x v="6"/>
      <x v="6"/>
      <x v="4"/>
    </i>
    <i r="2">
      <x v="7"/>
      <x v="6"/>
      <x v="4"/>
    </i>
    <i>
      <x v="258"/>
      <x v="221"/>
      <x v="5"/>
      <x/>
      <x v="1"/>
    </i>
    <i r="3">
      <x v="1"/>
      <x v="1"/>
    </i>
    <i r="2">
      <x v="6"/>
      <x/>
      <x v="1"/>
    </i>
    <i r="3">
      <x v="1"/>
      <x v="1"/>
    </i>
  </rowItems>
  <colFields count="1">
    <field x="7"/>
  </colFields>
  <colItems count="2">
    <i>
      <x/>
    </i>
    <i>
      <x v="1"/>
    </i>
  </colItems>
  <dataFields count="1">
    <dataField name="Suma de Hora" fld="5" baseField="0" baseItem="0"/>
  </dataFields>
  <formats count="4">
    <format dxfId="3">
      <pivotArea outline="0" collapsedLevelsAreSubtotals="1" fieldPosition="0">
        <references count="1">
          <reference field="7" count="0" selected="0"/>
        </references>
      </pivotArea>
    </format>
    <format dxfId="2">
      <pivotArea field="7" type="button" dataOnly="0" labelOnly="1" outline="0" axis="axisCol" fieldPosition="0"/>
    </format>
    <format dxfId="1">
      <pivotArea type="topRight" dataOnly="0" labelOnly="1" outline="0" fieldPosition="0"/>
    </format>
    <format dxfId="0">
      <pivotArea dataOnly="0" labelOnly="1" fieldPosition="0">
        <references count="1">
          <reference field="7" count="0"/>
        </references>
      </pivotArea>
    </format>
  </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U267"/>
  <sheetViews>
    <sheetView workbookViewId="0">
      <pane ySplit="1" topLeftCell="A246" activePane="bottomLeft" state="frozen"/>
      <selection pane="bottomLeft" activeCell="J270" sqref="J270"/>
    </sheetView>
  </sheetViews>
  <sheetFormatPr baseColWidth="10" defaultRowHeight="15"/>
  <cols>
    <col min="1" max="1" width="10" style="14" customWidth="1"/>
    <col min="2" max="2" width="12" style="14" bestFit="1" customWidth="1"/>
    <col min="3" max="3" width="16.140625" style="14" bestFit="1" customWidth="1"/>
    <col min="4" max="4" width="16.7109375" style="14" bestFit="1" customWidth="1"/>
    <col min="5" max="5" width="25.28515625" style="14" bestFit="1" customWidth="1"/>
    <col min="6" max="6" width="42.42578125" style="14" bestFit="1" customWidth="1"/>
    <col min="7" max="7" width="42.28515625" style="14" bestFit="1" customWidth="1"/>
    <col min="8" max="8" width="11.28515625" style="14" customWidth="1"/>
    <col min="9" max="9" width="22.140625" style="14" bestFit="1" customWidth="1"/>
    <col min="10" max="10" width="31" style="14" bestFit="1" customWidth="1"/>
    <col min="11" max="11" width="20.28515625" style="14" bestFit="1" customWidth="1"/>
    <col min="12" max="12" width="9" style="18" bestFit="1" customWidth="1"/>
    <col min="13" max="255" width="11.42578125" style="3"/>
  </cols>
  <sheetData>
    <row r="1" spans="1:12">
      <c r="A1" s="2" t="s">
        <v>5</v>
      </c>
      <c r="B1" s="38" t="s">
        <v>6</v>
      </c>
      <c r="C1" s="2" t="s">
        <v>7</v>
      </c>
      <c r="D1" s="2" t="s">
        <v>8</v>
      </c>
      <c r="E1" s="2" t="s">
        <v>9</v>
      </c>
      <c r="F1" s="38" t="s">
        <v>10</v>
      </c>
      <c r="G1" s="2" t="s">
        <v>11</v>
      </c>
      <c r="H1" s="2" t="s">
        <v>12</v>
      </c>
      <c r="I1" s="38" t="s">
        <v>1</v>
      </c>
      <c r="J1" s="38" t="s">
        <v>13</v>
      </c>
      <c r="K1" s="2" t="s">
        <v>14</v>
      </c>
      <c r="L1" s="1" t="s">
        <v>1351</v>
      </c>
    </row>
    <row r="2" spans="1:12">
      <c r="A2" s="5">
        <v>6434911</v>
      </c>
      <c r="B2" s="5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67" t="s">
        <v>20</v>
      </c>
      <c r="H2" s="7">
        <v>1050553</v>
      </c>
      <c r="I2" s="5" t="s">
        <v>2</v>
      </c>
      <c r="J2" s="5" t="s">
        <v>21</v>
      </c>
      <c r="K2" s="5" t="s">
        <v>22</v>
      </c>
      <c r="L2" s="4"/>
    </row>
    <row r="3" spans="1:12">
      <c r="A3" s="5">
        <v>8224093</v>
      </c>
      <c r="B3" s="5" t="s">
        <v>23</v>
      </c>
      <c r="C3" s="5" t="s">
        <v>24</v>
      </c>
      <c r="D3" s="5" t="s">
        <v>25</v>
      </c>
      <c r="E3" s="5" t="s">
        <v>26</v>
      </c>
      <c r="F3" s="5" t="s">
        <v>27</v>
      </c>
      <c r="G3" s="5" t="s">
        <v>28</v>
      </c>
      <c r="H3" s="5">
        <v>1050126</v>
      </c>
      <c r="I3" s="5" t="s">
        <v>29</v>
      </c>
      <c r="J3" s="5" t="s">
        <v>30</v>
      </c>
      <c r="K3" s="5" t="s">
        <v>22</v>
      </c>
      <c r="L3" s="4"/>
    </row>
    <row r="4" spans="1:12">
      <c r="A4" s="5">
        <v>12677439</v>
      </c>
      <c r="B4" s="5" t="s">
        <v>31</v>
      </c>
      <c r="C4" s="5" t="s">
        <v>32</v>
      </c>
      <c r="D4" s="5" t="s">
        <v>33</v>
      </c>
      <c r="E4" s="5" t="s">
        <v>34</v>
      </c>
      <c r="F4" s="5" t="s">
        <v>35</v>
      </c>
      <c r="G4" s="5" t="s">
        <v>36</v>
      </c>
      <c r="H4" s="5">
        <v>1050127</v>
      </c>
      <c r="I4" s="5" t="s">
        <v>29</v>
      </c>
      <c r="J4" s="5" t="s">
        <v>37</v>
      </c>
      <c r="K4" s="5" t="s">
        <v>22</v>
      </c>
      <c r="L4" s="4"/>
    </row>
    <row r="5" spans="1:12">
      <c r="A5" s="5">
        <v>8809784</v>
      </c>
      <c r="B5" s="5" t="s">
        <v>38</v>
      </c>
      <c r="C5" s="5" t="s">
        <v>39</v>
      </c>
      <c r="D5" s="5" t="s">
        <v>40</v>
      </c>
      <c r="E5" s="5" t="s">
        <v>41</v>
      </c>
      <c r="F5" s="5" t="s">
        <v>42</v>
      </c>
      <c r="G5" s="68" t="s">
        <v>43</v>
      </c>
      <c r="H5" s="5">
        <v>1050574</v>
      </c>
      <c r="I5" s="6" t="s">
        <v>44</v>
      </c>
      <c r="J5" s="6" t="s">
        <v>45</v>
      </c>
      <c r="K5" s="5" t="s">
        <v>22</v>
      </c>
      <c r="L5" s="4"/>
    </row>
    <row r="6" spans="1:12">
      <c r="A6" s="5">
        <v>16191666</v>
      </c>
      <c r="B6" s="5" t="s">
        <v>46</v>
      </c>
      <c r="C6" s="5" t="s">
        <v>47</v>
      </c>
      <c r="D6" s="5" t="s">
        <v>48</v>
      </c>
      <c r="E6" s="5" t="s">
        <v>49</v>
      </c>
      <c r="F6" s="5" t="s">
        <v>50</v>
      </c>
      <c r="G6" s="5" t="s">
        <v>51</v>
      </c>
      <c r="H6" s="5">
        <v>1050506</v>
      </c>
      <c r="I6" s="5" t="s">
        <v>29</v>
      </c>
      <c r="J6" s="5" t="s">
        <v>52</v>
      </c>
      <c r="K6" s="5" t="s">
        <v>22</v>
      </c>
      <c r="L6" s="4"/>
    </row>
    <row r="7" spans="1:12">
      <c r="A7" s="5">
        <v>7760886</v>
      </c>
      <c r="B7" s="5" t="s">
        <v>53</v>
      </c>
      <c r="C7" s="5" t="s">
        <v>54</v>
      </c>
      <c r="D7" s="5" t="s">
        <v>55</v>
      </c>
      <c r="E7" s="5" t="s">
        <v>56</v>
      </c>
      <c r="F7" s="5" t="s">
        <v>57</v>
      </c>
      <c r="G7" s="5" t="s">
        <v>58</v>
      </c>
      <c r="H7" s="5">
        <v>1050127</v>
      </c>
      <c r="I7" s="5" t="s">
        <v>29</v>
      </c>
      <c r="J7" s="5" t="s">
        <v>37</v>
      </c>
      <c r="K7" s="5" t="s">
        <v>22</v>
      </c>
      <c r="L7" s="4"/>
    </row>
    <row r="8" spans="1:12">
      <c r="A8" s="5">
        <v>13838747</v>
      </c>
      <c r="B8" s="5" t="s">
        <v>59</v>
      </c>
      <c r="C8" s="5" t="s">
        <v>60</v>
      </c>
      <c r="D8" s="5" t="s">
        <v>61</v>
      </c>
      <c r="E8" s="5" t="s">
        <v>62</v>
      </c>
      <c r="F8" s="5" t="s">
        <v>63</v>
      </c>
      <c r="G8" s="67" t="s">
        <v>64</v>
      </c>
      <c r="H8" s="5">
        <v>1050610</v>
      </c>
      <c r="I8" s="6" t="s">
        <v>65</v>
      </c>
      <c r="J8" s="6" t="s">
        <v>66</v>
      </c>
      <c r="K8" s="5" t="s">
        <v>22</v>
      </c>
      <c r="L8" s="4"/>
    </row>
    <row r="9" spans="1:12">
      <c r="A9" s="5">
        <v>22637242</v>
      </c>
      <c r="B9" s="5" t="s">
        <v>67</v>
      </c>
      <c r="C9" s="5" t="s">
        <v>68</v>
      </c>
      <c r="D9" s="5" t="s">
        <v>69</v>
      </c>
      <c r="E9" s="5" t="s">
        <v>70</v>
      </c>
      <c r="F9" s="5" t="s">
        <v>71</v>
      </c>
      <c r="G9" s="5" t="s">
        <v>72</v>
      </c>
      <c r="H9" s="5">
        <v>1050632</v>
      </c>
      <c r="I9" s="6" t="s">
        <v>73</v>
      </c>
      <c r="J9" s="6" t="s">
        <v>74</v>
      </c>
      <c r="K9" s="5" t="s">
        <v>22</v>
      </c>
      <c r="L9" s="4"/>
    </row>
    <row r="10" spans="1:12">
      <c r="A10" s="5">
        <v>17609782</v>
      </c>
      <c r="B10" s="5" t="s">
        <v>75</v>
      </c>
      <c r="C10" s="5" t="s">
        <v>68</v>
      </c>
      <c r="D10" s="5" t="s">
        <v>76</v>
      </c>
      <c r="E10" s="5" t="s">
        <v>77</v>
      </c>
      <c r="F10" s="5" t="s">
        <v>78</v>
      </c>
      <c r="G10" s="5" t="s">
        <v>79</v>
      </c>
      <c r="H10" s="5">
        <v>1050162</v>
      </c>
      <c r="I10" s="5" t="s">
        <v>29</v>
      </c>
      <c r="J10" s="5" t="s">
        <v>80</v>
      </c>
      <c r="K10" s="5" t="s">
        <v>22</v>
      </c>
      <c r="L10" s="4"/>
    </row>
    <row r="11" spans="1:12">
      <c r="A11" s="5">
        <v>10846598</v>
      </c>
      <c r="B11" s="5" t="s">
        <v>81</v>
      </c>
      <c r="C11" s="5" t="s">
        <v>82</v>
      </c>
      <c r="D11" s="5" t="s">
        <v>83</v>
      </c>
      <c r="E11" s="5" t="s">
        <v>84</v>
      </c>
      <c r="F11" s="5" t="s">
        <v>85</v>
      </c>
      <c r="G11" s="68" t="s">
        <v>86</v>
      </c>
      <c r="H11" s="5">
        <v>1050616</v>
      </c>
      <c r="I11" s="6" t="s">
        <v>87</v>
      </c>
      <c r="J11" s="6" t="s">
        <v>88</v>
      </c>
      <c r="K11" s="5" t="s">
        <v>22</v>
      </c>
      <c r="L11" s="4"/>
    </row>
    <row r="12" spans="1:12">
      <c r="A12" s="5">
        <v>12093228</v>
      </c>
      <c r="B12" s="5" t="s">
        <v>89</v>
      </c>
      <c r="C12" s="5" t="s">
        <v>90</v>
      </c>
      <c r="D12" s="5" t="s">
        <v>91</v>
      </c>
      <c r="E12" s="5" t="s">
        <v>92</v>
      </c>
      <c r="F12" s="5" t="s">
        <v>93</v>
      </c>
      <c r="G12" s="5" t="s">
        <v>94</v>
      </c>
      <c r="H12" s="5">
        <v>1050127</v>
      </c>
      <c r="I12" s="5" t="s">
        <v>29</v>
      </c>
      <c r="J12" s="5" t="s">
        <v>37</v>
      </c>
      <c r="K12" s="5" t="s">
        <v>22</v>
      </c>
      <c r="L12" s="4"/>
    </row>
    <row r="13" spans="1:12">
      <c r="A13" s="5">
        <v>9960185</v>
      </c>
      <c r="B13" s="5" t="s">
        <v>95</v>
      </c>
      <c r="C13" s="7" t="s">
        <v>90</v>
      </c>
      <c r="D13" s="7" t="s">
        <v>96</v>
      </c>
      <c r="E13" s="7" t="s">
        <v>97</v>
      </c>
      <c r="F13" s="7" t="s">
        <v>98</v>
      </c>
      <c r="G13" s="7" t="s">
        <v>99</v>
      </c>
      <c r="H13" s="5">
        <v>1050502</v>
      </c>
      <c r="I13" s="5" t="s">
        <v>100</v>
      </c>
      <c r="J13" s="5" t="s">
        <v>100</v>
      </c>
      <c r="K13" s="5" t="s">
        <v>22</v>
      </c>
      <c r="L13" s="4"/>
    </row>
    <row r="14" spans="1:12">
      <c r="A14" s="5">
        <v>8283277</v>
      </c>
      <c r="B14" s="5" t="s">
        <v>101</v>
      </c>
      <c r="C14" s="5" t="s">
        <v>90</v>
      </c>
      <c r="D14" s="5" t="s">
        <v>102</v>
      </c>
      <c r="E14" s="5" t="s">
        <v>103</v>
      </c>
      <c r="F14" s="5" t="s">
        <v>104</v>
      </c>
      <c r="G14" s="5" t="s">
        <v>105</v>
      </c>
      <c r="H14" s="5">
        <v>1050127</v>
      </c>
      <c r="I14" s="5" t="s">
        <v>29</v>
      </c>
      <c r="J14" s="5" t="s">
        <v>37</v>
      </c>
      <c r="K14" s="5" t="s">
        <v>22</v>
      </c>
      <c r="L14" s="4"/>
    </row>
    <row r="15" spans="1:12">
      <c r="A15" s="5">
        <v>9471557</v>
      </c>
      <c r="B15" s="5" t="s">
        <v>106</v>
      </c>
      <c r="C15" s="5" t="s">
        <v>107</v>
      </c>
      <c r="D15" s="5" t="s">
        <v>108</v>
      </c>
      <c r="E15" s="5" t="s">
        <v>109</v>
      </c>
      <c r="F15" s="5" t="s">
        <v>110</v>
      </c>
      <c r="G15" s="67" t="s">
        <v>111</v>
      </c>
      <c r="H15" s="5">
        <v>1050616</v>
      </c>
      <c r="I15" s="6" t="s">
        <v>87</v>
      </c>
      <c r="J15" s="6" t="s">
        <v>112</v>
      </c>
      <c r="K15" s="5" t="s">
        <v>22</v>
      </c>
      <c r="L15" s="4"/>
    </row>
    <row r="16" spans="1:12">
      <c r="A16" s="5">
        <v>12501307</v>
      </c>
      <c r="B16" s="5" t="s">
        <v>113</v>
      </c>
      <c r="C16" s="5" t="s">
        <v>114</v>
      </c>
      <c r="D16" s="5" t="s">
        <v>115</v>
      </c>
      <c r="E16" s="5" t="s">
        <v>116</v>
      </c>
      <c r="F16" s="5" t="s">
        <v>117</v>
      </c>
      <c r="G16" s="5" t="s">
        <v>118</v>
      </c>
      <c r="H16" s="5">
        <v>1050616</v>
      </c>
      <c r="I16" s="6" t="s">
        <v>87</v>
      </c>
      <c r="J16" s="6" t="s">
        <v>66</v>
      </c>
      <c r="K16" s="5" t="s">
        <v>22</v>
      </c>
      <c r="L16" s="4"/>
    </row>
    <row r="17" spans="1:12">
      <c r="A17" s="5">
        <v>8332629</v>
      </c>
      <c r="B17" s="5" t="s">
        <v>119</v>
      </c>
      <c r="C17" s="5" t="s">
        <v>120</v>
      </c>
      <c r="D17" s="5" t="s">
        <v>17</v>
      </c>
      <c r="E17" s="5" t="s">
        <v>121</v>
      </c>
      <c r="F17" s="5" t="s">
        <v>122</v>
      </c>
      <c r="G17" s="5" t="s">
        <v>123</v>
      </c>
      <c r="H17" s="5">
        <v>1050616</v>
      </c>
      <c r="I17" s="6" t="s">
        <v>87</v>
      </c>
      <c r="J17" s="6" t="s">
        <v>88</v>
      </c>
      <c r="K17" s="5" t="s">
        <v>22</v>
      </c>
      <c r="L17" s="4"/>
    </row>
    <row r="18" spans="1:12">
      <c r="A18" s="5">
        <v>10173910</v>
      </c>
      <c r="B18" s="5" t="s">
        <v>124</v>
      </c>
      <c r="C18" s="5" t="s">
        <v>125</v>
      </c>
      <c r="D18" s="5" t="s">
        <v>126</v>
      </c>
      <c r="E18" s="5" t="s">
        <v>127</v>
      </c>
      <c r="F18" s="5" t="s">
        <v>128</v>
      </c>
      <c r="G18" s="5" t="s">
        <v>129</v>
      </c>
      <c r="H18" s="5">
        <v>1050633</v>
      </c>
      <c r="I18" s="5" t="s">
        <v>29</v>
      </c>
      <c r="J18" s="5" t="s">
        <v>130</v>
      </c>
      <c r="K18" s="5" t="s">
        <v>22</v>
      </c>
      <c r="L18" s="4"/>
    </row>
    <row r="19" spans="1:12">
      <c r="A19" s="5">
        <v>11325204</v>
      </c>
      <c r="B19" s="5" t="s">
        <v>131</v>
      </c>
      <c r="C19" s="5" t="s">
        <v>132</v>
      </c>
      <c r="D19" s="5" t="s">
        <v>25</v>
      </c>
      <c r="E19" s="5" t="s">
        <v>133</v>
      </c>
      <c r="F19" s="5" t="s">
        <v>134</v>
      </c>
      <c r="G19" s="5" t="s">
        <v>135</v>
      </c>
      <c r="H19" s="5">
        <v>1050633</v>
      </c>
      <c r="I19" s="5" t="s">
        <v>29</v>
      </c>
      <c r="J19" s="5" t="s">
        <v>130</v>
      </c>
      <c r="K19" s="5" t="s">
        <v>22</v>
      </c>
      <c r="L19" s="4"/>
    </row>
    <row r="20" spans="1:12">
      <c r="A20" s="5">
        <v>9148214</v>
      </c>
      <c r="B20" s="5" t="s">
        <v>136</v>
      </c>
      <c r="C20" s="5" t="s">
        <v>137</v>
      </c>
      <c r="D20" s="5" t="s">
        <v>76</v>
      </c>
      <c r="E20" s="5" t="s">
        <v>138</v>
      </c>
      <c r="F20" s="5" t="s">
        <v>139</v>
      </c>
      <c r="G20" s="5" t="s">
        <v>140</v>
      </c>
      <c r="H20" s="5">
        <v>1050127</v>
      </c>
      <c r="I20" s="5" t="s">
        <v>29</v>
      </c>
      <c r="J20" s="5" t="s">
        <v>130</v>
      </c>
      <c r="K20" s="5" t="s">
        <v>22</v>
      </c>
      <c r="L20" s="4"/>
    </row>
    <row r="21" spans="1:12">
      <c r="A21" s="5">
        <v>12897839</v>
      </c>
      <c r="B21" s="5" t="s">
        <v>141</v>
      </c>
      <c r="C21" s="5" t="s">
        <v>142</v>
      </c>
      <c r="D21" s="5" t="s">
        <v>143</v>
      </c>
      <c r="E21" s="5" t="s">
        <v>144</v>
      </c>
      <c r="F21" s="5" t="s">
        <v>145</v>
      </c>
      <c r="G21" s="67" t="s">
        <v>146</v>
      </c>
      <c r="H21" s="5">
        <v>1050610</v>
      </c>
      <c r="I21" s="6" t="s">
        <v>65</v>
      </c>
      <c r="J21" s="6" t="s">
        <v>147</v>
      </c>
      <c r="K21" s="5" t="s">
        <v>22</v>
      </c>
      <c r="L21" s="4"/>
    </row>
    <row r="22" spans="1:12">
      <c r="A22" s="5">
        <v>13557248</v>
      </c>
      <c r="B22" s="5" t="s">
        <v>148</v>
      </c>
      <c r="C22" s="5" t="s">
        <v>149</v>
      </c>
      <c r="D22" s="5" t="s">
        <v>150</v>
      </c>
      <c r="E22" s="5" t="s">
        <v>151</v>
      </c>
      <c r="F22" s="5" t="s">
        <v>152</v>
      </c>
      <c r="G22" s="5" t="s">
        <v>153</v>
      </c>
      <c r="H22" s="5">
        <v>1050604</v>
      </c>
      <c r="I22" s="5" t="s">
        <v>154</v>
      </c>
      <c r="J22" s="5" t="s">
        <v>154</v>
      </c>
      <c r="K22" s="5" t="s">
        <v>22</v>
      </c>
      <c r="L22" s="4"/>
    </row>
    <row r="23" spans="1:12">
      <c r="A23" s="5">
        <v>16907382</v>
      </c>
      <c r="B23" s="5" t="s">
        <v>155</v>
      </c>
      <c r="C23" s="5" t="s">
        <v>156</v>
      </c>
      <c r="D23" s="5" t="s">
        <v>157</v>
      </c>
      <c r="E23" s="5" t="s">
        <v>158</v>
      </c>
      <c r="F23" s="5" t="s">
        <v>159</v>
      </c>
      <c r="G23" s="67" t="s">
        <v>160</v>
      </c>
      <c r="H23" s="5">
        <v>1050556</v>
      </c>
      <c r="I23" s="5" t="s">
        <v>161</v>
      </c>
      <c r="J23" s="5" t="s">
        <v>162</v>
      </c>
      <c r="K23" s="5" t="s">
        <v>22</v>
      </c>
      <c r="L23" s="4"/>
    </row>
    <row r="24" spans="1:12">
      <c r="A24" s="5">
        <v>13236100</v>
      </c>
      <c r="B24" s="5" t="s">
        <v>163</v>
      </c>
      <c r="C24" s="5" t="s">
        <v>164</v>
      </c>
      <c r="D24" s="5" t="s">
        <v>83</v>
      </c>
      <c r="E24" s="5" t="s">
        <v>165</v>
      </c>
      <c r="F24" s="5" t="s">
        <v>166</v>
      </c>
      <c r="G24" s="5" t="s">
        <v>167</v>
      </c>
      <c r="H24" s="5">
        <v>1050581</v>
      </c>
      <c r="I24" s="5" t="s">
        <v>29</v>
      </c>
      <c r="J24" s="5" t="s">
        <v>130</v>
      </c>
      <c r="K24" s="5" t="s">
        <v>22</v>
      </c>
      <c r="L24" s="4"/>
    </row>
    <row r="25" spans="1:12">
      <c r="A25" s="5">
        <v>13899407</v>
      </c>
      <c r="B25" s="5" t="s">
        <v>168</v>
      </c>
      <c r="C25" s="5" t="s">
        <v>164</v>
      </c>
      <c r="D25" s="5" t="s">
        <v>83</v>
      </c>
      <c r="E25" s="5" t="s">
        <v>169</v>
      </c>
      <c r="F25" s="5" t="s">
        <v>170</v>
      </c>
      <c r="G25" s="5" t="s">
        <v>171</v>
      </c>
      <c r="H25" s="5">
        <v>1050127</v>
      </c>
      <c r="I25" s="5" t="s">
        <v>29</v>
      </c>
      <c r="J25" s="5" t="s">
        <v>130</v>
      </c>
      <c r="K25" s="5" t="s">
        <v>22</v>
      </c>
      <c r="L25" s="4"/>
    </row>
    <row r="26" spans="1:12">
      <c r="A26" s="5">
        <v>10116815</v>
      </c>
      <c r="B26" s="5" t="s">
        <v>172</v>
      </c>
      <c r="C26" s="5" t="s">
        <v>173</v>
      </c>
      <c r="D26" s="5" t="s">
        <v>17</v>
      </c>
      <c r="E26" s="5" t="s">
        <v>174</v>
      </c>
      <c r="F26" s="5" t="s">
        <v>175</v>
      </c>
      <c r="G26" s="5" t="s">
        <v>176</v>
      </c>
      <c r="H26" s="5">
        <v>1050127</v>
      </c>
      <c r="I26" s="5" t="s">
        <v>29</v>
      </c>
      <c r="J26" s="5" t="s">
        <v>130</v>
      </c>
      <c r="K26" s="5" t="s">
        <v>22</v>
      </c>
      <c r="L26" s="4"/>
    </row>
    <row r="27" spans="1:12">
      <c r="A27" s="5">
        <v>6933508</v>
      </c>
      <c r="B27" s="5" t="s">
        <v>177</v>
      </c>
      <c r="C27" s="5" t="s">
        <v>178</v>
      </c>
      <c r="D27" s="5" t="s">
        <v>179</v>
      </c>
      <c r="E27" s="5" t="s">
        <v>180</v>
      </c>
      <c r="F27" s="5" t="s">
        <v>181</v>
      </c>
      <c r="G27" s="67" t="s">
        <v>182</v>
      </c>
      <c r="H27" s="5">
        <v>1050616</v>
      </c>
      <c r="I27" s="6" t="s">
        <v>87</v>
      </c>
      <c r="J27" s="6" t="s">
        <v>66</v>
      </c>
      <c r="K27" s="5" t="s">
        <v>22</v>
      </c>
      <c r="L27" s="4"/>
    </row>
    <row r="28" spans="1:12">
      <c r="A28" s="5">
        <v>16441340</v>
      </c>
      <c r="B28" s="5" t="s">
        <v>183</v>
      </c>
      <c r="C28" s="5" t="s">
        <v>184</v>
      </c>
      <c r="D28" s="5" t="s">
        <v>185</v>
      </c>
      <c r="E28" s="5" t="s">
        <v>186</v>
      </c>
      <c r="F28" s="5" t="s">
        <v>187</v>
      </c>
      <c r="G28" s="5" t="s">
        <v>188</v>
      </c>
      <c r="H28" s="5">
        <v>1050633</v>
      </c>
      <c r="I28" s="5" t="s">
        <v>29</v>
      </c>
      <c r="J28" s="5" t="s">
        <v>130</v>
      </c>
      <c r="K28" s="5" t="s">
        <v>22</v>
      </c>
      <c r="L28" s="4"/>
    </row>
    <row r="29" spans="1:12">
      <c r="A29" s="5">
        <v>14095347</v>
      </c>
      <c r="B29" s="5" t="s">
        <v>189</v>
      </c>
      <c r="C29" s="5" t="s">
        <v>190</v>
      </c>
      <c r="D29" s="5" t="s">
        <v>191</v>
      </c>
      <c r="E29" s="5" t="s">
        <v>192</v>
      </c>
      <c r="F29" s="5" t="s">
        <v>193</v>
      </c>
      <c r="G29" s="5" t="s">
        <v>194</v>
      </c>
      <c r="H29" s="5">
        <v>1050574</v>
      </c>
      <c r="I29" s="6" t="s">
        <v>44</v>
      </c>
      <c r="J29" s="6" t="s">
        <v>45</v>
      </c>
      <c r="K29" s="5" t="s">
        <v>22</v>
      </c>
      <c r="L29" s="4"/>
    </row>
    <row r="30" spans="1:12">
      <c r="A30" s="5">
        <v>12674806</v>
      </c>
      <c r="B30" s="5" t="s">
        <v>195</v>
      </c>
      <c r="C30" s="5" t="s">
        <v>196</v>
      </c>
      <c r="D30" s="5" t="s">
        <v>197</v>
      </c>
      <c r="E30" s="5" t="s">
        <v>198</v>
      </c>
      <c r="F30" s="5" t="s">
        <v>199</v>
      </c>
      <c r="G30" s="5" t="s">
        <v>200</v>
      </c>
      <c r="H30" s="5">
        <v>1050556</v>
      </c>
      <c r="I30" s="5" t="s">
        <v>161</v>
      </c>
      <c r="J30" s="5" t="s">
        <v>162</v>
      </c>
      <c r="K30" s="5" t="s">
        <v>22</v>
      </c>
      <c r="L30" s="4"/>
    </row>
    <row r="31" spans="1:12">
      <c r="A31" s="5">
        <v>8454836</v>
      </c>
      <c r="B31" s="5" t="s">
        <v>201</v>
      </c>
      <c r="C31" s="5" t="s">
        <v>202</v>
      </c>
      <c r="D31" s="5" t="s">
        <v>150</v>
      </c>
      <c r="E31" s="5" t="s">
        <v>203</v>
      </c>
      <c r="F31" s="5" t="s">
        <v>204</v>
      </c>
      <c r="G31" s="5" t="s">
        <v>205</v>
      </c>
      <c r="H31" s="5">
        <v>1050127</v>
      </c>
      <c r="I31" s="5" t="s">
        <v>29</v>
      </c>
      <c r="J31" s="5" t="s">
        <v>130</v>
      </c>
      <c r="K31" s="5" t="s">
        <v>22</v>
      </c>
      <c r="L31" s="4"/>
    </row>
    <row r="32" spans="1:12">
      <c r="A32" s="5">
        <v>9832710</v>
      </c>
      <c r="B32" s="5" t="s">
        <v>206</v>
      </c>
      <c r="C32" s="5" t="s">
        <v>207</v>
      </c>
      <c r="D32" s="5" t="s">
        <v>208</v>
      </c>
      <c r="E32" s="5" t="s">
        <v>209</v>
      </c>
      <c r="F32" s="5" t="s">
        <v>210</v>
      </c>
      <c r="G32" s="5" t="s">
        <v>211</v>
      </c>
      <c r="H32" s="5">
        <v>1050127</v>
      </c>
      <c r="I32" s="5" t="s">
        <v>29</v>
      </c>
      <c r="J32" s="5" t="s">
        <v>130</v>
      </c>
      <c r="K32" s="5" t="s">
        <v>22</v>
      </c>
      <c r="L32" s="4"/>
    </row>
    <row r="33" spans="1:12">
      <c r="A33" s="5">
        <v>12410690</v>
      </c>
      <c r="B33" s="5" t="s">
        <v>212</v>
      </c>
      <c r="C33" s="5" t="s">
        <v>213</v>
      </c>
      <c r="D33" s="5" t="s">
        <v>214</v>
      </c>
      <c r="E33" s="5" t="s">
        <v>215</v>
      </c>
      <c r="F33" s="5" t="s">
        <v>216</v>
      </c>
      <c r="G33" s="5" t="s">
        <v>217</v>
      </c>
      <c r="H33" s="69">
        <v>1050554</v>
      </c>
      <c r="I33" s="5" t="s">
        <v>2</v>
      </c>
      <c r="J33" s="5" t="s">
        <v>66</v>
      </c>
      <c r="K33" s="5" t="s">
        <v>22</v>
      </c>
      <c r="L33" s="4"/>
    </row>
    <row r="34" spans="1:12">
      <c r="A34" s="5">
        <v>8360971</v>
      </c>
      <c r="B34" s="5" t="s">
        <v>218</v>
      </c>
      <c r="C34" s="5" t="s">
        <v>219</v>
      </c>
      <c r="D34" s="5" t="s">
        <v>220</v>
      </c>
      <c r="E34" s="5" t="s">
        <v>221</v>
      </c>
      <c r="F34" s="5" t="s">
        <v>222</v>
      </c>
      <c r="G34" s="5" t="s">
        <v>223</v>
      </c>
      <c r="H34" s="69">
        <v>1050554</v>
      </c>
      <c r="I34" s="5" t="s">
        <v>2</v>
      </c>
      <c r="J34" s="5" t="s">
        <v>162</v>
      </c>
      <c r="K34" s="5" t="s">
        <v>22</v>
      </c>
      <c r="L34" s="4"/>
    </row>
    <row r="35" spans="1:12">
      <c r="A35" s="5">
        <v>16695463</v>
      </c>
      <c r="B35" s="5" t="s">
        <v>224</v>
      </c>
      <c r="C35" s="5" t="s">
        <v>225</v>
      </c>
      <c r="D35" s="5" t="s">
        <v>226</v>
      </c>
      <c r="E35" s="5" t="s">
        <v>227</v>
      </c>
      <c r="F35" s="5" t="s">
        <v>228</v>
      </c>
      <c r="G35" s="5" t="s">
        <v>229</v>
      </c>
      <c r="H35" s="70">
        <v>1050616</v>
      </c>
      <c r="I35" s="6" t="s">
        <v>87</v>
      </c>
      <c r="J35" s="6" t="s">
        <v>21</v>
      </c>
      <c r="K35" s="5" t="s">
        <v>22</v>
      </c>
      <c r="L35" s="4"/>
    </row>
    <row r="36" spans="1:12">
      <c r="A36" s="5">
        <v>8465592</v>
      </c>
      <c r="B36" s="5" t="s">
        <v>230</v>
      </c>
      <c r="C36" s="5" t="s">
        <v>231</v>
      </c>
      <c r="D36" s="5" t="s">
        <v>232</v>
      </c>
      <c r="E36" s="5" t="s">
        <v>233</v>
      </c>
      <c r="F36" s="5" t="s">
        <v>234</v>
      </c>
      <c r="G36" s="5" t="s">
        <v>235</v>
      </c>
      <c r="H36" s="69">
        <v>1050574</v>
      </c>
      <c r="I36" s="6" t="s">
        <v>44</v>
      </c>
      <c r="J36" s="6" t="s">
        <v>45</v>
      </c>
      <c r="K36" s="5" t="s">
        <v>22</v>
      </c>
      <c r="L36" s="4"/>
    </row>
    <row r="37" spans="1:12">
      <c r="A37" s="5">
        <v>17542884</v>
      </c>
      <c r="B37" s="5" t="s">
        <v>236</v>
      </c>
      <c r="C37" s="11" t="s">
        <v>237</v>
      </c>
      <c r="D37" s="11" t="s">
        <v>238</v>
      </c>
      <c r="E37" s="11" t="s">
        <v>239</v>
      </c>
      <c r="F37" s="11" t="s">
        <v>240</v>
      </c>
      <c r="G37" s="11" t="s">
        <v>241</v>
      </c>
      <c r="H37" s="69">
        <v>1050529</v>
      </c>
      <c r="I37" s="5" t="s">
        <v>242</v>
      </c>
      <c r="J37" s="5" t="s">
        <v>242</v>
      </c>
      <c r="K37" s="5" t="s">
        <v>22</v>
      </c>
      <c r="L37" s="4"/>
    </row>
    <row r="38" spans="1:12">
      <c r="A38" s="5">
        <v>7717451</v>
      </c>
      <c r="B38" s="5" t="s">
        <v>243</v>
      </c>
      <c r="C38" s="5" t="s">
        <v>244</v>
      </c>
      <c r="D38" s="5" t="s">
        <v>69</v>
      </c>
      <c r="E38" s="5" t="s">
        <v>245</v>
      </c>
      <c r="F38" s="5" t="s">
        <v>246</v>
      </c>
      <c r="G38" s="5" t="s">
        <v>247</v>
      </c>
      <c r="H38" s="69">
        <v>1050557</v>
      </c>
      <c r="I38" s="5" t="s">
        <v>248</v>
      </c>
      <c r="J38" s="5" t="s">
        <v>249</v>
      </c>
      <c r="K38" s="5" t="s">
        <v>22</v>
      </c>
      <c r="L38" s="4"/>
    </row>
    <row r="39" spans="1:12">
      <c r="A39" s="5">
        <v>15702200</v>
      </c>
      <c r="B39" s="5" t="s">
        <v>250</v>
      </c>
      <c r="C39" s="5" t="s">
        <v>244</v>
      </c>
      <c r="D39" s="5" t="s">
        <v>61</v>
      </c>
      <c r="E39" s="5" t="s">
        <v>251</v>
      </c>
      <c r="F39" s="5" t="s">
        <v>252</v>
      </c>
      <c r="G39" s="5" t="s">
        <v>253</v>
      </c>
      <c r="H39" s="70">
        <v>1050610</v>
      </c>
      <c r="I39" s="7" t="s">
        <v>65</v>
      </c>
      <c r="J39" s="5" t="s">
        <v>66</v>
      </c>
      <c r="K39" s="5" t="s">
        <v>22</v>
      </c>
      <c r="L39" s="4"/>
    </row>
    <row r="40" spans="1:12">
      <c r="A40" s="5">
        <v>7816535</v>
      </c>
      <c r="B40" s="5" t="s">
        <v>254</v>
      </c>
      <c r="C40" s="11" t="s">
        <v>255</v>
      </c>
      <c r="D40" s="11" t="s">
        <v>256</v>
      </c>
      <c r="E40" s="11" t="s">
        <v>257</v>
      </c>
      <c r="F40" s="11" t="s">
        <v>258</v>
      </c>
      <c r="G40" s="71" t="s">
        <v>259</v>
      </c>
      <c r="H40" s="69">
        <v>1050529</v>
      </c>
      <c r="I40" s="5" t="s">
        <v>87</v>
      </c>
      <c r="J40" s="5" t="s">
        <v>162</v>
      </c>
      <c r="K40" s="5" t="s">
        <v>22</v>
      </c>
      <c r="L40" s="4"/>
    </row>
    <row r="41" spans="1:12">
      <c r="A41" s="5">
        <v>13486775</v>
      </c>
      <c r="B41" s="5" t="s">
        <v>260</v>
      </c>
      <c r="C41" s="2" t="s">
        <v>261</v>
      </c>
      <c r="D41" s="2" t="s">
        <v>262</v>
      </c>
      <c r="E41" s="2" t="s">
        <v>263</v>
      </c>
      <c r="F41" s="2" t="s">
        <v>264</v>
      </c>
      <c r="G41" s="2" t="s">
        <v>265</v>
      </c>
      <c r="H41" s="69">
        <v>1050610</v>
      </c>
      <c r="I41" s="6" t="s">
        <v>65</v>
      </c>
      <c r="J41" s="6" t="s">
        <v>66</v>
      </c>
      <c r="K41" s="5" t="s">
        <v>22</v>
      </c>
      <c r="L41" s="4"/>
    </row>
    <row r="42" spans="1:12">
      <c r="A42" s="5">
        <v>11660411</v>
      </c>
      <c r="B42" s="5" t="s">
        <v>266</v>
      </c>
      <c r="C42" s="5" t="s">
        <v>267</v>
      </c>
      <c r="D42" s="5" t="s">
        <v>268</v>
      </c>
      <c r="E42" s="5" t="s">
        <v>269</v>
      </c>
      <c r="F42" s="5" t="s">
        <v>270</v>
      </c>
      <c r="G42" s="5" t="s">
        <v>271</v>
      </c>
      <c r="H42" s="5">
        <v>1050581</v>
      </c>
      <c r="I42" s="5" t="s">
        <v>29</v>
      </c>
      <c r="J42" s="5" t="s">
        <v>272</v>
      </c>
      <c r="K42" s="5" t="s">
        <v>22</v>
      </c>
      <c r="L42" s="4"/>
    </row>
    <row r="43" spans="1:12">
      <c r="A43" s="5">
        <v>11523492</v>
      </c>
      <c r="B43" s="5" t="s">
        <v>273</v>
      </c>
      <c r="C43" s="5" t="s">
        <v>267</v>
      </c>
      <c r="D43" s="5" t="s">
        <v>197</v>
      </c>
      <c r="E43" s="5" t="s">
        <v>274</v>
      </c>
      <c r="F43" s="5" t="s">
        <v>275</v>
      </c>
      <c r="G43" s="5" t="s">
        <v>276</v>
      </c>
      <c r="H43" s="5">
        <v>1050616</v>
      </c>
      <c r="I43" s="6" t="s">
        <v>87</v>
      </c>
      <c r="J43" s="6" t="s">
        <v>88</v>
      </c>
      <c r="K43" s="5" t="s">
        <v>22</v>
      </c>
      <c r="L43" s="4"/>
    </row>
    <row r="44" spans="1:12">
      <c r="A44" s="5">
        <v>11268136</v>
      </c>
      <c r="B44" s="5" t="s">
        <v>277</v>
      </c>
      <c r="C44" s="5" t="s">
        <v>278</v>
      </c>
      <c r="D44" s="5" t="s">
        <v>39</v>
      </c>
      <c r="E44" s="5" t="s">
        <v>279</v>
      </c>
      <c r="F44" s="5" t="s">
        <v>280</v>
      </c>
      <c r="G44" s="5" t="s">
        <v>281</v>
      </c>
      <c r="H44" s="7">
        <v>1050610</v>
      </c>
      <c r="I44" s="7" t="s">
        <v>65</v>
      </c>
      <c r="J44" s="5" t="s">
        <v>147</v>
      </c>
      <c r="K44" s="5" t="s">
        <v>22</v>
      </c>
      <c r="L44" s="4"/>
    </row>
    <row r="45" spans="1:12">
      <c r="A45" s="5">
        <v>11347053</v>
      </c>
      <c r="B45" s="5" t="s">
        <v>282</v>
      </c>
      <c r="C45" s="5" t="s">
        <v>283</v>
      </c>
      <c r="D45" s="5" t="s">
        <v>284</v>
      </c>
      <c r="E45" s="5" t="s">
        <v>285</v>
      </c>
      <c r="F45" s="5" t="s">
        <v>286</v>
      </c>
      <c r="G45" s="5" t="s">
        <v>287</v>
      </c>
      <c r="H45" s="5">
        <v>1050506</v>
      </c>
      <c r="I45" s="5" t="s">
        <v>29</v>
      </c>
      <c r="J45" s="5" t="s">
        <v>52</v>
      </c>
      <c r="K45" s="5" t="s">
        <v>22</v>
      </c>
      <c r="L45" s="4"/>
    </row>
    <row r="46" spans="1:12">
      <c r="A46" s="5">
        <v>7815607</v>
      </c>
      <c r="B46" s="5" t="s">
        <v>288</v>
      </c>
      <c r="C46" s="5" t="s">
        <v>289</v>
      </c>
      <c r="D46" s="5" t="s">
        <v>290</v>
      </c>
      <c r="E46" s="5" t="s">
        <v>291</v>
      </c>
      <c r="F46" s="5" t="s">
        <v>292</v>
      </c>
      <c r="G46" s="5" t="s">
        <v>293</v>
      </c>
      <c r="H46" s="5">
        <v>1050633</v>
      </c>
      <c r="I46" s="5" t="s">
        <v>29</v>
      </c>
      <c r="J46" s="5" t="s">
        <v>130</v>
      </c>
      <c r="K46" s="5" t="s">
        <v>22</v>
      </c>
      <c r="L46" s="4"/>
    </row>
    <row r="47" spans="1:12">
      <c r="A47" s="5">
        <v>6143912</v>
      </c>
      <c r="B47" s="5" t="s">
        <v>294</v>
      </c>
      <c r="C47" s="5" t="s">
        <v>295</v>
      </c>
      <c r="D47" s="5" t="s">
        <v>296</v>
      </c>
      <c r="E47" s="5" t="s">
        <v>297</v>
      </c>
      <c r="F47" s="5" t="s">
        <v>298</v>
      </c>
      <c r="G47" s="5" t="s">
        <v>299</v>
      </c>
      <c r="H47" s="7">
        <v>1050632</v>
      </c>
      <c r="I47" s="5" t="s">
        <v>300</v>
      </c>
      <c r="J47" s="5" t="s">
        <v>300</v>
      </c>
      <c r="K47" s="5" t="s">
        <v>22</v>
      </c>
      <c r="L47" s="4"/>
    </row>
    <row r="48" spans="1:12">
      <c r="A48" s="5">
        <v>14181387</v>
      </c>
      <c r="B48" s="5" t="s">
        <v>301</v>
      </c>
      <c r="C48" s="5" t="s">
        <v>302</v>
      </c>
      <c r="D48" s="5" t="s">
        <v>303</v>
      </c>
      <c r="E48" s="5" t="s">
        <v>304</v>
      </c>
      <c r="F48" s="5" t="s">
        <v>305</v>
      </c>
      <c r="G48" s="5" t="s">
        <v>306</v>
      </c>
      <c r="H48" s="5">
        <v>1050127</v>
      </c>
      <c r="I48" s="5" t="s">
        <v>29</v>
      </c>
      <c r="J48" s="5" t="s">
        <v>37</v>
      </c>
      <c r="K48" s="5" t="s">
        <v>22</v>
      </c>
      <c r="L48" s="4"/>
    </row>
    <row r="49" spans="1:12">
      <c r="A49" s="5">
        <v>7944613</v>
      </c>
      <c r="B49" s="5" t="s">
        <v>307</v>
      </c>
      <c r="C49" s="5" t="s">
        <v>179</v>
      </c>
      <c r="D49" s="5" t="s">
        <v>308</v>
      </c>
      <c r="E49" s="5" t="s">
        <v>309</v>
      </c>
      <c r="F49" s="5" t="s">
        <v>310</v>
      </c>
      <c r="G49" s="5" t="s">
        <v>311</v>
      </c>
      <c r="H49" s="5">
        <v>1050126</v>
      </c>
      <c r="I49" s="5" t="s">
        <v>29</v>
      </c>
      <c r="J49" s="5" t="s">
        <v>30</v>
      </c>
      <c r="K49" s="5" t="s">
        <v>22</v>
      </c>
      <c r="L49" s="4"/>
    </row>
    <row r="50" spans="1:12">
      <c r="A50" s="5">
        <v>14595059</v>
      </c>
      <c r="B50" s="5" t="s">
        <v>312</v>
      </c>
      <c r="C50" s="5" t="s">
        <v>179</v>
      </c>
      <c r="D50" s="5" t="s">
        <v>313</v>
      </c>
      <c r="E50" s="5" t="s">
        <v>314</v>
      </c>
      <c r="F50" s="5" t="s">
        <v>315</v>
      </c>
      <c r="G50" s="5" t="s">
        <v>316</v>
      </c>
      <c r="H50" s="5">
        <v>1050616</v>
      </c>
      <c r="I50" s="6" t="s">
        <v>87</v>
      </c>
      <c r="J50" s="5" t="s">
        <v>147</v>
      </c>
      <c r="K50" s="5" t="s">
        <v>22</v>
      </c>
      <c r="L50" s="4"/>
    </row>
    <row r="51" spans="1:12">
      <c r="A51" s="5">
        <v>10874066</v>
      </c>
      <c r="B51" s="5" t="s">
        <v>317</v>
      </c>
      <c r="C51" s="5" t="s">
        <v>179</v>
      </c>
      <c r="D51" s="5" t="s">
        <v>318</v>
      </c>
      <c r="E51" s="5" t="s">
        <v>92</v>
      </c>
      <c r="F51" s="5" t="s">
        <v>319</v>
      </c>
      <c r="G51" s="5" t="s">
        <v>320</v>
      </c>
      <c r="H51" s="5">
        <v>1050552</v>
      </c>
      <c r="I51" s="5" t="s">
        <v>321</v>
      </c>
      <c r="J51" s="5" t="s">
        <v>66</v>
      </c>
      <c r="K51" s="5" t="s">
        <v>22</v>
      </c>
      <c r="L51" s="4"/>
    </row>
    <row r="52" spans="1:12">
      <c r="A52" s="5">
        <v>11394356</v>
      </c>
      <c r="B52" s="5" t="s">
        <v>322</v>
      </c>
      <c r="C52" s="5" t="s">
        <v>179</v>
      </c>
      <c r="D52" s="5" t="s">
        <v>33</v>
      </c>
      <c r="E52" s="5" t="s">
        <v>323</v>
      </c>
      <c r="F52" s="5" t="s">
        <v>324</v>
      </c>
      <c r="G52" s="5" t="s">
        <v>325</v>
      </c>
      <c r="H52" s="5">
        <v>1050616</v>
      </c>
      <c r="I52" s="6" t="s">
        <v>87</v>
      </c>
      <c r="J52" s="5" t="s">
        <v>147</v>
      </c>
      <c r="K52" s="5" t="s">
        <v>22</v>
      </c>
      <c r="L52" s="4"/>
    </row>
    <row r="53" spans="1:12">
      <c r="A53" s="5">
        <v>11165105</v>
      </c>
      <c r="B53" s="5" t="s">
        <v>326</v>
      </c>
      <c r="C53" s="5" t="s">
        <v>179</v>
      </c>
      <c r="D53" s="5" t="s">
        <v>327</v>
      </c>
      <c r="E53" s="5" t="s">
        <v>328</v>
      </c>
      <c r="F53" s="5" t="s">
        <v>329</v>
      </c>
      <c r="G53" s="5" t="s">
        <v>330</v>
      </c>
      <c r="H53" s="5">
        <v>1050552</v>
      </c>
      <c r="I53" s="5" t="s">
        <v>321</v>
      </c>
      <c r="J53" s="5" t="s">
        <v>147</v>
      </c>
      <c r="K53" s="5" t="s">
        <v>22</v>
      </c>
      <c r="L53" s="4"/>
    </row>
    <row r="54" spans="1:12">
      <c r="A54" s="5">
        <v>17929108</v>
      </c>
      <c r="B54" s="5" t="s">
        <v>331</v>
      </c>
      <c r="C54" s="5" t="s">
        <v>332</v>
      </c>
      <c r="D54" s="5" t="s">
        <v>333</v>
      </c>
      <c r="E54" s="5" t="s">
        <v>334</v>
      </c>
      <c r="F54" s="5" t="s">
        <v>335</v>
      </c>
      <c r="G54" s="5" t="s">
        <v>336</v>
      </c>
      <c r="H54" s="5">
        <v>1050529</v>
      </c>
      <c r="I54" s="5" t="s">
        <v>242</v>
      </c>
      <c r="J54" s="5" t="s">
        <v>242</v>
      </c>
      <c r="K54" s="5" t="s">
        <v>22</v>
      </c>
      <c r="L54" s="4"/>
    </row>
    <row r="55" spans="1:12">
      <c r="A55" s="5">
        <v>5267317</v>
      </c>
      <c r="B55" s="5" t="s">
        <v>337</v>
      </c>
      <c r="C55" s="5" t="s">
        <v>338</v>
      </c>
      <c r="D55" s="5" t="s">
        <v>142</v>
      </c>
      <c r="E55" s="5" t="s">
        <v>339</v>
      </c>
      <c r="F55" s="5" t="s">
        <v>340</v>
      </c>
      <c r="G55" s="5" t="s">
        <v>341</v>
      </c>
      <c r="H55" s="5">
        <v>1050127</v>
      </c>
      <c r="I55" s="5" t="s">
        <v>29</v>
      </c>
      <c r="J55" s="5" t="s">
        <v>37</v>
      </c>
      <c r="K55" s="5" t="s">
        <v>22</v>
      </c>
      <c r="L55" s="4"/>
    </row>
    <row r="56" spans="1:12">
      <c r="A56" s="5">
        <v>14336328</v>
      </c>
      <c r="B56" s="5" t="s">
        <v>342</v>
      </c>
      <c r="C56" s="5" t="s">
        <v>343</v>
      </c>
      <c r="D56" s="5" t="s">
        <v>318</v>
      </c>
      <c r="E56" s="5" t="s">
        <v>344</v>
      </c>
      <c r="F56" s="5" t="s">
        <v>345</v>
      </c>
      <c r="G56" s="5" t="s">
        <v>346</v>
      </c>
      <c r="H56" s="5">
        <v>1050552</v>
      </c>
      <c r="I56" s="5" t="s">
        <v>321</v>
      </c>
      <c r="J56" s="5" t="s">
        <v>162</v>
      </c>
      <c r="K56" s="5" t="s">
        <v>22</v>
      </c>
      <c r="L56" s="4"/>
    </row>
    <row r="57" spans="1:12">
      <c r="A57" s="5">
        <v>9957527</v>
      </c>
      <c r="B57" s="5" t="s">
        <v>347</v>
      </c>
      <c r="C57" s="5" t="s">
        <v>343</v>
      </c>
      <c r="D57" s="5" t="s">
        <v>33</v>
      </c>
      <c r="E57" s="5" t="s">
        <v>348</v>
      </c>
      <c r="F57" s="5" t="s">
        <v>349</v>
      </c>
      <c r="G57" s="5" t="s">
        <v>350</v>
      </c>
      <c r="H57" s="5">
        <v>1050616</v>
      </c>
      <c r="I57" s="6" t="s">
        <v>87</v>
      </c>
      <c r="J57" s="6" t="s">
        <v>66</v>
      </c>
      <c r="K57" s="5" t="s">
        <v>22</v>
      </c>
      <c r="L57" s="4"/>
    </row>
    <row r="58" spans="1:12">
      <c r="A58" s="5">
        <v>6326657</v>
      </c>
      <c r="B58" s="5" t="s">
        <v>351</v>
      </c>
      <c r="C58" s="5" t="s">
        <v>343</v>
      </c>
      <c r="D58" s="5" t="s">
        <v>352</v>
      </c>
      <c r="E58" s="5" t="s">
        <v>353</v>
      </c>
      <c r="F58" s="5" t="s">
        <v>354</v>
      </c>
      <c r="G58" s="5" t="s">
        <v>355</v>
      </c>
      <c r="H58" s="7">
        <v>1050616</v>
      </c>
      <c r="I58" s="6" t="s">
        <v>87</v>
      </c>
      <c r="J58" s="6" t="s">
        <v>66</v>
      </c>
      <c r="K58" s="5" t="s">
        <v>22</v>
      </c>
      <c r="L58" s="4"/>
    </row>
    <row r="59" spans="1:12">
      <c r="A59" s="5">
        <v>11267594</v>
      </c>
      <c r="B59" s="5" t="s">
        <v>356</v>
      </c>
      <c r="C59" s="5" t="s">
        <v>357</v>
      </c>
      <c r="D59" s="5" t="s">
        <v>358</v>
      </c>
      <c r="E59" s="5" t="s">
        <v>359</v>
      </c>
      <c r="F59" s="5" t="s">
        <v>360</v>
      </c>
      <c r="G59" s="5" t="s">
        <v>361</v>
      </c>
      <c r="H59" s="5">
        <v>1050581</v>
      </c>
      <c r="I59" s="5" t="s">
        <v>29</v>
      </c>
      <c r="J59" s="5" t="s">
        <v>272</v>
      </c>
      <c r="K59" s="5" t="s">
        <v>22</v>
      </c>
      <c r="L59" s="4"/>
    </row>
    <row r="60" spans="1:12">
      <c r="A60" s="5">
        <v>8161344</v>
      </c>
      <c r="B60" s="5" t="s">
        <v>362</v>
      </c>
      <c r="C60" s="5" t="s">
        <v>363</v>
      </c>
      <c r="D60" s="5" t="s">
        <v>363</v>
      </c>
      <c r="E60" s="5" t="s">
        <v>364</v>
      </c>
      <c r="F60" s="5" t="s">
        <v>365</v>
      </c>
      <c r="G60" s="67" t="s">
        <v>366</v>
      </c>
      <c r="H60" s="5">
        <v>1050552</v>
      </c>
      <c r="I60" s="5" t="s">
        <v>321</v>
      </c>
      <c r="J60" s="5" t="s">
        <v>147</v>
      </c>
      <c r="K60" s="5" t="s">
        <v>22</v>
      </c>
      <c r="L60" s="4"/>
    </row>
    <row r="61" spans="1:12">
      <c r="A61" s="5">
        <v>11914799</v>
      </c>
      <c r="B61" s="5" t="s">
        <v>367</v>
      </c>
      <c r="C61" s="5" t="s">
        <v>368</v>
      </c>
      <c r="D61" s="5" t="s">
        <v>369</v>
      </c>
      <c r="E61" s="5" t="s">
        <v>339</v>
      </c>
      <c r="F61" s="5" t="s">
        <v>370</v>
      </c>
      <c r="G61" s="5" t="s">
        <v>371</v>
      </c>
      <c r="H61" s="5">
        <v>1050610</v>
      </c>
      <c r="I61" s="6" t="s">
        <v>65</v>
      </c>
      <c r="J61" s="6" t="s">
        <v>66</v>
      </c>
      <c r="K61" s="5" t="s">
        <v>22</v>
      </c>
      <c r="L61" s="4"/>
    </row>
    <row r="62" spans="1:12">
      <c r="A62" s="5">
        <v>16031949</v>
      </c>
      <c r="B62" s="5" t="s">
        <v>372</v>
      </c>
      <c r="C62" s="5" t="s">
        <v>357</v>
      </c>
      <c r="D62" s="5" t="s">
        <v>358</v>
      </c>
      <c r="E62" s="5" t="s">
        <v>373</v>
      </c>
      <c r="F62" s="5" t="s">
        <v>374</v>
      </c>
      <c r="G62" s="5" t="s">
        <v>375</v>
      </c>
      <c r="H62" s="5">
        <v>1050581</v>
      </c>
      <c r="I62" s="5" t="s">
        <v>29</v>
      </c>
      <c r="J62" s="5" t="s">
        <v>130</v>
      </c>
      <c r="K62" s="5" t="s">
        <v>22</v>
      </c>
      <c r="L62" s="4"/>
    </row>
    <row r="63" spans="1:12">
      <c r="A63" s="5">
        <v>5080993</v>
      </c>
      <c r="B63" s="5" t="s">
        <v>376</v>
      </c>
      <c r="C63" s="5" t="s">
        <v>377</v>
      </c>
      <c r="D63" s="5" t="s">
        <v>378</v>
      </c>
      <c r="E63" s="5" t="s">
        <v>257</v>
      </c>
      <c r="F63" s="5" t="s">
        <v>379</v>
      </c>
      <c r="G63" s="5" t="s">
        <v>380</v>
      </c>
      <c r="H63" s="5">
        <v>1050126</v>
      </c>
      <c r="I63" s="5" t="s">
        <v>29</v>
      </c>
      <c r="J63" s="5" t="s">
        <v>30</v>
      </c>
      <c r="K63" s="5" t="s">
        <v>22</v>
      </c>
      <c r="L63" s="4"/>
    </row>
    <row r="64" spans="1:12">
      <c r="A64" s="5">
        <v>5989878</v>
      </c>
      <c r="B64" s="5" t="s">
        <v>381</v>
      </c>
      <c r="C64" s="5" t="s">
        <v>377</v>
      </c>
      <c r="D64" s="5" t="s">
        <v>382</v>
      </c>
      <c r="E64" s="5" t="s">
        <v>383</v>
      </c>
      <c r="F64" s="5" t="s">
        <v>384</v>
      </c>
      <c r="G64" s="5" t="s">
        <v>385</v>
      </c>
      <c r="H64" s="5">
        <v>1050126</v>
      </c>
      <c r="I64" s="5" t="s">
        <v>29</v>
      </c>
      <c r="J64" s="5" t="s">
        <v>30</v>
      </c>
      <c r="K64" s="5" t="s">
        <v>22</v>
      </c>
      <c r="L64" s="4"/>
    </row>
    <row r="65" spans="1:12">
      <c r="A65" s="5">
        <v>5281950</v>
      </c>
      <c r="B65" s="5" t="s">
        <v>386</v>
      </c>
      <c r="C65" s="5" t="s">
        <v>115</v>
      </c>
      <c r="D65" s="5" t="s">
        <v>387</v>
      </c>
      <c r="E65" s="5" t="s">
        <v>388</v>
      </c>
      <c r="F65" s="5" t="s">
        <v>389</v>
      </c>
      <c r="G65" s="5" t="s">
        <v>390</v>
      </c>
      <c r="H65" s="5">
        <v>1050616</v>
      </c>
      <c r="I65" s="6" t="s">
        <v>87</v>
      </c>
      <c r="J65" s="6" t="s">
        <v>391</v>
      </c>
      <c r="K65" s="5" t="s">
        <v>22</v>
      </c>
      <c r="L65" s="4"/>
    </row>
    <row r="66" spans="1:12">
      <c r="A66" s="5">
        <v>6187914</v>
      </c>
      <c r="B66" s="5" t="s">
        <v>392</v>
      </c>
      <c r="C66" s="5" t="s">
        <v>115</v>
      </c>
      <c r="D66" s="5" t="s">
        <v>387</v>
      </c>
      <c r="E66" s="5" t="s">
        <v>393</v>
      </c>
      <c r="F66" s="5" t="s">
        <v>394</v>
      </c>
      <c r="G66" s="5" t="s">
        <v>395</v>
      </c>
      <c r="H66" s="5">
        <v>1050616</v>
      </c>
      <c r="I66" s="6" t="s">
        <v>87</v>
      </c>
      <c r="J66" s="6" t="s">
        <v>391</v>
      </c>
      <c r="K66" s="5" t="s">
        <v>22</v>
      </c>
      <c r="L66" s="4"/>
    </row>
    <row r="67" spans="1:12">
      <c r="A67" s="5">
        <v>7023216</v>
      </c>
      <c r="B67" s="5" t="s">
        <v>396</v>
      </c>
      <c r="C67" s="5" t="s">
        <v>397</v>
      </c>
      <c r="D67" s="5" t="s">
        <v>398</v>
      </c>
      <c r="E67" s="5" t="s">
        <v>399</v>
      </c>
      <c r="F67" s="5" t="s">
        <v>400</v>
      </c>
      <c r="G67" s="7" t="s">
        <v>401</v>
      </c>
      <c r="H67" s="5">
        <v>1050615</v>
      </c>
      <c r="I67" s="5" t="s">
        <v>87</v>
      </c>
      <c r="J67" s="6" t="s">
        <v>21</v>
      </c>
      <c r="K67" s="5" t="s">
        <v>22</v>
      </c>
      <c r="L67" s="4"/>
    </row>
    <row r="68" spans="1:12">
      <c r="A68" s="5">
        <v>8733235</v>
      </c>
      <c r="B68" s="5" t="s">
        <v>402</v>
      </c>
      <c r="C68" s="5" t="s">
        <v>397</v>
      </c>
      <c r="D68" s="5" t="s">
        <v>403</v>
      </c>
      <c r="E68" s="5" t="s">
        <v>404</v>
      </c>
      <c r="F68" s="5" t="s">
        <v>405</v>
      </c>
      <c r="G68" s="5" t="s">
        <v>406</v>
      </c>
      <c r="H68" s="5">
        <v>1050615</v>
      </c>
      <c r="I68" s="5" t="s">
        <v>87</v>
      </c>
      <c r="J68" s="5" t="s">
        <v>249</v>
      </c>
      <c r="K68" s="5" t="s">
        <v>22</v>
      </c>
      <c r="L68" s="4"/>
    </row>
    <row r="69" spans="1:12">
      <c r="A69" s="5">
        <v>5428350</v>
      </c>
      <c r="B69" s="5" t="s">
        <v>407</v>
      </c>
      <c r="C69" s="5" t="s">
        <v>408</v>
      </c>
      <c r="D69" s="5" t="s">
        <v>409</v>
      </c>
      <c r="E69" s="5" t="s">
        <v>410</v>
      </c>
      <c r="F69" s="5" t="s">
        <v>411</v>
      </c>
      <c r="G69" s="5" t="s">
        <v>412</v>
      </c>
      <c r="H69" s="5">
        <v>1050616</v>
      </c>
      <c r="I69" s="6" t="s">
        <v>87</v>
      </c>
      <c r="J69" s="6" t="s">
        <v>66</v>
      </c>
      <c r="K69" s="5" t="s">
        <v>22</v>
      </c>
      <c r="L69" s="4"/>
    </row>
    <row r="70" spans="1:12">
      <c r="A70" s="5">
        <v>16380050</v>
      </c>
      <c r="B70" s="5" t="s">
        <v>1350</v>
      </c>
      <c r="C70" s="5" t="s">
        <v>413</v>
      </c>
      <c r="D70" s="5" t="s">
        <v>414</v>
      </c>
      <c r="E70" s="5" t="s">
        <v>415</v>
      </c>
      <c r="F70" s="5" t="s">
        <v>416</v>
      </c>
      <c r="G70" s="5" t="s">
        <v>417</v>
      </c>
      <c r="H70" s="5">
        <v>1050126</v>
      </c>
      <c r="I70" s="5" t="s">
        <v>29</v>
      </c>
      <c r="J70" s="5" t="s">
        <v>30</v>
      </c>
      <c r="K70" s="5" t="s">
        <v>22</v>
      </c>
      <c r="L70" s="4"/>
    </row>
    <row r="71" spans="1:12">
      <c r="A71" s="5">
        <v>9571017</v>
      </c>
      <c r="B71" s="5" t="s">
        <v>418</v>
      </c>
      <c r="C71" s="5" t="s">
        <v>419</v>
      </c>
      <c r="D71" s="5" t="s">
        <v>308</v>
      </c>
      <c r="E71" s="5" t="s">
        <v>420</v>
      </c>
      <c r="F71" s="5" t="s">
        <v>421</v>
      </c>
      <c r="G71" s="5" t="s">
        <v>422</v>
      </c>
      <c r="H71" s="5">
        <v>1050126</v>
      </c>
      <c r="I71" s="5" t="s">
        <v>29</v>
      </c>
      <c r="J71" s="5" t="s">
        <v>30</v>
      </c>
      <c r="K71" s="5" t="s">
        <v>22</v>
      </c>
      <c r="L71" s="4"/>
    </row>
    <row r="72" spans="1:12">
      <c r="A72" s="5">
        <v>16132065</v>
      </c>
      <c r="B72" s="5" t="s">
        <v>423</v>
      </c>
      <c r="C72" s="5" t="s">
        <v>419</v>
      </c>
      <c r="D72" s="5" t="s">
        <v>424</v>
      </c>
      <c r="E72" s="5" t="s">
        <v>425</v>
      </c>
      <c r="F72" s="5" t="s">
        <v>426</v>
      </c>
      <c r="G72" s="5" t="s">
        <v>427</v>
      </c>
      <c r="H72" s="5">
        <v>1050126</v>
      </c>
      <c r="I72" s="5" t="s">
        <v>29</v>
      </c>
      <c r="J72" s="5" t="s">
        <v>30</v>
      </c>
      <c r="K72" s="5" t="s">
        <v>22</v>
      </c>
      <c r="L72" s="4"/>
    </row>
    <row r="73" spans="1:12">
      <c r="A73" s="5">
        <v>13100464</v>
      </c>
      <c r="B73" s="5" t="s">
        <v>428</v>
      </c>
      <c r="C73" s="5" t="s">
        <v>419</v>
      </c>
      <c r="D73" s="5" t="s">
        <v>429</v>
      </c>
      <c r="E73" s="5" t="s">
        <v>430</v>
      </c>
      <c r="F73" s="5" t="s">
        <v>431</v>
      </c>
      <c r="G73" s="5" t="s">
        <v>432</v>
      </c>
      <c r="H73" s="5">
        <v>1050574</v>
      </c>
      <c r="I73" s="6" t="s">
        <v>44</v>
      </c>
      <c r="J73" s="6" t="s">
        <v>45</v>
      </c>
      <c r="K73" s="5" t="s">
        <v>22</v>
      </c>
      <c r="L73" s="4"/>
    </row>
    <row r="74" spans="1:12">
      <c r="A74" s="5">
        <v>17065312</v>
      </c>
      <c r="B74" s="5" t="s">
        <v>433</v>
      </c>
      <c r="C74" s="5" t="s">
        <v>313</v>
      </c>
      <c r="D74" s="5" t="s">
        <v>244</v>
      </c>
      <c r="E74" s="5" t="s">
        <v>434</v>
      </c>
      <c r="F74" s="5" t="s">
        <v>435</v>
      </c>
      <c r="G74" s="5" t="s">
        <v>436</v>
      </c>
      <c r="H74" s="5">
        <v>1050126</v>
      </c>
      <c r="I74" s="5" t="s">
        <v>29</v>
      </c>
      <c r="J74" s="5" t="s">
        <v>30</v>
      </c>
      <c r="K74" s="5" t="s">
        <v>22</v>
      </c>
      <c r="L74" s="4"/>
    </row>
    <row r="75" spans="1:12">
      <c r="A75" s="5">
        <v>17002272</v>
      </c>
      <c r="B75" s="5" t="s">
        <v>437</v>
      </c>
      <c r="C75" s="5" t="s">
        <v>438</v>
      </c>
      <c r="D75" s="5" t="s">
        <v>33</v>
      </c>
      <c r="E75" s="5" t="s">
        <v>439</v>
      </c>
      <c r="F75" s="5" t="s">
        <v>440</v>
      </c>
      <c r="G75" s="5" t="s">
        <v>441</v>
      </c>
      <c r="H75" s="5">
        <v>1050161</v>
      </c>
      <c r="I75" s="5" t="s">
        <v>29</v>
      </c>
      <c r="J75" s="5" t="s">
        <v>442</v>
      </c>
      <c r="K75" s="5" t="s">
        <v>22</v>
      </c>
      <c r="L75" s="4"/>
    </row>
    <row r="76" spans="1:12">
      <c r="A76" s="5">
        <v>9048185</v>
      </c>
      <c r="B76" s="5" t="s">
        <v>443</v>
      </c>
      <c r="C76" s="5" t="s">
        <v>444</v>
      </c>
      <c r="D76" s="5" t="s">
        <v>179</v>
      </c>
      <c r="E76" s="5" t="s">
        <v>445</v>
      </c>
      <c r="F76" s="5" t="s">
        <v>446</v>
      </c>
      <c r="G76" s="5" t="s">
        <v>447</v>
      </c>
      <c r="H76" s="5">
        <v>1050126</v>
      </c>
      <c r="I76" s="5" t="s">
        <v>29</v>
      </c>
      <c r="J76" s="5" t="s">
        <v>442</v>
      </c>
      <c r="K76" s="5" t="s">
        <v>22</v>
      </c>
      <c r="L76" s="4"/>
    </row>
    <row r="77" spans="1:12">
      <c r="A77" s="5">
        <v>13486907</v>
      </c>
      <c r="B77" s="5" t="s">
        <v>448</v>
      </c>
      <c r="C77" s="5" t="s">
        <v>449</v>
      </c>
      <c r="D77" s="5" t="s">
        <v>179</v>
      </c>
      <c r="E77" s="5" t="s">
        <v>450</v>
      </c>
      <c r="F77" s="5" t="s">
        <v>451</v>
      </c>
      <c r="G77" s="6" t="s">
        <v>452</v>
      </c>
      <c r="H77" s="5">
        <v>1050161</v>
      </c>
      <c r="I77" s="5" t="s">
        <v>29</v>
      </c>
      <c r="J77" s="5" t="s">
        <v>453</v>
      </c>
      <c r="K77" s="5" t="s">
        <v>22</v>
      </c>
      <c r="L77" s="4"/>
    </row>
    <row r="78" spans="1:12">
      <c r="A78" s="5">
        <v>9068490</v>
      </c>
      <c r="B78" s="5" t="s">
        <v>454</v>
      </c>
      <c r="C78" s="5" t="s">
        <v>83</v>
      </c>
      <c r="D78" s="5" t="s">
        <v>455</v>
      </c>
      <c r="E78" s="5" t="s">
        <v>456</v>
      </c>
      <c r="F78" s="5" t="s">
        <v>457</v>
      </c>
      <c r="G78" s="5" t="s">
        <v>458</v>
      </c>
      <c r="H78" s="5">
        <v>1050581</v>
      </c>
      <c r="I78" s="5" t="s">
        <v>29</v>
      </c>
      <c r="J78" s="5" t="s">
        <v>272</v>
      </c>
      <c r="K78" s="5" t="s">
        <v>22</v>
      </c>
      <c r="L78" s="4"/>
    </row>
    <row r="79" spans="1:12">
      <c r="A79" s="5">
        <v>7975267</v>
      </c>
      <c r="B79" s="5" t="s">
        <v>459</v>
      </c>
      <c r="C79" s="5" t="s">
        <v>83</v>
      </c>
      <c r="D79" s="5" t="s">
        <v>460</v>
      </c>
      <c r="E79" s="5" t="s">
        <v>461</v>
      </c>
      <c r="F79" s="5" t="s">
        <v>462</v>
      </c>
      <c r="G79" s="5" t="s">
        <v>463</v>
      </c>
      <c r="H79" s="5">
        <v>1050616</v>
      </c>
      <c r="I79" s="6" t="s">
        <v>87</v>
      </c>
      <c r="J79" s="5" t="s">
        <v>147</v>
      </c>
      <c r="K79" s="5" t="s">
        <v>22</v>
      </c>
      <c r="L79" s="4"/>
    </row>
    <row r="80" spans="1:12">
      <c r="A80" s="5">
        <v>8962599</v>
      </c>
      <c r="B80" s="5" t="s">
        <v>464</v>
      </c>
      <c r="C80" s="5" t="s">
        <v>83</v>
      </c>
      <c r="D80" s="5" t="s">
        <v>33</v>
      </c>
      <c r="E80" s="5" t="s">
        <v>465</v>
      </c>
      <c r="F80" s="5" t="s">
        <v>466</v>
      </c>
      <c r="G80" s="5" t="s">
        <v>467</v>
      </c>
      <c r="H80" s="5">
        <v>1050556</v>
      </c>
      <c r="I80" s="5" t="s">
        <v>161</v>
      </c>
      <c r="J80" s="5" t="s">
        <v>66</v>
      </c>
      <c r="K80" s="5" t="s">
        <v>22</v>
      </c>
      <c r="L80" s="4"/>
    </row>
    <row r="81" spans="1:12">
      <c r="A81" s="5">
        <v>5921603</v>
      </c>
      <c r="B81" s="5" t="s">
        <v>468</v>
      </c>
      <c r="C81" s="5" t="s">
        <v>469</v>
      </c>
      <c r="D81" s="5" t="s">
        <v>470</v>
      </c>
      <c r="E81" s="5" t="s">
        <v>471</v>
      </c>
      <c r="F81" s="5" t="s">
        <v>472</v>
      </c>
      <c r="G81" s="67" t="s">
        <v>473</v>
      </c>
      <c r="H81" s="7">
        <v>1050632</v>
      </c>
      <c r="I81" s="5" t="s">
        <v>300</v>
      </c>
      <c r="J81" s="5" t="s">
        <v>300</v>
      </c>
      <c r="K81" s="5" t="s">
        <v>22</v>
      </c>
      <c r="L81" s="4"/>
    </row>
    <row r="82" spans="1:12">
      <c r="A82" s="5">
        <v>9748915</v>
      </c>
      <c r="B82" s="5" t="s">
        <v>474</v>
      </c>
      <c r="C82" s="5" t="s">
        <v>318</v>
      </c>
      <c r="D82" s="5" t="s">
        <v>413</v>
      </c>
      <c r="E82" s="5" t="s">
        <v>475</v>
      </c>
      <c r="F82" s="5" t="s">
        <v>476</v>
      </c>
      <c r="G82" s="5" t="s">
        <v>477</v>
      </c>
      <c r="H82" s="5">
        <v>1050161</v>
      </c>
      <c r="I82" s="5" t="s">
        <v>29</v>
      </c>
      <c r="J82" s="5" t="s">
        <v>442</v>
      </c>
      <c r="K82" s="5" t="s">
        <v>22</v>
      </c>
      <c r="L82" s="4"/>
    </row>
    <row r="83" spans="1:12">
      <c r="A83" s="5">
        <v>9989723</v>
      </c>
      <c r="B83" s="5" t="s">
        <v>478</v>
      </c>
      <c r="C83" s="5" t="s">
        <v>479</v>
      </c>
      <c r="D83" s="5" t="s">
        <v>480</v>
      </c>
      <c r="E83" s="5" t="s">
        <v>481</v>
      </c>
      <c r="F83" s="5" t="s">
        <v>482</v>
      </c>
      <c r="G83" s="5" t="s">
        <v>483</v>
      </c>
      <c r="H83" s="5">
        <v>1050126</v>
      </c>
      <c r="I83" s="5" t="s">
        <v>29</v>
      </c>
      <c r="J83" s="5" t="s">
        <v>30</v>
      </c>
      <c r="K83" s="5" t="s">
        <v>22</v>
      </c>
      <c r="L83" s="4"/>
    </row>
    <row r="84" spans="1:12">
      <c r="A84" s="5">
        <v>10199755</v>
      </c>
      <c r="B84" s="5" t="s">
        <v>484</v>
      </c>
      <c r="C84" s="5" t="s">
        <v>479</v>
      </c>
      <c r="D84" s="5" t="s">
        <v>83</v>
      </c>
      <c r="E84" s="5" t="s">
        <v>485</v>
      </c>
      <c r="F84" s="5" t="s">
        <v>486</v>
      </c>
      <c r="G84" s="5" t="s">
        <v>487</v>
      </c>
      <c r="H84" s="5">
        <v>1050633</v>
      </c>
      <c r="I84" s="5" t="s">
        <v>29</v>
      </c>
      <c r="J84" s="5" t="s">
        <v>130</v>
      </c>
      <c r="K84" s="5" t="s">
        <v>22</v>
      </c>
      <c r="L84" s="4"/>
    </row>
    <row r="85" spans="1:12">
      <c r="A85" s="5">
        <v>14336364</v>
      </c>
      <c r="B85" s="5" t="s">
        <v>488</v>
      </c>
      <c r="C85" s="5" t="s">
        <v>268</v>
      </c>
      <c r="D85" s="5" t="s">
        <v>126</v>
      </c>
      <c r="E85" s="5" t="s">
        <v>489</v>
      </c>
      <c r="F85" s="5" t="s">
        <v>490</v>
      </c>
      <c r="G85" s="5" t="s">
        <v>491</v>
      </c>
      <c r="H85" s="5">
        <v>1050604</v>
      </c>
      <c r="I85" s="5" t="s">
        <v>492</v>
      </c>
      <c r="J85" s="5" t="s">
        <v>492</v>
      </c>
      <c r="K85" s="5" t="s">
        <v>22</v>
      </c>
      <c r="L85" s="4"/>
    </row>
    <row r="86" spans="1:12">
      <c r="A86" s="5">
        <v>9905897</v>
      </c>
      <c r="B86" s="5" t="s">
        <v>493</v>
      </c>
      <c r="C86" s="5" t="s">
        <v>494</v>
      </c>
      <c r="D86" s="5" t="s">
        <v>495</v>
      </c>
      <c r="E86" s="5" t="s">
        <v>496</v>
      </c>
      <c r="F86" s="5" t="s">
        <v>497</v>
      </c>
      <c r="G86" s="5" t="s">
        <v>498</v>
      </c>
      <c r="H86" s="5">
        <v>1050502</v>
      </c>
      <c r="I86" s="5" t="s">
        <v>499</v>
      </c>
      <c r="J86" s="5" t="s">
        <v>500</v>
      </c>
      <c r="K86" s="5" t="s">
        <v>22</v>
      </c>
      <c r="L86" s="4"/>
    </row>
    <row r="87" spans="1:12">
      <c r="A87" s="5">
        <v>11656057</v>
      </c>
      <c r="B87" s="5" t="s">
        <v>501</v>
      </c>
      <c r="C87" s="5" t="s">
        <v>502</v>
      </c>
      <c r="D87" s="5" t="s">
        <v>503</v>
      </c>
      <c r="E87" s="5" t="s">
        <v>504</v>
      </c>
      <c r="F87" s="5" t="s">
        <v>505</v>
      </c>
      <c r="G87" s="5" t="s">
        <v>506</v>
      </c>
      <c r="H87" s="5">
        <v>1050127</v>
      </c>
      <c r="I87" s="5" t="s">
        <v>29</v>
      </c>
      <c r="J87" s="5" t="s">
        <v>37</v>
      </c>
      <c r="K87" s="5" t="s">
        <v>22</v>
      </c>
      <c r="L87" s="4"/>
    </row>
    <row r="88" spans="1:12">
      <c r="A88" s="5">
        <v>13897327</v>
      </c>
      <c r="B88" s="5" t="s">
        <v>507</v>
      </c>
      <c r="C88" s="5" t="s">
        <v>508</v>
      </c>
      <c r="D88" s="5" t="s">
        <v>509</v>
      </c>
      <c r="E88" s="5" t="s">
        <v>510</v>
      </c>
      <c r="F88" s="5" t="s">
        <v>511</v>
      </c>
      <c r="G88" s="5" t="s">
        <v>512</v>
      </c>
      <c r="H88" s="5">
        <v>1050632</v>
      </c>
      <c r="I88" s="6" t="s">
        <v>73</v>
      </c>
      <c r="J88" s="6" t="s">
        <v>513</v>
      </c>
      <c r="K88" s="5" t="s">
        <v>22</v>
      </c>
      <c r="L88" s="4"/>
    </row>
    <row r="89" spans="1:12">
      <c r="A89" s="5">
        <v>15899732</v>
      </c>
      <c r="B89" s="5" t="s">
        <v>514</v>
      </c>
      <c r="C89" s="5" t="s">
        <v>515</v>
      </c>
      <c r="D89" s="5" t="s">
        <v>61</v>
      </c>
      <c r="E89" s="5" t="s">
        <v>516</v>
      </c>
      <c r="F89" s="5" t="s">
        <v>517</v>
      </c>
      <c r="G89" s="67" t="s">
        <v>518</v>
      </c>
      <c r="H89" s="5">
        <v>1050556</v>
      </c>
      <c r="I89" s="5" t="s">
        <v>161</v>
      </c>
      <c r="J89" s="8" t="s">
        <v>519</v>
      </c>
      <c r="K89" s="5" t="s">
        <v>22</v>
      </c>
      <c r="L89" s="4"/>
    </row>
    <row r="90" spans="1:12">
      <c r="A90" s="5">
        <v>8771787</v>
      </c>
      <c r="B90" s="5" t="s">
        <v>520</v>
      </c>
      <c r="C90" s="5" t="s">
        <v>521</v>
      </c>
      <c r="D90" s="5" t="s">
        <v>522</v>
      </c>
      <c r="E90" s="5" t="s">
        <v>523</v>
      </c>
      <c r="F90" s="5" t="s">
        <v>524</v>
      </c>
      <c r="G90" s="5" t="s">
        <v>525</v>
      </c>
      <c r="H90" s="5">
        <v>1050555</v>
      </c>
      <c r="I90" s="9" t="s">
        <v>161</v>
      </c>
      <c r="J90" s="9" t="s">
        <v>21</v>
      </c>
      <c r="K90" s="5" t="s">
        <v>22</v>
      </c>
      <c r="L90" s="4"/>
    </row>
    <row r="91" spans="1:12">
      <c r="A91" s="5">
        <v>12504270</v>
      </c>
      <c r="B91" s="5" t="s">
        <v>526</v>
      </c>
      <c r="C91" s="5" t="s">
        <v>527</v>
      </c>
      <c r="D91" s="5" t="s">
        <v>528</v>
      </c>
      <c r="E91" s="5" t="s">
        <v>529</v>
      </c>
      <c r="F91" s="5" t="s">
        <v>530</v>
      </c>
      <c r="G91" s="5" t="s">
        <v>531</v>
      </c>
      <c r="H91" s="5">
        <v>1050554</v>
      </c>
      <c r="I91" s="5" t="s">
        <v>2</v>
      </c>
      <c r="J91" s="5" t="s">
        <v>147</v>
      </c>
      <c r="K91" s="5" t="s">
        <v>22</v>
      </c>
      <c r="L91" s="4"/>
    </row>
    <row r="92" spans="1:12">
      <c r="A92" s="5">
        <v>13769935</v>
      </c>
      <c r="B92" s="5" t="s">
        <v>532</v>
      </c>
      <c r="C92" s="5" t="s">
        <v>533</v>
      </c>
      <c r="D92" s="5" t="s">
        <v>120</v>
      </c>
      <c r="E92" s="5" t="s">
        <v>534</v>
      </c>
      <c r="F92" s="5" t="s">
        <v>535</v>
      </c>
      <c r="G92" s="5" t="s">
        <v>536</v>
      </c>
      <c r="H92" s="5">
        <v>1050632</v>
      </c>
      <c r="I92" s="6" t="s">
        <v>73</v>
      </c>
      <c r="J92" s="6" t="s">
        <v>74</v>
      </c>
      <c r="K92" s="5" t="s">
        <v>22</v>
      </c>
      <c r="L92" s="4"/>
    </row>
    <row r="93" spans="1:12">
      <c r="A93" s="5">
        <v>8025043</v>
      </c>
      <c r="B93" s="5" t="s">
        <v>537</v>
      </c>
      <c r="C93" s="5" t="s">
        <v>538</v>
      </c>
      <c r="D93" s="5" t="s">
        <v>237</v>
      </c>
      <c r="E93" s="5" t="s">
        <v>539</v>
      </c>
      <c r="F93" s="5" t="s">
        <v>540</v>
      </c>
      <c r="G93" s="67" t="s">
        <v>541</v>
      </c>
      <c r="H93" s="5">
        <v>1050551</v>
      </c>
      <c r="I93" s="5" t="s">
        <v>321</v>
      </c>
      <c r="J93" s="5" t="s">
        <v>249</v>
      </c>
      <c r="K93" s="5" t="s">
        <v>22</v>
      </c>
      <c r="L93" s="4"/>
    </row>
    <row r="94" spans="1:12">
      <c r="A94" s="5">
        <v>10970380</v>
      </c>
      <c r="B94" s="5" t="s">
        <v>542</v>
      </c>
      <c r="C94" s="5" t="s">
        <v>538</v>
      </c>
      <c r="D94" s="5" t="s">
        <v>33</v>
      </c>
      <c r="E94" s="5" t="s">
        <v>543</v>
      </c>
      <c r="F94" s="5" t="s">
        <v>544</v>
      </c>
      <c r="G94" s="5" t="s">
        <v>545</v>
      </c>
      <c r="H94" s="5">
        <v>1050127</v>
      </c>
      <c r="I94" s="5" t="s">
        <v>29</v>
      </c>
      <c r="J94" s="5" t="s">
        <v>37</v>
      </c>
      <c r="K94" s="5" t="s">
        <v>22</v>
      </c>
      <c r="L94" s="4"/>
    </row>
    <row r="95" spans="1:12">
      <c r="A95" s="5">
        <v>11873201</v>
      </c>
      <c r="B95" s="5" t="s">
        <v>546</v>
      </c>
      <c r="C95" s="5" t="s">
        <v>547</v>
      </c>
      <c r="D95" s="5" t="s">
        <v>548</v>
      </c>
      <c r="E95" s="5" t="s">
        <v>257</v>
      </c>
      <c r="F95" s="5" t="s">
        <v>549</v>
      </c>
      <c r="G95" s="5" t="s">
        <v>550</v>
      </c>
      <c r="H95" s="5">
        <v>1050127</v>
      </c>
      <c r="I95" s="5" t="s">
        <v>29</v>
      </c>
      <c r="J95" s="5" t="s">
        <v>37</v>
      </c>
      <c r="K95" s="5" t="s">
        <v>22</v>
      </c>
      <c r="L95" s="4"/>
    </row>
    <row r="96" spans="1:12">
      <c r="A96" s="5">
        <v>9878189</v>
      </c>
      <c r="B96" s="5" t="s">
        <v>551</v>
      </c>
      <c r="C96" s="5" t="s">
        <v>552</v>
      </c>
      <c r="D96" s="5" t="s">
        <v>313</v>
      </c>
      <c r="E96" s="5" t="s">
        <v>553</v>
      </c>
      <c r="F96" s="5" t="s">
        <v>554</v>
      </c>
      <c r="G96" s="5" t="s">
        <v>555</v>
      </c>
      <c r="H96" s="5">
        <v>1050556</v>
      </c>
      <c r="I96" s="5" t="s">
        <v>161</v>
      </c>
      <c r="J96" s="8" t="s">
        <v>519</v>
      </c>
      <c r="K96" s="5" t="s">
        <v>22</v>
      </c>
      <c r="L96" s="4"/>
    </row>
    <row r="97" spans="1:12">
      <c r="A97" s="5">
        <v>9253701</v>
      </c>
      <c r="B97" s="5" t="s">
        <v>556</v>
      </c>
      <c r="C97" s="5" t="s">
        <v>552</v>
      </c>
      <c r="D97" s="5" t="s">
        <v>557</v>
      </c>
      <c r="E97" s="5" t="s">
        <v>558</v>
      </c>
      <c r="F97" s="5" t="s">
        <v>559</v>
      </c>
      <c r="G97" s="67" t="s">
        <v>560</v>
      </c>
      <c r="H97" s="5">
        <v>1050615</v>
      </c>
      <c r="I97" s="5" t="s">
        <v>87</v>
      </c>
      <c r="J97" s="5" t="s">
        <v>249</v>
      </c>
      <c r="K97" s="5" t="s">
        <v>22</v>
      </c>
      <c r="L97" s="4"/>
    </row>
    <row r="98" spans="1:12">
      <c r="A98" s="5">
        <v>14151454</v>
      </c>
      <c r="B98" s="5" t="s">
        <v>561</v>
      </c>
      <c r="C98" s="5" t="s">
        <v>150</v>
      </c>
      <c r="D98" s="5" t="s">
        <v>562</v>
      </c>
      <c r="E98" s="5" t="s">
        <v>563</v>
      </c>
      <c r="F98" s="5" t="s">
        <v>564</v>
      </c>
      <c r="G98" s="5" t="s">
        <v>565</v>
      </c>
      <c r="H98" s="72">
        <v>1050603</v>
      </c>
      <c r="I98" s="10" t="s">
        <v>566</v>
      </c>
      <c r="J98" s="10" t="s">
        <v>566</v>
      </c>
      <c r="K98" s="5" t="s">
        <v>22</v>
      </c>
      <c r="L98" s="4"/>
    </row>
    <row r="99" spans="1:12">
      <c r="A99" s="5">
        <v>10869222</v>
      </c>
      <c r="B99" s="5" t="s">
        <v>567</v>
      </c>
      <c r="C99" s="5" t="s">
        <v>568</v>
      </c>
      <c r="D99" s="5" t="s">
        <v>569</v>
      </c>
      <c r="E99" s="5" t="s">
        <v>165</v>
      </c>
      <c r="F99" s="5" t="s">
        <v>570</v>
      </c>
      <c r="G99" s="5" t="s">
        <v>571</v>
      </c>
      <c r="H99" s="5">
        <v>1050127</v>
      </c>
      <c r="I99" s="5" t="s">
        <v>29</v>
      </c>
      <c r="J99" s="5" t="s">
        <v>37</v>
      </c>
      <c r="K99" s="5" t="s">
        <v>22</v>
      </c>
      <c r="L99" s="4"/>
    </row>
    <row r="100" spans="1:12">
      <c r="A100" s="5">
        <v>11306351</v>
      </c>
      <c r="B100" s="5" t="s">
        <v>572</v>
      </c>
      <c r="C100" s="5" t="s">
        <v>573</v>
      </c>
      <c r="D100" s="5" t="s">
        <v>574</v>
      </c>
      <c r="E100" s="5" t="s">
        <v>575</v>
      </c>
      <c r="F100" s="5" t="s">
        <v>576</v>
      </c>
      <c r="G100" s="5" t="s">
        <v>577</v>
      </c>
      <c r="H100" s="5">
        <v>1050126</v>
      </c>
      <c r="I100" s="5" t="s">
        <v>29</v>
      </c>
      <c r="J100" s="5" t="s">
        <v>30</v>
      </c>
      <c r="K100" s="5" t="s">
        <v>22</v>
      </c>
      <c r="L100" s="4"/>
    </row>
    <row r="101" spans="1:12">
      <c r="A101" s="5">
        <v>12740284</v>
      </c>
      <c r="B101" s="5" t="s">
        <v>578</v>
      </c>
      <c r="C101" s="5" t="s">
        <v>579</v>
      </c>
      <c r="D101" s="5" t="s">
        <v>580</v>
      </c>
      <c r="E101" s="5" t="s">
        <v>581</v>
      </c>
      <c r="F101" s="5" t="s">
        <v>582</v>
      </c>
      <c r="G101" s="67" t="s">
        <v>583</v>
      </c>
      <c r="H101" s="5">
        <v>1050556</v>
      </c>
      <c r="I101" s="5" t="s">
        <v>161</v>
      </c>
      <c r="J101" s="5" t="s">
        <v>66</v>
      </c>
      <c r="K101" s="5" t="s">
        <v>22</v>
      </c>
      <c r="L101" s="4"/>
    </row>
    <row r="102" spans="1:12">
      <c r="A102" s="5">
        <v>11370436</v>
      </c>
      <c r="B102" s="5" t="s">
        <v>584</v>
      </c>
      <c r="C102" s="5" t="s">
        <v>585</v>
      </c>
      <c r="D102" s="5" t="s">
        <v>132</v>
      </c>
      <c r="E102" s="5" t="s">
        <v>586</v>
      </c>
      <c r="F102" s="5" t="s">
        <v>587</v>
      </c>
      <c r="G102" s="5" t="s">
        <v>588</v>
      </c>
      <c r="H102" s="5">
        <v>1050633</v>
      </c>
      <c r="I102" s="5" t="s">
        <v>29</v>
      </c>
      <c r="J102" s="5" t="s">
        <v>130</v>
      </c>
      <c r="K102" s="5" t="s">
        <v>22</v>
      </c>
      <c r="L102" s="4"/>
    </row>
    <row r="103" spans="1:12">
      <c r="A103" s="5">
        <v>9081025</v>
      </c>
      <c r="B103" s="5" t="s">
        <v>589</v>
      </c>
      <c r="C103" s="5" t="s">
        <v>585</v>
      </c>
      <c r="D103" s="5" t="s">
        <v>132</v>
      </c>
      <c r="E103" s="5" t="s">
        <v>590</v>
      </c>
      <c r="F103" s="5" t="s">
        <v>591</v>
      </c>
      <c r="G103" s="5" t="s">
        <v>592</v>
      </c>
      <c r="H103" s="5">
        <v>1050633</v>
      </c>
      <c r="I103" s="5" t="s">
        <v>29</v>
      </c>
      <c r="J103" s="5" t="s">
        <v>130</v>
      </c>
      <c r="K103" s="5" t="s">
        <v>22</v>
      </c>
      <c r="L103" s="4"/>
    </row>
    <row r="104" spans="1:12">
      <c r="A104" s="5">
        <v>13835848</v>
      </c>
      <c r="B104" s="5" t="s">
        <v>593</v>
      </c>
      <c r="C104" s="5" t="s">
        <v>594</v>
      </c>
      <c r="D104" s="5" t="s">
        <v>595</v>
      </c>
      <c r="E104" s="5" t="s">
        <v>596</v>
      </c>
      <c r="F104" s="5" t="s">
        <v>597</v>
      </c>
      <c r="G104" s="5" t="s">
        <v>598</v>
      </c>
      <c r="H104" s="5">
        <v>1050581</v>
      </c>
      <c r="I104" s="5" t="s">
        <v>29</v>
      </c>
      <c r="J104" s="5" t="s">
        <v>272</v>
      </c>
      <c r="K104" s="5" t="s">
        <v>22</v>
      </c>
      <c r="L104" s="4"/>
    </row>
    <row r="105" spans="1:12">
      <c r="A105" s="5">
        <v>13077995</v>
      </c>
      <c r="B105" s="5" t="s">
        <v>599</v>
      </c>
      <c r="C105" s="5" t="s">
        <v>25</v>
      </c>
      <c r="D105" s="5" t="s">
        <v>600</v>
      </c>
      <c r="E105" s="7" t="s">
        <v>601</v>
      </c>
      <c r="F105" s="5" t="s">
        <v>602</v>
      </c>
      <c r="G105" s="67" t="s">
        <v>603</v>
      </c>
      <c r="H105" s="5">
        <v>1050529</v>
      </c>
      <c r="I105" s="5" t="s">
        <v>604</v>
      </c>
      <c r="J105" s="5" t="s">
        <v>604</v>
      </c>
      <c r="K105" s="5" t="s">
        <v>22</v>
      </c>
      <c r="L105" s="4"/>
    </row>
    <row r="106" spans="1:12">
      <c r="A106" s="5">
        <v>14005554</v>
      </c>
      <c r="B106" s="5" t="s">
        <v>605</v>
      </c>
      <c r="C106" s="5" t="s">
        <v>606</v>
      </c>
      <c r="D106" s="5" t="s">
        <v>607</v>
      </c>
      <c r="E106" s="5" t="s">
        <v>339</v>
      </c>
      <c r="F106" s="5" t="s">
        <v>608</v>
      </c>
      <c r="G106" s="5" t="s">
        <v>609</v>
      </c>
      <c r="H106" s="5">
        <v>1050556</v>
      </c>
      <c r="I106" s="5" t="s">
        <v>161</v>
      </c>
      <c r="J106" s="5" t="s">
        <v>66</v>
      </c>
      <c r="K106" s="5" t="s">
        <v>22</v>
      </c>
      <c r="L106" s="4"/>
    </row>
    <row r="107" spans="1:12">
      <c r="A107" s="5">
        <v>10157067</v>
      </c>
      <c r="B107" s="5" t="s">
        <v>610</v>
      </c>
      <c r="C107" s="5" t="s">
        <v>369</v>
      </c>
      <c r="D107" s="5" t="s">
        <v>611</v>
      </c>
      <c r="E107" s="5" t="s">
        <v>612</v>
      </c>
      <c r="F107" s="5" t="s">
        <v>613</v>
      </c>
      <c r="G107" s="5" t="s">
        <v>614</v>
      </c>
      <c r="H107" s="5">
        <v>1050126</v>
      </c>
      <c r="I107" s="5" t="s">
        <v>29</v>
      </c>
      <c r="J107" s="5" t="s">
        <v>30</v>
      </c>
      <c r="K107" s="5" t="s">
        <v>22</v>
      </c>
      <c r="L107" s="4"/>
    </row>
    <row r="108" spans="1:12">
      <c r="A108" s="5">
        <v>17755770</v>
      </c>
      <c r="B108" s="5" t="s">
        <v>615</v>
      </c>
      <c r="C108" s="5" t="s">
        <v>616</v>
      </c>
      <c r="D108" s="5" t="s">
        <v>616</v>
      </c>
      <c r="E108" s="5" t="s">
        <v>617</v>
      </c>
      <c r="F108" s="5" t="s">
        <v>618</v>
      </c>
      <c r="G108" s="67" t="s">
        <v>619</v>
      </c>
      <c r="H108" s="5">
        <v>1050615</v>
      </c>
      <c r="I108" s="5" t="s">
        <v>87</v>
      </c>
      <c r="J108" s="6" t="s">
        <v>21</v>
      </c>
      <c r="K108" s="5" t="s">
        <v>22</v>
      </c>
      <c r="L108" s="4"/>
    </row>
    <row r="109" spans="1:12">
      <c r="A109" s="5">
        <v>13834251</v>
      </c>
      <c r="B109" s="5" t="s">
        <v>620</v>
      </c>
      <c r="C109" s="5" t="s">
        <v>296</v>
      </c>
      <c r="D109" s="5" t="s">
        <v>268</v>
      </c>
      <c r="E109" s="5" t="s">
        <v>621</v>
      </c>
      <c r="F109" s="5" t="s">
        <v>622</v>
      </c>
      <c r="G109" s="5" t="s">
        <v>623</v>
      </c>
      <c r="H109" s="5">
        <v>1050633</v>
      </c>
      <c r="I109" s="5" t="s">
        <v>29</v>
      </c>
      <c r="J109" s="5" t="s">
        <v>130</v>
      </c>
      <c r="K109" s="5" t="s">
        <v>22</v>
      </c>
      <c r="L109" s="4"/>
    </row>
    <row r="110" spans="1:12">
      <c r="A110" s="5">
        <v>16266873</v>
      </c>
      <c r="B110" s="5" t="s">
        <v>624</v>
      </c>
      <c r="C110" s="5" t="s">
        <v>625</v>
      </c>
      <c r="D110" s="5" t="s">
        <v>625</v>
      </c>
      <c r="E110" s="5" t="s">
        <v>257</v>
      </c>
      <c r="F110" s="5" t="s">
        <v>626</v>
      </c>
      <c r="G110" s="5" t="s">
        <v>627</v>
      </c>
      <c r="H110" s="5">
        <v>1050555</v>
      </c>
      <c r="I110" s="11" t="s">
        <v>161</v>
      </c>
      <c r="J110" s="11" t="s">
        <v>21</v>
      </c>
      <c r="K110" s="5" t="s">
        <v>22</v>
      </c>
      <c r="L110" s="4"/>
    </row>
    <row r="111" spans="1:12">
      <c r="A111" s="5">
        <v>10407614</v>
      </c>
      <c r="B111" s="5" t="s">
        <v>628</v>
      </c>
      <c r="C111" s="5" t="s">
        <v>629</v>
      </c>
      <c r="D111" s="5" t="s">
        <v>629</v>
      </c>
      <c r="E111" s="5" t="s">
        <v>630</v>
      </c>
      <c r="F111" s="5" t="s">
        <v>631</v>
      </c>
      <c r="G111" s="5" t="s">
        <v>632</v>
      </c>
      <c r="H111" s="5">
        <v>1050127</v>
      </c>
      <c r="I111" s="5" t="s">
        <v>29</v>
      </c>
      <c r="J111" s="5" t="s">
        <v>37</v>
      </c>
      <c r="K111" s="5" t="s">
        <v>22</v>
      </c>
      <c r="L111" s="4"/>
    </row>
    <row r="112" spans="1:12">
      <c r="A112" s="5">
        <v>13700526</v>
      </c>
      <c r="B112" s="5" t="s">
        <v>633</v>
      </c>
      <c r="C112" s="5" t="s">
        <v>634</v>
      </c>
      <c r="D112" s="5" t="s">
        <v>557</v>
      </c>
      <c r="E112" s="5" t="s">
        <v>635</v>
      </c>
      <c r="F112" s="5" t="s">
        <v>636</v>
      </c>
      <c r="G112" s="67" t="s">
        <v>637</v>
      </c>
      <c r="H112" s="5">
        <v>1050615</v>
      </c>
      <c r="I112" s="5" t="s">
        <v>87</v>
      </c>
      <c r="J112" s="5" t="s">
        <v>249</v>
      </c>
      <c r="K112" s="5" t="s">
        <v>22</v>
      </c>
      <c r="L112" s="4"/>
    </row>
    <row r="113" spans="1:12">
      <c r="A113" s="5">
        <v>12690098</v>
      </c>
      <c r="B113" s="5" t="s">
        <v>638</v>
      </c>
      <c r="C113" s="5" t="s">
        <v>634</v>
      </c>
      <c r="D113" s="5" t="s">
        <v>639</v>
      </c>
      <c r="E113" s="5" t="s">
        <v>640</v>
      </c>
      <c r="F113" s="5" t="s">
        <v>641</v>
      </c>
      <c r="G113" s="68" t="s">
        <v>642</v>
      </c>
      <c r="H113" s="5">
        <v>1050610</v>
      </c>
      <c r="I113" s="6" t="s">
        <v>65</v>
      </c>
      <c r="J113" s="6" t="s">
        <v>162</v>
      </c>
      <c r="K113" s="5" t="s">
        <v>22</v>
      </c>
      <c r="L113" s="4"/>
    </row>
    <row r="114" spans="1:12">
      <c r="A114" s="5">
        <v>8585356</v>
      </c>
      <c r="B114" s="5" t="s">
        <v>643</v>
      </c>
      <c r="C114" s="5" t="s">
        <v>634</v>
      </c>
      <c r="D114" s="5" t="s">
        <v>644</v>
      </c>
      <c r="E114" s="5" t="s">
        <v>645</v>
      </c>
      <c r="F114" s="5" t="s">
        <v>646</v>
      </c>
      <c r="G114" s="5" t="s">
        <v>647</v>
      </c>
      <c r="H114" s="72">
        <v>1050603</v>
      </c>
      <c r="I114" s="10" t="s">
        <v>566</v>
      </c>
      <c r="J114" s="10" t="s">
        <v>566</v>
      </c>
      <c r="K114" s="5" t="s">
        <v>22</v>
      </c>
      <c r="L114" s="4"/>
    </row>
    <row r="115" spans="1:12">
      <c r="A115" s="5">
        <v>11994656</v>
      </c>
      <c r="B115" s="5" t="s">
        <v>648</v>
      </c>
      <c r="C115" s="5" t="s">
        <v>595</v>
      </c>
      <c r="D115" s="5" t="s">
        <v>150</v>
      </c>
      <c r="E115" s="5" t="s">
        <v>649</v>
      </c>
      <c r="F115" s="5" t="s">
        <v>650</v>
      </c>
      <c r="G115" s="5" t="s">
        <v>651</v>
      </c>
      <c r="H115" s="5">
        <v>1050632</v>
      </c>
      <c r="I115" s="5" t="s">
        <v>73</v>
      </c>
      <c r="J115" s="5" t="s">
        <v>652</v>
      </c>
      <c r="K115" s="5" t="s">
        <v>22</v>
      </c>
      <c r="L115" s="4"/>
    </row>
    <row r="116" spans="1:12">
      <c r="A116" s="5">
        <v>13552988</v>
      </c>
      <c r="B116" s="5" t="s">
        <v>653</v>
      </c>
      <c r="C116" s="5" t="s">
        <v>654</v>
      </c>
      <c r="D116" s="5" t="s">
        <v>655</v>
      </c>
      <c r="E116" s="5" t="s">
        <v>656</v>
      </c>
      <c r="F116" s="5" t="s">
        <v>657</v>
      </c>
      <c r="G116" s="5" t="s">
        <v>658</v>
      </c>
      <c r="H116" s="5">
        <v>1050615</v>
      </c>
      <c r="I116" s="5" t="s">
        <v>87</v>
      </c>
      <c r="J116" s="6" t="s">
        <v>21</v>
      </c>
      <c r="K116" s="5" t="s">
        <v>22</v>
      </c>
      <c r="L116" s="4"/>
    </row>
    <row r="117" spans="1:12">
      <c r="A117" s="5">
        <v>9488820</v>
      </c>
      <c r="B117" s="5" t="s">
        <v>659</v>
      </c>
      <c r="C117" s="5" t="s">
        <v>33</v>
      </c>
      <c r="D117" s="5" t="s">
        <v>156</v>
      </c>
      <c r="E117" s="5" t="s">
        <v>165</v>
      </c>
      <c r="F117" s="5" t="s">
        <v>660</v>
      </c>
      <c r="G117" s="5" t="s">
        <v>661</v>
      </c>
      <c r="H117" s="7">
        <v>1050554</v>
      </c>
      <c r="I117" s="5" t="s">
        <v>2</v>
      </c>
      <c r="J117" s="5" t="s">
        <v>21</v>
      </c>
      <c r="K117" s="5" t="s">
        <v>22</v>
      </c>
      <c r="L117" s="4"/>
    </row>
    <row r="118" spans="1:12">
      <c r="A118" s="5">
        <v>9613720</v>
      </c>
      <c r="B118" s="5" t="s">
        <v>662</v>
      </c>
      <c r="C118" s="5" t="s">
        <v>33</v>
      </c>
      <c r="D118" s="5" t="s">
        <v>83</v>
      </c>
      <c r="E118" s="5" t="s">
        <v>663</v>
      </c>
      <c r="F118" s="5" t="s">
        <v>664</v>
      </c>
      <c r="G118" s="5" t="s">
        <v>665</v>
      </c>
      <c r="H118" s="5">
        <v>1050616</v>
      </c>
      <c r="I118" s="6" t="s">
        <v>87</v>
      </c>
      <c r="J118" s="6" t="s">
        <v>391</v>
      </c>
      <c r="K118" s="5" t="s">
        <v>22</v>
      </c>
      <c r="L118" s="4"/>
    </row>
    <row r="119" spans="1:12">
      <c r="A119" s="5">
        <v>11659510</v>
      </c>
      <c r="B119" s="5" t="s">
        <v>666</v>
      </c>
      <c r="C119" s="5" t="s">
        <v>33</v>
      </c>
      <c r="D119" s="5" t="s">
        <v>33</v>
      </c>
      <c r="E119" s="5" t="s">
        <v>667</v>
      </c>
      <c r="F119" s="5" t="s">
        <v>668</v>
      </c>
      <c r="G119" s="73" t="s">
        <v>669</v>
      </c>
      <c r="H119" s="5">
        <v>1050126</v>
      </c>
      <c r="I119" s="5" t="s">
        <v>29</v>
      </c>
      <c r="J119" s="5" t="s">
        <v>30</v>
      </c>
      <c r="K119" s="5" t="s">
        <v>22</v>
      </c>
      <c r="L119" s="4"/>
    </row>
    <row r="120" spans="1:12">
      <c r="A120" s="5">
        <v>11124307</v>
      </c>
      <c r="B120" s="5" t="s">
        <v>670</v>
      </c>
      <c r="C120" s="5" t="s">
        <v>33</v>
      </c>
      <c r="D120" s="5" t="s">
        <v>671</v>
      </c>
      <c r="E120" s="5" t="s">
        <v>672</v>
      </c>
      <c r="F120" s="5" t="s">
        <v>673</v>
      </c>
      <c r="G120" s="5" t="s">
        <v>674</v>
      </c>
      <c r="H120" s="5">
        <v>1050162</v>
      </c>
      <c r="I120" s="5" t="s">
        <v>29</v>
      </c>
      <c r="J120" s="5" t="s">
        <v>80</v>
      </c>
      <c r="K120" s="5" t="s">
        <v>22</v>
      </c>
      <c r="L120" s="4"/>
    </row>
    <row r="121" spans="1:12">
      <c r="A121" s="5">
        <v>13284709</v>
      </c>
      <c r="B121" s="5" t="s">
        <v>675</v>
      </c>
      <c r="C121" s="5" t="s">
        <v>33</v>
      </c>
      <c r="D121" s="5" t="s">
        <v>580</v>
      </c>
      <c r="E121" s="5" t="s">
        <v>676</v>
      </c>
      <c r="F121" s="5" t="s">
        <v>677</v>
      </c>
      <c r="G121" s="67" t="s">
        <v>678</v>
      </c>
      <c r="H121" s="5">
        <v>1050556</v>
      </c>
      <c r="I121" s="5" t="s">
        <v>161</v>
      </c>
      <c r="J121" s="5" t="s">
        <v>147</v>
      </c>
      <c r="K121" s="5" t="s">
        <v>22</v>
      </c>
      <c r="L121" s="4"/>
    </row>
    <row r="122" spans="1:12">
      <c r="A122" s="5">
        <v>15437429</v>
      </c>
      <c r="B122" s="5" t="s">
        <v>679</v>
      </c>
      <c r="C122" s="5" t="s">
        <v>680</v>
      </c>
      <c r="D122" s="5" t="s">
        <v>681</v>
      </c>
      <c r="E122" s="5" t="s">
        <v>682</v>
      </c>
      <c r="F122" s="5" t="s">
        <v>683</v>
      </c>
      <c r="G122" s="5" t="s">
        <v>684</v>
      </c>
      <c r="H122" s="5">
        <v>1050574</v>
      </c>
      <c r="I122" s="6" t="s">
        <v>73</v>
      </c>
      <c r="J122" s="6" t="s">
        <v>685</v>
      </c>
      <c r="K122" s="5" t="s">
        <v>22</v>
      </c>
      <c r="L122" s="4"/>
    </row>
    <row r="123" spans="1:12">
      <c r="A123" s="5">
        <v>11754811</v>
      </c>
      <c r="B123" s="5" t="s">
        <v>686</v>
      </c>
      <c r="C123" s="5" t="s">
        <v>687</v>
      </c>
      <c r="D123" s="5" t="s">
        <v>179</v>
      </c>
      <c r="E123" s="5" t="s">
        <v>688</v>
      </c>
      <c r="F123" s="5" t="s">
        <v>689</v>
      </c>
      <c r="G123" s="5" t="s">
        <v>690</v>
      </c>
      <c r="H123" s="5">
        <v>1050581</v>
      </c>
      <c r="I123" s="5" t="s">
        <v>29</v>
      </c>
      <c r="J123" s="5" t="s">
        <v>691</v>
      </c>
      <c r="K123" s="5" t="s">
        <v>22</v>
      </c>
      <c r="L123" s="4"/>
    </row>
    <row r="124" spans="1:12">
      <c r="A124" s="5">
        <v>12828475</v>
      </c>
      <c r="B124" s="5" t="s">
        <v>692</v>
      </c>
      <c r="C124" s="5" t="s">
        <v>687</v>
      </c>
      <c r="D124" s="5" t="s">
        <v>179</v>
      </c>
      <c r="E124" s="5" t="s">
        <v>693</v>
      </c>
      <c r="F124" s="5" t="s">
        <v>694</v>
      </c>
      <c r="G124" s="5" t="s">
        <v>695</v>
      </c>
      <c r="H124" s="5">
        <v>1050506</v>
      </c>
      <c r="I124" s="5" t="s">
        <v>29</v>
      </c>
      <c r="J124" s="5" t="s">
        <v>52</v>
      </c>
      <c r="K124" s="5" t="s">
        <v>22</v>
      </c>
      <c r="L124" s="4"/>
    </row>
    <row r="125" spans="1:12">
      <c r="A125" s="5">
        <v>11523497</v>
      </c>
      <c r="B125" s="5" t="s">
        <v>696</v>
      </c>
      <c r="C125" s="5" t="s">
        <v>687</v>
      </c>
      <c r="D125" s="5" t="s">
        <v>179</v>
      </c>
      <c r="E125" s="5" t="s">
        <v>339</v>
      </c>
      <c r="F125" s="5" t="s">
        <v>697</v>
      </c>
      <c r="G125" s="5" t="s">
        <v>698</v>
      </c>
      <c r="H125" s="5">
        <v>1050581</v>
      </c>
      <c r="I125" s="5" t="s">
        <v>29</v>
      </c>
      <c r="J125" s="5" t="s">
        <v>272</v>
      </c>
      <c r="K125" s="5" t="s">
        <v>22</v>
      </c>
      <c r="L125" s="4"/>
    </row>
    <row r="126" spans="1:12">
      <c r="A126" s="5">
        <v>7481602</v>
      </c>
      <c r="B126" s="5" t="s">
        <v>699</v>
      </c>
      <c r="C126" s="5" t="s">
        <v>687</v>
      </c>
      <c r="D126" s="5" t="s">
        <v>700</v>
      </c>
      <c r="E126" s="5" t="s">
        <v>701</v>
      </c>
      <c r="F126" s="5" t="s">
        <v>702</v>
      </c>
      <c r="G126" s="5" t="s">
        <v>703</v>
      </c>
      <c r="H126" s="5">
        <v>1050126</v>
      </c>
      <c r="I126" s="5" t="s">
        <v>29</v>
      </c>
      <c r="J126" s="5" t="s">
        <v>30</v>
      </c>
      <c r="K126" s="5" t="s">
        <v>22</v>
      </c>
      <c r="L126" s="4"/>
    </row>
    <row r="127" spans="1:12">
      <c r="A127" s="5">
        <v>12934132</v>
      </c>
      <c r="B127" s="5" t="s">
        <v>704</v>
      </c>
      <c r="C127" s="5" t="s">
        <v>705</v>
      </c>
      <c r="D127" s="5" t="s">
        <v>706</v>
      </c>
      <c r="E127" s="5" t="s">
        <v>707</v>
      </c>
      <c r="F127" s="5" t="s">
        <v>708</v>
      </c>
      <c r="G127" s="5" t="s">
        <v>709</v>
      </c>
      <c r="H127" s="72">
        <v>1050603</v>
      </c>
      <c r="I127" s="6" t="s">
        <v>566</v>
      </c>
      <c r="J127" s="6" t="s">
        <v>566</v>
      </c>
      <c r="K127" s="5" t="s">
        <v>22</v>
      </c>
      <c r="L127" s="4"/>
    </row>
    <row r="128" spans="1:12">
      <c r="A128" s="5">
        <v>4776546</v>
      </c>
      <c r="B128" s="5" t="s">
        <v>710</v>
      </c>
      <c r="C128" s="5" t="s">
        <v>711</v>
      </c>
      <c r="D128" s="5" t="s">
        <v>712</v>
      </c>
      <c r="E128" s="5" t="s">
        <v>713</v>
      </c>
      <c r="F128" s="5" t="s">
        <v>714</v>
      </c>
      <c r="G128" s="67" t="s">
        <v>715</v>
      </c>
      <c r="H128" s="5">
        <v>1050616</v>
      </c>
      <c r="I128" s="6" t="s">
        <v>87</v>
      </c>
      <c r="J128" s="6" t="s">
        <v>66</v>
      </c>
      <c r="K128" s="5" t="s">
        <v>22</v>
      </c>
      <c r="L128" s="4"/>
    </row>
    <row r="129" spans="1:12">
      <c r="A129" s="5">
        <v>10746078</v>
      </c>
      <c r="B129" s="5" t="s">
        <v>716</v>
      </c>
      <c r="C129" s="5" t="s">
        <v>509</v>
      </c>
      <c r="D129" s="5" t="s">
        <v>717</v>
      </c>
      <c r="E129" s="5" t="s">
        <v>718</v>
      </c>
      <c r="F129" s="5" t="s">
        <v>719</v>
      </c>
      <c r="G129" s="5" t="s">
        <v>720</v>
      </c>
      <c r="H129" s="5">
        <v>1050574</v>
      </c>
      <c r="I129" s="6" t="s">
        <v>44</v>
      </c>
      <c r="J129" s="6" t="s">
        <v>45</v>
      </c>
      <c r="K129" s="5" t="s">
        <v>22</v>
      </c>
      <c r="L129" s="4"/>
    </row>
    <row r="130" spans="1:12">
      <c r="A130" s="5">
        <v>15823421</v>
      </c>
      <c r="B130" s="5" t="s">
        <v>721</v>
      </c>
      <c r="C130" s="5" t="s">
        <v>722</v>
      </c>
      <c r="D130" s="5" t="s">
        <v>722</v>
      </c>
      <c r="E130" s="5" t="s">
        <v>723</v>
      </c>
      <c r="F130" s="5" t="s">
        <v>724</v>
      </c>
      <c r="G130" s="5" t="s">
        <v>725</v>
      </c>
      <c r="H130" s="5">
        <v>1050552</v>
      </c>
      <c r="I130" s="5" t="s">
        <v>321</v>
      </c>
      <c r="J130" s="5" t="s">
        <v>162</v>
      </c>
      <c r="K130" s="5" t="s">
        <v>22</v>
      </c>
      <c r="L130" s="4"/>
    </row>
    <row r="131" spans="1:12">
      <c r="A131" s="5">
        <v>9503712</v>
      </c>
      <c r="B131" s="5" t="s">
        <v>726</v>
      </c>
      <c r="C131" s="5" t="s">
        <v>727</v>
      </c>
      <c r="D131" s="5" t="s">
        <v>69</v>
      </c>
      <c r="E131" s="5" t="s">
        <v>728</v>
      </c>
      <c r="F131" s="5" t="s">
        <v>729</v>
      </c>
      <c r="G131" s="5" t="s">
        <v>730</v>
      </c>
      <c r="H131" s="5">
        <v>1050557</v>
      </c>
      <c r="I131" s="5" t="s">
        <v>248</v>
      </c>
      <c r="J131" s="5" t="s">
        <v>249</v>
      </c>
      <c r="K131" s="5" t="s">
        <v>22</v>
      </c>
      <c r="L131" s="4"/>
    </row>
    <row r="132" spans="1:12">
      <c r="A132" s="5">
        <v>8272509</v>
      </c>
      <c r="B132" s="5" t="s">
        <v>731</v>
      </c>
      <c r="C132" s="5" t="s">
        <v>732</v>
      </c>
      <c r="D132" s="5" t="s">
        <v>732</v>
      </c>
      <c r="E132" s="5" t="s">
        <v>733</v>
      </c>
      <c r="F132" s="5" t="s">
        <v>734</v>
      </c>
      <c r="G132" s="67" t="s">
        <v>735</v>
      </c>
      <c r="H132" s="5">
        <v>1050616</v>
      </c>
      <c r="I132" s="5" t="s">
        <v>87</v>
      </c>
      <c r="J132" s="6" t="s">
        <v>21</v>
      </c>
      <c r="K132" s="5" t="s">
        <v>22</v>
      </c>
      <c r="L132" s="4"/>
    </row>
    <row r="133" spans="1:12">
      <c r="A133" s="5">
        <v>13681026</v>
      </c>
      <c r="B133" s="5" t="s">
        <v>736</v>
      </c>
      <c r="C133" s="5" t="s">
        <v>737</v>
      </c>
      <c r="D133" s="5" t="s">
        <v>738</v>
      </c>
      <c r="E133" s="5" t="s">
        <v>739</v>
      </c>
      <c r="F133" s="5" t="s">
        <v>740</v>
      </c>
      <c r="G133" s="5" t="s">
        <v>741</v>
      </c>
      <c r="H133" s="5">
        <v>1050581</v>
      </c>
      <c r="I133" s="5" t="s">
        <v>29</v>
      </c>
      <c r="J133" s="5" t="s">
        <v>272</v>
      </c>
      <c r="K133" s="5" t="s">
        <v>22</v>
      </c>
      <c r="L133" s="4"/>
    </row>
    <row r="134" spans="1:12">
      <c r="A134" s="5">
        <v>14017495</v>
      </c>
      <c r="B134" s="5" t="s">
        <v>742</v>
      </c>
      <c r="C134" s="5" t="s">
        <v>429</v>
      </c>
      <c r="D134" s="5" t="s">
        <v>179</v>
      </c>
      <c r="E134" s="5" t="s">
        <v>743</v>
      </c>
      <c r="F134" s="5" t="s">
        <v>744</v>
      </c>
      <c r="G134" s="5" t="s">
        <v>745</v>
      </c>
      <c r="H134" s="5">
        <v>1050126</v>
      </c>
      <c r="I134" s="5" t="s">
        <v>29</v>
      </c>
      <c r="J134" s="5" t="s">
        <v>30</v>
      </c>
      <c r="K134" s="5" t="s">
        <v>22</v>
      </c>
      <c r="L134" s="4"/>
    </row>
    <row r="135" spans="1:12">
      <c r="A135" s="5">
        <v>17543156</v>
      </c>
      <c r="B135" s="5" t="s">
        <v>746</v>
      </c>
      <c r="C135" s="5" t="s">
        <v>747</v>
      </c>
      <c r="D135" s="5" t="s">
        <v>748</v>
      </c>
      <c r="E135" s="5" t="s">
        <v>749</v>
      </c>
      <c r="F135" s="5" t="s">
        <v>750</v>
      </c>
      <c r="G135" s="5" t="s">
        <v>751</v>
      </c>
      <c r="H135" s="5">
        <v>1050609</v>
      </c>
      <c r="I135" s="5" t="s">
        <v>65</v>
      </c>
      <c r="J135" s="5" t="s">
        <v>21</v>
      </c>
      <c r="K135" s="5" t="s">
        <v>22</v>
      </c>
      <c r="L135" s="4"/>
    </row>
    <row r="136" spans="1:12">
      <c r="A136" s="5">
        <v>11054986</v>
      </c>
      <c r="B136" s="5" t="s">
        <v>752</v>
      </c>
      <c r="C136" s="5" t="s">
        <v>753</v>
      </c>
      <c r="D136" s="5" t="s">
        <v>754</v>
      </c>
      <c r="E136" s="5" t="s">
        <v>755</v>
      </c>
      <c r="F136" s="5" t="s">
        <v>756</v>
      </c>
      <c r="G136" s="5" t="s">
        <v>757</v>
      </c>
      <c r="H136" s="5">
        <v>1050554</v>
      </c>
      <c r="I136" s="5" t="s">
        <v>2</v>
      </c>
      <c r="J136" s="5" t="s">
        <v>147</v>
      </c>
      <c r="K136" s="5" t="s">
        <v>22</v>
      </c>
      <c r="L136" s="4"/>
    </row>
    <row r="137" spans="1:12">
      <c r="A137" s="5">
        <v>12898844</v>
      </c>
      <c r="B137" s="5" t="s">
        <v>758</v>
      </c>
      <c r="C137" s="5" t="s">
        <v>126</v>
      </c>
      <c r="D137" s="5" t="s">
        <v>759</v>
      </c>
      <c r="E137" s="5" t="s">
        <v>760</v>
      </c>
      <c r="F137" s="5" t="s">
        <v>761</v>
      </c>
      <c r="G137" s="5" t="s">
        <v>762</v>
      </c>
      <c r="H137" s="5">
        <v>1050604</v>
      </c>
      <c r="I137" s="5" t="s">
        <v>763</v>
      </c>
      <c r="J137" s="5" t="s">
        <v>763</v>
      </c>
      <c r="K137" s="5" t="s">
        <v>22</v>
      </c>
      <c r="L137" s="4"/>
    </row>
    <row r="138" spans="1:12">
      <c r="A138" s="5">
        <v>10876404</v>
      </c>
      <c r="B138" s="5" t="s">
        <v>764</v>
      </c>
      <c r="C138" s="5" t="s">
        <v>126</v>
      </c>
      <c r="D138" s="5" t="s">
        <v>765</v>
      </c>
      <c r="E138" s="5" t="s">
        <v>766</v>
      </c>
      <c r="F138" s="5" t="s">
        <v>767</v>
      </c>
      <c r="G138" s="5" t="s">
        <v>768</v>
      </c>
      <c r="H138" s="5">
        <v>1050551</v>
      </c>
      <c r="I138" s="5" t="s">
        <v>321</v>
      </c>
      <c r="J138" s="5" t="s">
        <v>249</v>
      </c>
      <c r="K138" s="5" t="s">
        <v>22</v>
      </c>
      <c r="L138" s="4"/>
    </row>
    <row r="139" spans="1:12">
      <c r="A139" s="5">
        <v>7815083</v>
      </c>
      <c r="B139" s="5" t="s">
        <v>769</v>
      </c>
      <c r="C139" s="5" t="s">
        <v>126</v>
      </c>
      <c r="D139" s="5" t="s">
        <v>770</v>
      </c>
      <c r="E139" s="5" t="s">
        <v>771</v>
      </c>
      <c r="F139" s="5" t="s">
        <v>772</v>
      </c>
      <c r="G139" s="5" t="s">
        <v>773</v>
      </c>
      <c r="H139" s="5">
        <v>1050554</v>
      </c>
      <c r="I139" s="5" t="s">
        <v>2</v>
      </c>
      <c r="J139" s="5" t="s">
        <v>162</v>
      </c>
      <c r="K139" s="5" t="s">
        <v>22</v>
      </c>
      <c r="L139" s="4"/>
    </row>
    <row r="140" spans="1:12">
      <c r="A140" s="5">
        <v>6646724</v>
      </c>
      <c r="B140" s="5" t="s">
        <v>774</v>
      </c>
      <c r="C140" s="5" t="s">
        <v>126</v>
      </c>
      <c r="D140" s="5" t="s">
        <v>770</v>
      </c>
      <c r="E140" s="5" t="s">
        <v>180</v>
      </c>
      <c r="F140" s="5" t="s">
        <v>775</v>
      </c>
      <c r="G140" s="5" t="s">
        <v>776</v>
      </c>
      <c r="H140" s="5">
        <v>1050555</v>
      </c>
      <c r="I140" s="5" t="s">
        <v>161</v>
      </c>
      <c r="J140" s="5" t="s">
        <v>249</v>
      </c>
      <c r="K140" s="5" t="s">
        <v>22</v>
      </c>
      <c r="L140" s="4"/>
    </row>
    <row r="141" spans="1:12">
      <c r="A141" s="5">
        <v>9488801</v>
      </c>
      <c r="B141" s="5" t="s">
        <v>777</v>
      </c>
      <c r="C141" s="5" t="s">
        <v>126</v>
      </c>
      <c r="D141" s="5" t="s">
        <v>770</v>
      </c>
      <c r="E141" s="5" t="s">
        <v>778</v>
      </c>
      <c r="F141" s="5" t="s">
        <v>779</v>
      </c>
      <c r="G141" s="5" t="s">
        <v>780</v>
      </c>
      <c r="H141" s="5">
        <v>1050555</v>
      </c>
      <c r="I141" s="5" t="s">
        <v>161</v>
      </c>
      <c r="J141" s="5" t="s">
        <v>249</v>
      </c>
      <c r="K141" s="5" t="s">
        <v>22</v>
      </c>
      <c r="L141" s="4"/>
    </row>
    <row r="142" spans="1:12">
      <c r="A142" s="5">
        <v>15786314</v>
      </c>
      <c r="B142" s="5" t="s">
        <v>781</v>
      </c>
      <c r="C142" s="5" t="s">
        <v>126</v>
      </c>
      <c r="D142" s="5" t="s">
        <v>191</v>
      </c>
      <c r="E142" s="5" t="s">
        <v>496</v>
      </c>
      <c r="F142" s="5" t="s">
        <v>782</v>
      </c>
      <c r="G142" s="5" t="s">
        <v>783</v>
      </c>
      <c r="H142" s="5">
        <v>1050616</v>
      </c>
      <c r="I142" s="6" t="s">
        <v>87</v>
      </c>
      <c r="J142" s="6" t="s">
        <v>88</v>
      </c>
      <c r="K142" s="5" t="s">
        <v>22</v>
      </c>
      <c r="L142" s="4"/>
    </row>
    <row r="143" spans="1:12">
      <c r="A143" s="5">
        <v>16266817</v>
      </c>
      <c r="B143" s="5" t="s">
        <v>784</v>
      </c>
      <c r="C143" s="5" t="s">
        <v>785</v>
      </c>
      <c r="D143" s="5" t="s">
        <v>786</v>
      </c>
      <c r="E143" s="5" t="s">
        <v>787</v>
      </c>
      <c r="F143" s="5" t="s">
        <v>788</v>
      </c>
      <c r="G143" s="5" t="s">
        <v>789</v>
      </c>
      <c r="H143" s="5">
        <v>1050127</v>
      </c>
      <c r="I143" s="5" t="s">
        <v>29</v>
      </c>
      <c r="J143" s="5" t="s">
        <v>37</v>
      </c>
      <c r="K143" s="5" t="s">
        <v>22</v>
      </c>
      <c r="L143" s="4"/>
    </row>
    <row r="144" spans="1:12">
      <c r="A144" s="5">
        <v>20342651</v>
      </c>
      <c r="B144" s="5" t="s">
        <v>790</v>
      </c>
      <c r="C144" s="5" t="s">
        <v>785</v>
      </c>
      <c r="D144" s="5" t="s">
        <v>791</v>
      </c>
      <c r="E144" s="5" t="s">
        <v>792</v>
      </c>
      <c r="F144" s="5" t="s">
        <v>793</v>
      </c>
      <c r="G144" s="67" t="s">
        <v>794</v>
      </c>
      <c r="H144" s="5">
        <v>1050574</v>
      </c>
      <c r="I144" s="6" t="s">
        <v>44</v>
      </c>
      <c r="J144" s="6" t="s">
        <v>45</v>
      </c>
      <c r="K144" s="5" t="s">
        <v>22</v>
      </c>
      <c r="L144" s="4"/>
    </row>
    <row r="145" spans="1:12">
      <c r="A145" s="5">
        <v>9608532</v>
      </c>
      <c r="B145" s="5" t="s">
        <v>795</v>
      </c>
      <c r="C145" s="5" t="s">
        <v>796</v>
      </c>
      <c r="D145" s="5" t="s">
        <v>797</v>
      </c>
      <c r="E145" s="5" t="s">
        <v>339</v>
      </c>
      <c r="F145" s="5" t="s">
        <v>798</v>
      </c>
      <c r="G145" s="5" t="s">
        <v>799</v>
      </c>
      <c r="H145" s="72">
        <v>1050603</v>
      </c>
      <c r="I145" s="6" t="s">
        <v>566</v>
      </c>
      <c r="J145" s="6" t="s">
        <v>566</v>
      </c>
      <c r="K145" s="5" t="s">
        <v>22</v>
      </c>
      <c r="L145" s="4"/>
    </row>
    <row r="146" spans="1:12">
      <c r="A146" s="5">
        <v>12020450</v>
      </c>
      <c r="B146" s="5" t="s">
        <v>800</v>
      </c>
      <c r="C146" s="5" t="s">
        <v>801</v>
      </c>
      <c r="D146" s="5" t="s">
        <v>785</v>
      </c>
      <c r="E146" s="5" t="s">
        <v>802</v>
      </c>
      <c r="F146" s="5" t="s">
        <v>803</v>
      </c>
      <c r="G146" s="5" t="s">
        <v>804</v>
      </c>
      <c r="H146" s="5">
        <v>1050126</v>
      </c>
      <c r="I146" s="5" t="s">
        <v>29</v>
      </c>
      <c r="J146" s="5" t="s">
        <v>30</v>
      </c>
      <c r="K146" s="5" t="s">
        <v>22</v>
      </c>
      <c r="L146" s="4"/>
    </row>
    <row r="147" spans="1:12">
      <c r="A147" s="5">
        <v>6528911</v>
      </c>
      <c r="B147" s="5" t="s">
        <v>805</v>
      </c>
      <c r="C147" s="5" t="s">
        <v>806</v>
      </c>
      <c r="D147" s="5" t="s">
        <v>25</v>
      </c>
      <c r="E147" s="5" t="s">
        <v>257</v>
      </c>
      <c r="F147" s="5" t="s">
        <v>807</v>
      </c>
      <c r="G147" s="5" t="s">
        <v>808</v>
      </c>
      <c r="H147" s="7">
        <v>1050554</v>
      </c>
      <c r="I147" s="5" t="s">
        <v>2</v>
      </c>
      <c r="J147" s="11" t="s">
        <v>391</v>
      </c>
      <c r="K147" s="5" t="s">
        <v>22</v>
      </c>
      <c r="L147" s="4"/>
    </row>
    <row r="148" spans="1:12">
      <c r="A148" s="5">
        <v>6010169</v>
      </c>
      <c r="B148" s="5" t="s">
        <v>809</v>
      </c>
      <c r="C148" s="5" t="s">
        <v>806</v>
      </c>
      <c r="D148" s="5" t="s">
        <v>810</v>
      </c>
      <c r="E148" s="5" t="s">
        <v>553</v>
      </c>
      <c r="F148" s="5" t="s">
        <v>811</v>
      </c>
      <c r="G148" s="5" t="s">
        <v>812</v>
      </c>
      <c r="H148" s="5">
        <v>1050616</v>
      </c>
      <c r="I148" s="5" t="s">
        <v>87</v>
      </c>
      <c r="J148" s="5" t="s">
        <v>66</v>
      </c>
      <c r="K148" s="5" t="s">
        <v>22</v>
      </c>
      <c r="L148" s="4"/>
    </row>
    <row r="149" spans="1:12">
      <c r="A149" s="5">
        <v>6940813</v>
      </c>
      <c r="B149" s="5" t="s">
        <v>813</v>
      </c>
      <c r="C149" s="5" t="s">
        <v>814</v>
      </c>
      <c r="D149" s="5" t="s">
        <v>815</v>
      </c>
      <c r="E149" s="5" t="s">
        <v>816</v>
      </c>
      <c r="F149" s="5" t="s">
        <v>817</v>
      </c>
      <c r="G149" s="5" t="s">
        <v>818</v>
      </c>
      <c r="H149" s="5">
        <v>1050555</v>
      </c>
      <c r="I149" s="5" t="s">
        <v>161</v>
      </c>
      <c r="J149" s="5" t="s">
        <v>21</v>
      </c>
      <c r="K149" s="5" t="s">
        <v>22</v>
      </c>
      <c r="L149" s="4"/>
    </row>
    <row r="150" spans="1:12">
      <c r="A150" s="5">
        <v>15444951</v>
      </c>
      <c r="B150" s="11" t="s">
        <v>819</v>
      </c>
      <c r="C150" s="5" t="s">
        <v>814</v>
      </c>
      <c r="D150" s="5" t="s">
        <v>114</v>
      </c>
      <c r="E150" s="5" t="s">
        <v>820</v>
      </c>
      <c r="F150" s="5" t="s">
        <v>821</v>
      </c>
      <c r="G150" s="5" t="s">
        <v>822</v>
      </c>
      <c r="H150" s="5">
        <v>1050633</v>
      </c>
      <c r="I150" s="5" t="s">
        <v>29</v>
      </c>
      <c r="J150" s="5" t="s">
        <v>130</v>
      </c>
      <c r="K150" s="5" t="s">
        <v>22</v>
      </c>
      <c r="L150" s="4"/>
    </row>
    <row r="151" spans="1:12">
      <c r="A151" s="5">
        <v>13297988</v>
      </c>
      <c r="B151" s="5" t="s">
        <v>823</v>
      </c>
      <c r="C151" s="5" t="s">
        <v>327</v>
      </c>
      <c r="D151" s="5" t="s">
        <v>824</v>
      </c>
      <c r="E151" s="5" t="s">
        <v>138</v>
      </c>
      <c r="F151" s="5" t="s">
        <v>825</v>
      </c>
      <c r="G151" s="5" t="s">
        <v>826</v>
      </c>
      <c r="H151" s="5">
        <v>1050609</v>
      </c>
      <c r="I151" s="5" t="s">
        <v>65</v>
      </c>
      <c r="J151" s="5" t="s">
        <v>249</v>
      </c>
      <c r="K151" s="5" t="s">
        <v>22</v>
      </c>
      <c r="L151" s="4"/>
    </row>
    <row r="152" spans="1:12">
      <c r="A152" s="5">
        <v>16149604</v>
      </c>
      <c r="B152" s="5" t="s">
        <v>1387</v>
      </c>
      <c r="C152" s="5" t="s">
        <v>327</v>
      </c>
      <c r="D152" s="5" t="s">
        <v>607</v>
      </c>
      <c r="E152" s="5" t="s">
        <v>640</v>
      </c>
      <c r="F152" s="5" t="s">
        <v>827</v>
      </c>
      <c r="G152" s="5" t="s">
        <v>828</v>
      </c>
      <c r="H152" s="5">
        <v>1050529</v>
      </c>
      <c r="I152" s="5" t="s">
        <v>242</v>
      </c>
      <c r="J152" s="5" t="s">
        <v>242</v>
      </c>
      <c r="K152" s="5" t="s">
        <v>22</v>
      </c>
      <c r="L152" s="4"/>
    </row>
    <row r="153" spans="1:12">
      <c r="A153" s="5">
        <v>16408490</v>
      </c>
      <c r="B153" s="5" t="s">
        <v>829</v>
      </c>
      <c r="C153" s="5" t="s">
        <v>830</v>
      </c>
      <c r="D153" s="5" t="s">
        <v>831</v>
      </c>
      <c r="E153" s="5" t="s">
        <v>832</v>
      </c>
      <c r="F153" s="5" t="s">
        <v>833</v>
      </c>
      <c r="G153" s="5" t="s">
        <v>834</v>
      </c>
      <c r="H153" s="5">
        <v>1050502</v>
      </c>
      <c r="I153" s="12" t="s">
        <v>835</v>
      </c>
      <c r="J153" s="12" t="s">
        <v>835</v>
      </c>
      <c r="K153" s="5" t="s">
        <v>22</v>
      </c>
      <c r="L153" s="4"/>
    </row>
    <row r="154" spans="1:12">
      <c r="A154" s="5">
        <v>7721223</v>
      </c>
      <c r="B154" s="5" t="s">
        <v>836</v>
      </c>
      <c r="C154" s="5" t="s">
        <v>837</v>
      </c>
      <c r="D154" s="5" t="s">
        <v>748</v>
      </c>
      <c r="E154" s="5" t="s">
        <v>838</v>
      </c>
      <c r="F154" s="5" t="s">
        <v>839</v>
      </c>
      <c r="G154" s="5" t="s">
        <v>840</v>
      </c>
      <c r="H154" s="5">
        <v>1050633</v>
      </c>
      <c r="I154" s="5" t="s">
        <v>29</v>
      </c>
      <c r="J154" s="5" t="s">
        <v>130</v>
      </c>
      <c r="K154" s="5" t="s">
        <v>22</v>
      </c>
      <c r="L154" s="4"/>
    </row>
    <row r="155" spans="1:12">
      <c r="A155" s="5">
        <v>12051254</v>
      </c>
      <c r="B155" s="5" t="s">
        <v>841</v>
      </c>
      <c r="C155" s="5" t="s">
        <v>842</v>
      </c>
      <c r="D155" s="5" t="s">
        <v>377</v>
      </c>
      <c r="E155" s="5" t="s">
        <v>62</v>
      </c>
      <c r="F155" s="5" t="s">
        <v>843</v>
      </c>
      <c r="G155" s="5" t="s">
        <v>844</v>
      </c>
      <c r="H155" s="5">
        <v>1050161</v>
      </c>
      <c r="I155" s="5" t="s">
        <v>29</v>
      </c>
      <c r="J155" s="5" t="s">
        <v>845</v>
      </c>
      <c r="K155" s="5" t="s">
        <v>22</v>
      </c>
      <c r="L155" s="4"/>
    </row>
    <row r="156" spans="1:12">
      <c r="A156" s="5">
        <v>7913597</v>
      </c>
      <c r="B156" s="5" t="s">
        <v>846</v>
      </c>
      <c r="C156" s="5" t="s">
        <v>580</v>
      </c>
      <c r="D156" s="5" t="s">
        <v>847</v>
      </c>
      <c r="E156" s="5" t="s">
        <v>848</v>
      </c>
      <c r="F156" s="5" t="s">
        <v>849</v>
      </c>
      <c r="G156" s="5" t="s">
        <v>850</v>
      </c>
      <c r="H156" s="5">
        <v>1050127</v>
      </c>
      <c r="I156" s="5" t="s">
        <v>29</v>
      </c>
      <c r="J156" s="5" t="s">
        <v>37</v>
      </c>
      <c r="K156" s="5" t="s">
        <v>22</v>
      </c>
      <c r="L156" s="4"/>
    </row>
    <row r="157" spans="1:12">
      <c r="A157" s="5">
        <v>10168958</v>
      </c>
      <c r="B157" s="5" t="s">
        <v>851</v>
      </c>
      <c r="C157" s="5" t="s">
        <v>580</v>
      </c>
      <c r="D157" s="5" t="s">
        <v>852</v>
      </c>
      <c r="E157" s="5" t="s">
        <v>539</v>
      </c>
      <c r="F157" s="5" t="s">
        <v>853</v>
      </c>
      <c r="G157" s="5" t="s">
        <v>854</v>
      </c>
      <c r="H157" s="5">
        <v>1050633</v>
      </c>
      <c r="I157" s="5" t="s">
        <v>29</v>
      </c>
      <c r="J157" s="5" t="s">
        <v>130</v>
      </c>
      <c r="K157" s="5" t="s">
        <v>22</v>
      </c>
      <c r="L157" s="4"/>
    </row>
    <row r="158" spans="1:12">
      <c r="A158" s="5">
        <v>9741880</v>
      </c>
      <c r="B158" s="5" t="s">
        <v>855</v>
      </c>
      <c r="C158" s="5" t="s">
        <v>856</v>
      </c>
      <c r="D158" s="5" t="s">
        <v>857</v>
      </c>
      <c r="E158" s="5" t="s">
        <v>858</v>
      </c>
      <c r="F158" s="5" t="s">
        <v>859</v>
      </c>
      <c r="G158" s="5" t="s">
        <v>860</v>
      </c>
      <c r="H158" s="5">
        <v>1050126</v>
      </c>
      <c r="I158" s="5" t="s">
        <v>29</v>
      </c>
      <c r="J158" s="5" t="s">
        <v>30</v>
      </c>
      <c r="K158" s="5" t="s">
        <v>22</v>
      </c>
      <c r="L158" s="4"/>
    </row>
    <row r="159" spans="1:12">
      <c r="A159" s="5">
        <v>15444698</v>
      </c>
      <c r="B159" s="5" t="s">
        <v>861</v>
      </c>
      <c r="C159" s="5" t="s">
        <v>862</v>
      </c>
      <c r="D159" s="5" t="s">
        <v>863</v>
      </c>
      <c r="E159" s="5" t="s">
        <v>864</v>
      </c>
      <c r="F159" s="5" t="s">
        <v>865</v>
      </c>
      <c r="G159" s="5" t="s">
        <v>866</v>
      </c>
      <c r="H159" s="5">
        <v>1050127</v>
      </c>
      <c r="I159" s="5" t="s">
        <v>29</v>
      </c>
      <c r="J159" s="5" t="s">
        <v>37</v>
      </c>
      <c r="K159" s="5" t="s">
        <v>22</v>
      </c>
      <c r="L159" s="4"/>
    </row>
    <row r="160" spans="1:12">
      <c r="A160" s="5">
        <v>13553033</v>
      </c>
      <c r="B160" s="5" t="s">
        <v>867</v>
      </c>
      <c r="C160" s="5" t="s">
        <v>868</v>
      </c>
      <c r="D160" s="5" t="s">
        <v>754</v>
      </c>
      <c r="E160" s="5" t="s">
        <v>274</v>
      </c>
      <c r="F160" s="5" t="s">
        <v>869</v>
      </c>
      <c r="G160" s="5" t="s">
        <v>870</v>
      </c>
      <c r="H160" s="5">
        <v>1050610</v>
      </c>
      <c r="I160" s="6" t="s">
        <v>65</v>
      </c>
      <c r="J160" s="6" t="s">
        <v>162</v>
      </c>
      <c r="K160" s="5" t="s">
        <v>22</v>
      </c>
      <c r="L160" s="4"/>
    </row>
    <row r="161" spans="1:12">
      <c r="A161" s="5">
        <v>16697450</v>
      </c>
      <c r="B161" s="5" t="s">
        <v>871</v>
      </c>
      <c r="C161" s="5" t="s">
        <v>76</v>
      </c>
      <c r="D161" s="5" t="s">
        <v>357</v>
      </c>
      <c r="E161" s="5" t="s">
        <v>872</v>
      </c>
      <c r="F161" s="5" t="s">
        <v>873</v>
      </c>
      <c r="G161" s="5" t="s">
        <v>874</v>
      </c>
      <c r="H161" s="5">
        <v>1050127</v>
      </c>
      <c r="I161" s="5" t="s">
        <v>29</v>
      </c>
      <c r="J161" s="5" t="s">
        <v>37</v>
      </c>
      <c r="K161" s="5" t="s">
        <v>22</v>
      </c>
      <c r="L161" s="4"/>
    </row>
    <row r="162" spans="1:12">
      <c r="A162" s="5">
        <v>14185109</v>
      </c>
      <c r="B162" s="5" t="s">
        <v>875</v>
      </c>
      <c r="C162" s="5" t="s">
        <v>76</v>
      </c>
      <c r="D162" s="5" t="s">
        <v>397</v>
      </c>
      <c r="E162" s="5" t="s">
        <v>876</v>
      </c>
      <c r="F162" s="5" t="s">
        <v>877</v>
      </c>
      <c r="G162" s="5" t="s">
        <v>878</v>
      </c>
      <c r="H162" s="5">
        <v>1050162</v>
      </c>
      <c r="I162" s="5" t="s">
        <v>29</v>
      </c>
      <c r="J162" s="5" t="s">
        <v>80</v>
      </c>
      <c r="K162" s="5" t="s">
        <v>22</v>
      </c>
      <c r="L162" s="4"/>
    </row>
    <row r="163" spans="1:12">
      <c r="A163" s="5">
        <v>16029464</v>
      </c>
      <c r="B163" s="5" t="s">
        <v>879</v>
      </c>
      <c r="C163" s="5" t="s">
        <v>76</v>
      </c>
      <c r="D163" s="5" t="s">
        <v>313</v>
      </c>
      <c r="E163" s="5" t="s">
        <v>880</v>
      </c>
      <c r="F163" s="5" t="s">
        <v>881</v>
      </c>
      <c r="G163" s="5" t="s">
        <v>882</v>
      </c>
      <c r="H163" s="5">
        <v>1050632</v>
      </c>
      <c r="I163" s="6" t="s">
        <v>73</v>
      </c>
      <c r="J163" s="6" t="s">
        <v>513</v>
      </c>
      <c r="K163" s="5" t="s">
        <v>22</v>
      </c>
      <c r="L163" s="4"/>
    </row>
    <row r="164" spans="1:12">
      <c r="A164" s="5">
        <v>10309203</v>
      </c>
      <c r="B164" s="5" t="s">
        <v>883</v>
      </c>
      <c r="C164" s="5" t="s">
        <v>76</v>
      </c>
      <c r="D164" s="5" t="s">
        <v>884</v>
      </c>
      <c r="E164" s="5" t="s">
        <v>885</v>
      </c>
      <c r="F164" s="5" t="s">
        <v>886</v>
      </c>
      <c r="G164" s="5" t="s">
        <v>887</v>
      </c>
      <c r="H164" s="5">
        <v>1050633</v>
      </c>
      <c r="I164" s="5" t="s">
        <v>29</v>
      </c>
      <c r="J164" s="5" t="s">
        <v>130</v>
      </c>
      <c r="K164" s="5" t="s">
        <v>22</v>
      </c>
      <c r="L164" s="4"/>
    </row>
    <row r="165" spans="1:12">
      <c r="A165" s="5">
        <v>18074081</v>
      </c>
      <c r="B165" s="5" t="s">
        <v>888</v>
      </c>
      <c r="C165" s="5" t="s">
        <v>76</v>
      </c>
      <c r="D165" s="5" t="s">
        <v>889</v>
      </c>
      <c r="E165" s="5" t="s">
        <v>890</v>
      </c>
      <c r="F165" s="5" t="s">
        <v>891</v>
      </c>
      <c r="G165" s="5" t="s">
        <v>892</v>
      </c>
      <c r="H165" s="7">
        <v>1050609</v>
      </c>
      <c r="I165" s="7" t="s">
        <v>65</v>
      </c>
      <c r="J165" s="5" t="s">
        <v>21</v>
      </c>
      <c r="K165" s="5" t="s">
        <v>22</v>
      </c>
      <c r="L165" s="4"/>
    </row>
    <row r="166" spans="1:12">
      <c r="A166" s="5">
        <v>9806171</v>
      </c>
      <c r="B166" s="5" t="s">
        <v>893</v>
      </c>
      <c r="C166" s="5" t="s">
        <v>894</v>
      </c>
      <c r="D166" s="5" t="s">
        <v>765</v>
      </c>
      <c r="E166" s="5" t="s">
        <v>475</v>
      </c>
      <c r="F166" s="5" t="s">
        <v>895</v>
      </c>
      <c r="G166" s="5" t="s">
        <v>896</v>
      </c>
      <c r="H166" s="5">
        <v>1050595</v>
      </c>
      <c r="I166" s="5" t="s">
        <v>897</v>
      </c>
      <c r="J166" s="5" t="s">
        <v>897</v>
      </c>
      <c r="K166" s="5" t="s">
        <v>22</v>
      </c>
      <c r="L166" s="4"/>
    </row>
    <row r="167" spans="1:12">
      <c r="A167" s="5">
        <v>16296340</v>
      </c>
      <c r="B167" s="5" t="s">
        <v>898</v>
      </c>
      <c r="C167" s="5" t="s">
        <v>899</v>
      </c>
      <c r="D167" s="5" t="s">
        <v>83</v>
      </c>
      <c r="E167" s="5" t="s">
        <v>239</v>
      </c>
      <c r="F167" s="5" t="s">
        <v>900</v>
      </c>
      <c r="G167" s="5" t="s">
        <v>901</v>
      </c>
      <c r="H167" s="5">
        <v>1050581</v>
      </c>
      <c r="I167" s="5" t="s">
        <v>29</v>
      </c>
      <c r="J167" s="5" t="s">
        <v>272</v>
      </c>
      <c r="K167" s="5" t="s">
        <v>22</v>
      </c>
      <c r="L167" s="4"/>
    </row>
    <row r="168" spans="1:12">
      <c r="A168" s="5">
        <v>12688280</v>
      </c>
      <c r="B168" s="5" t="s">
        <v>902</v>
      </c>
      <c r="C168" s="5" t="s">
        <v>700</v>
      </c>
      <c r="D168" s="5" t="s">
        <v>61</v>
      </c>
      <c r="E168" s="5" t="s">
        <v>903</v>
      </c>
      <c r="F168" s="5" t="s">
        <v>904</v>
      </c>
      <c r="G168" s="5" t="s">
        <v>905</v>
      </c>
      <c r="H168" s="5">
        <v>1050633</v>
      </c>
      <c r="I168" s="5" t="s">
        <v>29</v>
      </c>
      <c r="J168" s="5" t="s">
        <v>130</v>
      </c>
      <c r="K168" s="5" t="s">
        <v>22</v>
      </c>
      <c r="L168" s="4"/>
    </row>
    <row r="169" spans="1:12">
      <c r="A169" s="5">
        <v>11476853</v>
      </c>
      <c r="B169" s="5" t="s">
        <v>906</v>
      </c>
      <c r="C169" s="5" t="s">
        <v>700</v>
      </c>
      <c r="D169" s="5" t="s">
        <v>907</v>
      </c>
      <c r="E169" s="5" t="s">
        <v>908</v>
      </c>
      <c r="F169" s="5" t="s">
        <v>909</v>
      </c>
      <c r="G169" s="5" t="s">
        <v>910</v>
      </c>
      <c r="H169" s="5">
        <v>1050610</v>
      </c>
      <c r="I169" s="5" t="s">
        <v>65</v>
      </c>
      <c r="J169" s="5" t="s">
        <v>147</v>
      </c>
      <c r="K169" s="5" t="s">
        <v>22</v>
      </c>
      <c r="L169" s="4"/>
    </row>
    <row r="170" spans="1:12">
      <c r="A170" s="5">
        <v>10933716</v>
      </c>
      <c r="B170" s="5" t="s">
        <v>911</v>
      </c>
      <c r="C170" s="5" t="s">
        <v>824</v>
      </c>
      <c r="D170" s="5" t="s">
        <v>912</v>
      </c>
      <c r="E170" s="5" t="s">
        <v>913</v>
      </c>
      <c r="F170" s="5" t="s">
        <v>914</v>
      </c>
      <c r="G170" s="5" t="s">
        <v>915</v>
      </c>
      <c r="H170" s="5">
        <v>1050574</v>
      </c>
      <c r="I170" s="6" t="s">
        <v>44</v>
      </c>
      <c r="J170" s="6" t="s">
        <v>45</v>
      </c>
      <c r="K170" s="5" t="s">
        <v>22</v>
      </c>
      <c r="L170" s="4"/>
    </row>
    <row r="171" spans="1:12">
      <c r="A171" s="5">
        <v>8634737</v>
      </c>
      <c r="B171" s="5" t="s">
        <v>916</v>
      </c>
      <c r="C171" s="5" t="s">
        <v>208</v>
      </c>
      <c r="D171" s="5" t="s">
        <v>917</v>
      </c>
      <c r="E171" s="5" t="s">
        <v>918</v>
      </c>
      <c r="F171" s="5" t="s">
        <v>919</v>
      </c>
      <c r="G171" s="5" t="s">
        <v>920</v>
      </c>
      <c r="H171" s="7">
        <v>1050553</v>
      </c>
      <c r="I171" s="5" t="s">
        <v>2</v>
      </c>
      <c r="J171" s="5" t="s">
        <v>21</v>
      </c>
      <c r="K171" s="5" t="s">
        <v>22</v>
      </c>
      <c r="L171" s="4"/>
    </row>
    <row r="172" spans="1:12">
      <c r="A172" s="5">
        <v>9485526</v>
      </c>
      <c r="B172" s="5" t="s">
        <v>921</v>
      </c>
      <c r="C172" s="5" t="s">
        <v>847</v>
      </c>
      <c r="D172" s="5" t="s">
        <v>83</v>
      </c>
      <c r="E172" s="5" t="s">
        <v>133</v>
      </c>
      <c r="F172" s="5" t="s">
        <v>922</v>
      </c>
      <c r="G172" s="5" t="s">
        <v>923</v>
      </c>
      <c r="H172" s="5">
        <v>1050127</v>
      </c>
      <c r="I172" s="5" t="s">
        <v>29</v>
      </c>
      <c r="J172" s="5" t="s">
        <v>37</v>
      </c>
      <c r="K172" s="5" t="s">
        <v>22</v>
      </c>
      <c r="L172" s="4"/>
    </row>
    <row r="173" spans="1:12">
      <c r="A173" s="5">
        <v>17245009</v>
      </c>
      <c r="B173" s="5" t="s">
        <v>924</v>
      </c>
      <c r="C173" s="5" t="s">
        <v>847</v>
      </c>
      <c r="D173" s="5" t="s">
        <v>925</v>
      </c>
      <c r="E173" s="5" t="s">
        <v>787</v>
      </c>
      <c r="F173" s="5" t="s">
        <v>926</v>
      </c>
      <c r="G173" s="5" t="s">
        <v>927</v>
      </c>
      <c r="H173" s="5">
        <v>1050581</v>
      </c>
      <c r="I173" s="5" t="s">
        <v>29</v>
      </c>
      <c r="J173" s="5" t="s">
        <v>272</v>
      </c>
      <c r="K173" s="5" t="s">
        <v>22</v>
      </c>
      <c r="L173" s="4"/>
    </row>
    <row r="174" spans="1:12">
      <c r="A174" s="5">
        <v>9839411</v>
      </c>
      <c r="B174" s="5" t="s">
        <v>928</v>
      </c>
      <c r="C174" s="5" t="s">
        <v>528</v>
      </c>
      <c r="D174" s="5" t="s">
        <v>929</v>
      </c>
      <c r="E174" s="5" t="s">
        <v>475</v>
      </c>
      <c r="F174" s="5" t="s">
        <v>930</v>
      </c>
      <c r="G174" s="5" t="s">
        <v>931</v>
      </c>
      <c r="H174" s="72">
        <v>1050603</v>
      </c>
      <c r="I174" s="6" t="s">
        <v>566</v>
      </c>
      <c r="J174" s="6" t="s">
        <v>566</v>
      </c>
      <c r="K174" s="5" t="s">
        <v>22</v>
      </c>
      <c r="L174" s="4"/>
    </row>
    <row r="175" spans="1:12">
      <c r="A175" s="5">
        <v>7916907</v>
      </c>
      <c r="B175" s="5" t="s">
        <v>932</v>
      </c>
      <c r="C175" s="5" t="s">
        <v>528</v>
      </c>
      <c r="D175" s="5" t="s">
        <v>308</v>
      </c>
      <c r="E175" s="5" t="s">
        <v>933</v>
      </c>
      <c r="F175" s="5" t="s">
        <v>934</v>
      </c>
      <c r="G175" s="5" t="s">
        <v>935</v>
      </c>
      <c r="H175" s="5">
        <v>1050604</v>
      </c>
      <c r="I175" s="5" t="s">
        <v>936</v>
      </c>
      <c r="J175" s="5" t="s">
        <v>936</v>
      </c>
      <c r="K175" s="5" t="s">
        <v>22</v>
      </c>
      <c r="L175" s="4"/>
    </row>
    <row r="176" spans="1:12">
      <c r="A176" s="5">
        <v>14383969</v>
      </c>
      <c r="B176" s="5" t="s">
        <v>937</v>
      </c>
      <c r="C176" s="5" t="s">
        <v>528</v>
      </c>
      <c r="D176" s="5" t="s">
        <v>938</v>
      </c>
      <c r="E176" s="5" t="s">
        <v>939</v>
      </c>
      <c r="F176" s="5" t="s">
        <v>940</v>
      </c>
      <c r="G176" s="67" t="s">
        <v>941</v>
      </c>
      <c r="H176" s="5">
        <v>1050529</v>
      </c>
      <c r="I176" s="5" t="s">
        <v>604</v>
      </c>
      <c r="J176" s="5" t="s">
        <v>604</v>
      </c>
      <c r="K176" s="5" t="s">
        <v>22</v>
      </c>
      <c r="L176" s="4"/>
    </row>
    <row r="177" spans="1:12">
      <c r="A177" s="5">
        <v>11657838</v>
      </c>
      <c r="B177" s="5" t="s">
        <v>942</v>
      </c>
      <c r="C177" s="5" t="s">
        <v>925</v>
      </c>
      <c r="D177" s="5" t="s">
        <v>943</v>
      </c>
      <c r="E177" s="5" t="s">
        <v>180</v>
      </c>
      <c r="F177" s="5" t="s">
        <v>944</v>
      </c>
      <c r="G177" s="5" t="s">
        <v>945</v>
      </c>
      <c r="H177" s="5">
        <v>1050127</v>
      </c>
      <c r="I177" s="5" t="s">
        <v>29</v>
      </c>
      <c r="J177" s="5" t="s">
        <v>37</v>
      </c>
      <c r="K177" s="5" t="s">
        <v>22</v>
      </c>
      <c r="L177" s="4"/>
    </row>
    <row r="178" spans="1:12">
      <c r="A178" s="5">
        <v>7832770</v>
      </c>
      <c r="B178" s="5" t="s">
        <v>946</v>
      </c>
      <c r="C178" s="5" t="s">
        <v>857</v>
      </c>
      <c r="D178" s="5" t="s">
        <v>403</v>
      </c>
      <c r="E178" s="5" t="s">
        <v>450</v>
      </c>
      <c r="F178" s="5" t="s">
        <v>947</v>
      </c>
      <c r="G178" s="5" t="s">
        <v>948</v>
      </c>
      <c r="H178" s="5">
        <v>1050616</v>
      </c>
      <c r="I178" s="6" t="s">
        <v>87</v>
      </c>
      <c r="J178" s="6" t="s">
        <v>66</v>
      </c>
      <c r="K178" s="5" t="s">
        <v>22</v>
      </c>
      <c r="L178" s="4"/>
    </row>
    <row r="179" spans="1:12">
      <c r="A179" s="5">
        <v>12647009</v>
      </c>
      <c r="B179" s="5" t="s">
        <v>949</v>
      </c>
      <c r="C179" s="5" t="s">
        <v>791</v>
      </c>
      <c r="D179" s="5" t="s">
        <v>950</v>
      </c>
      <c r="E179" s="5" t="s">
        <v>951</v>
      </c>
      <c r="F179" s="5" t="s">
        <v>952</v>
      </c>
      <c r="G179" s="5" t="s">
        <v>953</v>
      </c>
      <c r="H179" s="5">
        <v>1050581</v>
      </c>
      <c r="I179" s="5" t="s">
        <v>29</v>
      </c>
      <c r="J179" s="5" t="s">
        <v>691</v>
      </c>
      <c r="K179" s="5" t="s">
        <v>22</v>
      </c>
      <c r="L179" s="4"/>
    </row>
    <row r="180" spans="1:12">
      <c r="A180" s="5">
        <v>7009784</v>
      </c>
      <c r="B180" s="5" t="s">
        <v>954</v>
      </c>
      <c r="C180" s="5" t="s">
        <v>791</v>
      </c>
      <c r="D180" s="5" t="s">
        <v>955</v>
      </c>
      <c r="E180" s="5" t="s">
        <v>956</v>
      </c>
      <c r="F180" s="5" t="s">
        <v>957</v>
      </c>
      <c r="G180" s="5" t="s">
        <v>958</v>
      </c>
      <c r="H180" s="5">
        <v>1050126</v>
      </c>
      <c r="I180" s="5" t="s">
        <v>29</v>
      </c>
      <c r="J180" s="5" t="s">
        <v>30</v>
      </c>
      <c r="K180" s="5" t="s">
        <v>22</v>
      </c>
      <c r="L180" s="4"/>
    </row>
    <row r="181" spans="1:12">
      <c r="A181" s="5">
        <v>8245727</v>
      </c>
      <c r="B181" s="5" t="s">
        <v>959</v>
      </c>
      <c r="C181" s="5" t="s">
        <v>960</v>
      </c>
      <c r="D181" s="5" t="s">
        <v>289</v>
      </c>
      <c r="E181" s="5" t="s">
        <v>121</v>
      </c>
      <c r="F181" s="5" t="s">
        <v>961</v>
      </c>
      <c r="G181" s="5" t="s">
        <v>962</v>
      </c>
      <c r="H181" s="5">
        <v>1050633</v>
      </c>
      <c r="I181" s="5" t="s">
        <v>29</v>
      </c>
      <c r="J181" s="5" t="s">
        <v>130</v>
      </c>
      <c r="K181" s="5" t="s">
        <v>22</v>
      </c>
      <c r="L181" s="4"/>
    </row>
    <row r="182" spans="1:12">
      <c r="A182" s="5">
        <v>13638571</v>
      </c>
      <c r="B182" s="5" t="s">
        <v>963</v>
      </c>
      <c r="C182" s="5" t="s">
        <v>960</v>
      </c>
      <c r="D182" s="5" t="s">
        <v>594</v>
      </c>
      <c r="E182" s="5" t="s">
        <v>964</v>
      </c>
      <c r="F182" s="5" t="s">
        <v>965</v>
      </c>
      <c r="G182" s="5" t="s">
        <v>966</v>
      </c>
      <c r="H182" s="5">
        <v>1050616</v>
      </c>
      <c r="I182" s="5" t="s">
        <v>87</v>
      </c>
      <c r="J182" s="5" t="s">
        <v>162</v>
      </c>
      <c r="K182" s="5" t="s">
        <v>22</v>
      </c>
      <c r="L182" s="4"/>
    </row>
    <row r="183" spans="1:12">
      <c r="A183" s="5">
        <v>15891790</v>
      </c>
      <c r="B183" s="5" t="s">
        <v>967</v>
      </c>
      <c r="C183" s="5" t="s">
        <v>960</v>
      </c>
      <c r="D183" s="5" t="s">
        <v>968</v>
      </c>
      <c r="E183" s="5" t="s">
        <v>133</v>
      </c>
      <c r="F183" s="5" t="s">
        <v>969</v>
      </c>
      <c r="G183" s="5" t="s">
        <v>970</v>
      </c>
      <c r="H183" s="7">
        <v>1050565</v>
      </c>
      <c r="I183" s="6" t="s">
        <v>971</v>
      </c>
      <c r="J183" s="6" t="s">
        <v>972</v>
      </c>
      <c r="K183" s="5" t="s">
        <v>22</v>
      </c>
      <c r="L183" s="4"/>
    </row>
    <row r="184" spans="1:12">
      <c r="A184" s="5">
        <v>12500119</v>
      </c>
      <c r="B184" s="5" t="s">
        <v>973</v>
      </c>
      <c r="C184" s="5" t="s">
        <v>974</v>
      </c>
      <c r="D184" s="5" t="s">
        <v>706</v>
      </c>
      <c r="E184" s="5" t="s">
        <v>975</v>
      </c>
      <c r="F184" s="5" t="s">
        <v>976</v>
      </c>
      <c r="G184" s="5" t="s">
        <v>977</v>
      </c>
      <c r="H184" s="5">
        <v>1050161</v>
      </c>
      <c r="I184" s="5" t="s">
        <v>29</v>
      </c>
      <c r="J184" s="5" t="s">
        <v>442</v>
      </c>
      <c r="K184" s="5" t="s">
        <v>22</v>
      </c>
      <c r="L184" s="4"/>
    </row>
    <row r="185" spans="1:12">
      <c r="A185" s="5">
        <v>13701209</v>
      </c>
      <c r="B185" s="5" t="s">
        <v>978</v>
      </c>
      <c r="C185" s="5" t="s">
        <v>974</v>
      </c>
      <c r="D185" s="5" t="s">
        <v>706</v>
      </c>
      <c r="E185" s="5" t="s">
        <v>979</v>
      </c>
      <c r="F185" s="5" t="s">
        <v>980</v>
      </c>
      <c r="G185" s="5" t="s">
        <v>981</v>
      </c>
      <c r="H185" s="5">
        <v>1050126</v>
      </c>
      <c r="I185" s="5" t="s">
        <v>29</v>
      </c>
      <c r="J185" s="5" t="s">
        <v>30</v>
      </c>
      <c r="K185" s="5" t="s">
        <v>22</v>
      </c>
      <c r="L185" s="4"/>
    </row>
    <row r="186" spans="1:12">
      <c r="A186" s="74">
        <v>10835391</v>
      </c>
      <c r="B186" s="5" t="s">
        <v>982</v>
      </c>
      <c r="C186" s="5" t="s">
        <v>974</v>
      </c>
      <c r="D186" s="5" t="s">
        <v>852</v>
      </c>
      <c r="E186" s="5" t="s">
        <v>983</v>
      </c>
      <c r="F186" s="5" t="s">
        <v>984</v>
      </c>
      <c r="G186" s="5" t="s">
        <v>985</v>
      </c>
      <c r="H186" s="5">
        <v>1050581</v>
      </c>
      <c r="I186" s="5" t="s">
        <v>29</v>
      </c>
      <c r="J186" s="5" t="s">
        <v>272</v>
      </c>
      <c r="K186" s="5" t="s">
        <v>22</v>
      </c>
      <c r="L186" s="4"/>
    </row>
    <row r="187" spans="1:12">
      <c r="A187" s="5">
        <v>8618882</v>
      </c>
      <c r="B187" s="5" t="s">
        <v>986</v>
      </c>
      <c r="C187" s="5" t="s">
        <v>607</v>
      </c>
      <c r="D187" s="5" t="s">
        <v>863</v>
      </c>
      <c r="E187" s="5" t="s">
        <v>987</v>
      </c>
      <c r="F187" s="5" t="s">
        <v>988</v>
      </c>
      <c r="G187" s="5" t="s">
        <v>989</v>
      </c>
      <c r="H187" s="5">
        <v>1050633</v>
      </c>
      <c r="I187" s="5" t="s">
        <v>29</v>
      </c>
      <c r="J187" s="5" t="s">
        <v>130</v>
      </c>
      <c r="K187" s="5" t="s">
        <v>22</v>
      </c>
      <c r="L187" s="4"/>
    </row>
    <row r="188" spans="1:12">
      <c r="A188" s="5">
        <v>16691386</v>
      </c>
      <c r="B188" s="5" t="s">
        <v>990</v>
      </c>
      <c r="C188" s="5" t="s">
        <v>607</v>
      </c>
      <c r="D188" s="5" t="s">
        <v>991</v>
      </c>
      <c r="E188" s="5" t="s">
        <v>992</v>
      </c>
      <c r="F188" s="5" t="s">
        <v>993</v>
      </c>
      <c r="G188" s="5" t="s">
        <v>994</v>
      </c>
      <c r="H188" s="5">
        <v>1050581</v>
      </c>
      <c r="I188" s="5" t="s">
        <v>29</v>
      </c>
      <c r="J188" s="5" t="s">
        <v>272</v>
      </c>
      <c r="K188" s="5" t="s">
        <v>22</v>
      </c>
      <c r="L188" s="4"/>
    </row>
    <row r="189" spans="1:12">
      <c r="A189" s="5">
        <v>8085825</v>
      </c>
      <c r="B189" s="5" t="s">
        <v>995</v>
      </c>
      <c r="C189" s="5" t="s">
        <v>232</v>
      </c>
      <c r="D189" s="5" t="s">
        <v>996</v>
      </c>
      <c r="E189" s="5" t="s">
        <v>997</v>
      </c>
      <c r="F189" s="5" t="s">
        <v>998</v>
      </c>
      <c r="G189" s="5" t="s">
        <v>999</v>
      </c>
      <c r="H189" s="5">
        <v>1050609</v>
      </c>
      <c r="I189" s="5" t="s">
        <v>65</v>
      </c>
      <c r="J189" s="5" t="s">
        <v>249</v>
      </c>
      <c r="K189" s="5" t="s">
        <v>22</v>
      </c>
      <c r="L189" s="4"/>
    </row>
    <row r="190" spans="1:12">
      <c r="A190" s="5">
        <v>10849076</v>
      </c>
      <c r="B190" s="5" t="s">
        <v>1000</v>
      </c>
      <c r="C190" s="5" t="s">
        <v>1001</v>
      </c>
      <c r="D190" s="5" t="s">
        <v>785</v>
      </c>
      <c r="E190" s="5" t="s">
        <v>263</v>
      </c>
      <c r="F190" s="5" t="s">
        <v>1002</v>
      </c>
      <c r="G190" s="5" t="s">
        <v>1003</v>
      </c>
      <c r="H190" s="5">
        <v>1050555</v>
      </c>
      <c r="I190" s="5" t="s">
        <v>161</v>
      </c>
      <c r="J190" s="5" t="s">
        <v>249</v>
      </c>
      <c r="K190" s="5" t="s">
        <v>22</v>
      </c>
      <c r="L190" s="4"/>
    </row>
    <row r="191" spans="1:12">
      <c r="A191" s="5">
        <v>13079999</v>
      </c>
      <c r="B191" s="5" t="s">
        <v>1004</v>
      </c>
      <c r="C191" s="5" t="s">
        <v>754</v>
      </c>
      <c r="D191" s="5" t="s">
        <v>1005</v>
      </c>
      <c r="E191" s="5" t="s">
        <v>1006</v>
      </c>
      <c r="F191" s="5" t="s">
        <v>1007</v>
      </c>
      <c r="G191" s="5" t="s">
        <v>1008</v>
      </c>
      <c r="H191" s="5">
        <v>1050127</v>
      </c>
      <c r="I191" s="5" t="s">
        <v>29</v>
      </c>
      <c r="J191" s="5" t="s">
        <v>37</v>
      </c>
      <c r="K191" s="5" t="s">
        <v>22</v>
      </c>
      <c r="L191" s="4"/>
    </row>
    <row r="192" spans="1:12">
      <c r="A192" s="5">
        <v>12896000</v>
      </c>
      <c r="B192" s="5" t="s">
        <v>1009</v>
      </c>
      <c r="C192" s="5" t="s">
        <v>889</v>
      </c>
      <c r="D192" s="5" t="s">
        <v>1010</v>
      </c>
      <c r="E192" s="5" t="s">
        <v>1011</v>
      </c>
      <c r="F192" s="5" t="s">
        <v>1012</v>
      </c>
      <c r="G192" s="67" t="s">
        <v>1013</v>
      </c>
      <c r="H192" s="5">
        <v>10505616</v>
      </c>
      <c r="I192" s="6" t="s">
        <v>87</v>
      </c>
      <c r="J192" s="6" t="s">
        <v>162</v>
      </c>
      <c r="K192" s="5" t="s">
        <v>22</v>
      </c>
      <c r="L192" s="4"/>
    </row>
    <row r="193" spans="1:12">
      <c r="A193" s="5">
        <v>12896866</v>
      </c>
      <c r="B193" s="5" t="s">
        <v>1014</v>
      </c>
      <c r="C193" s="5" t="s">
        <v>352</v>
      </c>
      <c r="D193" s="5" t="s">
        <v>352</v>
      </c>
      <c r="E193" s="5" t="s">
        <v>1015</v>
      </c>
      <c r="F193" s="5" t="s">
        <v>1016</v>
      </c>
      <c r="G193" s="5" t="s">
        <v>1017</v>
      </c>
      <c r="H193" s="5">
        <v>1050595</v>
      </c>
      <c r="I193" s="5" t="s">
        <v>897</v>
      </c>
      <c r="J193" s="5" t="s">
        <v>897</v>
      </c>
      <c r="K193" s="5" t="s">
        <v>22</v>
      </c>
      <c r="L193" s="4"/>
    </row>
    <row r="194" spans="1:12">
      <c r="A194" s="5">
        <v>12392999</v>
      </c>
      <c r="B194" s="5" t="s">
        <v>1018</v>
      </c>
      <c r="C194" s="5" t="s">
        <v>1019</v>
      </c>
      <c r="D194" s="5" t="s">
        <v>1020</v>
      </c>
      <c r="E194" s="5" t="s">
        <v>257</v>
      </c>
      <c r="F194" s="5" t="s">
        <v>1021</v>
      </c>
      <c r="G194" s="5" t="s">
        <v>1022</v>
      </c>
      <c r="H194" s="5">
        <v>1050610</v>
      </c>
      <c r="I194" s="6" t="s">
        <v>65</v>
      </c>
      <c r="J194" s="6" t="s">
        <v>162</v>
      </c>
      <c r="K194" s="5" t="s">
        <v>22</v>
      </c>
      <c r="L194" s="4"/>
    </row>
    <row r="195" spans="1:12">
      <c r="A195" s="5">
        <v>14193049</v>
      </c>
      <c r="B195" s="5" t="s">
        <v>1023</v>
      </c>
      <c r="C195" s="5" t="s">
        <v>1019</v>
      </c>
      <c r="D195" s="5" t="s">
        <v>1024</v>
      </c>
      <c r="E195" s="5" t="s">
        <v>251</v>
      </c>
      <c r="F195" s="5" t="s">
        <v>1025</v>
      </c>
      <c r="G195" s="5" t="s">
        <v>1026</v>
      </c>
      <c r="H195" s="5">
        <v>1050609</v>
      </c>
      <c r="I195" s="5" t="s">
        <v>65</v>
      </c>
      <c r="J195" s="5" t="s">
        <v>21</v>
      </c>
      <c r="K195" s="5" t="s">
        <v>22</v>
      </c>
      <c r="L195" s="4"/>
    </row>
    <row r="196" spans="1:12">
      <c r="A196" s="5">
        <v>6467952</v>
      </c>
      <c r="B196" s="5" t="s">
        <v>1027</v>
      </c>
      <c r="C196" s="5" t="s">
        <v>1019</v>
      </c>
      <c r="D196" s="5" t="s">
        <v>717</v>
      </c>
      <c r="E196" s="5" t="s">
        <v>1028</v>
      </c>
      <c r="F196" s="5" t="s">
        <v>1029</v>
      </c>
      <c r="G196" s="5" t="s">
        <v>1030</v>
      </c>
      <c r="H196" s="5">
        <v>1050633</v>
      </c>
      <c r="I196" s="5" t="s">
        <v>29</v>
      </c>
      <c r="J196" s="5" t="s">
        <v>130</v>
      </c>
      <c r="K196" s="5" t="s">
        <v>22</v>
      </c>
      <c r="L196" s="4"/>
    </row>
    <row r="197" spans="1:12">
      <c r="A197" s="5">
        <v>11840491</v>
      </c>
      <c r="B197" s="5" t="s">
        <v>1031</v>
      </c>
      <c r="C197" s="5" t="s">
        <v>706</v>
      </c>
      <c r="D197" s="5" t="s">
        <v>1032</v>
      </c>
      <c r="E197" s="5" t="s">
        <v>1033</v>
      </c>
      <c r="F197" s="5" t="s">
        <v>1034</v>
      </c>
      <c r="G197" s="67" t="s">
        <v>1035</v>
      </c>
      <c r="H197" s="5">
        <v>1050616</v>
      </c>
      <c r="I197" s="6" t="s">
        <v>87</v>
      </c>
      <c r="J197" s="6" t="s">
        <v>88</v>
      </c>
      <c r="K197" s="5" t="s">
        <v>22</v>
      </c>
      <c r="L197" s="4"/>
    </row>
    <row r="198" spans="1:12">
      <c r="A198" s="5">
        <v>13839512</v>
      </c>
      <c r="B198" s="5" t="s">
        <v>1036</v>
      </c>
      <c r="C198" s="5" t="s">
        <v>1037</v>
      </c>
      <c r="D198" s="5" t="s">
        <v>1038</v>
      </c>
      <c r="E198" s="5" t="s">
        <v>1039</v>
      </c>
      <c r="F198" s="5" t="s">
        <v>1040</v>
      </c>
      <c r="G198" s="5" t="s">
        <v>1041</v>
      </c>
      <c r="H198" s="5">
        <v>1050554</v>
      </c>
      <c r="I198" s="5" t="s">
        <v>2</v>
      </c>
      <c r="J198" s="5" t="s">
        <v>162</v>
      </c>
      <c r="K198" s="5" t="s">
        <v>22</v>
      </c>
      <c r="L198" s="4"/>
    </row>
    <row r="199" spans="1:12">
      <c r="A199" s="5">
        <v>21516766</v>
      </c>
      <c r="B199" s="5" t="s">
        <v>1042</v>
      </c>
      <c r="C199" s="5" t="s">
        <v>1043</v>
      </c>
      <c r="D199" s="5" t="s">
        <v>1044</v>
      </c>
      <c r="E199" s="5" t="s">
        <v>339</v>
      </c>
      <c r="F199" s="5" t="s">
        <v>1045</v>
      </c>
      <c r="G199" s="5" t="s">
        <v>1046</v>
      </c>
      <c r="H199" s="5">
        <v>1050556</v>
      </c>
      <c r="I199" s="5" t="s">
        <v>161</v>
      </c>
      <c r="J199" s="5" t="s">
        <v>162</v>
      </c>
      <c r="K199" s="5" t="s">
        <v>22</v>
      </c>
      <c r="L199" s="4"/>
    </row>
    <row r="200" spans="1:12">
      <c r="A200" s="5">
        <v>15436097</v>
      </c>
      <c r="B200" s="5" t="s">
        <v>1047</v>
      </c>
      <c r="C200" s="5" t="s">
        <v>403</v>
      </c>
      <c r="D200" s="5" t="s">
        <v>179</v>
      </c>
      <c r="E200" s="5" t="s">
        <v>339</v>
      </c>
      <c r="F200" s="5" t="s">
        <v>1048</v>
      </c>
      <c r="G200" s="5" t="s">
        <v>1049</v>
      </c>
      <c r="H200" s="5">
        <v>1050552</v>
      </c>
      <c r="I200" s="5" t="s">
        <v>321</v>
      </c>
      <c r="J200" s="5" t="s">
        <v>66</v>
      </c>
      <c r="K200" s="5" t="s">
        <v>22</v>
      </c>
      <c r="L200" s="4"/>
    </row>
    <row r="201" spans="1:12">
      <c r="A201" s="5">
        <v>10737908</v>
      </c>
      <c r="B201" s="5" t="s">
        <v>1050</v>
      </c>
      <c r="C201" s="5" t="s">
        <v>1051</v>
      </c>
      <c r="D201" s="5" t="s">
        <v>1052</v>
      </c>
      <c r="E201" s="5" t="s">
        <v>1053</v>
      </c>
      <c r="F201" s="5" t="s">
        <v>1054</v>
      </c>
      <c r="G201" s="5" t="s">
        <v>1055</v>
      </c>
      <c r="H201" s="5">
        <v>1050581</v>
      </c>
      <c r="I201" s="5" t="s">
        <v>29</v>
      </c>
      <c r="J201" s="5" t="s">
        <v>1056</v>
      </c>
      <c r="K201" s="5" t="s">
        <v>22</v>
      </c>
      <c r="L201" s="4"/>
    </row>
    <row r="202" spans="1:12">
      <c r="A202" s="5">
        <v>11123851</v>
      </c>
      <c r="B202" s="5" t="s">
        <v>1057</v>
      </c>
      <c r="C202" s="5" t="s">
        <v>1058</v>
      </c>
      <c r="D202" s="5" t="s">
        <v>83</v>
      </c>
      <c r="E202" s="5" t="s">
        <v>62</v>
      </c>
      <c r="F202" s="5" t="s">
        <v>1059</v>
      </c>
      <c r="G202" s="5" t="s">
        <v>1060</v>
      </c>
      <c r="H202" s="5">
        <v>1050595</v>
      </c>
      <c r="I202" s="5" t="s">
        <v>897</v>
      </c>
      <c r="J202" s="5" t="s">
        <v>897</v>
      </c>
      <c r="K202" s="5" t="s">
        <v>22</v>
      </c>
      <c r="L202" s="4"/>
    </row>
    <row r="203" spans="1:12">
      <c r="A203" s="5">
        <v>10572816</v>
      </c>
      <c r="B203" s="5" t="s">
        <v>1061</v>
      </c>
      <c r="C203" s="5" t="s">
        <v>61</v>
      </c>
      <c r="D203" s="5" t="s">
        <v>358</v>
      </c>
      <c r="E203" s="5" t="s">
        <v>165</v>
      </c>
      <c r="F203" s="5" t="s">
        <v>1062</v>
      </c>
      <c r="G203" s="5" t="s">
        <v>1063</v>
      </c>
      <c r="H203" s="5">
        <v>1050633</v>
      </c>
      <c r="I203" s="5" t="s">
        <v>29</v>
      </c>
      <c r="J203" s="5" t="s">
        <v>130</v>
      </c>
      <c r="K203" s="5" t="s">
        <v>22</v>
      </c>
      <c r="L203" s="4"/>
    </row>
    <row r="204" spans="1:12">
      <c r="A204" s="5">
        <v>15327501</v>
      </c>
      <c r="B204" s="5" t="s">
        <v>1064</v>
      </c>
      <c r="C204" s="5" t="s">
        <v>852</v>
      </c>
      <c r="D204" s="5" t="s">
        <v>1065</v>
      </c>
      <c r="E204" s="5" t="s">
        <v>1066</v>
      </c>
      <c r="F204" s="5" t="s">
        <v>1067</v>
      </c>
      <c r="G204" s="5" t="s">
        <v>1068</v>
      </c>
      <c r="H204" s="5">
        <v>1050632</v>
      </c>
      <c r="I204" s="6" t="s">
        <v>73</v>
      </c>
      <c r="J204" s="6" t="s">
        <v>513</v>
      </c>
      <c r="K204" s="5" t="s">
        <v>22</v>
      </c>
      <c r="L204" s="4"/>
    </row>
    <row r="205" spans="1:12">
      <c r="A205" s="5">
        <v>8881760</v>
      </c>
      <c r="B205" s="5" t="s">
        <v>1069</v>
      </c>
      <c r="C205" s="5" t="s">
        <v>1010</v>
      </c>
      <c r="D205" s="5" t="s">
        <v>1070</v>
      </c>
      <c r="E205" s="5" t="s">
        <v>1071</v>
      </c>
      <c r="F205" s="5" t="s">
        <v>1072</v>
      </c>
      <c r="G205" s="5" t="s">
        <v>1073</v>
      </c>
      <c r="H205" s="5">
        <v>1050574</v>
      </c>
      <c r="I205" s="6" t="s">
        <v>44</v>
      </c>
      <c r="J205" s="6" t="s">
        <v>45</v>
      </c>
      <c r="K205" s="5" t="s">
        <v>22</v>
      </c>
      <c r="L205" s="4"/>
    </row>
    <row r="206" spans="1:12">
      <c r="A206" s="5">
        <v>9959939</v>
      </c>
      <c r="B206" s="5" t="s">
        <v>1074</v>
      </c>
      <c r="C206" s="5" t="s">
        <v>748</v>
      </c>
      <c r="D206" s="5" t="s">
        <v>974</v>
      </c>
      <c r="E206" s="5" t="s">
        <v>1075</v>
      </c>
      <c r="F206" s="5" t="s">
        <v>1076</v>
      </c>
      <c r="G206" s="5" t="s">
        <v>1077</v>
      </c>
      <c r="H206" s="5">
        <v>1050556</v>
      </c>
      <c r="I206" s="5" t="s">
        <v>161</v>
      </c>
      <c r="J206" s="5" t="s">
        <v>147</v>
      </c>
      <c r="K206" s="5" t="s">
        <v>22</v>
      </c>
      <c r="L206" s="4"/>
    </row>
    <row r="207" spans="1:12">
      <c r="A207" s="5">
        <v>14182371</v>
      </c>
      <c r="B207" s="5" t="s">
        <v>1078</v>
      </c>
      <c r="C207" s="5" t="s">
        <v>191</v>
      </c>
      <c r="D207" s="5" t="s">
        <v>1079</v>
      </c>
      <c r="E207" s="5" t="s">
        <v>1080</v>
      </c>
      <c r="F207" s="5" t="s">
        <v>1081</v>
      </c>
      <c r="G207" s="5" t="s">
        <v>1081</v>
      </c>
      <c r="H207" s="5">
        <v>1050632</v>
      </c>
      <c r="I207" s="6" t="s">
        <v>73</v>
      </c>
      <c r="J207" s="6" t="s">
        <v>513</v>
      </c>
      <c r="K207" s="5" t="s">
        <v>22</v>
      </c>
      <c r="L207" s="4"/>
    </row>
    <row r="208" spans="1:12">
      <c r="A208" s="5">
        <v>16267560</v>
      </c>
      <c r="B208" s="5" t="s">
        <v>1082</v>
      </c>
      <c r="C208" s="11" t="s">
        <v>1083</v>
      </c>
      <c r="D208" s="11" t="s">
        <v>82</v>
      </c>
      <c r="E208" s="11" t="s">
        <v>1084</v>
      </c>
      <c r="F208" s="11" t="s">
        <v>1085</v>
      </c>
      <c r="G208" s="11" t="s">
        <v>1086</v>
      </c>
      <c r="H208" s="5">
        <v>1050554</v>
      </c>
      <c r="I208" s="5" t="s">
        <v>2</v>
      </c>
      <c r="J208" s="5" t="s">
        <v>66</v>
      </c>
      <c r="K208" s="5" t="s">
        <v>22</v>
      </c>
      <c r="L208" s="4"/>
    </row>
    <row r="209" spans="1:12">
      <c r="A209" s="5">
        <v>10311290</v>
      </c>
      <c r="B209" s="5" t="s">
        <v>1087</v>
      </c>
      <c r="C209" s="5" t="s">
        <v>943</v>
      </c>
      <c r="D209" s="5" t="s">
        <v>1088</v>
      </c>
      <c r="E209" s="5" t="s">
        <v>1089</v>
      </c>
      <c r="F209" s="5" t="s">
        <v>1090</v>
      </c>
      <c r="G209" s="5" t="s">
        <v>1091</v>
      </c>
      <c r="H209" s="7">
        <v>1050574</v>
      </c>
      <c r="I209" s="6" t="s">
        <v>44</v>
      </c>
      <c r="J209" s="6" t="s">
        <v>45</v>
      </c>
      <c r="K209" s="5" t="s">
        <v>22</v>
      </c>
      <c r="L209" s="4"/>
    </row>
    <row r="210" spans="1:12">
      <c r="A210" s="5">
        <v>7807741</v>
      </c>
      <c r="B210" s="5" t="s">
        <v>1092</v>
      </c>
      <c r="C210" s="5" t="s">
        <v>943</v>
      </c>
      <c r="D210" s="5" t="s">
        <v>185</v>
      </c>
      <c r="E210" s="5" t="s">
        <v>1093</v>
      </c>
      <c r="F210" s="5" t="s">
        <v>1094</v>
      </c>
      <c r="G210" s="5" t="s">
        <v>1095</v>
      </c>
      <c r="H210" s="5">
        <v>1050595</v>
      </c>
      <c r="I210" s="5" t="s">
        <v>897</v>
      </c>
      <c r="J210" s="5" t="s">
        <v>897</v>
      </c>
      <c r="K210" s="5" t="s">
        <v>22</v>
      </c>
      <c r="L210" s="4"/>
    </row>
    <row r="211" spans="1:12">
      <c r="A211" s="5">
        <v>13835927</v>
      </c>
      <c r="B211" s="5" t="s">
        <v>1096</v>
      </c>
      <c r="C211" s="5" t="s">
        <v>1097</v>
      </c>
      <c r="D211" s="5" t="s">
        <v>1005</v>
      </c>
      <c r="E211" s="5" t="s">
        <v>1098</v>
      </c>
      <c r="F211" s="5" t="s">
        <v>1099</v>
      </c>
      <c r="G211" s="5" t="s">
        <v>1100</v>
      </c>
      <c r="H211" s="5">
        <v>1050556</v>
      </c>
      <c r="I211" s="5" t="s">
        <v>161</v>
      </c>
      <c r="J211" s="8" t="s">
        <v>519</v>
      </c>
      <c r="K211" s="5" t="s">
        <v>22</v>
      </c>
      <c r="L211" s="4"/>
    </row>
    <row r="212" spans="1:12">
      <c r="A212" s="6">
        <v>12719073</v>
      </c>
      <c r="B212" s="10" t="s">
        <v>1101</v>
      </c>
      <c r="C212" s="10" t="s">
        <v>1102</v>
      </c>
      <c r="D212" s="10" t="s">
        <v>884</v>
      </c>
      <c r="E212" s="10" t="s">
        <v>1103</v>
      </c>
      <c r="F212" s="5" t="s">
        <v>1104</v>
      </c>
      <c r="G212" s="5" t="s">
        <v>1105</v>
      </c>
      <c r="H212" s="72">
        <v>1050603</v>
      </c>
      <c r="I212" s="10" t="s">
        <v>566</v>
      </c>
      <c r="J212" s="10" t="s">
        <v>566</v>
      </c>
      <c r="K212" s="5" t="s">
        <v>22</v>
      </c>
      <c r="L212" s="13"/>
    </row>
    <row r="213" spans="1:12">
      <c r="A213" s="5">
        <v>12175753</v>
      </c>
      <c r="B213" s="5" t="s">
        <v>1106</v>
      </c>
      <c r="C213" s="7" t="s">
        <v>1107</v>
      </c>
      <c r="D213" s="7" t="s">
        <v>126</v>
      </c>
      <c r="E213" s="7" t="s">
        <v>1108</v>
      </c>
      <c r="F213" s="7" t="s">
        <v>1109</v>
      </c>
      <c r="G213" s="7" t="s">
        <v>1110</v>
      </c>
      <c r="H213" s="5">
        <v>1050632</v>
      </c>
      <c r="I213" s="5" t="s">
        <v>1111</v>
      </c>
      <c r="J213" s="5" t="s">
        <v>1111</v>
      </c>
      <c r="K213" s="5" t="s">
        <v>22</v>
      </c>
      <c r="L213" s="4"/>
    </row>
    <row r="214" spans="1:12">
      <c r="A214" s="5">
        <v>13045231</v>
      </c>
      <c r="B214" s="5" t="s">
        <v>1112</v>
      </c>
      <c r="C214" s="11" t="s">
        <v>90</v>
      </c>
      <c r="D214" s="5" t="s">
        <v>48</v>
      </c>
      <c r="E214" s="5" t="s">
        <v>1098</v>
      </c>
      <c r="F214" s="5" t="s">
        <v>1113</v>
      </c>
      <c r="G214" s="5" t="s">
        <v>1114</v>
      </c>
      <c r="H214" s="5">
        <v>1050529</v>
      </c>
      <c r="I214" s="5" t="s">
        <v>604</v>
      </c>
      <c r="J214" s="5" t="s">
        <v>604</v>
      </c>
      <c r="K214" s="5" t="s">
        <v>22</v>
      </c>
      <c r="L214" s="4"/>
    </row>
    <row r="215" spans="1:12">
      <c r="A215" s="5">
        <v>14307619</v>
      </c>
      <c r="B215" s="5" t="s">
        <v>1115</v>
      </c>
      <c r="C215" s="11" t="s">
        <v>149</v>
      </c>
      <c r="D215" s="5" t="s">
        <v>150</v>
      </c>
      <c r="E215" s="5" t="s">
        <v>1116</v>
      </c>
      <c r="F215" s="5" t="s">
        <v>1117</v>
      </c>
      <c r="G215" s="5" t="s">
        <v>1118</v>
      </c>
      <c r="H215" s="5">
        <v>1050529</v>
      </c>
      <c r="I215" s="5" t="s">
        <v>604</v>
      </c>
      <c r="J215" s="5" t="s">
        <v>604</v>
      </c>
      <c r="K215" s="5" t="s">
        <v>22</v>
      </c>
      <c r="L215" s="4"/>
    </row>
    <row r="216" spans="1:12">
      <c r="A216" s="5">
        <v>15439409</v>
      </c>
      <c r="B216" s="5" t="s">
        <v>1119</v>
      </c>
      <c r="C216" s="11" t="s">
        <v>1120</v>
      </c>
      <c r="D216" s="5" t="s">
        <v>925</v>
      </c>
      <c r="E216" s="5" t="s">
        <v>1121</v>
      </c>
      <c r="F216" s="5" t="s">
        <v>1122</v>
      </c>
      <c r="G216" s="5" t="s">
        <v>1123</v>
      </c>
      <c r="H216" s="5">
        <v>1050529</v>
      </c>
      <c r="I216" s="5" t="s">
        <v>604</v>
      </c>
      <c r="J216" s="5" t="s">
        <v>604</v>
      </c>
      <c r="K216" s="5" t="s">
        <v>22</v>
      </c>
      <c r="L216" s="4"/>
    </row>
    <row r="217" spans="1:12">
      <c r="A217" s="5">
        <v>9774031</v>
      </c>
      <c r="B217" s="5" t="s">
        <v>1124</v>
      </c>
      <c r="C217" s="71" t="s">
        <v>184</v>
      </c>
      <c r="D217" s="71" t="s">
        <v>852</v>
      </c>
      <c r="E217" s="71" t="s">
        <v>880</v>
      </c>
      <c r="F217" s="71" t="s">
        <v>1125</v>
      </c>
      <c r="G217" s="71" t="s">
        <v>1126</v>
      </c>
      <c r="H217" s="7">
        <v>1050529</v>
      </c>
      <c r="I217" s="5" t="s">
        <v>242</v>
      </c>
      <c r="J217" s="5" t="s">
        <v>242</v>
      </c>
      <c r="K217" s="5" t="s">
        <v>22</v>
      </c>
      <c r="L217" s="4"/>
    </row>
    <row r="218" spans="1:12">
      <c r="A218" s="5">
        <v>8406841</v>
      </c>
      <c r="B218" s="5" t="s">
        <v>1127</v>
      </c>
      <c r="C218" s="11" t="s">
        <v>1128</v>
      </c>
      <c r="D218" s="5" t="s">
        <v>960</v>
      </c>
      <c r="E218" s="5" t="s">
        <v>1129</v>
      </c>
      <c r="F218" s="5" t="s">
        <v>1130</v>
      </c>
      <c r="G218" s="5" t="s">
        <v>1131</v>
      </c>
      <c r="H218" s="5">
        <v>1050529</v>
      </c>
      <c r="I218" s="5" t="s">
        <v>604</v>
      </c>
      <c r="J218" s="5" t="s">
        <v>604</v>
      </c>
      <c r="K218" s="5" t="s">
        <v>22</v>
      </c>
      <c r="L218" s="4"/>
    </row>
    <row r="219" spans="1:12">
      <c r="A219" s="5">
        <v>10042994</v>
      </c>
      <c r="B219" s="5" t="s">
        <v>1132</v>
      </c>
      <c r="C219" s="11" t="s">
        <v>1133</v>
      </c>
      <c r="D219" s="5" t="s">
        <v>1134</v>
      </c>
      <c r="E219" s="5" t="s">
        <v>1135</v>
      </c>
      <c r="F219" s="5" t="s">
        <v>1136</v>
      </c>
      <c r="G219" s="5" t="s">
        <v>1137</v>
      </c>
      <c r="H219" s="5">
        <v>1050529</v>
      </c>
      <c r="I219" s="5" t="s">
        <v>604</v>
      </c>
      <c r="J219" s="5" t="s">
        <v>604</v>
      </c>
      <c r="K219" s="5" t="s">
        <v>22</v>
      </c>
      <c r="L219" s="4"/>
    </row>
    <row r="220" spans="1:12">
      <c r="A220" s="5">
        <v>12093149</v>
      </c>
      <c r="B220" s="5" t="s">
        <v>1138</v>
      </c>
      <c r="C220" s="11" t="s">
        <v>69</v>
      </c>
      <c r="D220" s="5" t="s">
        <v>267</v>
      </c>
      <c r="E220" s="5" t="s">
        <v>1139</v>
      </c>
      <c r="F220" s="5" t="s">
        <v>1140</v>
      </c>
      <c r="G220" s="5" t="s">
        <v>1141</v>
      </c>
      <c r="H220" s="5">
        <v>1050529</v>
      </c>
      <c r="I220" s="5" t="s">
        <v>604</v>
      </c>
      <c r="J220" s="5" t="s">
        <v>604</v>
      </c>
      <c r="K220" s="5" t="s">
        <v>22</v>
      </c>
      <c r="L220" s="4"/>
    </row>
    <row r="221" spans="1:12">
      <c r="A221" s="5">
        <v>21318186</v>
      </c>
      <c r="B221" s="5" t="s">
        <v>1142</v>
      </c>
      <c r="C221" s="11" t="s">
        <v>332</v>
      </c>
      <c r="D221" s="5" t="s">
        <v>1143</v>
      </c>
      <c r="E221" s="5" t="s">
        <v>1144</v>
      </c>
      <c r="F221" s="5" t="s">
        <v>1145</v>
      </c>
      <c r="G221" s="5" t="s">
        <v>1146</v>
      </c>
      <c r="H221" s="5">
        <v>1050552</v>
      </c>
      <c r="I221" s="5" t="s">
        <v>321</v>
      </c>
      <c r="J221" s="5" t="s">
        <v>162</v>
      </c>
      <c r="K221" s="5" t="s">
        <v>22</v>
      </c>
      <c r="L221" s="4"/>
    </row>
    <row r="222" spans="1:12">
      <c r="A222" s="5">
        <v>15533689</v>
      </c>
      <c r="B222" s="5" t="s">
        <v>1147</v>
      </c>
      <c r="C222" s="11" t="s">
        <v>343</v>
      </c>
      <c r="D222" s="5" t="s">
        <v>1120</v>
      </c>
      <c r="E222" s="5" t="s">
        <v>802</v>
      </c>
      <c r="F222" s="5" t="s">
        <v>1148</v>
      </c>
      <c r="G222" s="5" t="s">
        <v>1149</v>
      </c>
      <c r="H222" s="5">
        <v>1050529</v>
      </c>
      <c r="I222" s="5" t="s">
        <v>604</v>
      </c>
      <c r="J222" s="5" t="s">
        <v>604</v>
      </c>
      <c r="K222" s="5" t="s">
        <v>22</v>
      </c>
      <c r="L222" s="4"/>
    </row>
    <row r="223" spans="1:12">
      <c r="A223" s="5">
        <v>15449281</v>
      </c>
      <c r="B223" s="5" t="s">
        <v>1150</v>
      </c>
      <c r="C223" s="11" t="s">
        <v>343</v>
      </c>
      <c r="D223" s="5" t="s">
        <v>765</v>
      </c>
      <c r="E223" s="5" t="s">
        <v>1151</v>
      </c>
      <c r="F223" s="5" t="s">
        <v>1152</v>
      </c>
      <c r="G223" s="5" t="s">
        <v>1153</v>
      </c>
      <c r="H223" s="5">
        <v>1050529</v>
      </c>
      <c r="I223" s="5" t="s">
        <v>604</v>
      </c>
      <c r="J223" s="5" t="s">
        <v>604</v>
      </c>
      <c r="K223" s="5" t="s">
        <v>22</v>
      </c>
      <c r="L223" s="4"/>
    </row>
    <row r="224" spans="1:12">
      <c r="A224" s="5">
        <v>8247677</v>
      </c>
      <c r="B224" s="5" t="s">
        <v>1154</v>
      </c>
      <c r="C224" s="11" t="s">
        <v>1155</v>
      </c>
      <c r="D224" s="5" t="s">
        <v>1156</v>
      </c>
      <c r="E224" s="5" t="s">
        <v>1157</v>
      </c>
      <c r="F224" s="5" t="s">
        <v>1158</v>
      </c>
      <c r="G224" s="5" t="s">
        <v>1159</v>
      </c>
      <c r="H224" s="5">
        <v>1050529</v>
      </c>
      <c r="I224" s="5" t="s">
        <v>604</v>
      </c>
      <c r="J224" s="5" t="s">
        <v>604</v>
      </c>
      <c r="K224" s="5" t="s">
        <v>22</v>
      </c>
      <c r="L224" s="4"/>
    </row>
    <row r="225" spans="1:12">
      <c r="A225" s="5">
        <v>16413939</v>
      </c>
      <c r="B225" s="5" t="s">
        <v>1160</v>
      </c>
      <c r="C225" s="11" t="s">
        <v>357</v>
      </c>
      <c r="D225" s="5" t="s">
        <v>606</v>
      </c>
      <c r="E225" s="5" t="s">
        <v>1161</v>
      </c>
      <c r="F225" s="5" t="s">
        <v>1162</v>
      </c>
      <c r="G225" s="11" t="s">
        <v>1163</v>
      </c>
      <c r="H225" s="5">
        <v>1050616</v>
      </c>
      <c r="I225" s="5" t="s">
        <v>87</v>
      </c>
      <c r="J225" s="5" t="s">
        <v>162</v>
      </c>
      <c r="K225" s="5" t="s">
        <v>22</v>
      </c>
      <c r="L225" s="4"/>
    </row>
    <row r="226" spans="1:12">
      <c r="A226" s="5">
        <v>7974375</v>
      </c>
      <c r="B226" s="5" t="s">
        <v>1164</v>
      </c>
      <c r="C226" s="11" t="s">
        <v>1165</v>
      </c>
      <c r="D226" s="5" t="s">
        <v>24</v>
      </c>
      <c r="E226" s="5" t="s">
        <v>1166</v>
      </c>
      <c r="F226" s="5" t="s">
        <v>1167</v>
      </c>
      <c r="G226" s="5" t="s">
        <v>1168</v>
      </c>
      <c r="H226" s="5">
        <v>1050529</v>
      </c>
      <c r="I226" s="5" t="s">
        <v>604</v>
      </c>
      <c r="J226" s="5" t="s">
        <v>604</v>
      </c>
      <c r="K226" s="5" t="s">
        <v>22</v>
      </c>
      <c r="L226" s="4"/>
    </row>
    <row r="227" spans="1:12">
      <c r="A227" s="5">
        <v>7815068</v>
      </c>
      <c r="B227" s="5" t="s">
        <v>1169</v>
      </c>
      <c r="C227" s="11" t="s">
        <v>1170</v>
      </c>
      <c r="D227" s="5" t="s">
        <v>343</v>
      </c>
      <c r="E227" s="5" t="s">
        <v>1171</v>
      </c>
      <c r="F227" s="5" t="s">
        <v>1172</v>
      </c>
      <c r="G227" s="5" t="s">
        <v>1173</v>
      </c>
      <c r="H227" s="5">
        <v>1050529</v>
      </c>
      <c r="I227" s="5" t="s">
        <v>604</v>
      </c>
      <c r="J227" s="5" t="s">
        <v>604</v>
      </c>
      <c r="K227" s="5" t="s">
        <v>22</v>
      </c>
      <c r="L227" s="4"/>
    </row>
    <row r="228" spans="1:12">
      <c r="A228" s="5">
        <v>15445100</v>
      </c>
      <c r="B228" s="5" t="s">
        <v>1174</v>
      </c>
      <c r="C228" s="11" t="s">
        <v>1175</v>
      </c>
      <c r="D228" s="5" t="s">
        <v>595</v>
      </c>
      <c r="E228" s="5" t="s">
        <v>749</v>
      </c>
      <c r="F228" s="5" t="s">
        <v>1176</v>
      </c>
      <c r="G228" s="5" t="s">
        <v>1177</v>
      </c>
      <c r="H228" s="5">
        <v>1050529</v>
      </c>
      <c r="I228" s="5" t="s">
        <v>604</v>
      </c>
      <c r="J228" s="5" t="s">
        <v>604</v>
      </c>
      <c r="K228" s="5" t="s">
        <v>22</v>
      </c>
      <c r="L228" s="4"/>
    </row>
    <row r="229" spans="1:12">
      <c r="A229" s="5">
        <v>15102640</v>
      </c>
      <c r="B229" s="5" t="s">
        <v>1178</v>
      </c>
      <c r="C229" s="11" t="s">
        <v>585</v>
      </c>
      <c r="D229" s="5" t="s">
        <v>847</v>
      </c>
      <c r="E229" s="5" t="s">
        <v>339</v>
      </c>
      <c r="F229" s="5" t="s">
        <v>1179</v>
      </c>
      <c r="G229" s="5" t="s">
        <v>1180</v>
      </c>
      <c r="H229" s="5">
        <v>1050529</v>
      </c>
      <c r="I229" s="5" t="s">
        <v>604</v>
      </c>
      <c r="J229" s="5" t="s">
        <v>604</v>
      </c>
      <c r="K229" s="5" t="s">
        <v>22</v>
      </c>
      <c r="L229" s="4"/>
    </row>
    <row r="230" spans="1:12">
      <c r="A230" s="5">
        <v>16649200</v>
      </c>
      <c r="B230" s="5" t="s">
        <v>1181</v>
      </c>
      <c r="C230" s="11" t="s">
        <v>25</v>
      </c>
      <c r="D230" s="5" t="s">
        <v>700</v>
      </c>
      <c r="E230" s="5" t="s">
        <v>1182</v>
      </c>
      <c r="F230" s="5" t="s">
        <v>1183</v>
      </c>
      <c r="G230" s="5" t="s">
        <v>1184</v>
      </c>
      <c r="H230" s="5">
        <v>1050529</v>
      </c>
      <c r="I230" s="5" t="s">
        <v>604</v>
      </c>
      <c r="J230" s="5" t="s">
        <v>604</v>
      </c>
      <c r="K230" s="5" t="s">
        <v>22</v>
      </c>
      <c r="L230" s="4"/>
    </row>
    <row r="231" spans="1:12">
      <c r="A231" s="5">
        <v>10033627</v>
      </c>
      <c r="B231" s="5" t="s">
        <v>1185</v>
      </c>
      <c r="C231" s="11" t="s">
        <v>1186</v>
      </c>
      <c r="D231" s="5" t="s">
        <v>368</v>
      </c>
      <c r="E231" s="5" t="s">
        <v>198</v>
      </c>
      <c r="F231" s="5" t="s">
        <v>1187</v>
      </c>
      <c r="G231" s="5" t="s">
        <v>1188</v>
      </c>
      <c r="H231" s="5">
        <v>1050529</v>
      </c>
      <c r="I231" s="5" t="s">
        <v>604</v>
      </c>
      <c r="J231" s="5" t="s">
        <v>604</v>
      </c>
      <c r="K231" s="5" t="s">
        <v>22</v>
      </c>
      <c r="L231" s="4"/>
    </row>
    <row r="232" spans="1:12">
      <c r="A232" s="5">
        <v>13835073</v>
      </c>
      <c r="B232" s="5" t="s">
        <v>1189</v>
      </c>
      <c r="C232" s="11" t="s">
        <v>1190</v>
      </c>
      <c r="D232" s="5" t="s">
        <v>1191</v>
      </c>
      <c r="E232" s="5" t="s">
        <v>1192</v>
      </c>
      <c r="F232" s="5" t="s">
        <v>1193</v>
      </c>
      <c r="G232" s="5" t="s">
        <v>1194</v>
      </c>
      <c r="H232" s="5">
        <v>1050529</v>
      </c>
      <c r="I232" s="5" t="s">
        <v>604</v>
      </c>
      <c r="J232" s="5" t="s">
        <v>604</v>
      </c>
      <c r="K232" s="5" t="s">
        <v>22</v>
      </c>
      <c r="L232" s="4"/>
    </row>
    <row r="233" spans="1:12">
      <c r="A233" s="5">
        <v>16169301</v>
      </c>
      <c r="B233" s="5" t="s">
        <v>1195</v>
      </c>
      <c r="C233" s="11" t="s">
        <v>1196</v>
      </c>
      <c r="D233" s="5" t="s">
        <v>1197</v>
      </c>
      <c r="E233" s="5" t="s">
        <v>1198</v>
      </c>
      <c r="F233" s="5" t="s">
        <v>1199</v>
      </c>
      <c r="G233" s="5" t="s">
        <v>1200</v>
      </c>
      <c r="H233" s="5">
        <v>1050529</v>
      </c>
      <c r="I233" s="5" t="s">
        <v>604</v>
      </c>
      <c r="J233" s="5" t="s">
        <v>604</v>
      </c>
      <c r="K233" s="5" t="s">
        <v>22</v>
      </c>
      <c r="L233" s="4"/>
    </row>
    <row r="234" spans="1:12">
      <c r="A234" s="5">
        <v>13284475</v>
      </c>
      <c r="B234" s="5" t="s">
        <v>1201</v>
      </c>
      <c r="C234" s="11" t="s">
        <v>732</v>
      </c>
      <c r="D234" s="5" t="s">
        <v>424</v>
      </c>
      <c r="E234" s="5" t="s">
        <v>1202</v>
      </c>
      <c r="F234" s="5" t="s">
        <v>1203</v>
      </c>
      <c r="G234" s="5" t="s">
        <v>1204</v>
      </c>
      <c r="H234" s="7">
        <v>1050551</v>
      </c>
      <c r="I234" s="5" t="s">
        <v>321</v>
      </c>
      <c r="J234" s="5" t="s">
        <v>249</v>
      </c>
      <c r="K234" s="5" t="s">
        <v>22</v>
      </c>
      <c r="L234" s="4"/>
    </row>
    <row r="235" spans="1:12">
      <c r="A235" s="5">
        <v>7816805</v>
      </c>
      <c r="B235" s="5" t="s">
        <v>1205</v>
      </c>
      <c r="C235" s="11" t="s">
        <v>569</v>
      </c>
      <c r="D235" s="5" t="s">
        <v>413</v>
      </c>
      <c r="E235" s="5" t="s">
        <v>1206</v>
      </c>
      <c r="F235" s="5" t="s">
        <v>1207</v>
      </c>
      <c r="G235" s="5" t="s">
        <v>1208</v>
      </c>
      <c r="H235" s="5">
        <v>1050529</v>
      </c>
      <c r="I235" s="5" t="s">
        <v>604</v>
      </c>
      <c r="J235" s="5" t="s">
        <v>604</v>
      </c>
      <c r="K235" s="5" t="s">
        <v>22</v>
      </c>
      <c r="L235" s="4"/>
    </row>
    <row r="236" spans="1:12">
      <c r="A236" s="5">
        <v>10042860</v>
      </c>
      <c r="B236" s="5" t="s">
        <v>1209</v>
      </c>
      <c r="C236" s="11" t="s">
        <v>1210</v>
      </c>
      <c r="D236" s="5" t="s">
        <v>444</v>
      </c>
      <c r="E236" s="5" t="s">
        <v>1211</v>
      </c>
      <c r="F236" s="5" t="s">
        <v>1212</v>
      </c>
      <c r="G236" s="5" t="s">
        <v>1213</v>
      </c>
      <c r="H236" s="5">
        <v>1050529</v>
      </c>
      <c r="I236" s="5" t="s">
        <v>604</v>
      </c>
      <c r="J236" s="5" t="s">
        <v>604</v>
      </c>
      <c r="K236" s="5" t="s">
        <v>22</v>
      </c>
      <c r="L236" s="4"/>
    </row>
    <row r="237" spans="1:12">
      <c r="A237" s="5">
        <v>14005587</v>
      </c>
      <c r="B237" s="5" t="s">
        <v>1214</v>
      </c>
      <c r="C237" s="11" t="s">
        <v>208</v>
      </c>
      <c r="D237" s="5" t="s">
        <v>1215</v>
      </c>
      <c r="E237" s="5" t="s">
        <v>1216</v>
      </c>
      <c r="F237" s="5" t="s">
        <v>1217</v>
      </c>
      <c r="G237" s="5" t="s">
        <v>1218</v>
      </c>
      <c r="H237" s="5">
        <v>1050529</v>
      </c>
      <c r="I237" s="5" t="s">
        <v>604</v>
      </c>
      <c r="J237" s="5" t="s">
        <v>604</v>
      </c>
      <c r="K237" s="5" t="s">
        <v>22</v>
      </c>
      <c r="L237" s="4"/>
    </row>
    <row r="238" spans="1:12">
      <c r="A238" s="5">
        <v>13836182</v>
      </c>
      <c r="B238" s="5" t="s">
        <v>1219</v>
      </c>
      <c r="C238" s="11" t="s">
        <v>754</v>
      </c>
      <c r="D238" s="5" t="s">
        <v>1220</v>
      </c>
      <c r="E238" s="5" t="s">
        <v>1221</v>
      </c>
      <c r="F238" s="5" t="s">
        <v>1222</v>
      </c>
      <c r="G238" s="5" t="s">
        <v>1223</v>
      </c>
      <c r="H238" s="5">
        <v>1050529</v>
      </c>
      <c r="I238" s="5" t="s">
        <v>604</v>
      </c>
      <c r="J238" s="5" t="s">
        <v>604</v>
      </c>
      <c r="K238" s="5" t="s">
        <v>22</v>
      </c>
      <c r="L238" s="4"/>
    </row>
    <row r="239" spans="1:12">
      <c r="A239" s="5">
        <v>13295279</v>
      </c>
      <c r="B239" s="5" t="s">
        <v>1224</v>
      </c>
      <c r="C239" s="11" t="s">
        <v>1225</v>
      </c>
      <c r="D239" s="5" t="s">
        <v>1226</v>
      </c>
      <c r="E239" s="5" t="s">
        <v>1227</v>
      </c>
      <c r="F239" s="5" t="s">
        <v>1228</v>
      </c>
      <c r="G239" s="5" t="s">
        <v>1229</v>
      </c>
      <c r="H239" s="5">
        <v>1050529</v>
      </c>
      <c r="I239" s="5" t="s">
        <v>604</v>
      </c>
      <c r="J239" s="5" t="s">
        <v>604</v>
      </c>
      <c r="K239" s="5" t="s">
        <v>22</v>
      </c>
      <c r="L239" s="4"/>
    </row>
    <row r="240" spans="1:12">
      <c r="A240" s="5">
        <v>10849486</v>
      </c>
      <c r="B240" s="5" t="s">
        <v>1230</v>
      </c>
      <c r="C240" s="11" t="s">
        <v>1231</v>
      </c>
      <c r="D240" s="5" t="s">
        <v>1165</v>
      </c>
      <c r="E240" s="5" t="s">
        <v>1232</v>
      </c>
      <c r="F240" s="5" t="s">
        <v>1233</v>
      </c>
      <c r="G240" s="5" t="s">
        <v>1234</v>
      </c>
      <c r="H240" s="5">
        <v>1050529</v>
      </c>
      <c r="I240" s="5" t="s">
        <v>604</v>
      </c>
      <c r="J240" s="5" t="s">
        <v>604</v>
      </c>
      <c r="K240" s="5" t="s">
        <v>22</v>
      </c>
      <c r="L240" s="4"/>
    </row>
    <row r="241" spans="1:255">
      <c r="A241" s="5">
        <v>15441831</v>
      </c>
      <c r="B241" s="5" t="s">
        <v>1235</v>
      </c>
      <c r="C241" s="11" t="s">
        <v>1236</v>
      </c>
      <c r="D241" s="5" t="s">
        <v>1237</v>
      </c>
      <c r="E241" s="5" t="s">
        <v>1238</v>
      </c>
      <c r="F241" s="5" t="s">
        <v>1239</v>
      </c>
      <c r="G241" s="11" t="s">
        <v>1240</v>
      </c>
      <c r="H241" s="5">
        <v>1050529</v>
      </c>
      <c r="I241" s="5" t="s">
        <v>604</v>
      </c>
      <c r="J241" s="5" t="s">
        <v>604</v>
      </c>
      <c r="K241" s="5" t="s">
        <v>22</v>
      </c>
      <c r="L241" s="4"/>
    </row>
    <row r="242" spans="1:255">
      <c r="A242" s="5">
        <v>13688839</v>
      </c>
      <c r="B242" s="5" t="s">
        <v>1241</v>
      </c>
      <c r="C242" s="5" t="s">
        <v>1242</v>
      </c>
      <c r="D242" s="5" t="s">
        <v>502</v>
      </c>
      <c r="E242" s="5" t="s">
        <v>1243</v>
      </c>
      <c r="F242" s="5" t="s">
        <v>1244</v>
      </c>
      <c r="G242" s="5" t="s">
        <v>1244</v>
      </c>
      <c r="H242" s="5">
        <v>1050616</v>
      </c>
      <c r="I242" s="5" t="s">
        <v>65</v>
      </c>
      <c r="J242" s="14" t="s">
        <v>249</v>
      </c>
      <c r="K242" s="5" t="s">
        <v>22</v>
      </c>
      <c r="L242" s="4"/>
    </row>
    <row r="243" spans="1:255">
      <c r="A243" s="75">
        <v>8110698</v>
      </c>
      <c r="B243" s="75" t="s">
        <v>1245</v>
      </c>
      <c r="C243" s="75" t="s">
        <v>938</v>
      </c>
      <c r="D243" s="75" t="s">
        <v>231</v>
      </c>
      <c r="E243" s="75" t="s">
        <v>1246</v>
      </c>
      <c r="F243" s="5" t="s">
        <v>1247</v>
      </c>
      <c r="G243" s="5" t="s">
        <v>1248</v>
      </c>
      <c r="H243" s="75">
        <v>1050632</v>
      </c>
      <c r="I243" s="6" t="s">
        <v>73</v>
      </c>
      <c r="J243" s="16" t="s">
        <v>513</v>
      </c>
      <c r="K243" s="75" t="s">
        <v>22</v>
      </c>
      <c r="L243" s="15"/>
    </row>
    <row r="244" spans="1:255">
      <c r="A244" s="5">
        <v>15444116</v>
      </c>
      <c r="B244" s="5" t="s">
        <v>1249</v>
      </c>
      <c r="C244" s="5" t="s">
        <v>1250</v>
      </c>
      <c r="D244" s="5" t="s">
        <v>1156</v>
      </c>
      <c r="E244" s="5" t="s">
        <v>728</v>
      </c>
      <c r="F244" s="5" t="s">
        <v>1251</v>
      </c>
      <c r="G244" s="5" t="s">
        <v>1252</v>
      </c>
      <c r="H244" s="5">
        <v>1050554</v>
      </c>
      <c r="I244" s="5" t="s">
        <v>2</v>
      </c>
      <c r="J244" s="5" t="s">
        <v>66</v>
      </c>
      <c r="K244" s="5" t="s">
        <v>22</v>
      </c>
      <c r="L244" s="4"/>
    </row>
    <row r="245" spans="1:255">
      <c r="A245" s="6">
        <v>16441596</v>
      </c>
      <c r="B245" s="5" t="s">
        <v>1253</v>
      </c>
      <c r="C245" s="5" t="s">
        <v>943</v>
      </c>
      <c r="D245" s="5" t="s">
        <v>1254</v>
      </c>
      <c r="E245" s="5" t="s">
        <v>1255</v>
      </c>
      <c r="F245" s="5" t="s">
        <v>1256</v>
      </c>
      <c r="G245" s="5" t="s">
        <v>1257</v>
      </c>
      <c r="H245" s="6">
        <v>1050604</v>
      </c>
      <c r="I245" s="5" t="s">
        <v>1258</v>
      </c>
      <c r="J245" s="5" t="s">
        <v>1259</v>
      </c>
      <c r="K245" s="5" t="s">
        <v>22</v>
      </c>
      <c r="L245" s="13"/>
    </row>
    <row r="246" spans="1:255">
      <c r="A246" s="6">
        <v>12210109</v>
      </c>
      <c r="B246" s="5" t="s">
        <v>1260</v>
      </c>
      <c r="C246" s="5" t="s">
        <v>1155</v>
      </c>
      <c r="D246" s="5" t="s">
        <v>700</v>
      </c>
      <c r="E246" s="5" t="s">
        <v>1261</v>
      </c>
      <c r="F246" s="5" t="s">
        <v>1262</v>
      </c>
      <c r="G246" s="5" t="s">
        <v>1263</v>
      </c>
      <c r="H246" s="6">
        <v>1050529</v>
      </c>
      <c r="I246" s="5" t="s">
        <v>242</v>
      </c>
      <c r="J246" s="5" t="s">
        <v>242</v>
      </c>
      <c r="K246" s="5" t="s">
        <v>22</v>
      </c>
      <c r="L246" s="13"/>
    </row>
    <row r="247" spans="1:255">
      <c r="A247" s="6">
        <v>9004326</v>
      </c>
      <c r="B247" s="6" t="s">
        <v>1264</v>
      </c>
      <c r="C247" s="6" t="s">
        <v>1265</v>
      </c>
      <c r="D247" s="6" t="s">
        <v>1032</v>
      </c>
      <c r="E247" s="6" t="s">
        <v>1266</v>
      </c>
      <c r="F247" s="5" t="s">
        <v>1267</v>
      </c>
      <c r="G247" s="6" t="s">
        <v>1268</v>
      </c>
      <c r="H247" s="6">
        <v>1050604</v>
      </c>
      <c r="I247" s="5" t="s">
        <v>1258</v>
      </c>
      <c r="J247" s="5" t="s">
        <v>1269</v>
      </c>
      <c r="K247" s="5" t="s">
        <v>22</v>
      </c>
      <c r="L247" s="13"/>
    </row>
    <row r="248" spans="1:255">
      <c r="A248" s="6">
        <v>14277186</v>
      </c>
      <c r="B248" s="76" t="s">
        <v>1270</v>
      </c>
      <c r="C248" s="6" t="s">
        <v>232</v>
      </c>
      <c r="D248" s="17" t="s">
        <v>352</v>
      </c>
      <c r="E248" s="6" t="s">
        <v>1271</v>
      </c>
      <c r="F248" s="5" t="s">
        <v>1272</v>
      </c>
      <c r="G248" s="69" t="s">
        <v>1273</v>
      </c>
      <c r="H248" s="6">
        <v>1050632</v>
      </c>
      <c r="I248" s="17" t="s">
        <v>73</v>
      </c>
      <c r="J248" s="5" t="s">
        <v>513</v>
      </c>
      <c r="K248" s="5" t="s">
        <v>22</v>
      </c>
      <c r="L248" s="13"/>
    </row>
    <row r="249" spans="1:255" s="45" customFormat="1">
      <c r="A249" s="6">
        <v>12896236</v>
      </c>
      <c r="B249" s="5" t="s">
        <v>1274</v>
      </c>
      <c r="C249" s="6" t="s">
        <v>1275</v>
      </c>
      <c r="D249" s="6" t="s">
        <v>33</v>
      </c>
      <c r="E249" s="6" t="s">
        <v>1276</v>
      </c>
      <c r="F249" s="5" t="s">
        <v>1277</v>
      </c>
      <c r="G249" s="5" t="s">
        <v>1278</v>
      </c>
      <c r="H249" s="6">
        <v>1050632</v>
      </c>
      <c r="I249" s="17" t="s">
        <v>73</v>
      </c>
      <c r="J249" s="5" t="s">
        <v>513</v>
      </c>
      <c r="K249" s="5" t="s">
        <v>22</v>
      </c>
      <c r="L249" s="1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s="45" customFormat="1">
      <c r="A250" s="6">
        <v>15391242</v>
      </c>
      <c r="B250" s="5" t="s">
        <v>1279</v>
      </c>
      <c r="C250" s="6" t="s">
        <v>469</v>
      </c>
      <c r="D250" s="6" t="s">
        <v>1280</v>
      </c>
      <c r="E250" s="6" t="s">
        <v>121</v>
      </c>
      <c r="F250" s="5" t="s">
        <v>1281</v>
      </c>
      <c r="G250" s="5" t="s">
        <v>1282</v>
      </c>
      <c r="H250" s="6">
        <v>1050632</v>
      </c>
      <c r="I250" s="17" t="s">
        <v>73</v>
      </c>
      <c r="J250" s="5" t="s">
        <v>513</v>
      </c>
      <c r="K250" s="5" t="s">
        <v>22</v>
      </c>
      <c r="L250" s="1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s="45" customFormat="1">
      <c r="A251" s="6">
        <v>16268829</v>
      </c>
      <c r="B251" s="5" t="s">
        <v>1283</v>
      </c>
      <c r="C251" s="6" t="s">
        <v>634</v>
      </c>
      <c r="D251" s="6" t="s">
        <v>179</v>
      </c>
      <c r="E251" s="6" t="s">
        <v>1284</v>
      </c>
      <c r="F251" s="6" t="s">
        <v>1285</v>
      </c>
      <c r="G251" s="5" t="s">
        <v>1286</v>
      </c>
      <c r="H251" s="6">
        <v>1050610</v>
      </c>
      <c r="I251" s="5" t="s">
        <v>65</v>
      </c>
      <c r="J251" s="5" t="s">
        <v>162</v>
      </c>
      <c r="K251" s="5" t="s">
        <v>22</v>
      </c>
      <c r="L251" s="1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s="45" customFormat="1">
      <c r="A252" s="6">
        <v>5738427</v>
      </c>
      <c r="B252" s="5" t="s">
        <v>1287</v>
      </c>
      <c r="C252" s="6" t="s">
        <v>25</v>
      </c>
      <c r="D252" s="6" t="s">
        <v>852</v>
      </c>
      <c r="E252" s="6" t="s">
        <v>1288</v>
      </c>
      <c r="F252" s="6" t="s">
        <v>1289</v>
      </c>
      <c r="G252" s="5" t="s">
        <v>1290</v>
      </c>
      <c r="H252" s="5">
        <v>1050603</v>
      </c>
      <c r="I252" s="5" t="s">
        <v>300</v>
      </c>
      <c r="J252" s="5" t="s">
        <v>300</v>
      </c>
      <c r="K252" s="5" t="s">
        <v>22</v>
      </c>
      <c r="L252" s="1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s="45" customFormat="1">
      <c r="A253" s="6">
        <v>18364293</v>
      </c>
      <c r="B253" s="5" t="s">
        <v>1291</v>
      </c>
      <c r="C253" s="6" t="s">
        <v>1292</v>
      </c>
      <c r="D253" s="6" t="s">
        <v>184</v>
      </c>
      <c r="E253" s="6" t="s">
        <v>1293</v>
      </c>
      <c r="F253" s="6" t="s">
        <v>1294</v>
      </c>
      <c r="G253" s="6" t="s">
        <v>1295</v>
      </c>
      <c r="H253" s="62">
        <v>1050604</v>
      </c>
      <c r="I253" s="62" t="s">
        <v>1258</v>
      </c>
      <c r="J253" s="62" t="s">
        <v>1338</v>
      </c>
      <c r="K253" s="62" t="s">
        <v>22</v>
      </c>
      <c r="L253" s="1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s="45" customFormat="1">
      <c r="A254" s="6">
        <v>18045411</v>
      </c>
      <c r="B254" s="5" t="s">
        <v>1296</v>
      </c>
      <c r="C254" s="6" t="s">
        <v>83</v>
      </c>
      <c r="D254" s="6" t="s">
        <v>83</v>
      </c>
      <c r="E254" s="6" t="s">
        <v>1297</v>
      </c>
      <c r="F254" s="6" t="s">
        <v>1298</v>
      </c>
      <c r="G254" s="6" t="s">
        <v>1299</v>
      </c>
      <c r="H254" s="62">
        <v>1050604</v>
      </c>
      <c r="I254" s="62" t="s">
        <v>1258</v>
      </c>
      <c r="J254" s="62" t="s">
        <v>1338</v>
      </c>
      <c r="K254" s="62" t="s">
        <v>22</v>
      </c>
      <c r="L254" s="1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s="45" customFormat="1">
      <c r="A255" s="77">
        <v>18187438</v>
      </c>
      <c r="B255" s="62" t="s">
        <v>1300</v>
      </c>
      <c r="C255" s="6" t="s">
        <v>1301</v>
      </c>
      <c r="D255" s="6" t="s">
        <v>1302</v>
      </c>
      <c r="E255" s="6" t="s">
        <v>1303</v>
      </c>
      <c r="F255" s="6" t="s">
        <v>1304</v>
      </c>
      <c r="G255" s="6" t="s">
        <v>1305</v>
      </c>
      <c r="H255" s="62">
        <v>1050604</v>
      </c>
      <c r="I255" s="62" t="s">
        <v>1258</v>
      </c>
      <c r="J255" s="62" t="s">
        <v>1338</v>
      </c>
      <c r="K255" s="62" t="s">
        <v>22</v>
      </c>
      <c r="L255" s="5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s="45" customFormat="1">
      <c r="A256" s="77">
        <v>17546614</v>
      </c>
      <c r="B256" s="62" t="s">
        <v>1306</v>
      </c>
      <c r="C256" s="6" t="s">
        <v>25</v>
      </c>
      <c r="D256" s="5" t="s">
        <v>1339</v>
      </c>
      <c r="E256" s="6" t="s">
        <v>1307</v>
      </c>
      <c r="F256" s="6" t="s">
        <v>1308</v>
      </c>
      <c r="G256" s="6" t="s">
        <v>1309</v>
      </c>
      <c r="H256" s="62">
        <v>1050633</v>
      </c>
      <c r="I256" s="62" t="s">
        <v>29</v>
      </c>
      <c r="J256" s="62" t="s">
        <v>1340</v>
      </c>
      <c r="K256" s="62" t="s">
        <v>22</v>
      </c>
      <c r="L256" s="5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s="45" customFormat="1">
      <c r="A257" s="77">
        <v>14005685</v>
      </c>
      <c r="B257" s="62" t="s">
        <v>1377</v>
      </c>
      <c r="C257" s="6" t="s">
        <v>687</v>
      </c>
      <c r="D257" s="6" t="s">
        <v>1310</v>
      </c>
      <c r="E257" s="6" t="s">
        <v>1311</v>
      </c>
      <c r="F257" s="6" t="s">
        <v>1312</v>
      </c>
      <c r="G257" s="6" t="s">
        <v>1313</v>
      </c>
      <c r="H257" s="62">
        <v>1050633</v>
      </c>
      <c r="I257" s="62" t="s">
        <v>29</v>
      </c>
      <c r="J257" s="62" t="s">
        <v>1340</v>
      </c>
      <c r="K257" s="62" t="s">
        <v>22</v>
      </c>
      <c r="L257" s="5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s="45" customFormat="1">
      <c r="A258" s="77">
        <v>23040236</v>
      </c>
      <c r="B258" s="62" t="s">
        <v>1341</v>
      </c>
      <c r="C258" s="5" t="s">
        <v>785</v>
      </c>
      <c r="D258" s="5" t="s">
        <v>791</v>
      </c>
      <c r="E258" s="5" t="s">
        <v>1314</v>
      </c>
      <c r="F258" s="5" t="s">
        <v>1315</v>
      </c>
      <c r="G258" s="5" t="s">
        <v>1316</v>
      </c>
      <c r="H258" s="62">
        <v>1050506</v>
      </c>
      <c r="I258" s="62" t="s">
        <v>29</v>
      </c>
      <c r="J258" s="62" t="s">
        <v>1340</v>
      </c>
      <c r="K258" s="62" t="s">
        <v>22</v>
      </c>
      <c r="L258" s="5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s="45" customFormat="1">
      <c r="A259" s="77">
        <v>11267622</v>
      </c>
      <c r="B259" s="77" t="s">
        <v>1342</v>
      </c>
      <c r="C259" s="6" t="s">
        <v>606</v>
      </c>
      <c r="D259" s="6" t="s">
        <v>894</v>
      </c>
      <c r="E259" s="6" t="s">
        <v>1343</v>
      </c>
      <c r="F259" s="6" t="s">
        <v>1344</v>
      </c>
      <c r="G259" s="6" t="s">
        <v>1345</v>
      </c>
      <c r="H259" s="62">
        <v>1050633</v>
      </c>
      <c r="I259" s="62" t="s">
        <v>29</v>
      </c>
      <c r="J259" s="62" t="s">
        <v>1340</v>
      </c>
      <c r="K259" s="62" t="s">
        <v>22</v>
      </c>
      <c r="L259" s="5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s="45" customFormat="1">
      <c r="A260" s="62">
        <v>16558908</v>
      </c>
      <c r="B260" s="62" t="s">
        <v>1346</v>
      </c>
      <c r="C260" s="6" t="s">
        <v>1347</v>
      </c>
      <c r="D260" s="6" t="s">
        <v>33</v>
      </c>
      <c r="E260" s="6" t="s">
        <v>415</v>
      </c>
      <c r="F260" s="6" t="s">
        <v>1348</v>
      </c>
      <c r="G260" s="6" t="s">
        <v>1349</v>
      </c>
      <c r="H260" s="62">
        <v>1050529</v>
      </c>
      <c r="I260" s="62" t="s">
        <v>242</v>
      </c>
      <c r="J260" s="62" t="s">
        <v>242</v>
      </c>
      <c r="K260" s="62" t="s">
        <v>22</v>
      </c>
      <c r="L260" s="21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>
      <c r="A261" s="62">
        <v>17926694</v>
      </c>
      <c r="B261" s="62" t="s">
        <v>1378</v>
      </c>
      <c r="C261" s="5" t="s">
        <v>1379</v>
      </c>
      <c r="D261" s="5" t="s">
        <v>1155</v>
      </c>
      <c r="E261" s="5" t="s">
        <v>1380</v>
      </c>
      <c r="F261" s="5" t="s">
        <v>1381</v>
      </c>
      <c r="G261" s="5" t="s">
        <v>1382</v>
      </c>
      <c r="H261" s="5">
        <v>1050581</v>
      </c>
      <c r="I261" s="5" t="s">
        <v>29</v>
      </c>
      <c r="J261" s="5" t="s">
        <v>272</v>
      </c>
      <c r="K261" s="5" t="s">
        <v>22</v>
      </c>
      <c r="L261" s="46"/>
    </row>
    <row r="262" spans="1:255">
      <c r="A262" s="62">
        <v>16478330</v>
      </c>
      <c r="B262" s="62" t="s">
        <v>1383</v>
      </c>
      <c r="C262" s="5" t="s">
        <v>68</v>
      </c>
      <c r="D262" s="5" t="s">
        <v>1384</v>
      </c>
      <c r="E262" s="5" t="s">
        <v>656</v>
      </c>
      <c r="F262" s="5" t="s">
        <v>1385</v>
      </c>
      <c r="G262" s="5" t="s">
        <v>1386</v>
      </c>
      <c r="H262" s="5">
        <v>1050126</v>
      </c>
      <c r="I262" s="5" t="s">
        <v>29</v>
      </c>
      <c r="J262" s="5" t="s">
        <v>272</v>
      </c>
      <c r="K262" s="75" t="s">
        <v>22</v>
      </c>
      <c r="L262" s="4"/>
    </row>
    <row r="263" spans="1:255">
      <c r="A263" s="62">
        <v>15446103</v>
      </c>
      <c r="B263" s="62" t="s">
        <v>1388</v>
      </c>
      <c r="C263" s="62" t="s">
        <v>1389</v>
      </c>
      <c r="D263" s="62" t="s">
        <v>1390</v>
      </c>
      <c r="E263" s="62" t="s">
        <v>1391</v>
      </c>
      <c r="F263" s="6" t="s">
        <v>1392</v>
      </c>
      <c r="G263" s="5"/>
      <c r="H263" s="5">
        <v>1050507</v>
      </c>
      <c r="I263" s="5" t="s">
        <v>1393</v>
      </c>
      <c r="J263" s="5" t="s">
        <v>272</v>
      </c>
      <c r="K263" s="5" t="s">
        <v>22</v>
      </c>
      <c r="L263" s="46"/>
    </row>
    <row r="264" spans="1:255">
      <c r="A264" s="62">
        <v>17849530</v>
      </c>
      <c r="B264" s="62" t="s">
        <v>1394</v>
      </c>
      <c r="C264" s="62" t="s">
        <v>1395</v>
      </c>
      <c r="D264" s="62" t="s">
        <v>191</v>
      </c>
      <c r="E264" s="62" t="s">
        <v>18</v>
      </c>
      <c r="F264" s="6" t="s">
        <v>1396</v>
      </c>
      <c r="G264" s="5"/>
      <c r="H264" s="5">
        <v>1050633</v>
      </c>
      <c r="I264" s="62" t="s">
        <v>1340</v>
      </c>
      <c r="J264" s="5" t="s">
        <v>272</v>
      </c>
      <c r="K264" s="75" t="s">
        <v>22</v>
      </c>
      <c r="L264" s="4"/>
    </row>
    <row r="265" spans="1:255">
      <c r="A265" s="62">
        <v>15718343</v>
      </c>
      <c r="B265" s="62" t="s">
        <v>1397</v>
      </c>
      <c r="C265" s="62" t="s">
        <v>1398</v>
      </c>
      <c r="D265" s="62" t="s">
        <v>191</v>
      </c>
      <c r="E265" s="62" t="s">
        <v>1399</v>
      </c>
      <c r="F265" s="6" t="s">
        <v>1400</v>
      </c>
      <c r="G265" s="5"/>
      <c r="H265" s="5">
        <v>1050633</v>
      </c>
      <c r="I265" s="62" t="s">
        <v>1340</v>
      </c>
      <c r="J265" s="5" t="s">
        <v>272</v>
      </c>
      <c r="K265" s="5" t="s">
        <v>22</v>
      </c>
      <c r="L265" s="46"/>
    </row>
    <row r="266" spans="1:255">
      <c r="A266" s="62">
        <v>16724323</v>
      </c>
      <c r="B266" s="62" t="s">
        <v>1401</v>
      </c>
      <c r="C266" s="62" t="s">
        <v>1402</v>
      </c>
      <c r="D266" s="62" t="s">
        <v>208</v>
      </c>
      <c r="E266" s="62" t="s">
        <v>1403</v>
      </c>
      <c r="F266" s="6" t="s">
        <v>1404</v>
      </c>
      <c r="G266" s="5"/>
      <c r="H266" s="5">
        <v>1050127</v>
      </c>
      <c r="I266" s="62" t="s">
        <v>1340</v>
      </c>
      <c r="J266" s="5" t="s">
        <v>272</v>
      </c>
      <c r="K266" s="5" t="s">
        <v>22</v>
      </c>
      <c r="L266" s="4"/>
    </row>
    <row r="267" spans="1:255">
      <c r="A267" s="82">
        <v>17669014</v>
      </c>
      <c r="B267" s="5" t="s">
        <v>1431</v>
      </c>
      <c r="C267" s="5" t="s">
        <v>1432</v>
      </c>
      <c r="D267" s="5"/>
      <c r="E267" s="5" t="s">
        <v>1433</v>
      </c>
      <c r="F267" s="5" t="s">
        <v>1434</v>
      </c>
      <c r="G267" s="5" t="s">
        <v>1435</v>
      </c>
      <c r="H267" s="5">
        <v>1050529</v>
      </c>
      <c r="I267" s="62" t="s">
        <v>242</v>
      </c>
      <c r="J267" s="62" t="s">
        <v>242</v>
      </c>
      <c r="K267" s="5" t="s">
        <v>22</v>
      </c>
    </row>
  </sheetData>
  <autoFilter ref="A1:L262">
    <filterColumn colId="1"/>
    <filterColumn colId="2"/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XFD1048576"/>
  <sheetViews>
    <sheetView tabSelected="1" topLeftCell="I1" zoomScale="85" zoomScaleNormal="85" workbookViewId="0">
      <pane ySplit="10" topLeftCell="A14" activePane="bottomLeft" state="frozen"/>
      <selection activeCell="I1" sqref="I1"/>
      <selection pane="bottomLeft" activeCell="P4" sqref="P4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style="44" customWidth="1"/>
    <col min="12" max="12" width="40.7109375" customWidth="1"/>
    <col min="13" max="14" width="15.7109375" customWidth="1"/>
    <col min="15" max="15" width="19" customWidth="1"/>
    <col min="16" max="16" width="15.7109375" customWidth="1"/>
    <col min="17" max="18" width="7.85546875" customWidth="1"/>
    <col min="19" max="19" width="8" customWidth="1"/>
    <col min="20" max="30" width="7.85546875" customWidth="1"/>
    <col min="33" max="33" width="43.5703125" bestFit="1" customWidth="1"/>
    <col min="37" max="37" width="12.28515625" bestFit="1" customWidth="1"/>
    <col min="38" max="38" width="9.7109375" customWidth="1"/>
    <col min="39" max="39" width="5.5703125" customWidth="1"/>
    <col min="40" max="47" width="4.140625" customWidth="1"/>
    <col min="48" max="48" width="2.28515625" customWidth="1"/>
    <col min="49" max="55" width="4.85546875" customWidth="1"/>
    <col min="57" max="57" width="2.7109375" customWidth="1"/>
  </cols>
  <sheetData>
    <row r="3" spans="1:55" ht="18.75">
      <c r="A3" s="19" t="s">
        <v>1317</v>
      </c>
      <c r="B3" s="19" t="s">
        <v>11</v>
      </c>
      <c r="C3" s="19" t="s">
        <v>1318</v>
      </c>
      <c r="D3" s="19" t="s">
        <v>1319</v>
      </c>
      <c r="E3" s="19" t="s">
        <v>1320</v>
      </c>
      <c r="H3" s="20" t="s">
        <v>4</v>
      </c>
      <c r="K3" s="83" t="s">
        <v>1322</v>
      </c>
      <c r="L3" s="56">
        <v>26</v>
      </c>
    </row>
    <row r="4" spans="1:55" ht="18.75">
      <c r="A4" s="21" t="str">
        <f>IF(Base!B2="","",Base!B2)</f>
        <v>06.434.911-2</v>
      </c>
      <c r="B4" s="21" t="str">
        <f>IF(Base!F2="","",Base!F2)</f>
        <v>EDUARDO   ABARCA  JARA</v>
      </c>
      <c r="C4" s="21" t="str">
        <f>IF(Base!I2="","",Base!I2)</f>
        <v>Linea 2</v>
      </c>
      <c r="D4" s="22" t="str">
        <f>IF(Base!J2="","",Base!J2)</f>
        <v>Despalletizador</v>
      </c>
      <c r="E4" s="21">
        <f>IF(Base!H2="","",Base!H2)</f>
        <v>1050553</v>
      </c>
      <c r="H4" s="20" t="s">
        <v>1321</v>
      </c>
      <c r="K4" s="83" t="s">
        <v>1363</v>
      </c>
      <c r="L4" s="56" t="s">
        <v>1371</v>
      </c>
      <c r="AG4" s="43" t="s">
        <v>1352</v>
      </c>
    </row>
    <row r="5" spans="1:55" ht="18.75">
      <c r="A5" s="21" t="str">
        <f>IF(Base!B3="","",Base!B3)</f>
        <v>08.224.093-4</v>
      </c>
      <c r="B5" s="21" t="str">
        <f>IF(Base!F3="","",Base!F3)</f>
        <v>MARIO DEL TRANSITO  ACEVEDO  MARTINEZ</v>
      </c>
      <c r="C5" s="21" t="str">
        <f>IF(Base!I3="","",Base!I3)</f>
        <v>Abastecimiento</v>
      </c>
      <c r="D5" s="22" t="str">
        <f>IF(Base!J3="","",Base!J3)</f>
        <v>Control Ingresos Cen</v>
      </c>
      <c r="E5" s="21">
        <f>IF(Base!H3="","",Base!H3)</f>
        <v>1050126</v>
      </c>
      <c r="H5" s="20" t="s">
        <v>1323</v>
      </c>
      <c r="K5" s="83" t="s">
        <v>1324</v>
      </c>
      <c r="L5" s="57">
        <v>2011</v>
      </c>
      <c r="Q5" s="54"/>
      <c r="AG5" s="43" t="s">
        <v>1353</v>
      </c>
    </row>
    <row r="6" spans="1:55">
      <c r="A6" s="21" t="str">
        <f>IF(Base!B4="","",Base!B4)</f>
        <v>12.677.439-7</v>
      </c>
      <c r="B6" s="21" t="str">
        <f>IF(Base!F4="","",Base!F4)</f>
        <v>ANDRES RAUL  AEDO  MUÑOZ</v>
      </c>
      <c r="C6" s="21" t="str">
        <f>IF(Base!I4="","",Base!I4)</f>
        <v>Abastecimiento</v>
      </c>
      <c r="D6" s="22" t="str">
        <f>IF(Base!J4="","",Base!J4)</f>
        <v>Preparación de Insum</v>
      </c>
      <c r="E6" s="21">
        <f>IF(Base!H4="","",Base!H4)</f>
        <v>1050127</v>
      </c>
      <c r="H6" s="20" t="s">
        <v>1337</v>
      </c>
    </row>
    <row r="7" spans="1:55">
      <c r="A7" s="21" t="str">
        <f>IF(Base!B5="","",Base!B5)</f>
        <v>08.809.784-K</v>
      </c>
      <c r="B7" s="21" t="str">
        <f>IF(Base!F5="","",Base!F5)</f>
        <v>CARLOS ANTONIO  AGUILERA  LABRIN</v>
      </c>
      <c r="C7" s="21" t="str">
        <f>IF(Base!I5="","",Base!I5)</f>
        <v>Sala filtros</v>
      </c>
      <c r="D7" s="22" t="str">
        <f>IF(Base!J5="","",Base!J5)</f>
        <v>Operador sala de filtros</v>
      </c>
      <c r="E7" s="21">
        <f>IF(Base!H5="","",Base!H5)</f>
        <v>1050574</v>
      </c>
      <c r="H7" s="20" t="s">
        <v>1364</v>
      </c>
      <c r="AP7" s="43"/>
      <c r="AY7" s="43" t="s">
        <v>1354</v>
      </c>
    </row>
    <row r="8" spans="1:55" ht="14.25">
      <c r="A8" s="21" t="str">
        <f>IF(Base!B6="","",Base!B6)</f>
        <v>16.191.666-8</v>
      </c>
      <c r="B8" s="21" t="str">
        <f>IF(Base!F6="","",Base!F6)</f>
        <v>KAREN FABIOLA  ALARCON  SILVA</v>
      </c>
      <c r="C8" s="21" t="str">
        <f>IF(Base!I6="","",Base!I6)</f>
        <v>Abastecimiento</v>
      </c>
      <c r="D8" s="22" t="str">
        <f>IF(Base!J6="","",Base!J6)</f>
        <v>Reimpresión</v>
      </c>
      <c r="E8" s="21">
        <f>IF(Base!H6="","",Base!H6)</f>
        <v>1050506</v>
      </c>
      <c r="Q8" s="107" t="s">
        <v>1436</v>
      </c>
      <c r="R8" s="109"/>
      <c r="S8" s="107" t="str">
        <f>(TEXT(LEFT(Q8,2)+1,"dd")&amp;"."&amp;IF((LEFT(Q8,2)+1)=32,TEXT(MID(Q8,4,2)+1,"dd"),MID(Q8,4,2))&amp;"."&amp;RIGHT(Q8,4))</f>
        <v>28.06.2011</v>
      </c>
      <c r="T8" s="108"/>
      <c r="U8" s="107" t="str">
        <f>(TEXT(LEFT(S8,2)+1,"dd")&amp;"."&amp;IF((LEFT(S8,2)+1)=32,TEXT(MID(S8,4,2)+1,"dd"),MID(S8,4,2))&amp;"."&amp;RIGHT(S8,4))</f>
        <v>29.06.2011</v>
      </c>
      <c r="V8" s="108"/>
      <c r="W8" s="107" t="str">
        <f>(TEXT(LEFT(U8,2)+1,"dd")&amp;"."&amp;IF((LEFT(U8,2)+1)=32,TEXT(MID(U8,4,2)+1,"dd"),MID(U8,4,2))&amp;"."&amp;RIGHT(U8,4))</f>
        <v>30.06.2011</v>
      </c>
      <c r="X8" s="108"/>
      <c r="Y8" s="107" t="str">
        <f>(TEXT(LEFT(W8,2)+1,"dd")&amp;"."&amp;IF((LEFT(W8,2)+1)=32,TEXT(MID(W8,4,2)+1,"dd"),MID(W8,4,2))&amp;"."&amp;RIGHT(W8,4))</f>
        <v>31.06.2011</v>
      </c>
      <c r="Z8" s="108"/>
      <c r="AA8" s="107" t="str">
        <f>(TEXT(LEFT(Y8,2)+1,"dd")&amp;"."&amp;IF((LEFT(Y8,2)+1)=32,TEXT(MID(Y8,4,2)+1,"dd"),MID(Y8,4,2))&amp;"."&amp;RIGHT(Y8,4))</f>
        <v>01.07.2011</v>
      </c>
      <c r="AB8" s="108"/>
      <c r="AC8" s="107" t="str">
        <f>(TEXT(LEFT(AA8,2)+1,"dd")&amp;"."&amp;IF((LEFT(AA8,2)+1)=32,TEXT(MID(AA8,4,2)+1,"dd"),MID(AA8,4,2))&amp;"."&amp;RIGHT(AA8,4))</f>
        <v>02.07.2011</v>
      </c>
      <c r="AD8" s="108"/>
    </row>
    <row r="9" spans="1:55" ht="14.25">
      <c r="A9" s="21" t="str">
        <f>IF(Base!B7="","",Base!B7)</f>
        <v>07.760.886-9</v>
      </c>
      <c r="B9" s="21" t="str">
        <f>IF(Base!F7="","",Base!F7)</f>
        <v>OSCAR ALFREDO  ALBORNOZ  ROA</v>
      </c>
      <c r="C9" s="21" t="str">
        <f>IF(Base!I7="","",Base!I7)</f>
        <v>Abastecimiento</v>
      </c>
      <c r="D9" s="22" t="str">
        <f>IF(Base!J7="","",Base!J7)</f>
        <v>Preparación de Insum</v>
      </c>
      <c r="E9" s="21">
        <f>IF(Base!H7="","",Base!H7)</f>
        <v>1050127</v>
      </c>
      <c r="J9" s="23"/>
      <c r="K9" s="84"/>
      <c r="L9" s="23"/>
      <c r="M9" s="24"/>
      <c r="N9" s="24"/>
      <c r="O9" s="24"/>
      <c r="P9" s="24"/>
      <c r="Q9" s="107" t="s">
        <v>1356</v>
      </c>
      <c r="R9" s="109"/>
      <c r="S9" s="107" t="s">
        <v>1357</v>
      </c>
      <c r="T9" s="109"/>
      <c r="U9" s="107" t="s">
        <v>1358</v>
      </c>
      <c r="V9" s="109"/>
      <c r="W9" s="107" t="s">
        <v>1359</v>
      </c>
      <c r="X9" s="109"/>
      <c r="Y9" s="107" t="s">
        <v>1360</v>
      </c>
      <c r="Z9" s="109"/>
      <c r="AA9" s="107" t="s">
        <v>1361</v>
      </c>
      <c r="AB9" s="109"/>
      <c r="AC9" s="107" t="s">
        <v>1362</v>
      </c>
      <c r="AD9" s="109"/>
      <c r="AE9" s="103"/>
      <c r="AF9" s="104"/>
      <c r="AG9" s="105" t="s">
        <v>3</v>
      </c>
      <c r="AR9" s="41"/>
      <c r="AS9" s="41"/>
      <c r="AT9" s="41"/>
      <c r="AU9" s="41"/>
      <c r="AV9" s="41"/>
    </row>
    <row r="10" spans="1:55" ht="14.25">
      <c r="A10" s="21" t="str">
        <f>IF(Base!B8="","",Base!B8)</f>
        <v>13.838.747-K</v>
      </c>
      <c r="B10" s="21" t="str">
        <f>IF(Base!F8="","",Base!F8)</f>
        <v>MAURICIO  ALLENDES  VARGAS</v>
      </c>
      <c r="C10" s="21" t="str">
        <f>IF(Base!I8="","",Base!I8)</f>
        <v>Linea 6</v>
      </c>
      <c r="D10" s="22" t="str">
        <f>IF(Base!J8="","",Base!J8)</f>
        <v>Embalador</v>
      </c>
      <c r="E10" s="21">
        <f>IF(Base!H8="","",Base!H8)</f>
        <v>1050610</v>
      </c>
      <c r="H10" s="20" t="s">
        <v>1366</v>
      </c>
      <c r="J10" s="25" t="s">
        <v>1325</v>
      </c>
      <c r="K10" s="25" t="s">
        <v>1317</v>
      </c>
      <c r="L10" s="25" t="s">
        <v>1326</v>
      </c>
      <c r="M10" s="26" t="s">
        <v>1327</v>
      </c>
      <c r="N10" s="26" t="s">
        <v>1328</v>
      </c>
      <c r="O10" s="26" t="s">
        <v>1329</v>
      </c>
      <c r="P10" s="26" t="s">
        <v>0</v>
      </c>
      <c r="Q10" s="27">
        <v>0.5</v>
      </c>
      <c r="R10" s="27">
        <v>1</v>
      </c>
      <c r="S10" s="27">
        <v>0.5</v>
      </c>
      <c r="T10" s="27">
        <v>1</v>
      </c>
      <c r="U10" s="27">
        <v>0.5</v>
      </c>
      <c r="V10" s="27">
        <v>1</v>
      </c>
      <c r="W10" s="27">
        <v>0.5</v>
      </c>
      <c r="X10" s="27">
        <v>1</v>
      </c>
      <c r="Y10" s="27">
        <v>0.5</v>
      </c>
      <c r="Z10" s="27">
        <v>1</v>
      </c>
      <c r="AA10" s="27">
        <v>0.5</v>
      </c>
      <c r="AB10" s="27">
        <v>1</v>
      </c>
      <c r="AC10" s="27">
        <v>0.5</v>
      </c>
      <c r="AD10" s="27">
        <v>1</v>
      </c>
      <c r="AE10" s="27">
        <v>0.5</v>
      </c>
      <c r="AF10" s="27">
        <v>1</v>
      </c>
      <c r="AG10" s="106"/>
      <c r="AN10" s="42" t="str">
        <f>Q8</f>
        <v>27.06.2011</v>
      </c>
      <c r="AO10" s="42" t="str">
        <f>S8</f>
        <v>28.06.2011</v>
      </c>
      <c r="AP10" s="42" t="str">
        <f>U8</f>
        <v>29.06.2011</v>
      </c>
      <c r="AQ10" s="42" t="str">
        <f>W8</f>
        <v>30.06.2011</v>
      </c>
      <c r="AR10" s="42" t="str">
        <f>Y8</f>
        <v>31.06.2011</v>
      </c>
      <c r="AS10" s="42" t="str">
        <f>AA8</f>
        <v>01.07.2011</v>
      </c>
      <c r="AT10" s="42" t="str">
        <f>AC8</f>
        <v>02.07.2011</v>
      </c>
      <c r="AU10" s="27" t="s">
        <v>1330</v>
      </c>
      <c r="AW10" s="42" t="str">
        <f>AN10</f>
        <v>27.06.2011</v>
      </c>
      <c r="AX10" s="42" t="str">
        <f t="shared" ref="AX10:BC10" si="0">AO10</f>
        <v>28.06.2011</v>
      </c>
      <c r="AY10" s="42" t="str">
        <f t="shared" si="0"/>
        <v>29.06.2011</v>
      </c>
      <c r="AZ10" s="42" t="str">
        <f t="shared" si="0"/>
        <v>30.06.2011</v>
      </c>
      <c r="BA10" s="42" t="str">
        <f t="shared" si="0"/>
        <v>31.06.2011</v>
      </c>
      <c r="BB10" s="42" t="str">
        <f t="shared" si="0"/>
        <v>01.07.2011</v>
      </c>
      <c r="BC10" s="42" t="str">
        <f t="shared" si="0"/>
        <v>02.07.2011</v>
      </c>
    </row>
    <row r="11" spans="1:55" ht="15.75">
      <c r="A11" s="21" t="str">
        <f>IF(Base!B9="","",Base!B9)</f>
        <v>22.637.242-3</v>
      </c>
      <c r="B11" s="21" t="str">
        <f>IF(Base!F9="","",Base!F9)</f>
        <v>MARISOL  ALVAREZ  CONTRERAS</v>
      </c>
      <c r="C11" s="21" t="str">
        <f>IF(Base!I9="","",Base!I9)</f>
        <v>Control y Gestión</v>
      </c>
      <c r="D11" s="22" t="str">
        <f>IF(Base!J9="","",Base!J9)</f>
        <v>Analista  control</v>
      </c>
      <c r="E11" s="21">
        <f>IF(Base!H9="","",Base!H9)</f>
        <v>1050632</v>
      </c>
      <c r="H11" s="20" t="s">
        <v>1367</v>
      </c>
      <c r="J11" s="28">
        <v>1</v>
      </c>
      <c r="K11" s="5" t="s">
        <v>1230</v>
      </c>
      <c r="L11" s="58" t="str">
        <f>IF(K11="","",VLOOKUP($K11,A:D,2,FALSE))</f>
        <v>ELVIO  VALDENEGRO  GARRIDO</v>
      </c>
      <c r="M11" s="58">
        <f>IF(K11="","",VLOOKUP(K11,A:E,5,FALSE))</f>
        <v>1050529</v>
      </c>
      <c r="N11" s="59" t="str">
        <f>IF(K11="","",VLOOKUP(K11,A:C,3,FALSE))</f>
        <v xml:space="preserve">Setup </v>
      </c>
      <c r="O11" s="59" t="str">
        <f>IF(K11="","",VLOOKUP(K11,A:D,4,FALSE))</f>
        <v xml:space="preserve">Setup </v>
      </c>
      <c r="P11" s="30" t="s">
        <v>1323</v>
      </c>
      <c r="Q11" s="81"/>
      <c r="R11" s="81"/>
      <c r="S11" s="81"/>
      <c r="T11" s="81"/>
      <c r="U11" s="81"/>
      <c r="V11" s="81"/>
      <c r="W11" s="81">
        <v>3</v>
      </c>
      <c r="X11" s="81"/>
      <c r="Y11" s="81">
        <v>3</v>
      </c>
      <c r="Z11" s="81"/>
      <c r="AA11" s="81">
        <v>11</v>
      </c>
      <c r="AB11" s="81"/>
      <c r="AC11" s="31"/>
      <c r="AD11" s="31"/>
      <c r="AE11" s="32">
        <f>SUM(Q11,S11,U11,W11,Y11,AA11,AC11)</f>
        <v>17</v>
      </c>
      <c r="AF11" s="32">
        <f>SUM(R11,T11,V11,X11,Z11,AB11,AD11)</f>
        <v>0</v>
      </c>
      <c r="AG11" s="33"/>
      <c r="AL11" s="21" t="str">
        <f>IF(K11="","",K11)</f>
        <v>10.849.486-7</v>
      </c>
      <c r="AM11" s="21">
        <v>2</v>
      </c>
      <c r="AN11" s="21">
        <f>Q11+R11</f>
        <v>0</v>
      </c>
      <c r="AO11" s="21">
        <f>S11+T11</f>
        <v>0</v>
      </c>
      <c r="AP11" s="21">
        <f>U11+V11</f>
        <v>0</v>
      </c>
      <c r="AQ11" s="21">
        <f>W11+X11</f>
        <v>3</v>
      </c>
      <c r="AR11" s="21">
        <f>Y11+Z11</f>
        <v>3</v>
      </c>
      <c r="AS11" s="21">
        <f>AA11+AB11</f>
        <v>11</v>
      </c>
      <c r="AT11" s="21">
        <f>AC11+AD11</f>
        <v>0</v>
      </c>
      <c r="AU11" s="34">
        <f>IF(SUM(AN11:AT11)=0,0,SUM(AN11:AT11))</f>
        <v>17</v>
      </c>
      <c r="AW11" s="21" t="str">
        <f>IF(Q11&lt;&gt;"",0.5,IF(R11&lt;&gt;"",1,""))</f>
        <v/>
      </c>
      <c r="AX11" s="21" t="str">
        <f>IF(S11&lt;&gt;"",0.5,IF(T11&lt;&gt;"",1,""))</f>
        <v/>
      </c>
      <c r="AY11" s="21" t="str">
        <f>IF(U11&lt;&gt;"",0.5,IF(V11&lt;&gt;"",1,""))</f>
        <v/>
      </c>
      <c r="AZ11" s="21">
        <f>IF(W11&lt;&gt;"",0.5,IF(X11&lt;&gt;"",1,""))</f>
        <v>0.5</v>
      </c>
      <c r="BA11" s="21">
        <f>IF(Y11&lt;&gt;"",0.5,IF(Z11&lt;&gt;"",1,""))</f>
        <v>0.5</v>
      </c>
      <c r="BB11" s="21">
        <f>IF(AA11&lt;&gt;"",0.5,IF(AB11&lt;&gt;"",1,""))</f>
        <v>0.5</v>
      </c>
      <c r="BC11" s="21" t="str">
        <f>IF(AC11&lt;&gt;"",0.5,IF(AD11&lt;&gt;"",1,""))</f>
        <v/>
      </c>
    </row>
    <row r="12" spans="1:55" ht="15.75">
      <c r="A12" s="21" t="str">
        <f>IF(Base!B10="","",Base!B10)</f>
        <v>17.609.782-5</v>
      </c>
      <c r="B12" s="21" t="str">
        <f>IF(Base!F10="","",Base!F10)</f>
        <v>CRISTIAN DANIEL  ALVAREZ  REYES</v>
      </c>
      <c r="C12" s="21" t="str">
        <f>IF(Base!I10="","",Base!I10)</f>
        <v>Abastecimiento</v>
      </c>
      <c r="D12" s="22" t="str">
        <f>IF(Base!J10="","",Base!J10)</f>
        <v>Almacen Envases Pirq</v>
      </c>
      <c r="E12" s="21">
        <f>IF(Base!H10="","",Base!H10)</f>
        <v>1050162</v>
      </c>
      <c r="H12" s="20" t="s">
        <v>1368</v>
      </c>
      <c r="J12" s="28">
        <v>2</v>
      </c>
      <c r="K12" s="5" t="s">
        <v>1169</v>
      </c>
      <c r="L12" s="58" t="str">
        <f t="shared" ref="L12:L75" si="1">IF(K12="","",VLOOKUP($K12,A:D,2,FALSE))</f>
        <v>ANA MARITZA  JORQUERA  DURAN</v>
      </c>
      <c r="M12" s="58">
        <f t="shared" ref="M12:M75" si="2">IF(K12="","",VLOOKUP(K12,A:E,5,FALSE))</f>
        <v>1050529</v>
      </c>
      <c r="N12" s="59" t="str">
        <f t="shared" ref="N12:N75" si="3">IF(K12="","",VLOOKUP(K12,A:C,3,FALSE))</f>
        <v xml:space="preserve">Setup </v>
      </c>
      <c r="O12" s="59" t="str">
        <f t="shared" ref="O12:O75" si="4">IF(K12="","",VLOOKUP(K12,A:D,4,FALSE))</f>
        <v xml:space="preserve">Setup </v>
      </c>
      <c r="P12" s="30" t="s">
        <v>1323</v>
      </c>
      <c r="Q12" s="81"/>
      <c r="R12" s="81"/>
      <c r="S12" s="81"/>
      <c r="T12" s="81"/>
      <c r="U12" s="81"/>
      <c r="V12" s="81"/>
      <c r="W12" s="81"/>
      <c r="X12" s="81"/>
      <c r="Y12" s="81">
        <v>3</v>
      </c>
      <c r="Z12" s="81"/>
      <c r="AA12" s="81">
        <v>3</v>
      </c>
      <c r="AB12" s="81"/>
      <c r="AC12" s="35"/>
      <c r="AD12" s="35"/>
      <c r="AE12" s="32">
        <f t="shared" ref="AE12:AE20" si="5">SUM(Q12,S12,U12,W12,Y12,AA12,AC12)</f>
        <v>6</v>
      </c>
      <c r="AF12" s="32">
        <f t="shared" ref="AF12:AF20" si="6">SUM(R12,T12,V12,X12,Z12,AB12,AD12)</f>
        <v>0</v>
      </c>
      <c r="AG12" s="33"/>
      <c r="AL12" s="21" t="str">
        <f>IF(K12="","",K12)</f>
        <v>07.815.068-8</v>
      </c>
      <c r="AM12" s="21">
        <v>3</v>
      </c>
      <c r="AN12" s="21">
        <f t="shared" ref="AN12:AN75" si="7">Q12+R12</f>
        <v>0</v>
      </c>
      <c r="AO12" s="21">
        <f t="shared" ref="AO12:AO75" si="8">S12+T12</f>
        <v>0</v>
      </c>
      <c r="AP12" s="21">
        <f t="shared" ref="AP12:AP75" si="9">U12+V12</f>
        <v>0</v>
      </c>
      <c r="AQ12" s="21">
        <f t="shared" ref="AQ12:AQ75" si="10">W12+X12</f>
        <v>0</v>
      </c>
      <c r="AR12" s="21">
        <f t="shared" ref="AR12:AR75" si="11">Y12+Z12</f>
        <v>3</v>
      </c>
      <c r="AS12" s="21">
        <f t="shared" ref="AS12:AS75" si="12">AA12+AB12</f>
        <v>3</v>
      </c>
      <c r="AT12" s="21">
        <f t="shared" ref="AT12:AT75" si="13">AC12+AD12</f>
        <v>0</v>
      </c>
      <c r="AU12" s="34">
        <f t="shared" ref="AU12:AU75" si="14">IF(SUM(AN12:AT12)=0,0,SUM(AN12:AT12))</f>
        <v>6</v>
      </c>
      <c r="AW12" s="21" t="str">
        <f t="shared" ref="AW12:AW75" si="15">IF(Q12&lt;&gt;"",0.5,IF(R12&lt;&gt;"",1,""))</f>
        <v/>
      </c>
      <c r="AX12" s="21" t="str">
        <f t="shared" ref="AX12:AX75" si="16">IF(S12&lt;&gt;"",0.5,IF(T12&lt;&gt;"",1,""))</f>
        <v/>
      </c>
      <c r="AY12" s="21" t="str">
        <f t="shared" ref="AY12:AY75" si="17">IF(U12&lt;&gt;"",0.5,IF(V12&lt;&gt;"",1,""))</f>
        <v/>
      </c>
      <c r="AZ12" s="21" t="str">
        <f t="shared" ref="AZ12:AZ75" si="18">IF(W12&lt;&gt;"",0.5,IF(X12&lt;&gt;"",1,""))</f>
        <v/>
      </c>
      <c r="BA12" s="21">
        <f t="shared" ref="BA12:BA75" si="19">IF(Y12&lt;&gt;"",0.5,IF(Z12&lt;&gt;"",1,""))</f>
        <v>0.5</v>
      </c>
      <c r="BB12" s="21">
        <f t="shared" ref="BB12:BB75" si="20">IF(AA12&lt;&gt;"",0.5,IF(AB12&lt;&gt;"",1,""))</f>
        <v>0.5</v>
      </c>
      <c r="BC12" s="21" t="str">
        <f t="shared" ref="BC12:BC75" si="21">IF(AC12&lt;&gt;"",0.5,IF(AD12&lt;&gt;"",1,""))</f>
        <v/>
      </c>
    </row>
    <row r="13" spans="1:55" ht="15.75">
      <c r="A13" s="21" t="str">
        <f>IF(Base!B11="","",Base!B11)</f>
        <v>10.846.598-0</v>
      </c>
      <c r="B13" s="21" t="str">
        <f>IF(Base!F11="","",Base!F11)</f>
        <v>RODOLFO ALBERTO  ALVEAR  GONZALEZ</v>
      </c>
      <c r="C13" s="21" t="str">
        <f>IF(Base!I11="","",Base!I11)</f>
        <v>Linea 7</v>
      </c>
      <c r="D13" s="22" t="str">
        <f>IF(Base!J11="","",Base!J11)</f>
        <v>Palletizador</v>
      </c>
      <c r="E13" s="21">
        <f>IF(Base!H11="","",Base!H11)</f>
        <v>1050616</v>
      </c>
      <c r="H13" s="20" t="s">
        <v>1369</v>
      </c>
      <c r="J13" s="28">
        <v>3</v>
      </c>
      <c r="K13" s="5" t="s">
        <v>1431</v>
      </c>
      <c r="L13" s="58" t="str">
        <f t="shared" si="1"/>
        <v>GUIDO NARANJO</v>
      </c>
      <c r="M13" s="58">
        <f t="shared" si="2"/>
        <v>1050529</v>
      </c>
      <c r="N13" s="59" t="str">
        <f t="shared" si="3"/>
        <v>Setup</v>
      </c>
      <c r="O13" s="59" t="str">
        <f t="shared" si="4"/>
        <v>Setup</v>
      </c>
      <c r="P13" s="30" t="s">
        <v>1323</v>
      </c>
      <c r="Q13" s="81"/>
      <c r="R13" s="81"/>
      <c r="S13" s="81"/>
      <c r="T13" s="81"/>
      <c r="U13" s="81"/>
      <c r="V13" s="81"/>
      <c r="W13" s="81">
        <v>3</v>
      </c>
      <c r="X13" s="81"/>
      <c r="Y13" s="81">
        <v>3</v>
      </c>
      <c r="Z13" s="81"/>
      <c r="AA13" s="81">
        <v>3</v>
      </c>
      <c r="AB13" s="81"/>
      <c r="AC13" s="35"/>
      <c r="AD13" s="35"/>
      <c r="AE13" s="32">
        <f t="shared" si="5"/>
        <v>9</v>
      </c>
      <c r="AF13" s="32">
        <f t="shared" si="6"/>
        <v>0</v>
      </c>
      <c r="AG13" s="33"/>
      <c r="AL13" s="21" t="str">
        <f t="shared" ref="AL13:AL24" si="22">IF(K13="","",K13)</f>
        <v>17.669.014-3</v>
      </c>
      <c r="AM13" s="21">
        <v>4</v>
      </c>
      <c r="AN13" s="21">
        <f t="shared" si="7"/>
        <v>0</v>
      </c>
      <c r="AO13" s="21">
        <f t="shared" si="8"/>
        <v>0</v>
      </c>
      <c r="AP13" s="21">
        <f t="shared" si="9"/>
        <v>0</v>
      </c>
      <c r="AQ13" s="21">
        <f t="shared" si="10"/>
        <v>3</v>
      </c>
      <c r="AR13" s="21">
        <f t="shared" si="11"/>
        <v>3</v>
      </c>
      <c r="AS13" s="21">
        <f t="shared" si="12"/>
        <v>3</v>
      </c>
      <c r="AT13" s="21">
        <f t="shared" si="13"/>
        <v>0</v>
      </c>
      <c r="AU13" s="34">
        <f t="shared" si="14"/>
        <v>9</v>
      </c>
      <c r="AW13" s="21" t="str">
        <f t="shared" si="15"/>
        <v/>
      </c>
      <c r="AX13" s="21" t="str">
        <f t="shared" si="16"/>
        <v/>
      </c>
      <c r="AY13" s="21" t="str">
        <f t="shared" si="17"/>
        <v/>
      </c>
      <c r="AZ13" s="21">
        <f t="shared" si="18"/>
        <v>0.5</v>
      </c>
      <c r="BA13" s="21">
        <f t="shared" si="19"/>
        <v>0.5</v>
      </c>
      <c r="BB13" s="21">
        <f t="shared" si="20"/>
        <v>0.5</v>
      </c>
      <c r="BC13" s="21" t="str">
        <f t="shared" si="21"/>
        <v/>
      </c>
    </row>
    <row r="14" spans="1:55" ht="15.75">
      <c r="A14" s="21" t="str">
        <f>IF(Base!B12="","",Base!B12)</f>
        <v>12.093.228-4</v>
      </c>
      <c r="B14" s="21" t="str">
        <f>IF(Base!F12="","",Base!F12)</f>
        <v>CRISTIAN  ARANCIBIA  NIETO</v>
      </c>
      <c r="C14" s="21" t="str">
        <f>IF(Base!I12="","",Base!I12)</f>
        <v>Abastecimiento</v>
      </c>
      <c r="D14" s="22" t="str">
        <f>IF(Base!J12="","",Base!J12)</f>
        <v>Preparación de Insum</v>
      </c>
      <c r="E14" s="21">
        <f>IF(Base!H12="","",Base!H12)</f>
        <v>1050127</v>
      </c>
      <c r="H14" s="20" t="s">
        <v>1370</v>
      </c>
      <c r="J14" s="28">
        <v>4</v>
      </c>
      <c r="K14" s="5" t="s">
        <v>1181</v>
      </c>
      <c r="L14" s="58" t="str">
        <f t="shared" si="1"/>
        <v>VICTOR ALFONSO  MARTINEZ  RIVERA</v>
      </c>
      <c r="M14" s="58">
        <f t="shared" si="2"/>
        <v>1050529</v>
      </c>
      <c r="N14" s="59" t="str">
        <f t="shared" si="3"/>
        <v xml:space="preserve">Setup </v>
      </c>
      <c r="O14" s="59" t="str">
        <f t="shared" si="4"/>
        <v xml:space="preserve">Setup </v>
      </c>
      <c r="P14" s="30" t="s">
        <v>4</v>
      </c>
      <c r="Q14" s="81"/>
      <c r="R14" s="81"/>
      <c r="S14" s="81">
        <v>2.5</v>
      </c>
      <c r="T14" s="81"/>
      <c r="U14" s="81">
        <v>3</v>
      </c>
      <c r="V14" s="81"/>
      <c r="W14" s="81">
        <v>2.5</v>
      </c>
      <c r="X14" s="81"/>
      <c r="Y14" s="81">
        <v>3</v>
      </c>
      <c r="Z14" s="81"/>
      <c r="AA14" s="81">
        <v>2.5</v>
      </c>
      <c r="AB14" s="81"/>
      <c r="AC14" s="35"/>
      <c r="AD14" s="35"/>
      <c r="AE14" s="32">
        <f t="shared" si="5"/>
        <v>13.5</v>
      </c>
      <c r="AF14" s="32">
        <f t="shared" si="6"/>
        <v>0</v>
      </c>
      <c r="AG14" s="33"/>
      <c r="AL14" s="21" t="str">
        <f t="shared" si="22"/>
        <v>16.649.200-9</v>
      </c>
      <c r="AM14" s="21">
        <v>5</v>
      </c>
      <c r="AN14" s="21">
        <f t="shared" si="7"/>
        <v>0</v>
      </c>
      <c r="AO14" s="21">
        <f t="shared" si="8"/>
        <v>2.5</v>
      </c>
      <c r="AP14" s="21">
        <f t="shared" si="9"/>
        <v>3</v>
      </c>
      <c r="AQ14" s="21">
        <f t="shared" si="10"/>
        <v>2.5</v>
      </c>
      <c r="AR14" s="21">
        <f t="shared" si="11"/>
        <v>3</v>
      </c>
      <c r="AS14" s="21">
        <f t="shared" si="12"/>
        <v>2.5</v>
      </c>
      <c r="AT14" s="21">
        <f t="shared" si="13"/>
        <v>0</v>
      </c>
      <c r="AU14" s="34">
        <f t="shared" si="14"/>
        <v>13.5</v>
      </c>
      <c r="AW14" s="21" t="str">
        <f t="shared" si="15"/>
        <v/>
      </c>
      <c r="AX14" s="21">
        <f t="shared" si="16"/>
        <v>0.5</v>
      </c>
      <c r="AY14" s="21">
        <f t="shared" si="17"/>
        <v>0.5</v>
      </c>
      <c r="AZ14" s="21">
        <f t="shared" si="18"/>
        <v>0.5</v>
      </c>
      <c r="BA14" s="21">
        <f t="shared" si="19"/>
        <v>0.5</v>
      </c>
      <c r="BB14" s="21">
        <f t="shared" si="20"/>
        <v>0.5</v>
      </c>
      <c r="BC14" s="21" t="str">
        <f t="shared" si="21"/>
        <v/>
      </c>
    </row>
    <row r="15" spans="1:55" ht="15.75">
      <c r="A15" s="21" t="str">
        <f>IF(Base!B13="","",Base!B13)</f>
        <v>09.960.185-K</v>
      </c>
      <c r="B15" s="21" t="str">
        <f>IF(Base!F13="","",Base!F13)</f>
        <v>ERIC PATRICIO  ARANCIBIA  QUINTANA</v>
      </c>
      <c r="C15" s="21" t="str">
        <f>IF(Base!I13="","",Base!I13)</f>
        <v>Ingeniero Proceso</v>
      </c>
      <c r="D15" s="22" t="str">
        <f>IF(Base!J13="","",Base!J13)</f>
        <v>Ingeniero Proceso</v>
      </c>
      <c r="E15" s="21">
        <f>IF(Base!H13="","",Base!H13)</f>
        <v>1050502</v>
      </c>
      <c r="H15" s="20" t="s">
        <v>1365</v>
      </c>
      <c r="J15" s="28">
        <v>5</v>
      </c>
      <c r="K15" s="5" t="s">
        <v>1235</v>
      </c>
      <c r="L15" s="58" t="str">
        <f t="shared" si="1"/>
        <v>ROBERTO MARIO  VALDERRAMA  CAÑAS</v>
      </c>
      <c r="M15" s="58">
        <f t="shared" si="2"/>
        <v>1050529</v>
      </c>
      <c r="N15" s="59" t="str">
        <f t="shared" si="3"/>
        <v xml:space="preserve">Setup </v>
      </c>
      <c r="O15" s="59" t="str">
        <f t="shared" si="4"/>
        <v xml:space="preserve">Setup </v>
      </c>
      <c r="P15" s="30" t="s">
        <v>4</v>
      </c>
      <c r="Q15" s="81"/>
      <c r="R15" s="81"/>
      <c r="S15" s="81"/>
      <c r="T15" s="81"/>
      <c r="U15" s="81"/>
      <c r="V15" s="81"/>
      <c r="W15" s="81"/>
      <c r="X15" s="81"/>
      <c r="Y15" s="81">
        <v>3</v>
      </c>
      <c r="Z15" s="81"/>
      <c r="AA15" s="81">
        <v>2.5</v>
      </c>
      <c r="AB15" s="81"/>
      <c r="AC15" s="35"/>
      <c r="AD15" s="35"/>
      <c r="AE15" s="32">
        <f t="shared" si="5"/>
        <v>5.5</v>
      </c>
      <c r="AF15" s="32">
        <f t="shared" si="6"/>
        <v>0</v>
      </c>
      <c r="AG15" s="33"/>
      <c r="AL15" s="21" t="str">
        <f t="shared" si="22"/>
        <v>15.441.831-8</v>
      </c>
      <c r="AM15" s="21">
        <v>6</v>
      </c>
      <c r="AN15" s="21">
        <f t="shared" si="7"/>
        <v>0</v>
      </c>
      <c r="AO15" s="21">
        <f t="shared" si="8"/>
        <v>0</v>
      </c>
      <c r="AP15" s="21">
        <f t="shared" si="9"/>
        <v>0</v>
      </c>
      <c r="AQ15" s="21">
        <f t="shared" si="10"/>
        <v>0</v>
      </c>
      <c r="AR15" s="21">
        <f t="shared" si="11"/>
        <v>3</v>
      </c>
      <c r="AS15" s="21">
        <f t="shared" si="12"/>
        <v>2.5</v>
      </c>
      <c r="AT15" s="21">
        <f t="shared" si="13"/>
        <v>0</v>
      </c>
      <c r="AU15" s="34">
        <f t="shared" si="14"/>
        <v>5.5</v>
      </c>
      <c r="AW15" s="21" t="str">
        <f t="shared" si="15"/>
        <v/>
      </c>
      <c r="AX15" s="21" t="str">
        <f t="shared" si="16"/>
        <v/>
      </c>
      <c r="AY15" s="21" t="str">
        <f t="shared" si="17"/>
        <v/>
      </c>
      <c r="AZ15" s="21" t="str">
        <f t="shared" si="18"/>
        <v/>
      </c>
      <c r="BA15" s="21">
        <f t="shared" si="19"/>
        <v>0.5</v>
      </c>
      <c r="BB15" s="21">
        <f t="shared" si="20"/>
        <v>0.5</v>
      </c>
      <c r="BC15" s="21" t="str">
        <f t="shared" si="21"/>
        <v/>
      </c>
    </row>
    <row r="16" spans="1:55" ht="15.75">
      <c r="A16" s="21" t="str">
        <f>IF(Base!B14="","",Base!B14)</f>
        <v>08.283.277-7</v>
      </c>
      <c r="B16" s="21" t="str">
        <f>IF(Base!F14="","",Base!F14)</f>
        <v>LEONARDO ALFREDO  ARANCIBIA  VILLARROEL</v>
      </c>
      <c r="C16" s="21" t="str">
        <f>IF(Base!I14="","",Base!I14)</f>
        <v>Abastecimiento</v>
      </c>
      <c r="D16" s="22" t="str">
        <f>IF(Base!J14="","",Base!J14)</f>
        <v>Preparación de Insum</v>
      </c>
      <c r="E16" s="21">
        <f>IF(Base!H14="","",Base!H14)</f>
        <v>1050127</v>
      </c>
      <c r="H16" s="20" t="s">
        <v>1371</v>
      </c>
      <c r="J16" s="28">
        <v>6</v>
      </c>
      <c r="K16" s="5" t="s">
        <v>1112</v>
      </c>
      <c r="L16" s="58" t="str">
        <f t="shared" si="1"/>
        <v>FELIPE  ARANCIBIA  SILVA</v>
      </c>
      <c r="M16" s="58">
        <f t="shared" si="2"/>
        <v>1050529</v>
      </c>
      <c r="N16" s="59" t="str">
        <f t="shared" si="3"/>
        <v xml:space="preserve">Setup </v>
      </c>
      <c r="O16" s="59" t="str">
        <f t="shared" si="4"/>
        <v xml:space="preserve">Setup </v>
      </c>
      <c r="P16" s="30" t="s">
        <v>1323</v>
      </c>
      <c r="Q16" s="81"/>
      <c r="R16" s="81"/>
      <c r="S16" s="81">
        <v>3</v>
      </c>
      <c r="T16" s="81"/>
      <c r="U16" s="81">
        <v>3</v>
      </c>
      <c r="V16" s="81"/>
      <c r="W16" s="81">
        <v>3</v>
      </c>
      <c r="X16" s="81"/>
      <c r="Y16" s="81">
        <v>3</v>
      </c>
      <c r="Z16" s="81"/>
      <c r="AA16" s="81">
        <v>3</v>
      </c>
      <c r="AB16" s="81"/>
      <c r="AC16" s="35"/>
      <c r="AD16" s="35"/>
      <c r="AE16" s="32">
        <f t="shared" si="5"/>
        <v>15</v>
      </c>
      <c r="AF16" s="32">
        <f t="shared" si="6"/>
        <v>0</v>
      </c>
      <c r="AG16" s="33"/>
      <c r="AL16" s="21" t="str">
        <f t="shared" si="22"/>
        <v>13.045.231-0</v>
      </c>
      <c r="AM16" s="21">
        <v>7</v>
      </c>
      <c r="AN16" s="21">
        <f t="shared" si="7"/>
        <v>0</v>
      </c>
      <c r="AO16" s="21">
        <f t="shared" si="8"/>
        <v>3</v>
      </c>
      <c r="AP16" s="21">
        <f t="shared" si="9"/>
        <v>3</v>
      </c>
      <c r="AQ16" s="21">
        <f t="shared" si="10"/>
        <v>3</v>
      </c>
      <c r="AR16" s="21">
        <f t="shared" si="11"/>
        <v>3</v>
      </c>
      <c r="AS16" s="21">
        <f t="shared" si="12"/>
        <v>3</v>
      </c>
      <c r="AT16" s="21">
        <f t="shared" si="13"/>
        <v>0</v>
      </c>
      <c r="AU16" s="34">
        <f t="shared" si="14"/>
        <v>15</v>
      </c>
      <c r="AW16" s="21" t="str">
        <f t="shared" si="15"/>
        <v/>
      </c>
      <c r="AX16" s="21">
        <f t="shared" si="16"/>
        <v>0.5</v>
      </c>
      <c r="AY16" s="21">
        <f t="shared" si="17"/>
        <v>0.5</v>
      </c>
      <c r="AZ16" s="21">
        <f t="shared" si="18"/>
        <v>0.5</v>
      </c>
      <c r="BA16" s="21">
        <f t="shared" si="19"/>
        <v>0.5</v>
      </c>
      <c r="BB16" s="21">
        <f t="shared" si="20"/>
        <v>0.5</v>
      </c>
      <c r="BC16" s="21" t="str">
        <f t="shared" si="21"/>
        <v/>
      </c>
    </row>
    <row r="17" spans="1:55" ht="15.75">
      <c r="A17" s="21" t="str">
        <f>IF(Base!B15="","",Base!B15)</f>
        <v>09.471.557-1</v>
      </c>
      <c r="B17" s="21" t="str">
        <f>IF(Base!F15="","",Base!F15)</f>
        <v>SANDRA  ARANGUIZ  ALIAGA</v>
      </c>
      <c r="C17" s="21" t="str">
        <f>IF(Base!I15="","",Base!I15)</f>
        <v>Linea 7</v>
      </c>
      <c r="D17" s="22" t="str">
        <f>IF(Base!J15="","",Base!J15)</f>
        <v>Armado cajas</v>
      </c>
      <c r="E17" s="21">
        <f>IF(Base!H15="","",Base!H15)</f>
        <v>1050616</v>
      </c>
      <c r="H17" s="20" t="s">
        <v>1372</v>
      </c>
      <c r="J17" s="28">
        <v>7</v>
      </c>
      <c r="K17" s="5" t="s">
        <v>1147</v>
      </c>
      <c r="L17" s="58" t="str">
        <f t="shared" si="1"/>
        <v>ROBERTO  DURAN  BRAVO</v>
      </c>
      <c r="M17" s="58">
        <f t="shared" si="2"/>
        <v>1050529</v>
      </c>
      <c r="N17" s="59" t="str">
        <f t="shared" si="3"/>
        <v xml:space="preserve">Setup </v>
      </c>
      <c r="O17" s="59" t="str">
        <f t="shared" si="4"/>
        <v xml:space="preserve">Setup </v>
      </c>
      <c r="P17" s="30" t="s">
        <v>4</v>
      </c>
      <c r="Q17" s="81"/>
      <c r="R17" s="81"/>
      <c r="S17" s="81"/>
      <c r="T17" s="81"/>
      <c r="U17" s="81">
        <v>2</v>
      </c>
      <c r="V17" s="81"/>
      <c r="W17" s="81"/>
      <c r="X17" s="81"/>
      <c r="Y17" s="81"/>
      <c r="Z17" s="81"/>
      <c r="AA17" s="81">
        <v>4.5</v>
      </c>
      <c r="AB17" s="81"/>
      <c r="AC17" s="31"/>
      <c r="AD17" s="31"/>
      <c r="AE17" s="32">
        <f t="shared" si="5"/>
        <v>6.5</v>
      </c>
      <c r="AF17" s="32">
        <f t="shared" si="6"/>
        <v>0</v>
      </c>
      <c r="AG17" s="33"/>
      <c r="AL17" s="21" t="str">
        <f t="shared" si="22"/>
        <v>15.533.689-7</v>
      </c>
      <c r="AM17" s="21">
        <v>8</v>
      </c>
      <c r="AN17" s="21">
        <f t="shared" si="7"/>
        <v>0</v>
      </c>
      <c r="AO17" s="21">
        <f t="shared" si="8"/>
        <v>0</v>
      </c>
      <c r="AP17" s="21">
        <f t="shared" si="9"/>
        <v>2</v>
      </c>
      <c r="AQ17" s="21">
        <f t="shared" si="10"/>
        <v>0</v>
      </c>
      <c r="AR17" s="21">
        <f t="shared" si="11"/>
        <v>0</v>
      </c>
      <c r="AS17" s="21">
        <f t="shared" si="12"/>
        <v>4.5</v>
      </c>
      <c r="AT17" s="21">
        <f t="shared" si="13"/>
        <v>0</v>
      </c>
      <c r="AU17" s="34">
        <f t="shared" si="14"/>
        <v>6.5</v>
      </c>
      <c r="AW17" s="21" t="str">
        <f t="shared" si="15"/>
        <v/>
      </c>
      <c r="AX17" s="21" t="str">
        <f t="shared" si="16"/>
        <v/>
      </c>
      <c r="AY17" s="21">
        <f t="shared" si="17"/>
        <v>0.5</v>
      </c>
      <c r="AZ17" s="21" t="str">
        <f t="shared" si="18"/>
        <v/>
      </c>
      <c r="BA17" s="21" t="str">
        <f t="shared" si="19"/>
        <v/>
      </c>
      <c r="BB17" s="21">
        <f t="shared" si="20"/>
        <v>0.5</v>
      </c>
      <c r="BC17" s="21" t="str">
        <f t="shared" si="21"/>
        <v/>
      </c>
    </row>
    <row r="18" spans="1:55" ht="15.75">
      <c r="A18" s="21" t="str">
        <f>IF(Base!B16="","",Base!B16)</f>
        <v>12.501.307-4</v>
      </c>
      <c r="B18" s="21" t="str">
        <f>IF(Base!F16="","",Base!F16)</f>
        <v>MARCELO ANTONIO  ARAYA  FUENTES</v>
      </c>
      <c r="C18" s="21" t="str">
        <f>IF(Base!I16="","",Base!I16)</f>
        <v>Linea 7</v>
      </c>
      <c r="D18" s="22" t="str">
        <f>IF(Base!J16="","",Base!J16)</f>
        <v>Embalador</v>
      </c>
      <c r="E18" s="21">
        <f>IF(Base!H16="","",Base!H16)</f>
        <v>1050616</v>
      </c>
      <c r="H18" s="20" t="s">
        <v>1373</v>
      </c>
      <c r="J18" s="28">
        <v>8</v>
      </c>
      <c r="K18" s="5" t="s">
        <v>148</v>
      </c>
      <c r="L18" s="58" t="str">
        <f t="shared" si="1"/>
        <v>OSCAR MAURICIO  BERRIOS  LOPEZ</v>
      </c>
      <c r="M18" s="58">
        <f t="shared" si="2"/>
        <v>1050604</v>
      </c>
      <c r="N18" s="59" t="str">
        <f t="shared" si="3"/>
        <v>Monitor Despalletizado</v>
      </c>
      <c r="O18" s="59" t="str">
        <f t="shared" si="4"/>
        <v>Monitor Despalletizado</v>
      </c>
      <c r="P18" s="30" t="s">
        <v>1323</v>
      </c>
      <c r="Q18" s="81"/>
      <c r="R18" s="81">
        <v>7.5</v>
      </c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35"/>
      <c r="AD18" s="35"/>
      <c r="AE18" s="32">
        <f t="shared" si="5"/>
        <v>0</v>
      </c>
      <c r="AF18" s="32">
        <f t="shared" si="6"/>
        <v>7.5</v>
      </c>
      <c r="AG18" s="47"/>
      <c r="AL18" s="21" t="str">
        <f t="shared" si="22"/>
        <v>13.557.248-9</v>
      </c>
      <c r="AM18" s="21">
        <v>9</v>
      </c>
      <c r="AN18" s="21">
        <f t="shared" si="7"/>
        <v>7.5</v>
      </c>
      <c r="AO18" s="21">
        <f t="shared" si="8"/>
        <v>0</v>
      </c>
      <c r="AP18" s="21">
        <f t="shared" si="9"/>
        <v>0</v>
      </c>
      <c r="AQ18" s="21">
        <f t="shared" si="10"/>
        <v>0</v>
      </c>
      <c r="AR18" s="21">
        <f t="shared" si="11"/>
        <v>0</v>
      </c>
      <c r="AS18" s="21">
        <f t="shared" si="12"/>
        <v>0</v>
      </c>
      <c r="AT18" s="21">
        <f t="shared" si="13"/>
        <v>0</v>
      </c>
      <c r="AU18" s="34">
        <f t="shared" si="14"/>
        <v>7.5</v>
      </c>
      <c r="AW18" s="21">
        <f t="shared" si="15"/>
        <v>1</v>
      </c>
      <c r="AX18" s="21" t="str">
        <f t="shared" si="16"/>
        <v/>
      </c>
      <c r="AY18" s="21" t="str">
        <f t="shared" si="17"/>
        <v/>
      </c>
      <c r="AZ18" s="21" t="str">
        <f t="shared" si="18"/>
        <v/>
      </c>
      <c r="BA18" s="21" t="str">
        <f t="shared" si="19"/>
        <v/>
      </c>
      <c r="BB18" s="21" t="str">
        <f t="shared" si="20"/>
        <v/>
      </c>
      <c r="BC18" s="21" t="str">
        <f t="shared" si="21"/>
        <v/>
      </c>
    </row>
    <row r="19" spans="1:55" ht="15.75">
      <c r="A19" s="21" t="str">
        <f>IF(Base!B17="","",Base!B17)</f>
        <v>08.332.629-8</v>
      </c>
      <c r="B19" s="21" t="str">
        <f>IF(Base!F17="","",Base!F17)</f>
        <v>JUAN  ARRIAGADA  JARA</v>
      </c>
      <c r="C19" s="21" t="str">
        <f>IF(Base!I17="","",Base!I17)</f>
        <v>Linea 7</v>
      </c>
      <c r="D19" s="22" t="str">
        <f>IF(Base!J17="","",Base!J17)</f>
        <v>Palletizador</v>
      </c>
      <c r="E19" s="21">
        <f>IF(Base!H17="","",Base!H17)</f>
        <v>1050616</v>
      </c>
      <c r="H19" s="20" t="s">
        <v>1374</v>
      </c>
      <c r="J19" s="28">
        <v>9</v>
      </c>
      <c r="K19" s="5" t="s">
        <v>488</v>
      </c>
      <c r="L19" s="58" t="str">
        <f t="shared" si="1"/>
        <v>ARIEL A.  HERRERA  PALMA</v>
      </c>
      <c r="M19" s="58">
        <f t="shared" si="2"/>
        <v>1050604</v>
      </c>
      <c r="N19" s="59" t="str">
        <f t="shared" si="3"/>
        <v>Monitor Etiquetado</v>
      </c>
      <c r="O19" s="59" t="str">
        <f t="shared" si="4"/>
        <v>Monitor Etiquetado</v>
      </c>
      <c r="P19" s="30" t="s">
        <v>1323</v>
      </c>
      <c r="Q19" s="81"/>
      <c r="R19" s="81">
        <v>7.5</v>
      </c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31"/>
      <c r="AD19" s="31"/>
      <c r="AE19" s="32">
        <f t="shared" si="5"/>
        <v>0</v>
      </c>
      <c r="AF19" s="32">
        <f t="shared" si="6"/>
        <v>7.5</v>
      </c>
      <c r="AG19" s="47"/>
      <c r="AL19" s="21" t="str">
        <f t="shared" si="22"/>
        <v>14.336.364-3</v>
      </c>
      <c r="AM19" s="21">
        <v>10</v>
      </c>
      <c r="AN19" s="21">
        <f t="shared" si="7"/>
        <v>7.5</v>
      </c>
      <c r="AO19" s="21">
        <f t="shared" si="8"/>
        <v>0</v>
      </c>
      <c r="AP19" s="21">
        <f t="shared" si="9"/>
        <v>0</v>
      </c>
      <c r="AQ19" s="21">
        <f t="shared" si="10"/>
        <v>0</v>
      </c>
      <c r="AR19" s="21">
        <f t="shared" si="11"/>
        <v>0</v>
      </c>
      <c r="AS19" s="21">
        <f t="shared" si="12"/>
        <v>0</v>
      </c>
      <c r="AT19" s="21">
        <f t="shared" si="13"/>
        <v>0</v>
      </c>
      <c r="AU19" s="34">
        <f t="shared" si="14"/>
        <v>7.5</v>
      </c>
      <c r="AW19" s="21">
        <f t="shared" si="15"/>
        <v>1</v>
      </c>
      <c r="AX19" s="21" t="str">
        <f t="shared" si="16"/>
        <v/>
      </c>
      <c r="AY19" s="21" t="str">
        <f t="shared" si="17"/>
        <v/>
      </c>
      <c r="AZ19" s="21" t="str">
        <f t="shared" si="18"/>
        <v/>
      </c>
      <c r="BA19" s="21" t="str">
        <f t="shared" si="19"/>
        <v/>
      </c>
      <c r="BB19" s="21" t="str">
        <f t="shared" si="20"/>
        <v/>
      </c>
      <c r="BC19" s="21" t="str">
        <f t="shared" si="21"/>
        <v/>
      </c>
    </row>
    <row r="20" spans="1:55" ht="15.75">
      <c r="A20" s="21" t="str">
        <f>IF(Base!B18="","",Base!B18)</f>
        <v>10.173.910-4</v>
      </c>
      <c r="B20" s="21" t="str">
        <f>IF(Base!F18="","",Base!F18)</f>
        <v>FELIX  EXEQUIEL  ARSENDIGA  PALMA</v>
      </c>
      <c r="C20" s="21" t="str">
        <f>IF(Base!I18="","",Base!I18)</f>
        <v>Abastecimiento</v>
      </c>
      <c r="D20" s="22" t="str">
        <f>IF(Base!J18="","",Base!J18)</f>
        <v>Suministro de Líneas</v>
      </c>
      <c r="E20" s="21">
        <f>IF(Base!H18="","",Base!H18)</f>
        <v>1050633</v>
      </c>
      <c r="H20" s="20" t="s">
        <v>1375</v>
      </c>
      <c r="J20" s="28">
        <v>10</v>
      </c>
      <c r="K20" s="5" t="s">
        <v>758</v>
      </c>
      <c r="L20" s="58" t="str">
        <f t="shared" si="1"/>
        <v>DANIEL H.  PALMA  CLARO</v>
      </c>
      <c r="M20" s="58">
        <f t="shared" si="2"/>
        <v>1050604</v>
      </c>
      <c r="N20" s="59" t="str">
        <f t="shared" si="3"/>
        <v>Monitor Embalado</v>
      </c>
      <c r="O20" s="59" t="str">
        <f t="shared" si="4"/>
        <v>Monitor Embalado</v>
      </c>
      <c r="P20" s="30" t="s">
        <v>4</v>
      </c>
      <c r="Q20" s="81"/>
      <c r="R20" s="81">
        <v>7.5</v>
      </c>
      <c r="S20" s="81"/>
      <c r="T20" s="81"/>
      <c r="U20" s="81">
        <v>3</v>
      </c>
      <c r="V20" s="81"/>
      <c r="W20" s="81">
        <v>1</v>
      </c>
      <c r="X20" s="81"/>
      <c r="Y20" s="81">
        <v>3</v>
      </c>
      <c r="Z20" s="81"/>
      <c r="AA20" s="81"/>
      <c r="AB20" s="81"/>
      <c r="AC20" s="31"/>
      <c r="AD20" s="31"/>
      <c r="AE20" s="32">
        <f t="shared" si="5"/>
        <v>7</v>
      </c>
      <c r="AF20" s="32">
        <f t="shared" si="6"/>
        <v>7.5</v>
      </c>
      <c r="AG20" s="47"/>
      <c r="AL20" s="21" t="str">
        <f t="shared" si="22"/>
        <v>12.898.844-0</v>
      </c>
      <c r="AM20" s="21">
        <v>11</v>
      </c>
      <c r="AN20" s="21">
        <f t="shared" si="7"/>
        <v>7.5</v>
      </c>
      <c r="AO20" s="21">
        <f t="shared" si="8"/>
        <v>0</v>
      </c>
      <c r="AP20" s="21">
        <f t="shared" si="9"/>
        <v>3</v>
      </c>
      <c r="AQ20" s="21">
        <f t="shared" si="10"/>
        <v>1</v>
      </c>
      <c r="AR20" s="21">
        <f t="shared" si="11"/>
        <v>3</v>
      </c>
      <c r="AS20" s="21">
        <f t="shared" si="12"/>
        <v>0</v>
      </c>
      <c r="AT20" s="21">
        <f t="shared" si="13"/>
        <v>0</v>
      </c>
      <c r="AU20" s="34">
        <f t="shared" si="14"/>
        <v>14.5</v>
      </c>
      <c r="AW20" s="21">
        <f t="shared" si="15"/>
        <v>1</v>
      </c>
      <c r="AX20" s="21" t="str">
        <f t="shared" si="16"/>
        <v/>
      </c>
      <c r="AY20" s="21">
        <f t="shared" si="17"/>
        <v>0.5</v>
      </c>
      <c r="AZ20" s="21">
        <f t="shared" si="18"/>
        <v>0.5</v>
      </c>
      <c r="BA20" s="21">
        <f t="shared" si="19"/>
        <v>0.5</v>
      </c>
      <c r="BB20" s="21" t="str">
        <f t="shared" si="20"/>
        <v/>
      </c>
      <c r="BC20" s="21" t="str">
        <f t="shared" si="21"/>
        <v/>
      </c>
    </row>
    <row r="21" spans="1:55" ht="15.75">
      <c r="A21" s="21" t="str">
        <f>IF(Base!B19="","",Base!B19)</f>
        <v>11.325.204-9</v>
      </c>
      <c r="B21" s="21" t="str">
        <f>IF(Base!F19="","",Base!F19)</f>
        <v>LUIS ALBERTO  ALVARADO  MARTINEZ</v>
      </c>
      <c r="C21" s="21" t="str">
        <f>IF(Base!I19="","",Base!I19)</f>
        <v>Abastecimiento</v>
      </c>
      <c r="D21" s="22" t="str">
        <f>IF(Base!J19="","",Base!J19)</f>
        <v>Suministro de Líneas</v>
      </c>
      <c r="E21" s="21">
        <f>IF(Base!H19="","",Base!H19)</f>
        <v>1050633</v>
      </c>
      <c r="H21" s="20" t="s">
        <v>1376</v>
      </c>
      <c r="J21" s="28">
        <v>11</v>
      </c>
      <c r="K21" s="5" t="s">
        <v>932</v>
      </c>
      <c r="L21" s="58" t="str">
        <f t="shared" si="1"/>
        <v>MARCOS A  RUBIO  CASTRO</v>
      </c>
      <c r="M21" s="58">
        <f t="shared" si="2"/>
        <v>1050604</v>
      </c>
      <c r="N21" s="59" t="str">
        <f t="shared" si="3"/>
        <v>Monitor Llenado</v>
      </c>
      <c r="O21" s="59" t="str">
        <f t="shared" si="4"/>
        <v>Monitor Llenado</v>
      </c>
      <c r="P21" s="30" t="s">
        <v>4</v>
      </c>
      <c r="Q21" s="81"/>
      <c r="R21" s="81">
        <v>7.5</v>
      </c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31"/>
      <c r="AD21" s="31"/>
      <c r="AE21" s="32">
        <f t="shared" ref="AE21:AE84" si="23">SUM(Q21,S21,U21,W21,Y21,AA21,AC21)</f>
        <v>0</v>
      </c>
      <c r="AF21" s="32">
        <f t="shared" ref="AF21:AF84" si="24">SUM(R21,T21,V21,X21,Z21,AB21,AD21)</f>
        <v>7.5</v>
      </c>
      <c r="AG21" s="47"/>
      <c r="AL21" s="21" t="str">
        <f t="shared" si="22"/>
        <v>07.916.907-2</v>
      </c>
      <c r="AM21" s="21">
        <v>12</v>
      </c>
      <c r="AN21" s="21">
        <f t="shared" si="7"/>
        <v>7.5</v>
      </c>
      <c r="AO21" s="21">
        <f t="shared" si="8"/>
        <v>0</v>
      </c>
      <c r="AP21" s="21">
        <f t="shared" si="9"/>
        <v>0</v>
      </c>
      <c r="AQ21" s="21">
        <f t="shared" si="10"/>
        <v>0</v>
      </c>
      <c r="AR21" s="21">
        <f t="shared" si="11"/>
        <v>0</v>
      </c>
      <c r="AS21" s="21">
        <f t="shared" si="12"/>
        <v>0</v>
      </c>
      <c r="AT21" s="21">
        <f t="shared" si="13"/>
        <v>0</v>
      </c>
      <c r="AU21" s="34">
        <f t="shared" si="14"/>
        <v>7.5</v>
      </c>
      <c r="AW21" s="21">
        <f t="shared" si="15"/>
        <v>1</v>
      </c>
      <c r="AX21" s="21" t="str">
        <f t="shared" si="16"/>
        <v/>
      </c>
      <c r="AY21" s="21" t="str">
        <f t="shared" si="17"/>
        <v/>
      </c>
      <c r="AZ21" s="21" t="str">
        <f t="shared" si="18"/>
        <v/>
      </c>
      <c r="BA21" s="21" t="str">
        <f t="shared" si="19"/>
        <v/>
      </c>
      <c r="BB21" s="21" t="str">
        <f t="shared" si="20"/>
        <v/>
      </c>
      <c r="BC21" s="21" t="str">
        <f t="shared" si="21"/>
        <v/>
      </c>
    </row>
    <row r="22" spans="1:55" ht="15.75">
      <c r="A22" s="21" t="str">
        <f>IF(Base!B20="","",Base!B20)</f>
        <v>09.148.214-2</v>
      </c>
      <c r="B22" s="21" t="str">
        <f>IF(Base!F20="","",Base!F20)</f>
        <v>JORGE  BAEZA  REYES</v>
      </c>
      <c r="C22" s="21" t="str">
        <f>IF(Base!I20="","",Base!I20)</f>
        <v>Abastecimiento</v>
      </c>
      <c r="D22" s="22" t="str">
        <f>IF(Base!J20="","",Base!J20)</f>
        <v>Suministro de Líneas</v>
      </c>
      <c r="E22" s="21">
        <f>IF(Base!H20="","",Base!H20)</f>
        <v>1050127</v>
      </c>
      <c r="J22" s="28">
        <v>12</v>
      </c>
      <c r="K22" s="5" t="s">
        <v>1224</v>
      </c>
      <c r="L22" s="58" t="str">
        <f t="shared" si="1"/>
        <v>JUAN OSVALDO  TOLEDO  YEVENES</v>
      </c>
      <c r="M22" s="58">
        <f t="shared" si="2"/>
        <v>1050529</v>
      </c>
      <c r="N22" s="59" t="str">
        <f t="shared" si="3"/>
        <v xml:space="preserve">Setup </v>
      </c>
      <c r="O22" s="59" t="str">
        <f t="shared" si="4"/>
        <v xml:space="preserve">Setup </v>
      </c>
      <c r="P22" s="30" t="s">
        <v>4</v>
      </c>
      <c r="Q22" s="81"/>
      <c r="R22" s="81">
        <v>7.5</v>
      </c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31"/>
      <c r="AD22" s="31"/>
      <c r="AE22" s="32">
        <f t="shared" si="23"/>
        <v>0</v>
      </c>
      <c r="AF22" s="32">
        <f t="shared" si="24"/>
        <v>7.5</v>
      </c>
      <c r="AG22" s="47"/>
      <c r="AL22" s="21" t="str">
        <f t="shared" si="22"/>
        <v>13.295.279-5</v>
      </c>
      <c r="AM22" s="21">
        <v>13</v>
      </c>
      <c r="AN22" s="21">
        <f t="shared" si="7"/>
        <v>7.5</v>
      </c>
      <c r="AO22" s="21">
        <f t="shared" si="8"/>
        <v>0</v>
      </c>
      <c r="AP22" s="21">
        <f t="shared" si="9"/>
        <v>0</v>
      </c>
      <c r="AQ22" s="21">
        <f t="shared" si="10"/>
        <v>0</v>
      </c>
      <c r="AR22" s="21">
        <f t="shared" si="11"/>
        <v>0</v>
      </c>
      <c r="AS22" s="21">
        <f t="shared" si="12"/>
        <v>0</v>
      </c>
      <c r="AT22" s="21">
        <f t="shared" si="13"/>
        <v>0</v>
      </c>
      <c r="AU22" s="34">
        <f t="shared" si="14"/>
        <v>7.5</v>
      </c>
      <c r="AW22" s="21">
        <f t="shared" si="15"/>
        <v>1</v>
      </c>
      <c r="AX22" s="21" t="str">
        <f t="shared" si="16"/>
        <v/>
      </c>
      <c r="AY22" s="21" t="str">
        <f t="shared" si="17"/>
        <v/>
      </c>
      <c r="AZ22" s="21" t="str">
        <f t="shared" si="18"/>
        <v/>
      </c>
      <c r="BA22" s="21" t="str">
        <f t="shared" si="19"/>
        <v/>
      </c>
      <c r="BB22" s="21" t="str">
        <f t="shared" si="20"/>
        <v/>
      </c>
      <c r="BC22" s="21" t="str">
        <f t="shared" si="21"/>
        <v/>
      </c>
    </row>
    <row r="23" spans="1:55" ht="15.75">
      <c r="A23" s="21" t="str">
        <f>IF(Base!B21="","",Base!B21)</f>
        <v>12.897.839-9</v>
      </c>
      <c r="B23" s="21" t="str">
        <f>IF(Base!F21="","",Base!F21)</f>
        <v>SOLEDAD ALEJANDRA  BECERRA  QUEZADA</v>
      </c>
      <c r="C23" s="21" t="str">
        <f>IF(Base!I21="","",Base!I21)</f>
        <v>Linea 6</v>
      </c>
      <c r="D23" s="22" t="str">
        <f>IF(Base!J21="","",Base!J21)</f>
        <v>Inspector etiqueta</v>
      </c>
      <c r="E23" s="21">
        <f>IF(Base!H21="","",Base!H21)</f>
        <v>1050610</v>
      </c>
      <c r="H23" s="20">
        <v>2011</v>
      </c>
      <c r="J23" s="28">
        <v>13</v>
      </c>
      <c r="K23" s="5" t="s">
        <v>254</v>
      </c>
      <c r="L23" s="58" t="str">
        <f t="shared" si="1"/>
        <v>CARLOS  CERONI  PIZARRO</v>
      </c>
      <c r="M23" s="58">
        <f t="shared" si="2"/>
        <v>1050529</v>
      </c>
      <c r="N23" s="59" t="str">
        <f t="shared" si="3"/>
        <v>Linea 7</v>
      </c>
      <c r="O23" s="59" t="str">
        <f t="shared" si="4"/>
        <v>Etiquetador</v>
      </c>
      <c r="P23" s="30" t="s">
        <v>1321</v>
      </c>
      <c r="Q23" s="81"/>
      <c r="R23" s="81"/>
      <c r="S23" s="81">
        <v>2</v>
      </c>
      <c r="T23" s="81"/>
      <c r="U23" s="81">
        <v>2</v>
      </c>
      <c r="V23" s="81"/>
      <c r="W23" s="81">
        <v>4</v>
      </c>
      <c r="X23" s="81"/>
      <c r="Y23" s="81">
        <v>4</v>
      </c>
      <c r="Z23" s="81"/>
      <c r="AA23" s="81">
        <v>4.5</v>
      </c>
      <c r="AB23" s="81"/>
      <c r="AC23" s="31"/>
      <c r="AD23" s="31"/>
      <c r="AE23" s="32">
        <f t="shared" si="23"/>
        <v>16.5</v>
      </c>
      <c r="AF23" s="32">
        <f t="shared" si="24"/>
        <v>0</v>
      </c>
      <c r="AG23" s="47"/>
      <c r="AL23" s="21" t="str">
        <f t="shared" si="22"/>
        <v>07.816.535-9</v>
      </c>
      <c r="AM23" s="21">
        <v>14</v>
      </c>
      <c r="AN23" s="21">
        <f t="shared" si="7"/>
        <v>0</v>
      </c>
      <c r="AO23" s="21">
        <f t="shared" si="8"/>
        <v>2</v>
      </c>
      <c r="AP23" s="21">
        <f t="shared" si="9"/>
        <v>2</v>
      </c>
      <c r="AQ23" s="21">
        <f t="shared" si="10"/>
        <v>4</v>
      </c>
      <c r="AR23" s="21">
        <f t="shared" si="11"/>
        <v>4</v>
      </c>
      <c r="AS23" s="21">
        <f t="shared" si="12"/>
        <v>4.5</v>
      </c>
      <c r="AT23" s="21">
        <f t="shared" si="13"/>
        <v>0</v>
      </c>
      <c r="AU23" s="34">
        <f t="shared" si="14"/>
        <v>16.5</v>
      </c>
      <c r="AW23" s="21" t="str">
        <f t="shared" si="15"/>
        <v/>
      </c>
      <c r="AX23" s="21">
        <f t="shared" si="16"/>
        <v>0.5</v>
      </c>
      <c r="AY23" s="21">
        <f t="shared" si="17"/>
        <v>0.5</v>
      </c>
      <c r="AZ23" s="21">
        <f t="shared" si="18"/>
        <v>0.5</v>
      </c>
      <c r="BA23" s="21">
        <f t="shared" si="19"/>
        <v>0.5</v>
      </c>
      <c r="BB23" s="21">
        <f t="shared" si="20"/>
        <v>0.5</v>
      </c>
      <c r="BC23" s="21" t="str">
        <f t="shared" si="21"/>
        <v/>
      </c>
    </row>
    <row r="24" spans="1:55" ht="15.75">
      <c r="A24" s="21" t="str">
        <f>IF(Base!B22="","",Base!B22)</f>
        <v>13.557.248-9</v>
      </c>
      <c r="B24" s="21" t="str">
        <f>IF(Base!F22="","",Base!F22)</f>
        <v>OSCAR MAURICIO  BERRIOS  LOPEZ</v>
      </c>
      <c r="C24" s="21" t="str">
        <f>IF(Base!I22="","",Base!I22)</f>
        <v>Monitor Despalletizado</v>
      </c>
      <c r="D24" s="22" t="str">
        <f>IF(Base!J22="","",Base!J22)</f>
        <v>Monitor Despalletizado</v>
      </c>
      <c r="E24" s="21">
        <f>IF(Base!H22="","",Base!H22)</f>
        <v>1050604</v>
      </c>
      <c r="H24" s="20">
        <v>2012</v>
      </c>
      <c r="J24" s="28">
        <v>14</v>
      </c>
      <c r="K24" s="5" t="s">
        <v>916</v>
      </c>
      <c r="L24" s="58" t="str">
        <f t="shared" si="1"/>
        <v>RAFAEL  RODRIGUEZ  CISTERNA</v>
      </c>
      <c r="M24" s="58">
        <f t="shared" si="2"/>
        <v>1050553</v>
      </c>
      <c r="N24" s="59" t="str">
        <f t="shared" si="3"/>
        <v>Linea 2</v>
      </c>
      <c r="O24" s="59" t="str">
        <f t="shared" si="4"/>
        <v>Despalletizador</v>
      </c>
      <c r="P24" s="30" t="s">
        <v>4</v>
      </c>
      <c r="Q24" s="81"/>
      <c r="R24" s="81"/>
      <c r="S24" s="81"/>
      <c r="T24" s="81"/>
      <c r="U24" s="81"/>
      <c r="V24" s="81"/>
      <c r="W24" s="81">
        <v>4.5</v>
      </c>
      <c r="X24" s="81"/>
      <c r="Y24" s="81">
        <v>4.5</v>
      </c>
      <c r="Z24" s="81"/>
      <c r="AA24" s="81"/>
      <c r="AB24" s="81"/>
      <c r="AC24" s="31"/>
      <c r="AD24" s="31"/>
      <c r="AE24" s="32">
        <f t="shared" si="23"/>
        <v>9</v>
      </c>
      <c r="AF24" s="32">
        <f t="shared" si="24"/>
        <v>0</v>
      </c>
      <c r="AG24" s="33"/>
      <c r="AL24" s="21" t="str">
        <f t="shared" si="22"/>
        <v>08.634.737-7</v>
      </c>
      <c r="AM24" s="21">
        <v>15</v>
      </c>
      <c r="AN24" s="21">
        <f t="shared" si="7"/>
        <v>0</v>
      </c>
      <c r="AO24" s="21">
        <f t="shared" si="8"/>
        <v>0</v>
      </c>
      <c r="AP24" s="21">
        <f t="shared" si="9"/>
        <v>0</v>
      </c>
      <c r="AQ24" s="21">
        <f t="shared" si="10"/>
        <v>4.5</v>
      </c>
      <c r="AR24" s="21">
        <f t="shared" si="11"/>
        <v>4.5</v>
      </c>
      <c r="AS24" s="21">
        <f t="shared" si="12"/>
        <v>0</v>
      </c>
      <c r="AT24" s="21">
        <f t="shared" si="13"/>
        <v>0</v>
      </c>
      <c r="AU24" s="34">
        <f t="shared" si="14"/>
        <v>9</v>
      </c>
      <c r="AW24" s="21" t="str">
        <f t="shared" si="15"/>
        <v/>
      </c>
      <c r="AX24" s="21" t="str">
        <f t="shared" si="16"/>
        <v/>
      </c>
      <c r="AY24" s="21" t="str">
        <f t="shared" si="17"/>
        <v/>
      </c>
      <c r="AZ24" s="21">
        <f t="shared" si="18"/>
        <v>0.5</v>
      </c>
      <c r="BA24" s="21">
        <f t="shared" si="19"/>
        <v>0.5</v>
      </c>
      <c r="BB24" s="21" t="str">
        <f t="shared" si="20"/>
        <v/>
      </c>
      <c r="BC24" s="21" t="str">
        <f t="shared" si="21"/>
        <v/>
      </c>
    </row>
    <row r="25" spans="1:55" ht="15.75">
      <c r="A25" s="21" t="str">
        <f>IF(Base!B23="","",Base!B23)</f>
        <v>16.907.382-1</v>
      </c>
      <c r="B25" s="21" t="str">
        <f>IF(Base!F23="","",Base!F23)</f>
        <v>OLIVER HANS  BUGUEÑO  MEDEL</v>
      </c>
      <c r="C25" s="21" t="str">
        <f>IF(Base!I23="","",Base!I23)</f>
        <v>Linea 3</v>
      </c>
      <c r="D25" s="22" t="str">
        <f>IF(Base!J23="","",Base!J23)</f>
        <v>Etiquetador</v>
      </c>
      <c r="E25" s="21">
        <f>IF(Base!H23="","",Base!H23)</f>
        <v>1050556</v>
      </c>
      <c r="H25" s="20">
        <v>2013</v>
      </c>
      <c r="J25" s="28">
        <v>15</v>
      </c>
      <c r="K25" s="5" t="s">
        <v>1042</v>
      </c>
      <c r="L25" s="58" t="str">
        <f t="shared" si="1"/>
        <v>LUIS  VALDEZ  WERNLI</v>
      </c>
      <c r="M25" s="58">
        <f t="shared" si="2"/>
        <v>1050556</v>
      </c>
      <c r="N25" s="59" t="str">
        <f t="shared" si="3"/>
        <v>Linea 3</v>
      </c>
      <c r="O25" s="59" t="str">
        <f t="shared" si="4"/>
        <v>Etiquetador</v>
      </c>
      <c r="P25" s="30" t="s">
        <v>1323</v>
      </c>
      <c r="Q25" s="81"/>
      <c r="R25" s="81">
        <v>7.5</v>
      </c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0"/>
      <c r="AE25" s="32">
        <f t="shared" si="23"/>
        <v>0</v>
      </c>
      <c r="AF25" s="32">
        <f t="shared" si="24"/>
        <v>7.5</v>
      </c>
      <c r="AG25" s="47"/>
      <c r="AL25" s="21" t="str">
        <f t="shared" ref="AL25:AL88" si="25">IF(K25="","",K25)</f>
        <v>21.516.766-6</v>
      </c>
      <c r="AM25" s="21">
        <v>16</v>
      </c>
      <c r="AN25" s="21">
        <f t="shared" si="7"/>
        <v>7.5</v>
      </c>
      <c r="AO25" s="21">
        <f t="shared" si="8"/>
        <v>0</v>
      </c>
      <c r="AP25" s="21">
        <f t="shared" si="9"/>
        <v>0</v>
      </c>
      <c r="AQ25" s="21">
        <f t="shared" si="10"/>
        <v>0</v>
      </c>
      <c r="AR25" s="21">
        <f t="shared" si="11"/>
        <v>0</v>
      </c>
      <c r="AS25" s="21">
        <f t="shared" si="12"/>
        <v>0</v>
      </c>
      <c r="AT25" s="21">
        <f t="shared" si="13"/>
        <v>0</v>
      </c>
      <c r="AU25" s="34">
        <f t="shared" si="14"/>
        <v>7.5</v>
      </c>
      <c r="AW25" s="21">
        <f t="shared" si="15"/>
        <v>1</v>
      </c>
      <c r="AX25" s="21" t="str">
        <f t="shared" si="16"/>
        <v/>
      </c>
      <c r="AY25" s="21" t="str">
        <f t="shared" si="17"/>
        <v/>
      </c>
      <c r="AZ25" s="21" t="str">
        <f t="shared" si="18"/>
        <v/>
      </c>
      <c r="BA25" s="21" t="str">
        <f t="shared" si="19"/>
        <v/>
      </c>
      <c r="BB25" s="21" t="str">
        <f t="shared" si="20"/>
        <v/>
      </c>
      <c r="BC25" s="21" t="str">
        <f t="shared" si="21"/>
        <v/>
      </c>
    </row>
    <row r="26" spans="1:55" ht="15.75">
      <c r="A26" s="21" t="str">
        <f>IF(Base!B24="","",Base!B24)</f>
        <v>13.236.100-2</v>
      </c>
      <c r="B26" s="21" t="str">
        <f>IF(Base!F24="","",Base!F24)</f>
        <v>MARCO ANTONIO  BUSTAMANTE  GONZALEZ</v>
      </c>
      <c r="C26" s="21" t="str">
        <f>IF(Base!I24="","",Base!I24)</f>
        <v>Abastecimiento</v>
      </c>
      <c r="D26" s="22" t="str">
        <f>IF(Base!J24="","",Base!J24)</f>
        <v>Suministro de Líneas</v>
      </c>
      <c r="E26" s="21">
        <f>IF(Base!H24="","",Base!H24)</f>
        <v>1050581</v>
      </c>
      <c r="J26" s="28">
        <v>16</v>
      </c>
      <c r="K26" s="5" t="s">
        <v>212</v>
      </c>
      <c r="L26" s="58" t="str">
        <f t="shared" si="1"/>
        <v>SIMON ANDRES  CARRASCO  CID</v>
      </c>
      <c r="M26" s="58">
        <f t="shared" si="2"/>
        <v>1050554</v>
      </c>
      <c r="N26" s="59" t="str">
        <f t="shared" si="3"/>
        <v>Linea 2</v>
      </c>
      <c r="O26" s="59" t="str">
        <f t="shared" si="4"/>
        <v>Embalador</v>
      </c>
      <c r="P26" s="30" t="s">
        <v>4</v>
      </c>
      <c r="Q26" s="81"/>
      <c r="R26" s="81"/>
      <c r="S26" s="81"/>
      <c r="T26" s="81"/>
      <c r="U26" s="81"/>
      <c r="V26" s="81"/>
      <c r="W26" s="81">
        <v>2</v>
      </c>
      <c r="X26" s="81"/>
      <c r="Y26" s="81"/>
      <c r="Z26" s="81"/>
      <c r="AA26" s="81"/>
      <c r="AB26" s="81"/>
      <c r="AC26" s="81"/>
      <c r="AD26" s="80"/>
      <c r="AE26" s="32">
        <f t="shared" si="23"/>
        <v>2</v>
      </c>
      <c r="AF26" s="32">
        <f t="shared" si="24"/>
        <v>0</v>
      </c>
      <c r="AG26" s="47"/>
      <c r="AL26" s="21" t="str">
        <f t="shared" si="25"/>
        <v>12.410.690-7</v>
      </c>
      <c r="AM26" s="21">
        <v>17</v>
      </c>
      <c r="AN26" s="21">
        <f t="shared" si="7"/>
        <v>0</v>
      </c>
      <c r="AO26" s="21">
        <f t="shared" si="8"/>
        <v>0</v>
      </c>
      <c r="AP26" s="21">
        <f t="shared" si="9"/>
        <v>0</v>
      </c>
      <c r="AQ26" s="21">
        <f t="shared" si="10"/>
        <v>2</v>
      </c>
      <c r="AR26" s="21">
        <f t="shared" si="11"/>
        <v>0</v>
      </c>
      <c r="AS26" s="21">
        <f t="shared" si="12"/>
        <v>0</v>
      </c>
      <c r="AT26" s="21">
        <f t="shared" si="13"/>
        <v>0</v>
      </c>
      <c r="AU26" s="34">
        <f t="shared" si="14"/>
        <v>2</v>
      </c>
      <c r="AW26" s="21" t="str">
        <f t="shared" si="15"/>
        <v/>
      </c>
      <c r="AX26" s="21" t="str">
        <f t="shared" si="16"/>
        <v/>
      </c>
      <c r="AY26" s="21" t="str">
        <f t="shared" si="17"/>
        <v/>
      </c>
      <c r="AZ26" s="21">
        <f t="shared" si="18"/>
        <v>0.5</v>
      </c>
      <c r="BA26" s="21" t="str">
        <f t="shared" si="19"/>
        <v/>
      </c>
      <c r="BB26" s="21" t="str">
        <f t="shared" si="20"/>
        <v/>
      </c>
      <c r="BC26" s="21" t="str">
        <f t="shared" si="21"/>
        <v/>
      </c>
    </row>
    <row r="27" spans="1:55" ht="15.75">
      <c r="A27" s="21" t="str">
        <f>IF(Base!B25="","",Base!B25)</f>
        <v>13.899.407-4</v>
      </c>
      <c r="B27" s="21" t="str">
        <f>IF(Base!F25="","",Base!F25)</f>
        <v>MAURICIO ANDRES  BUSTAMANTE  GONZALEZ</v>
      </c>
      <c r="C27" s="21" t="str">
        <f>IF(Base!I25="","",Base!I25)</f>
        <v>Abastecimiento</v>
      </c>
      <c r="D27" s="22" t="str">
        <f>IF(Base!J25="","",Base!J25)</f>
        <v>Suministro de Líneas</v>
      </c>
      <c r="E27" s="21">
        <f>IF(Base!H25="","",Base!H25)</f>
        <v>1050127</v>
      </c>
      <c r="J27" s="28">
        <v>17</v>
      </c>
      <c r="K27" s="5" t="s">
        <v>155</v>
      </c>
      <c r="L27" s="58" t="str">
        <f t="shared" si="1"/>
        <v>OLIVER HANS  BUGUEÑO  MEDEL</v>
      </c>
      <c r="M27" s="58">
        <f t="shared" si="2"/>
        <v>1050556</v>
      </c>
      <c r="N27" s="59" t="str">
        <f t="shared" si="3"/>
        <v>Linea 3</v>
      </c>
      <c r="O27" s="59" t="str">
        <f t="shared" si="4"/>
        <v>Etiquetador</v>
      </c>
      <c r="P27" s="30" t="s">
        <v>1321</v>
      </c>
      <c r="Q27" s="81"/>
      <c r="R27" s="80"/>
      <c r="S27" s="81">
        <v>2.5</v>
      </c>
      <c r="T27" s="81"/>
      <c r="U27" s="81">
        <v>3</v>
      </c>
      <c r="V27" s="81"/>
      <c r="W27" s="81">
        <v>4.5</v>
      </c>
      <c r="X27" s="81"/>
      <c r="Y27" s="81">
        <v>3</v>
      </c>
      <c r="Z27" s="81"/>
      <c r="AA27" s="81">
        <v>2.5</v>
      </c>
      <c r="AB27" s="81"/>
      <c r="AC27" s="81"/>
      <c r="AD27" s="81"/>
      <c r="AE27" s="32">
        <f t="shared" si="23"/>
        <v>15.5</v>
      </c>
      <c r="AF27" s="32">
        <f t="shared" si="24"/>
        <v>0</v>
      </c>
      <c r="AG27" s="47"/>
      <c r="AL27" s="21" t="str">
        <f t="shared" si="25"/>
        <v>16.907.382-1</v>
      </c>
      <c r="AM27" s="21">
        <v>18</v>
      </c>
      <c r="AN27" s="21">
        <f t="shared" si="7"/>
        <v>0</v>
      </c>
      <c r="AO27" s="21">
        <f t="shared" si="8"/>
        <v>2.5</v>
      </c>
      <c r="AP27" s="21">
        <f t="shared" si="9"/>
        <v>3</v>
      </c>
      <c r="AQ27" s="21">
        <f t="shared" si="10"/>
        <v>4.5</v>
      </c>
      <c r="AR27" s="21">
        <f t="shared" si="11"/>
        <v>3</v>
      </c>
      <c r="AS27" s="21">
        <f t="shared" si="12"/>
        <v>2.5</v>
      </c>
      <c r="AT27" s="21">
        <f t="shared" si="13"/>
        <v>0</v>
      </c>
      <c r="AU27" s="34">
        <f t="shared" si="14"/>
        <v>15.5</v>
      </c>
      <c r="AW27" s="21" t="str">
        <f t="shared" si="15"/>
        <v/>
      </c>
      <c r="AX27" s="21">
        <f t="shared" si="16"/>
        <v>0.5</v>
      </c>
      <c r="AY27" s="21">
        <f t="shared" si="17"/>
        <v>0.5</v>
      </c>
      <c r="AZ27" s="21">
        <f t="shared" si="18"/>
        <v>0.5</v>
      </c>
      <c r="BA27" s="21">
        <f t="shared" si="19"/>
        <v>0.5</v>
      </c>
      <c r="BB27" s="21">
        <f t="shared" si="20"/>
        <v>0.5</v>
      </c>
      <c r="BC27" s="21" t="str">
        <f t="shared" si="21"/>
        <v/>
      </c>
    </row>
    <row r="28" spans="1:55" ht="15.75">
      <c r="A28" s="21" t="str">
        <f>IF(Base!B26="","",Base!B26)</f>
        <v>10.116.815-8</v>
      </c>
      <c r="B28" s="21" t="str">
        <f>IF(Base!F26="","",Base!F26)</f>
        <v>TERESA DE LAS NIEVES  BUSTOS  JARA</v>
      </c>
      <c r="C28" s="21" t="str">
        <f>IF(Base!I26="","",Base!I26)</f>
        <v>Abastecimiento</v>
      </c>
      <c r="D28" s="22" t="str">
        <f>IF(Base!J26="","",Base!J26)</f>
        <v>Suministro de Líneas</v>
      </c>
      <c r="E28" s="21">
        <f>IF(Base!H26="","",Base!H26)</f>
        <v>1050127</v>
      </c>
      <c r="J28" s="28">
        <v>18</v>
      </c>
      <c r="K28" s="5" t="s">
        <v>1160</v>
      </c>
      <c r="L28" s="58" t="str">
        <f t="shared" si="1"/>
        <v>FABIAN  ESPINOZA  MATURANA</v>
      </c>
      <c r="M28" s="58">
        <f t="shared" si="2"/>
        <v>1050616</v>
      </c>
      <c r="N28" s="59" t="str">
        <f t="shared" si="3"/>
        <v>Linea 7</v>
      </c>
      <c r="O28" s="59" t="str">
        <f t="shared" si="4"/>
        <v>Etiquetador</v>
      </c>
      <c r="P28" s="30" t="s">
        <v>4</v>
      </c>
      <c r="Q28" s="81"/>
      <c r="R28" s="80"/>
      <c r="S28" s="81">
        <v>3</v>
      </c>
      <c r="T28" s="81"/>
      <c r="U28" s="81">
        <v>2</v>
      </c>
      <c r="V28" s="81"/>
      <c r="W28" s="81">
        <v>3</v>
      </c>
      <c r="X28" s="81"/>
      <c r="Y28" s="81">
        <v>2.5</v>
      </c>
      <c r="Z28" s="81"/>
      <c r="AA28" s="81">
        <v>2</v>
      </c>
      <c r="AB28" s="81"/>
      <c r="AC28" s="81"/>
      <c r="AD28" s="81"/>
      <c r="AE28" s="32">
        <f t="shared" si="23"/>
        <v>12.5</v>
      </c>
      <c r="AF28" s="32">
        <f t="shared" si="24"/>
        <v>0</v>
      </c>
      <c r="AG28" s="47"/>
      <c r="AL28" s="21" t="str">
        <f t="shared" si="25"/>
        <v>16.413.939-5</v>
      </c>
      <c r="AM28" s="21">
        <v>19</v>
      </c>
      <c r="AN28" s="21">
        <f t="shared" si="7"/>
        <v>0</v>
      </c>
      <c r="AO28" s="21">
        <f t="shared" si="8"/>
        <v>3</v>
      </c>
      <c r="AP28" s="21">
        <f t="shared" si="9"/>
        <v>2</v>
      </c>
      <c r="AQ28" s="21">
        <f t="shared" si="10"/>
        <v>3</v>
      </c>
      <c r="AR28" s="21">
        <f t="shared" si="11"/>
        <v>2.5</v>
      </c>
      <c r="AS28" s="21">
        <f t="shared" si="12"/>
        <v>2</v>
      </c>
      <c r="AT28" s="21">
        <f t="shared" si="13"/>
        <v>0</v>
      </c>
      <c r="AU28" s="34">
        <f t="shared" si="14"/>
        <v>12.5</v>
      </c>
      <c r="AW28" s="21" t="str">
        <f t="shared" si="15"/>
        <v/>
      </c>
      <c r="AX28" s="21">
        <f t="shared" si="16"/>
        <v>0.5</v>
      </c>
      <c r="AY28" s="21">
        <f t="shared" si="17"/>
        <v>0.5</v>
      </c>
      <c r="AZ28" s="21">
        <f t="shared" si="18"/>
        <v>0.5</v>
      </c>
      <c r="BA28" s="21">
        <f t="shared" si="19"/>
        <v>0.5</v>
      </c>
      <c r="BB28" s="21">
        <f t="shared" si="20"/>
        <v>0.5</v>
      </c>
      <c r="BC28" s="21" t="str">
        <f t="shared" si="21"/>
        <v/>
      </c>
    </row>
    <row r="29" spans="1:55" ht="15.75">
      <c r="A29" s="21" t="str">
        <f>IF(Base!B27="","",Base!B27)</f>
        <v>06.933.508-K</v>
      </c>
      <c r="B29" s="21" t="str">
        <f>IF(Base!F27="","",Base!F27)</f>
        <v>JUAN RAMON  CABELLO  DIAZ</v>
      </c>
      <c r="C29" s="21" t="str">
        <f>IF(Base!I27="","",Base!I27)</f>
        <v>Linea 7</v>
      </c>
      <c r="D29" s="22" t="str">
        <f>IF(Base!J27="","",Base!J27)</f>
        <v>Embalador</v>
      </c>
      <c r="E29" s="21">
        <f>IF(Base!H27="","",Base!H27)</f>
        <v>1050616</v>
      </c>
      <c r="J29" s="28">
        <v>19</v>
      </c>
      <c r="K29" s="5" t="s">
        <v>1164</v>
      </c>
      <c r="L29" s="58" t="str">
        <f t="shared" si="1"/>
        <v>WILSON  GARRIDO  ACEVEDO</v>
      </c>
      <c r="M29" s="58">
        <f t="shared" si="2"/>
        <v>1050529</v>
      </c>
      <c r="N29" s="59" t="str">
        <f t="shared" si="3"/>
        <v xml:space="preserve">Setup </v>
      </c>
      <c r="O29" s="59" t="str">
        <f t="shared" si="4"/>
        <v xml:space="preserve">Setup </v>
      </c>
      <c r="P29" s="30" t="s">
        <v>4</v>
      </c>
      <c r="Q29" s="81"/>
      <c r="R29" s="80"/>
      <c r="S29" s="81">
        <v>2.5</v>
      </c>
      <c r="T29" s="81"/>
      <c r="U29" s="81">
        <v>2.5</v>
      </c>
      <c r="V29" s="81"/>
      <c r="W29" s="81">
        <v>2</v>
      </c>
      <c r="X29" s="81"/>
      <c r="Y29" s="81">
        <v>2</v>
      </c>
      <c r="Z29" s="81"/>
      <c r="AA29" s="81">
        <v>2</v>
      </c>
      <c r="AB29" s="81"/>
      <c r="AC29" s="81"/>
      <c r="AD29" s="81"/>
      <c r="AE29" s="32">
        <f t="shared" si="23"/>
        <v>11</v>
      </c>
      <c r="AF29" s="32">
        <f t="shared" si="24"/>
        <v>0</v>
      </c>
      <c r="AG29" s="47"/>
      <c r="AL29" s="21" t="str">
        <f t="shared" si="25"/>
        <v>07.974.375-5</v>
      </c>
      <c r="AM29" s="21">
        <v>20</v>
      </c>
      <c r="AN29" s="21">
        <f t="shared" si="7"/>
        <v>0</v>
      </c>
      <c r="AO29" s="21">
        <f t="shared" si="8"/>
        <v>2.5</v>
      </c>
      <c r="AP29" s="21">
        <f t="shared" si="9"/>
        <v>2.5</v>
      </c>
      <c r="AQ29" s="21">
        <f t="shared" si="10"/>
        <v>2</v>
      </c>
      <c r="AR29" s="21">
        <f t="shared" si="11"/>
        <v>2</v>
      </c>
      <c r="AS29" s="21">
        <f t="shared" si="12"/>
        <v>2</v>
      </c>
      <c r="AT29" s="21">
        <f t="shared" si="13"/>
        <v>0</v>
      </c>
      <c r="AU29" s="34">
        <f t="shared" si="14"/>
        <v>11</v>
      </c>
      <c r="AW29" s="21" t="str">
        <f t="shared" si="15"/>
        <v/>
      </c>
      <c r="AX29" s="21">
        <f t="shared" si="16"/>
        <v>0.5</v>
      </c>
      <c r="AY29" s="21">
        <f t="shared" si="17"/>
        <v>0.5</v>
      </c>
      <c r="AZ29" s="21">
        <f t="shared" si="18"/>
        <v>0.5</v>
      </c>
      <c r="BA29" s="21">
        <f t="shared" si="19"/>
        <v>0.5</v>
      </c>
      <c r="BB29" s="21">
        <f t="shared" si="20"/>
        <v>0.5</v>
      </c>
      <c r="BC29" s="21" t="str">
        <f t="shared" si="21"/>
        <v/>
      </c>
    </row>
    <row r="30" spans="1:55" ht="15.75">
      <c r="A30" s="21" t="str">
        <f>IF(Base!B28="","",Base!B28)</f>
        <v>16.441.340-3</v>
      </c>
      <c r="B30" s="21" t="str">
        <f>IF(Base!F28="","",Base!F28)</f>
        <v>LUIS HERNAN  CACERES  ORMAZABAL</v>
      </c>
      <c r="C30" s="21" t="str">
        <f>IF(Base!I28="","",Base!I28)</f>
        <v>Abastecimiento</v>
      </c>
      <c r="D30" s="22" t="str">
        <f>IF(Base!J28="","",Base!J28)</f>
        <v>Suministro de Líneas</v>
      </c>
      <c r="E30" s="21">
        <f>IF(Base!H28="","",Base!H28)</f>
        <v>1050633</v>
      </c>
      <c r="J30" s="28">
        <v>20</v>
      </c>
      <c r="K30" s="5" t="s">
        <v>1132</v>
      </c>
      <c r="L30" s="58" t="str">
        <f t="shared" si="1"/>
        <v>ELIZABETH  CONCHA  VALDEBENITO</v>
      </c>
      <c r="M30" s="58">
        <f t="shared" si="2"/>
        <v>1050529</v>
      </c>
      <c r="N30" s="59" t="str">
        <f t="shared" si="3"/>
        <v xml:space="preserve">Setup </v>
      </c>
      <c r="O30" s="59" t="str">
        <f t="shared" si="4"/>
        <v xml:space="preserve">Setup </v>
      </c>
      <c r="P30" s="30" t="s">
        <v>4</v>
      </c>
      <c r="Q30" s="81"/>
      <c r="R30" s="80"/>
      <c r="S30" s="81"/>
      <c r="T30" s="81"/>
      <c r="U30" s="81">
        <v>2</v>
      </c>
      <c r="V30" s="81"/>
      <c r="W30" s="81">
        <v>2</v>
      </c>
      <c r="X30" s="81"/>
      <c r="Y30" s="81">
        <v>2</v>
      </c>
      <c r="Z30" s="81"/>
      <c r="AA30" s="81">
        <v>2</v>
      </c>
      <c r="AB30" s="81"/>
      <c r="AC30" s="81"/>
      <c r="AD30" s="81"/>
      <c r="AE30" s="32">
        <f t="shared" si="23"/>
        <v>8</v>
      </c>
      <c r="AF30" s="32">
        <f t="shared" si="24"/>
        <v>0</v>
      </c>
      <c r="AG30" s="47"/>
      <c r="AL30" s="21" t="str">
        <f t="shared" si="25"/>
        <v>10.042.994-2</v>
      </c>
      <c r="AM30" s="21">
        <v>21</v>
      </c>
      <c r="AN30" s="21">
        <f t="shared" si="7"/>
        <v>0</v>
      </c>
      <c r="AO30" s="21">
        <f t="shared" si="8"/>
        <v>0</v>
      </c>
      <c r="AP30" s="21">
        <f t="shared" si="9"/>
        <v>2</v>
      </c>
      <c r="AQ30" s="21">
        <f t="shared" si="10"/>
        <v>2</v>
      </c>
      <c r="AR30" s="21">
        <f t="shared" si="11"/>
        <v>2</v>
      </c>
      <c r="AS30" s="21">
        <f t="shared" si="12"/>
        <v>2</v>
      </c>
      <c r="AT30" s="21">
        <f t="shared" si="13"/>
        <v>0</v>
      </c>
      <c r="AU30" s="34">
        <f t="shared" si="14"/>
        <v>8</v>
      </c>
      <c r="AW30" s="21" t="str">
        <f t="shared" si="15"/>
        <v/>
      </c>
      <c r="AX30" s="21" t="str">
        <f t="shared" si="16"/>
        <v/>
      </c>
      <c r="AY30" s="21">
        <f t="shared" si="17"/>
        <v>0.5</v>
      </c>
      <c r="AZ30" s="21">
        <f t="shared" si="18"/>
        <v>0.5</v>
      </c>
      <c r="BA30" s="21">
        <f t="shared" si="19"/>
        <v>0.5</v>
      </c>
      <c r="BB30" s="21">
        <f t="shared" si="20"/>
        <v>0.5</v>
      </c>
      <c r="BC30" s="21" t="str">
        <f t="shared" si="21"/>
        <v/>
      </c>
    </row>
    <row r="31" spans="1:55" ht="15.75">
      <c r="A31" s="21" t="str">
        <f>IF(Base!B29="","",Base!B29)</f>
        <v>14.095.347-4</v>
      </c>
      <c r="B31" s="21" t="str">
        <f>IF(Base!F29="","",Base!F29)</f>
        <v>ANDRES NICOLAS  CAÑOLES  VERA</v>
      </c>
      <c r="C31" s="21" t="str">
        <f>IF(Base!I29="","",Base!I29)</f>
        <v>Sala filtros</v>
      </c>
      <c r="D31" s="22" t="str">
        <f>IF(Base!J29="","",Base!J29)</f>
        <v>Operador sala de filtros</v>
      </c>
      <c r="E31" s="21">
        <f>IF(Base!H29="","",Base!H29)</f>
        <v>1050574</v>
      </c>
      <c r="J31" s="28">
        <v>21</v>
      </c>
      <c r="K31" s="5" t="s">
        <v>1205</v>
      </c>
      <c r="L31" s="58" t="str">
        <f t="shared" si="1"/>
        <v>JULIO CESAR  PINTO  FLORES</v>
      </c>
      <c r="M31" s="58">
        <f t="shared" si="2"/>
        <v>1050529</v>
      </c>
      <c r="N31" s="59" t="str">
        <f t="shared" si="3"/>
        <v xml:space="preserve">Setup </v>
      </c>
      <c r="O31" s="59" t="str">
        <f t="shared" si="4"/>
        <v xml:space="preserve">Setup </v>
      </c>
      <c r="P31" s="30" t="s">
        <v>4</v>
      </c>
      <c r="Q31" s="81"/>
      <c r="R31" s="80"/>
      <c r="S31" s="81">
        <v>2</v>
      </c>
      <c r="T31" s="81"/>
      <c r="U31" s="81">
        <v>2</v>
      </c>
      <c r="V31" s="81"/>
      <c r="W31" s="81">
        <v>2</v>
      </c>
      <c r="X31" s="81"/>
      <c r="Y31" s="81">
        <v>2</v>
      </c>
      <c r="Z31" s="81"/>
      <c r="AA31" s="81">
        <v>2</v>
      </c>
      <c r="AB31" s="81"/>
      <c r="AC31" s="81"/>
      <c r="AD31" s="81"/>
      <c r="AE31" s="32">
        <f t="shared" si="23"/>
        <v>10</v>
      </c>
      <c r="AF31" s="32">
        <f t="shared" si="24"/>
        <v>0</v>
      </c>
      <c r="AG31" s="48"/>
      <c r="AL31" s="21" t="str">
        <f t="shared" si="25"/>
        <v>07.816.805-6</v>
      </c>
      <c r="AM31" s="21">
        <v>22</v>
      </c>
      <c r="AN31" s="21">
        <f t="shared" si="7"/>
        <v>0</v>
      </c>
      <c r="AO31" s="21">
        <f t="shared" si="8"/>
        <v>2</v>
      </c>
      <c r="AP31" s="21">
        <f t="shared" si="9"/>
        <v>2</v>
      </c>
      <c r="AQ31" s="21">
        <f t="shared" si="10"/>
        <v>2</v>
      </c>
      <c r="AR31" s="21">
        <f t="shared" si="11"/>
        <v>2</v>
      </c>
      <c r="AS31" s="21">
        <f t="shared" si="12"/>
        <v>2</v>
      </c>
      <c r="AT31" s="21">
        <f t="shared" si="13"/>
        <v>0</v>
      </c>
      <c r="AU31" s="34">
        <f t="shared" si="14"/>
        <v>10</v>
      </c>
      <c r="AW31" s="21" t="str">
        <f t="shared" si="15"/>
        <v/>
      </c>
      <c r="AX31" s="21">
        <f t="shared" si="16"/>
        <v>0.5</v>
      </c>
      <c r="AY31" s="21">
        <f t="shared" si="17"/>
        <v>0.5</v>
      </c>
      <c r="AZ31" s="21">
        <f t="shared" si="18"/>
        <v>0.5</v>
      </c>
      <c r="BA31" s="21">
        <f t="shared" si="19"/>
        <v>0.5</v>
      </c>
      <c r="BB31" s="21">
        <f t="shared" si="20"/>
        <v>0.5</v>
      </c>
      <c r="BC31" s="21" t="str">
        <f t="shared" si="21"/>
        <v/>
      </c>
    </row>
    <row r="32" spans="1:55" ht="15.75">
      <c r="A32" s="21" t="str">
        <f>IF(Base!B30="","",Base!B30)</f>
        <v>12.674.806-K</v>
      </c>
      <c r="B32" s="21" t="str">
        <f>IF(Base!F30="","",Base!F30)</f>
        <v>MARCO  CARDENAS  ULLOA</v>
      </c>
      <c r="C32" s="21" t="str">
        <f>IF(Base!I30="","",Base!I30)</f>
        <v>Linea 3</v>
      </c>
      <c r="D32" s="22" t="str">
        <f>IF(Base!J30="","",Base!J30)</f>
        <v>Etiquetador</v>
      </c>
      <c r="E32" s="21">
        <f>IF(Base!H30="","",Base!H30)</f>
        <v>1050556</v>
      </c>
      <c r="J32" s="28">
        <v>22</v>
      </c>
      <c r="K32" s="5" t="s">
        <v>1443</v>
      </c>
      <c r="L32" s="58" t="str">
        <f t="shared" si="1"/>
        <v>ROBERTO FABIAN  DURAN  MIRANDA</v>
      </c>
      <c r="M32" s="58">
        <f t="shared" si="2"/>
        <v>1050529</v>
      </c>
      <c r="N32" s="59" t="str">
        <f t="shared" si="3"/>
        <v xml:space="preserve">Setup </v>
      </c>
      <c r="O32" s="59" t="str">
        <f t="shared" si="4"/>
        <v xml:space="preserve">Setup </v>
      </c>
      <c r="P32" s="30" t="s">
        <v>4</v>
      </c>
      <c r="Q32" s="81"/>
      <c r="R32" s="80"/>
      <c r="S32" s="81">
        <v>2</v>
      </c>
      <c r="T32" s="81"/>
      <c r="U32" s="81">
        <v>2</v>
      </c>
      <c r="V32" s="81"/>
      <c r="W32" s="81">
        <v>2</v>
      </c>
      <c r="X32" s="81"/>
      <c r="Y32" s="81">
        <v>2</v>
      </c>
      <c r="Z32" s="81"/>
      <c r="AA32" s="81">
        <v>2</v>
      </c>
      <c r="AB32" s="81"/>
      <c r="AC32" s="81"/>
      <c r="AD32" s="81"/>
      <c r="AE32" s="32">
        <f t="shared" si="23"/>
        <v>10</v>
      </c>
      <c r="AF32" s="32">
        <f t="shared" si="24"/>
        <v>0</v>
      </c>
      <c r="AG32" s="47"/>
      <c r="AL32" s="21" t="str">
        <f t="shared" si="25"/>
        <v>15.449.281-k</v>
      </c>
      <c r="AM32" s="21">
        <v>23</v>
      </c>
      <c r="AN32" s="21">
        <f t="shared" si="7"/>
        <v>0</v>
      </c>
      <c r="AO32" s="21">
        <f t="shared" si="8"/>
        <v>2</v>
      </c>
      <c r="AP32" s="21">
        <f t="shared" si="9"/>
        <v>2</v>
      </c>
      <c r="AQ32" s="21">
        <f t="shared" si="10"/>
        <v>2</v>
      </c>
      <c r="AR32" s="21">
        <f t="shared" si="11"/>
        <v>2</v>
      </c>
      <c r="AS32" s="21">
        <f t="shared" si="12"/>
        <v>2</v>
      </c>
      <c r="AT32" s="21">
        <f t="shared" si="13"/>
        <v>0</v>
      </c>
      <c r="AU32" s="34">
        <f t="shared" si="14"/>
        <v>10</v>
      </c>
      <c r="AW32" s="21" t="str">
        <f t="shared" si="15"/>
        <v/>
      </c>
      <c r="AX32" s="21">
        <f t="shared" si="16"/>
        <v>0.5</v>
      </c>
      <c r="AY32" s="21">
        <f t="shared" si="17"/>
        <v>0.5</v>
      </c>
      <c r="AZ32" s="21">
        <f t="shared" si="18"/>
        <v>0.5</v>
      </c>
      <c r="BA32" s="21">
        <f t="shared" si="19"/>
        <v>0.5</v>
      </c>
      <c r="BB32" s="21">
        <f t="shared" si="20"/>
        <v>0.5</v>
      </c>
      <c r="BC32" s="21" t="str">
        <f t="shared" si="21"/>
        <v/>
      </c>
    </row>
    <row r="33" spans="1:55" ht="15.75">
      <c r="A33" s="21" t="str">
        <f>IF(Base!B31="","",Base!B31)</f>
        <v>08.454.836-7</v>
      </c>
      <c r="B33" s="21" t="str">
        <f>IF(Base!F31="","",Base!F31)</f>
        <v>BRIGIDA DEL CARMEN  CARES  LOPEZ</v>
      </c>
      <c r="C33" s="21" t="str">
        <f>IF(Base!I31="","",Base!I31)</f>
        <v>Abastecimiento</v>
      </c>
      <c r="D33" s="22" t="str">
        <f>IF(Base!J31="","",Base!J31)</f>
        <v>Suministro de Líneas</v>
      </c>
      <c r="E33" s="21">
        <f>IF(Base!H31="","",Base!H31)</f>
        <v>1050127</v>
      </c>
      <c r="J33" s="28">
        <v>23</v>
      </c>
      <c r="K33" s="5" t="s">
        <v>1387</v>
      </c>
      <c r="L33" s="58" t="str">
        <f t="shared" si="1"/>
        <v>RODRIGO  POBLETE  SANDOVAL</v>
      </c>
      <c r="M33" s="58">
        <f t="shared" si="2"/>
        <v>1050529</v>
      </c>
      <c r="N33" s="59" t="str">
        <f t="shared" si="3"/>
        <v>Setup</v>
      </c>
      <c r="O33" s="59" t="str">
        <f t="shared" si="4"/>
        <v>Setup</v>
      </c>
      <c r="P33" s="30" t="s">
        <v>4</v>
      </c>
      <c r="Q33" s="81"/>
      <c r="R33" s="80"/>
      <c r="S33" s="81">
        <v>2</v>
      </c>
      <c r="T33" s="81"/>
      <c r="U33" s="81">
        <v>2</v>
      </c>
      <c r="V33" s="81"/>
      <c r="W33" s="81">
        <v>2</v>
      </c>
      <c r="X33" s="81"/>
      <c r="Y33" s="81">
        <v>2</v>
      </c>
      <c r="Z33" s="81"/>
      <c r="AA33" s="81">
        <v>2</v>
      </c>
      <c r="AB33" s="81"/>
      <c r="AC33" s="81"/>
      <c r="AD33" s="81"/>
      <c r="AE33" s="32">
        <f t="shared" si="23"/>
        <v>10</v>
      </c>
      <c r="AF33" s="32">
        <f t="shared" si="24"/>
        <v>0</v>
      </c>
      <c r="AG33" s="48"/>
      <c r="AL33" s="21" t="str">
        <f t="shared" si="25"/>
        <v>16.149.604-9</v>
      </c>
      <c r="AM33" s="21">
        <v>24</v>
      </c>
      <c r="AN33" s="21">
        <f t="shared" si="7"/>
        <v>0</v>
      </c>
      <c r="AO33" s="21">
        <f t="shared" si="8"/>
        <v>2</v>
      </c>
      <c r="AP33" s="21">
        <f t="shared" si="9"/>
        <v>2</v>
      </c>
      <c r="AQ33" s="21">
        <f t="shared" si="10"/>
        <v>2</v>
      </c>
      <c r="AR33" s="21">
        <f t="shared" si="11"/>
        <v>2</v>
      </c>
      <c r="AS33" s="21">
        <f t="shared" si="12"/>
        <v>2</v>
      </c>
      <c r="AT33" s="21">
        <f t="shared" si="13"/>
        <v>0</v>
      </c>
      <c r="AU33" s="34">
        <f t="shared" si="14"/>
        <v>10</v>
      </c>
      <c r="AW33" s="21" t="str">
        <f t="shared" si="15"/>
        <v/>
      </c>
      <c r="AX33" s="21">
        <f t="shared" si="16"/>
        <v>0.5</v>
      </c>
      <c r="AY33" s="21">
        <f t="shared" si="17"/>
        <v>0.5</v>
      </c>
      <c r="AZ33" s="21">
        <f t="shared" si="18"/>
        <v>0.5</v>
      </c>
      <c r="BA33" s="21">
        <f t="shared" si="19"/>
        <v>0.5</v>
      </c>
      <c r="BB33" s="21">
        <f t="shared" si="20"/>
        <v>0.5</v>
      </c>
      <c r="BC33" s="21" t="str">
        <f t="shared" si="21"/>
        <v/>
      </c>
    </row>
    <row r="34" spans="1:55" ht="15.75">
      <c r="A34" s="21" t="str">
        <f>IF(Base!B32="","",Base!B32)</f>
        <v>09.832.710-K</v>
      </c>
      <c r="B34" s="21" t="str">
        <f>IF(Base!F32="","",Base!F32)</f>
        <v>OMAR FCO.  CARO  RODRIGUEZ</v>
      </c>
      <c r="C34" s="21" t="str">
        <f>IF(Base!I32="","",Base!I32)</f>
        <v>Abastecimiento</v>
      </c>
      <c r="D34" s="22" t="str">
        <f>IF(Base!J32="","",Base!J32)</f>
        <v>Suministro de Líneas</v>
      </c>
      <c r="E34" s="21">
        <f>IF(Base!H32="","",Base!H32)</f>
        <v>1050127</v>
      </c>
      <c r="J34" s="28">
        <v>24</v>
      </c>
      <c r="K34" s="5" t="s">
        <v>23</v>
      </c>
      <c r="L34" s="58" t="str">
        <f t="shared" si="1"/>
        <v>MARIO DEL TRANSITO  ACEVEDO  MARTINEZ</v>
      </c>
      <c r="M34" s="58">
        <f t="shared" si="2"/>
        <v>1050126</v>
      </c>
      <c r="N34" s="59" t="str">
        <f t="shared" si="3"/>
        <v>Abastecimiento</v>
      </c>
      <c r="O34" s="59" t="str">
        <f t="shared" si="4"/>
        <v>Control Ingresos Cen</v>
      </c>
      <c r="P34" s="30" t="s">
        <v>1321</v>
      </c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32">
        <f t="shared" si="23"/>
        <v>0</v>
      </c>
      <c r="AF34" s="32">
        <f t="shared" si="24"/>
        <v>0</v>
      </c>
      <c r="AG34" s="47"/>
      <c r="AL34" s="21" t="str">
        <f t="shared" si="25"/>
        <v>08.224.093-4</v>
      </c>
      <c r="AM34" s="21">
        <v>25</v>
      </c>
      <c r="AN34" s="21">
        <f t="shared" si="7"/>
        <v>0</v>
      </c>
      <c r="AO34" s="21">
        <f t="shared" si="8"/>
        <v>0</v>
      </c>
      <c r="AP34" s="21">
        <f t="shared" si="9"/>
        <v>0</v>
      </c>
      <c r="AQ34" s="21">
        <f t="shared" si="10"/>
        <v>0</v>
      </c>
      <c r="AR34" s="21">
        <f t="shared" si="11"/>
        <v>0</v>
      </c>
      <c r="AS34" s="21">
        <f t="shared" si="12"/>
        <v>0</v>
      </c>
      <c r="AT34" s="21">
        <f t="shared" si="13"/>
        <v>0</v>
      </c>
      <c r="AU34" s="34">
        <f t="shared" si="14"/>
        <v>0</v>
      </c>
      <c r="AW34" s="21" t="str">
        <f t="shared" si="15"/>
        <v/>
      </c>
      <c r="AX34" s="21" t="str">
        <f t="shared" si="16"/>
        <v/>
      </c>
      <c r="AY34" s="21" t="str">
        <f t="shared" si="17"/>
        <v/>
      </c>
      <c r="AZ34" s="21" t="str">
        <f t="shared" si="18"/>
        <v/>
      </c>
      <c r="BA34" s="21" t="str">
        <f t="shared" si="19"/>
        <v/>
      </c>
      <c r="BB34" s="21" t="str">
        <f t="shared" si="20"/>
        <v/>
      </c>
      <c r="BC34" s="21" t="str">
        <f t="shared" si="21"/>
        <v/>
      </c>
    </row>
    <row r="35" spans="1:55" ht="15.75">
      <c r="A35" s="21" t="str">
        <f>IF(Base!B33="","",Base!B33)</f>
        <v>12.410.690-7</v>
      </c>
      <c r="B35" s="21" t="str">
        <f>IF(Base!F33="","",Base!F33)</f>
        <v>SIMON ANDRES  CARRASCO  CID</v>
      </c>
      <c r="C35" s="21" t="str">
        <f>IF(Base!I33="","",Base!I33)</f>
        <v>Linea 2</v>
      </c>
      <c r="D35" s="22" t="str">
        <f>IF(Base!J33="","",Base!J33)</f>
        <v>Embalador</v>
      </c>
      <c r="E35" s="21">
        <f>IF(Base!H33="","",Base!H33)</f>
        <v>1050554</v>
      </c>
      <c r="J35" s="28">
        <v>25</v>
      </c>
      <c r="K35" s="5" t="s">
        <v>31</v>
      </c>
      <c r="L35" s="58" t="str">
        <f t="shared" si="1"/>
        <v>ANDRES RAUL  AEDO  MUÑOZ</v>
      </c>
      <c r="M35" s="58">
        <f t="shared" si="2"/>
        <v>1050127</v>
      </c>
      <c r="N35" s="59" t="str">
        <f t="shared" si="3"/>
        <v>Abastecimiento</v>
      </c>
      <c r="O35" s="59" t="str">
        <f t="shared" si="4"/>
        <v>Preparación de Insum</v>
      </c>
      <c r="P35" s="30" t="s">
        <v>1321</v>
      </c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32">
        <f t="shared" si="23"/>
        <v>0</v>
      </c>
      <c r="AF35" s="32">
        <f t="shared" si="24"/>
        <v>0</v>
      </c>
      <c r="AG35" s="47"/>
      <c r="AL35" s="21" t="str">
        <f t="shared" si="25"/>
        <v>12.677.439-7</v>
      </c>
      <c r="AM35" s="21">
        <v>26</v>
      </c>
      <c r="AN35" s="21">
        <f t="shared" si="7"/>
        <v>0</v>
      </c>
      <c r="AO35" s="21">
        <f t="shared" si="8"/>
        <v>0</v>
      </c>
      <c r="AP35" s="21">
        <f t="shared" si="9"/>
        <v>0</v>
      </c>
      <c r="AQ35" s="21">
        <f t="shared" si="10"/>
        <v>0</v>
      </c>
      <c r="AR35" s="21">
        <f t="shared" si="11"/>
        <v>0</v>
      </c>
      <c r="AS35" s="21">
        <f t="shared" si="12"/>
        <v>0</v>
      </c>
      <c r="AT35" s="21">
        <f t="shared" si="13"/>
        <v>0</v>
      </c>
      <c r="AU35" s="34">
        <f t="shared" si="14"/>
        <v>0</v>
      </c>
      <c r="AW35" s="21" t="str">
        <f t="shared" si="15"/>
        <v/>
      </c>
      <c r="AX35" s="21" t="str">
        <f t="shared" si="16"/>
        <v/>
      </c>
      <c r="AY35" s="21" t="str">
        <f t="shared" si="17"/>
        <v/>
      </c>
      <c r="AZ35" s="21" t="str">
        <f t="shared" si="18"/>
        <v/>
      </c>
      <c r="BA35" s="21" t="str">
        <f t="shared" si="19"/>
        <v/>
      </c>
      <c r="BB35" s="21" t="str">
        <f t="shared" si="20"/>
        <v/>
      </c>
      <c r="BC35" s="21" t="str">
        <f t="shared" si="21"/>
        <v/>
      </c>
    </row>
    <row r="36" spans="1:55" ht="15.75">
      <c r="A36" s="21" t="str">
        <f>IF(Base!B34="","",Base!B34)</f>
        <v>08.360.971-0</v>
      </c>
      <c r="B36" s="21" t="str">
        <f>IF(Base!F34="","",Base!F34)</f>
        <v>PACIFICO  CARRERA  MAUREIRA</v>
      </c>
      <c r="C36" s="21" t="str">
        <f>IF(Base!I34="","",Base!I34)</f>
        <v>Linea 2</v>
      </c>
      <c r="D36" s="22" t="str">
        <f>IF(Base!J34="","",Base!J34)</f>
        <v>Etiquetador</v>
      </c>
      <c r="E36" s="21">
        <f>IF(Base!H34="","",Base!H34)</f>
        <v>1050554</v>
      </c>
      <c r="J36" s="28">
        <v>26</v>
      </c>
      <c r="K36" s="5" t="s">
        <v>46</v>
      </c>
      <c r="L36" s="58" t="str">
        <f t="shared" si="1"/>
        <v>KAREN FABIOLA  ALARCON  SILVA</v>
      </c>
      <c r="M36" s="58">
        <f t="shared" si="2"/>
        <v>1050506</v>
      </c>
      <c r="N36" s="59" t="str">
        <f t="shared" si="3"/>
        <v>Abastecimiento</v>
      </c>
      <c r="O36" s="59" t="str">
        <f t="shared" si="4"/>
        <v>Reimpresión</v>
      </c>
      <c r="P36" s="30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32">
        <f t="shared" si="23"/>
        <v>0</v>
      </c>
      <c r="AF36" s="32">
        <f t="shared" si="24"/>
        <v>0</v>
      </c>
      <c r="AG36" s="47"/>
      <c r="AL36" s="21" t="str">
        <f t="shared" si="25"/>
        <v>16.191.666-8</v>
      </c>
      <c r="AM36" s="21">
        <v>27</v>
      </c>
      <c r="AN36" s="21">
        <f t="shared" si="7"/>
        <v>0</v>
      </c>
      <c r="AO36" s="21">
        <f t="shared" si="8"/>
        <v>0</v>
      </c>
      <c r="AP36" s="21">
        <f t="shared" si="9"/>
        <v>0</v>
      </c>
      <c r="AQ36" s="21">
        <f t="shared" si="10"/>
        <v>0</v>
      </c>
      <c r="AR36" s="21">
        <f t="shared" si="11"/>
        <v>0</v>
      </c>
      <c r="AS36" s="21">
        <f t="shared" si="12"/>
        <v>0</v>
      </c>
      <c r="AT36" s="21">
        <f t="shared" si="13"/>
        <v>0</v>
      </c>
      <c r="AU36" s="34">
        <f t="shared" si="14"/>
        <v>0</v>
      </c>
      <c r="AW36" s="21" t="str">
        <f t="shared" si="15"/>
        <v/>
      </c>
      <c r="AX36" s="21" t="str">
        <f t="shared" si="16"/>
        <v/>
      </c>
      <c r="AY36" s="21" t="str">
        <f t="shared" si="17"/>
        <v/>
      </c>
      <c r="AZ36" s="21" t="str">
        <f t="shared" si="18"/>
        <v/>
      </c>
      <c r="BA36" s="21" t="str">
        <f t="shared" si="19"/>
        <v/>
      </c>
      <c r="BB36" s="21" t="str">
        <f t="shared" si="20"/>
        <v/>
      </c>
      <c r="BC36" s="21" t="str">
        <f t="shared" si="21"/>
        <v/>
      </c>
    </row>
    <row r="37" spans="1:55" ht="15.75">
      <c r="A37" s="21" t="str">
        <f>IF(Base!B35="","",Base!B35)</f>
        <v>16.695.463-0</v>
      </c>
      <c r="B37" s="21" t="str">
        <f>IF(Base!F35="","",Base!F35)</f>
        <v>CAMILO ALEXANDER  CARVAJAL  APPELGREN</v>
      </c>
      <c r="C37" s="21" t="str">
        <f>IF(Base!I35="","",Base!I35)</f>
        <v>Linea 7</v>
      </c>
      <c r="D37" s="22" t="str">
        <f>IF(Base!J35="","",Base!J35)</f>
        <v>Despalletizador</v>
      </c>
      <c r="E37" s="21">
        <f>IF(Base!H35="","",Base!H35)</f>
        <v>1050616</v>
      </c>
      <c r="J37" s="28">
        <v>27</v>
      </c>
      <c r="K37" s="5" t="s">
        <v>131</v>
      </c>
      <c r="L37" s="58" t="str">
        <f t="shared" si="1"/>
        <v>LUIS ALBERTO  ALVARADO  MARTINEZ</v>
      </c>
      <c r="M37" s="58">
        <f t="shared" si="2"/>
        <v>1050633</v>
      </c>
      <c r="N37" s="59" t="str">
        <f t="shared" si="3"/>
        <v>Abastecimiento</v>
      </c>
      <c r="O37" s="59" t="str">
        <f t="shared" si="4"/>
        <v>Suministro de Líneas</v>
      </c>
      <c r="P37" s="30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32">
        <f t="shared" si="23"/>
        <v>0</v>
      </c>
      <c r="AF37" s="32">
        <f t="shared" si="24"/>
        <v>0</v>
      </c>
      <c r="AG37" s="47"/>
      <c r="AL37" s="21" t="str">
        <f t="shared" si="25"/>
        <v>11.325.204-9</v>
      </c>
      <c r="AM37" s="21">
        <v>28</v>
      </c>
      <c r="AN37" s="21">
        <f t="shared" si="7"/>
        <v>0</v>
      </c>
      <c r="AO37" s="21">
        <f t="shared" si="8"/>
        <v>0</v>
      </c>
      <c r="AP37" s="21">
        <f t="shared" si="9"/>
        <v>0</v>
      </c>
      <c r="AQ37" s="21">
        <f t="shared" si="10"/>
        <v>0</v>
      </c>
      <c r="AR37" s="21">
        <f t="shared" si="11"/>
        <v>0</v>
      </c>
      <c r="AS37" s="21">
        <f t="shared" si="12"/>
        <v>0</v>
      </c>
      <c r="AT37" s="21">
        <f t="shared" si="13"/>
        <v>0</v>
      </c>
      <c r="AU37" s="34">
        <f t="shared" si="14"/>
        <v>0</v>
      </c>
      <c r="AW37" s="21" t="str">
        <f t="shared" si="15"/>
        <v/>
      </c>
      <c r="AX37" s="21" t="str">
        <f t="shared" si="16"/>
        <v/>
      </c>
      <c r="AY37" s="21" t="str">
        <f t="shared" si="17"/>
        <v/>
      </c>
      <c r="AZ37" s="21" t="str">
        <f t="shared" si="18"/>
        <v/>
      </c>
      <c r="BA37" s="21" t="str">
        <f t="shared" si="19"/>
        <v/>
      </c>
      <c r="BB37" s="21" t="str">
        <f t="shared" si="20"/>
        <v/>
      </c>
      <c r="BC37" s="21" t="str">
        <f t="shared" si="21"/>
        <v/>
      </c>
    </row>
    <row r="38" spans="1:55" ht="15.75">
      <c r="A38" s="21" t="str">
        <f>IF(Base!B36="","",Base!B36)</f>
        <v>08.465.592-9</v>
      </c>
      <c r="B38" s="21" t="str">
        <f>IF(Base!F36="","",Base!F36)</f>
        <v>JUAN A  CASTAÑEDA  SANHUEZA</v>
      </c>
      <c r="C38" s="21" t="str">
        <f>IF(Base!I36="","",Base!I36)</f>
        <v>Sala filtros</v>
      </c>
      <c r="D38" s="22" t="str">
        <f>IF(Base!J36="","",Base!J36)</f>
        <v>Operador sala de filtros</v>
      </c>
      <c r="E38" s="21">
        <f>IF(Base!H36="","",Base!H36)</f>
        <v>1050574</v>
      </c>
      <c r="J38" s="28">
        <v>28</v>
      </c>
      <c r="K38" s="5" t="s">
        <v>75</v>
      </c>
      <c r="L38" s="58" t="str">
        <f t="shared" si="1"/>
        <v>CRISTIAN DANIEL  ALVAREZ  REYES</v>
      </c>
      <c r="M38" s="58">
        <f t="shared" si="2"/>
        <v>1050162</v>
      </c>
      <c r="N38" s="59" t="str">
        <f t="shared" si="3"/>
        <v>Abastecimiento</v>
      </c>
      <c r="O38" s="59" t="str">
        <f t="shared" si="4"/>
        <v>Almacen Envases Pirq</v>
      </c>
      <c r="P38" s="30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32">
        <f t="shared" si="23"/>
        <v>0</v>
      </c>
      <c r="AF38" s="32">
        <f t="shared" si="24"/>
        <v>0</v>
      </c>
      <c r="AG38" s="48"/>
      <c r="AL38" s="21" t="str">
        <f t="shared" si="25"/>
        <v>17.609.782-5</v>
      </c>
      <c r="AM38" s="21">
        <v>29</v>
      </c>
      <c r="AN38" s="21">
        <f t="shared" si="7"/>
        <v>0</v>
      </c>
      <c r="AO38" s="21">
        <f t="shared" si="8"/>
        <v>0</v>
      </c>
      <c r="AP38" s="21">
        <f t="shared" si="9"/>
        <v>0</v>
      </c>
      <c r="AQ38" s="21">
        <f t="shared" si="10"/>
        <v>0</v>
      </c>
      <c r="AR38" s="21">
        <f t="shared" si="11"/>
        <v>0</v>
      </c>
      <c r="AS38" s="21">
        <f t="shared" si="12"/>
        <v>0</v>
      </c>
      <c r="AT38" s="21">
        <f t="shared" si="13"/>
        <v>0</v>
      </c>
      <c r="AU38" s="34">
        <f t="shared" si="14"/>
        <v>0</v>
      </c>
      <c r="AW38" s="21" t="str">
        <f t="shared" si="15"/>
        <v/>
      </c>
      <c r="AX38" s="21" t="str">
        <f t="shared" si="16"/>
        <v/>
      </c>
      <c r="AY38" s="21" t="str">
        <f t="shared" si="17"/>
        <v/>
      </c>
      <c r="AZ38" s="21" t="str">
        <f t="shared" si="18"/>
        <v/>
      </c>
      <c r="BA38" s="21" t="str">
        <f t="shared" si="19"/>
        <v/>
      </c>
      <c r="BB38" s="21" t="str">
        <f t="shared" si="20"/>
        <v/>
      </c>
      <c r="BC38" s="21" t="str">
        <f t="shared" si="21"/>
        <v/>
      </c>
    </row>
    <row r="39" spans="1:55" ht="15.75">
      <c r="A39" s="21" t="str">
        <f>IF(Base!B37="","",Base!B37)</f>
        <v>17.542.884-4</v>
      </c>
      <c r="B39" s="21" t="str">
        <f>IF(Base!F37="","",Base!F37)</f>
        <v>FRANCISCO JAVIER  CASTILLO  AHUMADA</v>
      </c>
      <c r="C39" s="21" t="str">
        <f>IF(Base!I37="","",Base!I37)</f>
        <v>Setup</v>
      </c>
      <c r="D39" s="22" t="str">
        <f>IF(Base!J37="","",Base!J37)</f>
        <v>Setup</v>
      </c>
      <c r="E39" s="21">
        <f>IF(Base!H37="","",Base!H37)</f>
        <v>1050529</v>
      </c>
      <c r="J39" s="28">
        <v>29</v>
      </c>
      <c r="K39" s="5" t="s">
        <v>1383</v>
      </c>
      <c r="L39" s="58" t="str">
        <f t="shared" si="1"/>
        <v>DAVID ALEJANDRO ALVAREZ CATALAN</v>
      </c>
      <c r="M39" s="58">
        <f t="shared" si="2"/>
        <v>1050126</v>
      </c>
      <c r="N39" s="59" t="str">
        <f t="shared" si="3"/>
        <v>Abastecimiento</v>
      </c>
      <c r="O39" s="59" t="str">
        <f t="shared" si="4"/>
        <v>Almacen Insumos Pque</v>
      </c>
      <c r="P39" s="30" t="s">
        <v>1321</v>
      </c>
      <c r="Q39" s="96"/>
      <c r="R39" s="96"/>
      <c r="S39" s="96"/>
      <c r="T39" s="96"/>
      <c r="U39" s="96"/>
      <c r="V39" s="96"/>
      <c r="W39" s="96">
        <v>3</v>
      </c>
      <c r="X39" s="96"/>
      <c r="Y39" s="96">
        <v>2</v>
      </c>
      <c r="Z39" s="96"/>
      <c r="AA39" s="96"/>
      <c r="AB39" s="96"/>
      <c r="AC39" s="96"/>
      <c r="AD39" s="96"/>
      <c r="AE39" s="32">
        <f t="shared" si="23"/>
        <v>5</v>
      </c>
      <c r="AF39" s="32">
        <f t="shared" si="24"/>
        <v>0</v>
      </c>
      <c r="AG39" s="48" t="s">
        <v>1453</v>
      </c>
      <c r="AL39" s="21" t="str">
        <f t="shared" si="25"/>
        <v>16.478.330-8</v>
      </c>
      <c r="AM39" s="21">
        <v>30</v>
      </c>
      <c r="AN39" s="21">
        <f t="shared" si="7"/>
        <v>0</v>
      </c>
      <c r="AO39" s="21">
        <f t="shared" si="8"/>
        <v>0</v>
      </c>
      <c r="AP39" s="21">
        <f t="shared" si="9"/>
        <v>0</v>
      </c>
      <c r="AQ39" s="21">
        <f t="shared" si="10"/>
        <v>3</v>
      </c>
      <c r="AR39" s="21">
        <f t="shared" si="11"/>
        <v>2</v>
      </c>
      <c r="AS39" s="21">
        <f t="shared" si="12"/>
        <v>0</v>
      </c>
      <c r="AT39" s="21">
        <f t="shared" si="13"/>
        <v>0</v>
      </c>
      <c r="AU39" s="34">
        <f t="shared" si="14"/>
        <v>5</v>
      </c>
      <c r="AW39" s="21" t="str">
        <f t="shared" si="15"/>
        <v/>
      </c>
      <c r="AX39" s="21" t="str">
        <f t="shared" si="16"/>
        <v/>
      </c>
      <c r="AY39" s="21" t="str">
        <f t="shared" si="17"/>
        <v/>
      </c>
      <c r="AZ39" s="21">
        <f t="shared" si="18"/>
        <v>0.5</v>
      </c>
      <c r="BA39" s="21">
        <f t="shared" si="19"/>
        <v>0.5</v>
      </c>
      <c r="BB39" s="21" t="str">
        <f t="shared" si="20"/>
        <v/>
      </c>
      <c r="BC39" s="21" t="str">
        <f t="shared" si="21"/>
        <v/>
      </c>
    </row>
    <row r="40" spans="1:55" ht="15.75">
      <c r="A40" s="21" t="str">
        <f>IF(Base!B38="","",Base!B38)</f>
        <v>07.717.451-6</v>
      </c>
      <c r="B40" s="21" t="str">
        <f>IF(Base!F38="","",Base!F38)</f>
        <v>JUAN FCO.  CERNA  CONTRERAS</v>
      </c>
      <c r="C40" s="21" t="str">
        <f>IF(Base!I38="","",Base!I38)</f>
        <v>Linea 4</v>
      </c>
      <c r="D40" s="22" t="str">
        <f>IF(Base!J38="","",Base!J38)</f>
        <v>Llenador</v>
      </c>
      <c r="E40" s="21">
        <f>IF(Base!H38="","",Base!H38)</f>
        <v>1050557</v>
      </c>
      <c r="J40" s="28">
        <v>30</v>
      </c>
      <c r="K40" s="5" t="s">
        <v>53</v>
      </c>
      <c r="L40" s="58" t="str">
        <f t="shared" si="1"/>
        <v>OSCAR ALFREDO  ALBORNOZ  ROA</v>
      </c>
      <c r="M40" s="58">
        <f t="shared" si="2"/>
        <v>1050127</v>
      </c>
      <c r="N40" s="59" t="str">
        <f t="shared" si="3"/>
        <v>Abastecimiento</v>
      </c>
      <c r="O40" s="59" t="str">
        <f t="shared" si="4"/>
        <v>Preparación de Insum</v>
      </c>
      <c r="P40" s="30"/>
      <c r="Q40" s="96"/>
      <c r="R40" s="96"/>
      <c r="S40" s="96"/>
      <c r="T40" s="96"/>
      <c r="U40" s="96"/>
      <c r="V40" s="96"/>
      <c r="W40" s="96">
        <v>2</v>
      </c>
      <c r="X40" s="96"/>
      <c r="Y40" s="96"/>
      <c r="Z40" s="96"/>
      <c r="AA40" s="96"/>
      <c r="AB40" s="96"/>
      <c r="AC40" s="96"/>
      <c r="AD40" s="96"/>
      <c r="AE40" s="32">
        <f t="shared" si="23"/>
        <v>2</v>
      </c>
      <c r="AF40" s="32">
        <f t="shared" si="24"/>
        <v>0</v>
      </c>
      <c r="AG40" s="48" t="s">
        <v>1454</v>
      </c>
      <c r="AL40" s="21" t="str">
        <f t="shared" si="25"/>
        <v>07.760.886-9</v>
      </c>
      <c r="AM40" s="21">
        <v>31</v>
      </c>
      <c r="AN40" s="21">
        <f t="shared" si="7"/>
        <v>0</v>
      </c>
      <c r="AO40" s="21">
        <f t="shared" si="8"/>
        <v>0</v>
      </c>
      <c r="AP40" s="21">
        <f t="shared" si="9"/>
        <v>0</v>
      </c>
      <c r="AQ40" s="21">
        <f t="shared" si="10"/>
        <v>2</v>
      </c>
      <c r="AR40" s="21">
        <f t="shared" si="11"/>
        <v>0</v>
      </c>
      <c r="AS40" s="21">
        <f t="shared" si="12"/>
        <v>0</v>
      </c>
      <c r="AT40" s="21">
        <f t="shared" si="13"/>
        <v>0</v>
      </c>
      <c r="AU40" s="34">
        <f t="shared" si="14"/>
        <v>2</v>
      </c>
      <c r="AW40" s="21" t="str">
        <f t="shared" si="15"/>
        <v/>
      </c>
      <c r="AX40" s="21" t="str">
        <f t="shared" si="16"/>
        <v/>
      </c>
      <c r="AY40" s="21" t="str">
        <f t="shared" si="17"/>
        <v/>
      </c>
      <c r="AZ40" s="21">
        <f t="shared" si="18"/>
        <v>0.5</v>
      </c>
      <c r="BA40" s="21" t="str">
        <f t="shared" si="19"/>
        <v/>
      </c>
      <c r="BB40" s="21" t="str">
        <f t="shared" si="20"/>
        <v/>
      </c>
      <c r="BC40" s="21" t="str">
        <f t="shared" si="21"/>
        <v/>
      </c>
    </row>
    <row r="41" spans="1:55" ht="15.75">
      <c r="A41" s="21" t="str">
        <f>IF(Base!B39="","",Base!B39)</f>
        <v>15.702.200-8</v>
      </c>
      <c r="B41" s="21" t="str">
        <f>IF(Base!F39="","",Base!F39)</f>
        <v>CESAR  CERNA  VARGAS</v>
      </c>
      <c r="C41" s="21" t="str">
        <f>IF(Base!I39="","",Base!I39)</f>
        <v>Linea 6</v>
      </c>
      <c r="D41" s="22" t="str">
        <f>IF(Base!J39="","",Base!J39)</f>
        <v>Embalador</v>
      </c>
      <c r="E41" s="21">
        <f>IF(Base!H39="","",Base!H39)</f>
        <v>1050610</v>
      </c>
      <c r="J41" s="28">
        <v>31</v>
      </c>
      <c r="K41" s="5" t="s">
        <v>89</v>
      </c>
      <c r="L41" s="58" t="str">
        <f t="shared" si="1"/>
        <v>CRISTIAN  ARANCIBIA  NIETO</v>
      </c>
      <c r="M41" s="58">
        <f t="shared" si="2"/>
        <v>1050127</v>
      </c>
      <c r="N41" s="59" t="str">
        <f t="shared" si="3"/>
        <v>Abastecimiento</v>
      </c>
      <c r="O41" s="59" t="str">
        <f t="shared" si="4"/>
        <v>Preparación de Insum</v>
      </c>
      <c r="P41" s="30"/>
      <c r="Q41" s="96"/>
      <c r="R41" s="96"/>
      <c r="S41" s="96">
        <v>2</v>
      </c>
      <c r="T41" s="96"/>
      <c r="U41" s="96">
        <v>2</v>
      </c>
      <c r="V41" s="96"/>
      <c r="W41" s="96">
        <v>2</v>
      </c>
      <c r="X41" s="96"/>
      <c r="Y41" s="96">
        <v>1</v>
      </c>
      <c r="Z41" s="96"/>
      <c r="AA41" s="96"/>
      <c r="AB41" s="96"/>
      <c r="AC41" s="96"/>
      <c r="AD41" s="96"/>
      <c r="AE41" s="32">
        <f t="shared" si="23"/>
        <v>7</v>
      </c>
      <c r="AF41" s="32">
        <f t="shared" si="24"/>
        <v>0</v>
      </c>
      <c r="AG41" s="48" t="s">
        <v>1455</v>
      </c>
      <c r="AL41" s="21" t="str">
        <f t="shared" si="25"/>
        <v>12.093.228-4</v>
      </c>
      <c r="AM41" s="21">
        <v>32</v>
      </c>
      <c r="AN41" s="21">
        <f t="shared" si="7"/>
        <v>0</v>
      </c>
      <c r="AO41" s="21">
        <f t="shared" si="8"/>
        <v>2</v>
      </c>
      <c r="AP41" s="21">
        <f t="shared" si="9"/>
        <v>2</v>
      </c>
      <c r="AQ41" s="21">
        <f t="shared" si="10"/>
        <v>2</v>
      </c>
      <c r="AR41" s="21">
        <f t="shared" si="11"/>
        <v>1</v>
      </c>
      <c r="AS41" s="21">
        <f t="shared" si="12"/>
        <v>0</v>
      </c>
      <c r="AT41" s="21">
        <f t="shared" si="13"/>
        <v>0</v>
      </c>
      <c r="AU41" s="34">
        <f t="shared" si="14"/>
        <v>7</v>
      </c>
      <c r="AW41" s="21" t="str">
        <f t="shared" si="15"/>
        <v/>
      </c>
      <c r="AX41" s="21">
        <f t="shared" si="16"/>
        <v>0.5</v>
      </c>
      <c r="AY41" s="21">
        <f t="shared" si="17"/>
        <v>0.5</v>
      </c>
      <c r="AZ41" s="21">
        <f t="shared" si="18"/>
        <v>0.5</v>
      </c>
      <c r="BA41" s="21">
        <f t="shared" si="19"/>
        <v>0.5</v>
      </c>
      <c r="BB41" s="21" t="str">
        <f t="shared" si="20"/>
        <v/>
      </c>
      <c r="BC41" s="21" t="str">
        <f t="shared" si="21"/>
        <v/>
      </c>
    </row>
    <row r="42" spans="1:55" ht="15.75">
      <c r="A42" s="21" t="str">
        <f>IF(Base!B40="","",Base!B40)</f>
        <v>07.816.535-9</v>
      </c>
      <c r="B42" s="21" t="str">
        <f>IF(Base!F40="","",Base!F40)</f>
        <v>CARLOS  CERONI  PIZARRO</v>
      </c>
      <c r="C42" s="21" t="str">
        <f>IF(Base!I40="","",Base!I40)</f>
        <v>Linea 7</v>
      </c>
      <c r="D42" s="22" t="str">
        <f>IF(Base!J40="","",Base!J40)</f>
        <v>Etiquetador</v>
      </c>
      <c r="E42" s="21">
        <f>IF(Base!H40="","",Base!H40)</f>
        <v>1050529</v>
      </c>
      <c r="J42" s="28">
        <v>32</v>
      </c>
      <c r="K42" s="5" t="s">
        <v>101</v>
      </c>
      <c r="L42" s="58" t="str">
        <f t="shared" si="1"/>
        <v>LEONARDO ALFREDO  ARANCIBIA  VILLARROEL</v>
      </c>
      <c r="M42" s="58">
        <f t="shared" si="2"/>
        <v>1050127</v>
      </c>
      <c r="N42" s="59" t="str">
        <f t="shared" si="3"/>
        <v>Abastecimiento</v>
      </c>
      <c r="O42" s="59" t="str">
        <f t="shared" si="4"/>
        <v>Preparación de Insum</v>
      </c>
      <c r="P42" s="30"/>
      <c r="Q42" s="96"/>
      <c r="R42" s="96"/>
      <c r="S42" s="96">
        <v>2</v>
      </c>
      <c r="T42" s="96"/>
      <c r="U42" s="96">
        <v>2</v>
      </c>
      <c r="V42" s="96"/>
      <c r="W42" s="96">
        <v>2</v>
      </c>
      <c r="X42" s="96"/>
      <c r="Y42" s="96">
        <v>2</v>
      </c>
      <c r="Z42" s="96"/>
      <c r="AA42" s="96"/>
      <c r="AB42" s="96"/>
      <c r="AC42" s="96"/>
      <c r="AD42" s="96"/>
      <c r="AE42" s="32">
        <f t="shared" si="23"/>
        <v>8</v>
      </c>
      <c r="AF42" s="32">
        <f t="shared" si="24"/>
        <v>0</v>
      </c>
      <c r="AG42" s="48" t="s">
        <v>1456</v>
      </c>
      <c r="AL42" s="21" t="str">
        <f t="shared" si="25"/>
        <v>08.283.277-7</v>
      </c>
      <c r="AM42" s="21">
        <v>33</v>
      </c>
      <c r="AN42" s="21">
        <f t="shared" si="7"/>
        <v>0</v>
      </c>
      <c r="AO42" s="21">
        <f t="shared" si="8"/>
        <v>2</v>
      </c>
      <c r="AP42" s="21">
        <f t="shared" si="9"/>
        <v>2</v>
      </c>
      <c r="AQ42" s="21">
        <f t="shared" si="10"/>
        <v>2</v>
      </c>
      <c r="AR42" s="21">
        <f t="shared" si="11"/>
        <v>2</v>
      </c>
      <c r="AS42" s="21">
        <f t="shared" si="12"/>
        <v>0</v>
      </c>
      <c r="AT42" s="21">
        <f t="shared" si="13"/>
        <v>0</v>
      </c>
      <c r="AU42" s="34">
        <f t="shared" si="14"/>
        <v>8</v>
      </c>
      <c r="AW42" s="21" t="str">
        <f t="shared" si="15"/>
        <v/>
      </c>
      <c r="AX42" s="21">
        <f t="shared" si="16"/>
        <v>0.5</v>
      </c>
      <c r="AY42" s="21">
        <f t="shared" si="17"/>
        <v>0.5</v>
      </c>
      <c r="AZ42" s="21">
        <f t="shared" si="18"/>
        <v>0.5</v>
      </c>
      <c r="BA42" s="21">
        <f t="shared" si="19"/>
        <v>0.5</v>
      </c>
      <c r="BB42" s="21" t="str">
        <f t="shared" si="20"/>
        <v/>
      </c>
      <c r="BC42" s="21" t="str">
        <f t="shared" si="21"/>
        <v/>
      </c>
    </row>
    <row r="43" spans="1:55" ht="15.75">
      <c r="A43" s="21" t="str">
        <f>IF(Base!B41="","",Base!B41)</f>
        <v>13.486.775-2</v>
      </c>
      <c r="B43" s="21" t="str">
        <f>IF(Base!F41="","",Base!F41)</f>
        <v>RICARDO  CHAVEZ  FARIÑA</v>
      </c>
      <c r="C43" s="21" t="str">
        <f>IF(Base!I41="","",Base!I41)</f>
        <v>Linea 6</v>
      </c>
      <c r="D43" s="22" t="str">
        <f>IF(Base!J41="","",Base!J41)</f>
        <v>Embalador</v>
      </c>
      <c r="E43" s="21">
        <f>IF(Base!H41="","",Base!H41)</f>
        <v>1050610</v>
      </c>
      <c r="J43" s="28">
        <v>33</v>
      </c>
      <c r="K43" s="5" t="s">
        <v>124</v>
      </c>
      <c r="L43" s="58" t="str">
        <f t="shared" si="1"/>
        <v>FELIX  EXEQUIEL  ARSENDIGA  PALMA</v>
      </c>
      <c r="M43" s="58">
        <f t="shared" si="2"/>
        <v>1050633</v>
      </c>
      <c r="N43" s="59" t="str">
        <f t="shared" si="3"/>
        <v>Abastecimiento</v>
      </c>
      <c r="O43" s="59" t="str">
        <f t="shared" si="4"/>
        <v>Suministro de Líneas</v>
      </c>
      <c r="P43" s="30" t="s">
        <v>1323</v>
      </c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32">
        <f t="shared" si="23"/>
        <v>0</v>
      </c>
      <c r="AF43" s="32">
        <f t="shared" si="24"/>
        <v>0</v>
      </c>
      <c r="AG43" s="48"/>
      <c r="AL43" s="21" t="str">
        <f t="shared" si="25"/>
        <v>10.173.910-4</v>
      </c>
      <c r="AM43" s="21">
        <v>34</v>
      </c>
      <c r="AN43" s="21">
        <f t="shared" si="7"/>
        <v>0</v>
      </c>
      <c r="AO43" s="21">
        <f t="shared" si="8"/>
        <v>0</v>
      </c>
      <c r="AP43" s="21">
        <f t="shared" si="9"/>
        <v>0</v>
      </c>
      <c r="AQ43" s="21">
        <f t="shared" si="10"/>
        <v>0</v>
      </c>
      <c r="AR43" s="21">
        <f t="shared" si="11"/>
        <v>0</v>
      </c>
      <c r="AS43" s="21">
        <f t="shared" si="12"/>
        <v>0</v>
      </c>
      <c r="AT43" s="21">
        <f t="shared" si="13"/>
        <v>0</v>
      </c>
      <c r="AU43" s="34">
        <f t="shared" si="14"/>
        <v>0</v>
      </c>
      <c r="AW43" s="21" t="str">
        <f t="shared" si="15"/>
        <v/>
      </c>
      <c r="AX43" s="21" t="str">
        <f t="shared" si="16"/>
        <v/>
      </c>
      <c r="AY43" s="21" t="str">
        <f t="shared" si="17"/>
        <v/>
      </c>
      <c r="AZ43" s="21" t="str">
        <f t="shared" si="18"/>
        <v/>
      </c>
      <c r="BA43" s="21" t="str">
        <f t="shared" si="19"/>
        <v/>
      </c>
      <c r="BB43" s="21" t="str">
        <f t="shared" si="20"/>
        <v/>
      </c>
      <c r="BC43" s="21" t="str">
        <f t="shared" si="21"/>
        <v/>
      </c>
    </row>
    <row r="44" spans="1:55" ht="15.75">
      <c r="A44" s="21" t="str">
        <f>IF(Base!B42="","",Base!B42)</f>
        <v>11.660.411-6</v>
      </c>
      <c r="B44" s="21" t="str">
        <f>IF(Base!F42="","",Base!F42)</f>
        <v>SIXTO PATRICIO  CORTES  HERRERA</v>
      </c>
      <c r="C44" s="21" t="str">
        <f>IF(Base!I42="","",Base!I42)</f>
        <v>Abastecimiento</v>
      </c>
      <c r="D44" s="22" t="str">
        <f>IF(Base!J42="","",Base!J42)</f>
        <v>Almacen Insumos Pque</v>
      </c>
      <c r="E44" s="21">
        <f>IF(Base!H42="","",Base!H42)</f>
        <v>1050581</v>
      </c>
      <c r="J44" s="28">
        <v>34</v>
      </c>
      <c r="K44" s="5" t="s">
        <v>136</v>
      </c>
      <c r="L44" s="58" t="str">
        <f t="shared" si="1"/>
        <v>JORGE  BAEZA  REYES</v>
      </c>
      <c r="M44" s="58">
        <f t="shared" si="2"/>
        <v>1050127</v>
      </c>
      <c r="N44" s="59" t="str">
        <f t="shared" si="3"/>
        <v>Abastecimiento</v>
      </c>
      <c r="O44" s="59" t="str">
        <f t="shared" si="4"/>
        <v>Suministro de Líneas</v>
      </c>
      <c r="P44" s="30" t="s">
        <v>1323</v>
      </c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32">
        <f t="shared" si="23"/>
        <v>0</v>
      </c>
      <c r="AF44" s="32">
        <f t="shared" si="24"/>
        <v>0</v>
      </c>
      <c r="AG44" s="47"/>
      <c r="AL44" s="21" t="str">
        <f t="shared" si="25"/>
        <v>09.148.214-2</v>
      </c>
      <c r="AM44" s="21">
        <v>35</v>
      </c>
      <c r="AN44" s="21">
        <f t="shared" si="7"/>
        <v>0</v>
      </c>
      <c r="AO44" s="21">
        <f t="shared" si="8"/>
        <v>0</v>
      </c>
      <c r="AP44" s="21">
        <f t="shared" si="9"/>
        <v>0</v>
      </c>
      <c r="AQ44" s="21">
        <f t="shared" si="10"/>
        <v>0</v>
      </c>
      <c r="AR44" s="21">
        <f t="shared" si="11"/>
        <v>0</v>
      </c>
      <c r="AS44" s="21">
        <f t="shared" si="12"/>
        <v>0</v>
      </c>
      <c r="AT44" s="21">
        <f t="shared" si="13"/>
        <v>0</v>
      </c>
      <c r="AU44" s="34">
        <f t="shared" si="14"/>
        <v>0</v>
      </c>
      <c r="AW44" s="21" t="str">
        <f t="shared" si="15"/>
        <v/>
      </c>
      <c r="AX44" s="21" t="str">
        <f t="shared" si="16"/>
        <v/>
      </c>
      <c r="AY44" s="21" t="str">
        <f t="shared" si="17"/>
        <v/>
      </c>
      <c r="AZ44" s="21" t="str">
        <f t="shared" si="18"/>
        <v/>
      </c>
      <c r="BA44" s="21" t="str">
        <f t="shared" si="19"/>
        <v/>
      </c>
      <c r="BB44" s="21" t="str">
        <f t="shared" si="20"/>
        <v/>
      </c>
      <c r="BC44" s="21" t="str">
        <f t="shared" si="21"/>
        <v/>
      </c>
    </row>
    <row r="45" spans="1:55" ht="15.75">
      <c r="A45" s="21" t="str">
        <f>IF(Base!B43="","",Base!B43)</f>
        <v>11.523.492-7</v>
      </c>
      <c r="B45" s="21" t="str">
        <f>IF(Base!F43="","",Base!F43)</f>
        <v>CLAUDIO  CORTES  ULLOA</v>
      </c>
      <c r="C45" s="21" t="str">
        <f>IF(Base!I43="","",Base!I43)</f>
        <v>Linea 7</v>
      </c>
      <c r="D45" s="22" t="str">
        <f>IF(Base!J43="","",Base!J43)</f>
        <v>Palletizador</v>
      </c>
      <c r="E45" s="21">
        <f>IF(Base!H43="","",Base!H43)</f>
        <v>1050616</v>
      </c>
      <c r="J45" s="28">
        <v>35</v>
      </c>
      <c r="K45" s="5" t="s">
        <v>163</v>
      </c>
      <c r="L45" s="58" t="str">
        <f t="shared" si="1"/>
        <v>MARCO ANTONIO  BUSTAMANTE  GONZALEZ</v>
      </c>
      <c r="M45" s="58">
        <f t="shared" si="2"/>
        <v>1050581</v>
      </c>
      <c r="N45" s="59" t="str">
        <f t="shared" si="3"/>
        <v>Abastecimiento</v>
      </c>
      <c r="O45" s="59" t="str">
        <f t="shared" si="4"/>
        <v>Suministro de Líneas</v>
      </c>
      <c r="P45" s="30"/>
      <c r="Q45" s="96"/>
      <c r="R45" s="96"/>
      <c r="S45" s="96"/>
      <c r="T45" s="96"/>
      <c r="U45" s="96"/>
      <c r="V45" s="96"/>
      <c r="W45" s="96"/>
      <c r="X45" s="96"/>
      <c r="Y45" s="96">
        <v>1</v>
      </c>
      <c r="Z45" s="96"/>
      <c r="AA45" s="96"/>
      <c r="AB45" s="96"/>
      <c r="AC45" s="96"/>
      <c r="AD45" s="96"/>
      <c r="AE45" s="32">
        <f t="shared" si="23"/>
        <v>1</v>
      </c>
      <c r="AF45" s="32">
        <f t="shared" si="24"/>
        <v>0</v>
      </c>
      <c r="AG45" s="49" t="s">
        <v>1457</v>
      </c>
      <c r="AL45" s="21" t="str">
        <f t="shared" si="25"/>
        <v>13.236.100-2</v>
      </c>
      <c r="AM45" s="21">
        <v>36</v>
      </c>
      <c r="AN45" s="21">
        <f t="shared" si="7"/>
        <v>0</v>
      </c>
      <c r="AO45" s="21">
        <f t="shared" si="8"/>
        <v>0</v>
      </c>
      <c r="AP45" s="21">
        <f t="shared" si="9"/>
        <v>0</v>
      </c>
      <c r="AQ45" s="21">
        <f t="shared" si="10"/>
        <v>0</v>
      </c>
      <c r="AR45" s="21">
        <f t="shared" si="11"/>
        <v>1</v>
      </c>
      <c r="AS45" s="21">
        <f t="shared" si="12"/>
        <v>0</v>
      </c>
      <c r="AT45" s="21">
        <f t="shared" si="13"/>
        <v>0</v>
      </c>
      <c r="AU45" s="34">
        <f t="shared" si="14"/>
        <v>1</v>
      </c>
      <c r="AW45" s="21" t="str">
        <f t="shared" si="15"/>
        <v/>
      </c>
      <c r="AX45" s="21" t="str">
        <f t="shared" si="16"/>
        <v/>
      </c>
      <c r="AY45" s="21" t="str">
        <f t="shared" si="17"/>
        <v/>
      </c>
      <c r="AZ45" s="21" t="str">
        <f t="shared" si="18"/>
        <v/>
      </c>
      <c r="BA45" s="21">
        <f t="shared" si="19"/>
        <v>0.5</v>
      </c>
      <c r="BB45" s="21" t="str">
        <f t="shared" si="20"/>
        <v/>
      </c>
      <c r="BC45" s="21" t="str">
        <f t="shared" si="21"/>
        <v/>
      </c>
    </row>
    <row r="46" spans="1:55" ht="15.75">
      <c r="A46" s="21" t="str">
        <f>IF(Base!B44="","",Base!B44)</f>
        <v>11.268.136-1</v>
      </c>
      <c r="B46" s="21" t="str">
        <f>IF(Base!F44="","",Base!F44)</f>
        <v>MARIA ANGELICA  CRUCES  AGUILERA</v>
      </c>
      <c r="C46" s="21" t="str">
        <f>IF(Base!I44="","",Base!I44)</f>
        <v>Linea 6</v>
      </c>
      <c r="D46" s="22" t="str">
        <f>IF(Base!J44="","",Base!J44)</f>
        <v>Inspector etiqueta</v>
      </c>
      <c r="E46" s="21">
        <f>IF(Base!H44="","",Base!H44)</f>
        <v>1050610</v>
      </c>
      <c r="J46" s="28">
        <v>36</v>
      </c>
      <c r="K46" s="5" t="s">
        <v>168</v>
      </c>
      <c r="L46" s="58" t="str">
        <f t="shared" si="1"/>
        <v>MAURICIO ANDRES  BUSTAMANTE  GONZALEZ</v>
      </c>
      <c r="M46" s="58">
        <f t="shared" si="2"/>
        <v>1050127</v>
      </c>
      <c r="N46" s="59" t="str">
        <f t="shared" si="3"/>
        <v>Abastecimiento</v>
      </c>
      <c r="O46" s="59" t="str">
        <f t="shared" si="4"/>
        <v>Suministro de Líneas</v>
      </c>
      <c r="P46" s="30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32">
        <f t="shared" si="23"/>
        <v>0</v>
      </c>
      <c r="AF46" s="32">
        <f t="shared" si="24"/>
        <v>0</v>
      </c>
      <c r="AG46" s="47"/>
      <c r="AL46" s="21" t="str">
        <f t="shared" si="25"/>
        <v>13.899.407-4</v>
      </c>
      <c r="AM46" s="21">
        <v>37</v>
      </c>
      <c r="AN46" s="21">
        <f t="shared" si="7"/>
        <v>0</v>
      </c>
      <c r="AO46" s="21">
        <f t="shared" si="8"/>
        <v>0</v>
      </c>
      <c r="AP46" s="21">
        <f t="shared" si="9"/>
        <v>0</v>
      </c>
      <c r="AQ46" s="21">
        <f t="shared" si="10"/>
        <v>0</v>
      </c>
      <c r="AR46" s="21">
        <f t="shared" si="11"/>
        <v>0</v>
      </c>
      <c r="AS46" s="21">
        <f t="shared" si="12"/>
        <v>0</v>
      </c>
      <c r="AT46" s="21">
        <f t="shared" si="13"/>
        <v>0</v>
      </c>
      <c r="AU46" s="34">
        <f t="shared" si="14"/>
        <v>0</v>
      </c>
      <c r="AW46" s="21" t="str">
        <f t="shared" si="15"/>
        <v/>
      </c>
      <c r="AX46" s="21" t="str">
        <f t="shared" si="16"/>
        <v/>
      </c>
      <c r="AY46" s="21" t="str">
        <f t="shared" si="17"/>
        <v/>
      </c>
      <c r="AZ46" s="21" t="str">
        <f t="shared" si="18"/>
        <v/>
      </c>
      <c r="BA46" s="21" t="str">
        <f t="shared" si="19"/>
        <v/>
      </c>
      <c r="BB46" s="21" t="str">
        <f t="shared" si="20"/>
        <v/>
      </c>
      <c r="BC46" s="21" t="str">
        <f t="shared" si="21"/>
        <v/>
      </c>
    </row>
    <row r="47" spans="1:55" ht="15.75">
      <c r="A47" s="21" t="str">
        <f>IF(Base!B45="","",Base!B45)</f>
        <v>11.347.053-4</v>
      </c>
      <c r="B47" s="21" t="str">
        <f>IF(Base!F45="","",Base!F45)</f>
        <v>LUISA ISABEL  CRUZ  ROMERO</v>
      </c>
      <c r="C47" s="21" t="str">
        <f>IF(Base!I45="","",Base!I45)</f>
        <v>Abastecimiento</v>
      </c>
      <c r="D47" s="22" t="str">
        <f>IF(Base!J45="","",Base!J45)</f>
        <v>Reimpresión</v>
      </c>
      <c r="E47" s="21">
        <f>IF(Base!H45="","",Base!H45)</f>
        <v>1050506</v>
      </c>
      <c r="J47" s="28">
        <v>37</v>
      </c>
      <c r="K47" s="5" t="s">
        <v>172</v>
      </c>
      <c r="L47" s="58" t="str">
        <f t="shared" si="1"/>
        <v>TERESA DE LAS NIEVES  BUSTOS  JARA</v>
      </c>
      <c r="M47" s="58">
        <f t="shared" si="2"/>
        <v>1050127</v>
      </c>
      <c r="N47" s="59" t="str">
        <f t="shared" si="3"/>
        <v>Abastecimiento</v>
      </c>
      <c r="O47" s="59" t="str">
        <f t="shared" si="4"/>
        <v>Suministro de Líneas</v>
      </c>
      <c r="P47" s="30" t="s">
        <v>1321</v>
      </c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32">
        <f t="shared" si="23"/>
        <v>0</v>
      </c>
      <c r="AF47" s="32">
        <f t="shared" si="24"/>
        <v>0</v>
      </c>
      <c r="AG47" s="47"/>
      <c r="AL47" s="21" t="str">
        <f t="shared" si="25"/>
        <v>10.116.815-8</v>
      </c>
      <c r="AM47" s="21">
        <v>38</v>
      </c>
      <c r="AN47" s="21">
        <f t="shared" si="7"/>
        <v>0</v>
      </c>
      <c r="AO47" s="21">
        <f t="shared" si="8"/>
        <v>0</v>
      </c>
      <c r="AP47" s="21">
        <f t="shared" si="9"/>
        <v>0</v>
      </c>
      <c r="AQ47" s="21">
        <f t="shared" si="10"/>
        <v>0</v>
      </c>
      <c r="AR47" s="21">
        <f t="shared" si="11"/>
        <v>0</v>
      </c>
      <c r="AS47" s="21">
        <f t="shared" si="12"/>
        <v>0</v>
      </c>
      <c r="AT47" s="21">
        <f t="shared" si="13"/>
        <v>0</v>
      </c>
      <c r="AU47" s="34">
        <f t="shared" si="14"/>
        <v>0</v>
      </c>
      <c r="AW47" s="21" t="str">
        <f t="shared" si="15"/>
        <v/>
      </c>
      <c r="AX47" s="21" t="str">
        <f t="shared" si="16"/>
        <v/>
      </c>
      <c r="AY47" s="21" t="str">
        <f t="shared" si="17"/>
        <v/>
      </c>
      <c r="AZ47" s="21" t="str">
        <f t="shared" si="18"/>
        <v/>
      </c>
      <c r="BA47" s="21" t="str">
        <f t="shared" si="19"/>
        <v/>
      </c>
      <c r="BB47" s="21" t="str">
        <f t="shared" si="20"/>
        <v/>
      </c>
      <c r="BC47" s="21" t="str">
        <f t="shared" si="21"/>
        <v/>
      </c>
    </row>
    <row r="48" spans="1:55" ht="15.75">
      <c r="A48" s="21" t="str">
        <f>IF(Base!B46="","",Base!B46)</f>
        <v>07.815.607-4</v>
      </c>
      <c r="B48" s="21" t="str">
        <f>IF(Base!F46="","",Base!F46)</f>
        <v>PATRICIO HERNAN  CUEVAS  ORDENES</v>
      </c>
      <c r="C48" s="21" t="str">
        <f>IF(Base!I46="","",Base!I46)</f>
        <v>Abastecimiento</v>
      </c>
      <c r="D48" s="22" t="str">
        <f>IF(Base!J46="","",Base!J46)</f>
        <v>Suministro de Líneas</v>
      </c>
      <c r="E48" s="21">
        <f>IF(Base!H46="","",Base!H46)</f>
        <v>1050633</v>
      </c>
      <c r="J48" s="28">
        <v>38</v>
      </c>
      <c r="K48" s="5" t="s">
        <v>183</v>
      </c>
      <c r="L48" s="58" t="str">
        <f t="shared" si="1"/>
        <v>LUIS HERNAN  CACERES  ORMAZABAL</v>
      </c>
      <c r="M48" s="58">
        <f t="shared" si="2"/>
        <v>1050633</v>
      </c>
      <c r="N48" s="59" t="str">
        <f t="shared" si="3"/>
        <v>Abastecimiento</v>
      </c>
      <c r="O48" s="59" t="str">
        <f t="shared" si="4"/>
        <v>Suministro de Líneas</v>
      </c>
      <c r="P48" s="30" t="s">
        <v>1321</v>
      </c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32">
        <f t="shared" si="23"/>
        <v>0</v>
      </c>
      <c r="AF48" s="32">
        <f t="shared" si="24"/>
        <v>0</v>
      </c>
      <c r="AG48" s="47"/>
      <c r="AL48" s="21" t="str">
        <f t="shared" si="25"/>
        <v>16.441.340-3</v>
      </c>
      <c r="AM48" s="21">
        <v>39</v>
      </c>
      <c r="AN48" s="21">
        <f t="shared" si="7"/>
        <v>0</v>
      </c>
      <c r="AO48" s="21">
        <f t="shared" si="8"/>
        <v>0</v>
      </c>
      <c r="AP48" s="21">
        <f t="shared" si="9"/>
        <v>0</v>
      </c>
      <c r="AQ48" s="21">
        <f t="shared" si="10"/>
        <v>0</v>
      </c>
      <c r="AR48" s="21">
        <f t="shared" si="11"/>
        <v>0</v>
      </c>
      <c r="AS48" s="21">
        <f t="shared" si="12"/>
        <v>0</v>
      </c>
      <c r="AT48" s="21">
        <f t="shared" si="13"/>
        <v>0</v>
      </c>
      <c r="AU48" s="34">
        <f t="shared" si="14"/>
        <v>0</v>
      </c>
      <c r="AW48" s="21" t="str">
        <f t="shared" si="15"/>
        <v/>
      </c>
      <c r="AX48" s="21" t="str">
        <f t="shared" si="16"/>
        <v/>
      </c>
      <c r="AY48" s="21" t="str">
        <f t="shared" si="17"/>
        <v/>
      </c>
      <c r="AZ48" s="21" t="str">
        <f t="shared" si="18"/>
        <v/>
      </c>
      <c r="BA48" s="21" t="str">
        <f t="shared" si="19"/>
        <v/>
      </c>
      <c r="BB48" s="21" t="str">
        <f t="shared" si="20"/>
        <v/>
      </c>
      <c r="BC48" s="21" t="str">
        <f t="shared" si="21"/>
        <v/>
      </c>
    </row>
    <row r="49" spans="1:55" ht="15.75">
      <c r="A49" s="21" t="str">
        <f>IF(Base!B47="","",Base!B47)</f>
        <v>06.143.912-9</v>
      </c>
      <c r="B49" s="21" t="str">
        <f>IF(Base!F47="","",Base!F47)</f>
        <v>ARTURO BERNABE  CURIN  MILLAN</v>
      </c>
      <c r="C49" s="21" t="str">
        <f>IF(Base!I47="","",Base!I47)</f>
        <v>Aseo</v>
      </c>
      <c r="D49" s="22" t="str">
        <f>IF(Base!J47="","",Base!J47)</f>
        <v>Aseo</v>
      </c>
      <c r="E49" s="21">
        <f>IF(Base!H47="","",Base!H47)</f>
        <v>1050632</v>
      </c>
      <c r="J49" s="28">
        <v>39</v>
      </c>
      <c r="K49" s="5" t="s">
        <v>201</v>
      </c>
      <c r="L49" s="58" t="str">
        <f t="shared" si="1"/>
        <v>BRIGIDA DEL CARMEN  CARES  LOPEZ</v>
      </c>
      <c r="M49" s="58">
        <f t="shared" si="2"/>
        <v>1050127</v>
      </c>
      <c r="N49" s="59" t="str">
        <f t="shared" si="3"/>
        <v>Abastecimiento</v>
      </c>
      <c r="O49" s="59" t="str">
        <f t="shared" si="4"/>
        <v>Suministro de Líneas</v>
      </c>
      <c r="P49" s="30" t="s">
        <v>1323</v>
      </c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32">
        <f t="shared" si="23"/>
        <v>0</v>
      </c>
      <c r="AF49" s="32">
        <f t="shared" si="24"/>
        <v>0</v>
      </c>
      <c r="AG49" s="52"/>
      <c r="AL49" s="21" t="str">
        <f t="shared" si="25"/>
        <v>08.454.836-7</v>
      </c>
      <c r="AM49" s="21">
        <v>40</v>
      </c>
      <c r="AN49" s="21">
        <f t="shared" si="7"/>
        <v>0</v>
      </c>
      <c r="AO49" s="21">
        <f t="shared" si="8"/>
        <v>0</v>
      </c>
      <c r="AP49" s="21">
        <f t="shared" si="9"/>
        <v>0</v>
      </c>
      <c r="AQ49" s="21">
        <f t="shared" si="10"/>
        <v>0</v>
      </c>
      <c r="AR49" s="21">
        <f t="shared" si="11"/>
        <v>0</v>
      </c>
      <c r="AS49" s="21">
        <f t="shared" si="12"/>
        <v>0</v>
      </c>
      <c r="AT49" s="21">
        <f t="shared" si="13"/>
        <v>0</v>
      </c>
      <c r="AU49" s="34">
        <f t="shared" si="14"/>
        <v>0</v>
      </c>
      <c r="AW49" s="21" t="str">
        <f t="shared" si="15"/>
        <v/>
      </c>
      <c r="AX49" s="21" t="str">
        <f t="shared" si="16"/>
        <v/>
      </c>
      <c r="AY49" s="21" t="str">
        <f t="shared" si="17"/>
        <v/>
      </c>
      <c r="AZ49" s="21" t="str">
        <f t="shared" si="18"/>
        <v/>
      </c>
      <c r="BA49" s="21" t="str">
        <f t="shared" si="19"/>
        <v/>
      </c>
      <c r="BB49" s="21" t="str">
        <f t="shared" si="20"/>
        <v/>
      </c>
      <c r="BC49" s="21" t="str">
        <f t="shared" si="21"/>
        <v/>
      </c>
    </row>
    <row r="50" spans="1:55" ht="15.75">
      <c r="A50" s="21" t="str">
        <f>IF(Base!B48="","",Base!B48)</f>
        <v>14.181.387-0</v>
      </c>
      <c r="B50" s="21" t="str">
        <f>IF(Base!F48="","",Base!F48)</f>
        <v>JORGE ANDRES  DEL RIO  TRONCOSO</v>
      </c>
      <c r="C50" s="21" t="str">
        <f>IF(Base!I48="","",Base!I48)</f>
        <v>Abastecimiento</v>
      </c>
      <c r="D50" s="22" t="str">
        <f>IF(Base!J48="","",Base!J48)</f>
        <v>Preparación de Insum</v>
      </c>
      <c r="E50" s="21">
        <f>IF(Base!H48="","",Base!H48)</f>
        <v>1050127</v>
      </c>
      <c r="J50" s="28">
        <v>40</v>
      </c>
      <c r="K50" s="5" t="s">
        <v>206</v>
      </c>
      <c r="L50" s="58" t="str">
        <f t="shared" si="1"/>
        <v>OMAR FCO.  CARO  RODRIGUEZ</v>
      </c>
      <c r="M50" s="58">
        <f t="shared" si="2"/>
        <v>1050127</v>
      </c>
      <c r="N50" s="59" t="str">
        <f t="shared" si="3"/>
        <v>Abastecimiento</v>
      </c>
      <c r="O50" s="59" t="str">
        <f t="shared" si="4"/>
        <v>Suministro de Líneas</v>
      </c>
      <c r="P50" s="30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32">
        <f t="shared" si="23"/>
        <v>0</v>
      </c>
      <c r="AF50" s="32">
        <f t="shared" si="24"/>
        <v>0</v>
      </c>
      <c r="AG50" s="47"/>
      <c r="AL50" s="21" t="str">
        <f t="shared" si="25"/>
        <v>09.832.710-K</v>
      </c>
      <c r="AM50" s="21">
        <v>41</v>
      </c>
      <c r="AN50" s="21">
        <f t="shared" si="7"/>
        <v>0</v>
      </c>
      <c r="AO50" s="21">
        <f t="shared" si="8"/>
        <v>0</v>
      </c>
      <c r="AP50" s="21">
        <f t="shared" si="9"/>
        <v>0</v>
      </c>
      <c r="AQ50" s="21">
        <f t="shared" si="10"/>
        <v>0</v>
      </c>
      <c r="AR50" s="21">
        <f t="shared" si="11"/>
        <v>0</v>
      </c>
      <c r="AS50" s="21">
        <f t="shared" si="12"/>
        <v>0</v>
      </c>
      <c r="AT50" s="21">
        <f t="shared" si="13"/>
        <v>0</v>
      </c>
      <c r="AU50" s="34">
        <f t="shared" si="14"/>
        <v>0</v>
      </c>
      <c r="AW50" s="21" t="str">
        <f t="shared" si="15"/>
        <v/>
      </c>
      <c r="AX50" s="21" t="str">
        <f t="shared" si="16"/>
        <v/>
      </c>
      <c r="AY50" s="21" t="str">
        <f t="shared" si="17"/>
        <v/>
      </c>
      <c r="AZ50" s="21" t="str">
        <f t="shared" si="18"/>
        <v/>
      </c>
      <c r="BA50" s="21" t="str">
        <f t="shared" si="19"/>
        <v/>
      </c>
      <c r="BB50" s="21" t="str">
        <f t="shared" si="20"/>
        <v/>
      </c>
      <c r="BC50" s="21" t="str">
        <f t="shared" si="21"/>
        <v/>
      </c>
    </row>
    <row r="51" spans="1:55" ht="15.75">
      <c r="A51" s="21" t="str">
        <f>IF(Base!B49="","",Base!B49)</f>
        <v>07.944.613-0</v>
      </c>
      <c r="B51" s="21" t="str">
        <f>IF(Base!F49="","",Base!F49)</f>
        <v>MIGUEL ANGEL  DIAZ  CASTRO</v>
      </c>
      <c r="C51" s="21" t="str">
        <f>IF(Base!I49="","",Base!I49)</f>
        <v>Abastecimiento</v>
      </c>
      <c r="D51" s="22" t="str">
        <f>IF(Base!J49="","",Base!J49)</f>
        <v>Control Ingresos Cen</v>
      </c>
      <c r="E51" s="21">
        <f>IF(Base!H49="","",Base!H49)</f>
        <v>1050126</v>
      </c>
      <c r="J51" s="28">
        <v>41</v>
      </c>
      <c r="K51" s="5" t="s">
        <v>266</v>
      </c>
      <c r="L51" s="58" t="str">
        <f t="shared" si="1"/>
        <v>SIXTO PATRICIO  CORTES  HERRERA</v>
      </c>
      <c r="M51" s="58">
        <f t="shared" si="2"/>
        <v>1050581</v>
      </c>
      <c r="N51" s="59" t="str">
        <f t="shared" si="3"/>
        <v>Abastecimiento</v>
      </c>
      <c r="O51" s="59" t="str">
        <f t="shared" si="4"/>
        <v>Almacen Insumos Pque</v>
      </c>
      <c r="P51" s="30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32">
        <f t="shared" si="23"/>
        <v>0</v>
      </c>
      <c r="AF51" s="32">
        <f t="shared" si="24"/>
        <v>0</v>
      </c>
      <c r="AG51" s="47"/>
      <c r="AL51" s="21" t="str">
        <f t="shared" si="25"/>
        <v>11.660.411-6</v>
      </c>
      <c r="AM51" s="21">
        <v>42</v>
      </c>
      <c r="AN51" s="21">
        <f t="shared" si="7"/>
        <v>0</v>
      </c>
      <c r="AO51" s="21">
        <f t="shared" si="8"/>
        <v>0</v>
      </c>
      <c r="AP51" s="21">
        <f t="shared" si="9"/>
        <v>0</v>
      </c>
      <c r="AQ51" s="21">
        <f t="shared" si="10"/>
        <v>0</v>
      </c>
      <c r="AR51" s="21">
        <f t="shared" si="11"/>
        <v>0</v>
      </c>
      <c r="AS51" s="21">
        <f t="shared" si="12"/>
        <v>0</v>
      </c>
      <c r="AT51" s="21">
        <f t="shared" si="13"/>
        <v>0</v>
      </c>
      <c r="AU51" s="34">
        <f t="shared" si="14"/>
        <v>0</v>
      </c>
      <c r="AW51" s="21" t="str">
        <f t="shared" si="15"/>
        <v/>
      </c>
      <c r="AX51" s="21" t="str">
        <f t="shared" si="16"/>
        <v/>
      </c>
      <c r="AY51" s="21" t="str">
        <f t="shared" si="17"/>
        <v/>
      </c>
      <c r="AZ51" s="21" t="str">
        <f t="shared" si="18"/>
        <v/>
      </c>
      <c r="BA51" s="21" t="str">
        <f t="shared" si="19"/>
        <v/>
      </c>
      <c r="BB51" s="21" t="str">
        <f t="shared" si="20"/>
        <v/>
      </c>
      <c r="BC51" s="21" t="str">
        <f t="shared" si="21"/>
        <v/>
      </c>
    </row>
    <row r="52" spans="1:55" ht="15.75">
      <c r="A52" s="21" t="str">
        <f>IF(Base!B50="","",Base!B50)</f>
        <v>14.595.059-7</v>
      </c>
      <c r="B52" s="21" t="str">
        <f>IF(Base!F50="","",Base!F50)</f>
        <v>YESENIA DE LOURDES  DIAZ  GALVEZ</v>
      </c>
      <c r="C52" s="21" t="str">
        <f>IF(Base!I50="","",Base!I50)</f>
        <v>Linea 7</v>
      </c>
      <c r="D52" s="22" t="str">
        <f>IF(Base!J50="","",Base!J50)</f>
        <v>Inspector etiqueta</v>
      </c>
      <c r="E52" s="21">
        <f>IF(Base!H50="","",Base!H50)</f>
        <v>1050616</v>
      </c>
      <c r="J52" s="28">
        <v>42</v>
      </c>
      <c r="K52" s="5" t="s">
        <v>282</v>
      </c>
      <c r="L52" s="58" t="str">
        <f t="shared" si="1"/>
        <v>LUISA ISABEL  CRUZ  ROMERO</v>
      </c>
      <c r="M52" s="58">
        <f t="shared" si="2"/>
        <v>1050506</v>
      </c>
      <c r="N52" s="59" t="str">
        <f t="shared" si="3"/>
        <v>Abastecimiento</v>
      </c>
      <c r="O52" s="59" t="str">
        <f t="shared" si="4"/>
        <v>Reimpresión</v>
      </c>
      <c r="P52" s="30" t="s">
        <v>1321</v>
      </c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32">
        <f t="shared" si="23"/>
        <v>0</v>
      </c>
      <c r="AF52" s="32">
        <f t="shared" si="24"/>
        <v>0</v>
      </c>
      <c r="AG52" s="48"/>
      <c r="AL52" s="21" t="str">
        <f t="shared" si="25"/>
        <v>11.347.053-4</v>
      </c>
      <c r="AM52" s="21">
        <v>43</v>
      </c>
      <c r="AN52" s="21">
        <f t="shared" si="7"/>
        <v>0</v>
      </c>
      <c r="AO52" s="21">
        <f t="shared" si="8"/>
        <v>0</v>
      </c>
      <c r="AP52" s="21">
        <f t="shared" si="9"/>
        <v>0</v>
      </c>
      <c r="AQ52" s="21">
        <f t="shared" si="10"/>
        <v>0</v>
      </c>
      <c r="AR52" s="21">
        <f t="shared" si="11"/>
        <v>0</v>
      </c>
      <c r="AS52" s="21">
        <f t="shared" si="12"/>
        <v>0</v>
      </c>
      <c r="AT52" s="21">
        <f t="shared" si="13"/>
        <v>0</v>
      </c>
      <c r="AU52" s="34">
        <f t="shared" si="14"/>
        <v>0</v>
      </c>
      <c r="AW52" s="21" t="str">
        <f t="shared" si="15"/>
        <v/>
      </c>
      <c r="AX52" s="21" t="str">
        <f t="shared" si="16"/>
        <v/>
      </c>
      <c r="AY52" s="21" t="str">
        <f t="shared" si="17"/>
        <v/>
      </c>
      <c r="AZ52" s="21" t="str">
        <f t="shared" si="18"/>
        <v/>
      </c>
      <c r="BA52" s="21" t="str">
        <f t="shared" si="19"/>
        <v/>
      </c>
      <c r="BB52" s="21" t="str">
        <f t="shared" si="20"/>
        <v/>
      </c>
      <c r="BC52" s="21" t="str">
        <f t="shared" si="21"/>
        <v/>
      </c>
    </row>
    <row r="53" spans="1:55" ht="15.75">
      <c r="A53" s="21" t="str">
        <f>IF(Base!B51="","",Base!B51)</f>
        <v>10.874.066-3</v>
      </c>
      <c r="B53" s="21" t="str">
        <f>IF(Base!F51="","",Base!F51)</f>
        <v>CRISTIAN  DIAZ  HENRIQUEZ</v>
      </c>
      <c r="C53" s="21" t="str">
        <f>IF(Base!I51="","",Base!I51)</f>
        <v>Linea 1</v>
      </c>
      <c r="D53" s="22" t="str">
        <f>IF(Base!J51="","",Base!J51)</f>
        <v>Embalador</v>
      </c>
      <c r="E53" s="21">
        <f>IF(Base!H51="","",Base!H51)</f>
        <v>1050552</v>
      </c>
      <c r="J53" s="28">
        <v>43</v>
      </c>
      <c r="K53" s="5" t="s">
        <v>288</v>
      </c>
      <c r="L53" s="58" t="str">
        <f t="shared" si="1"/>
        <v>PATRICIO HERNAN  CUEVAS  ORDENES</v>
      </c>
      <c r="M53" s="58">
        <f t="shared" si="2"/>
        <v>1050633</v>
      </c>
      <c r="N53" s="59" t="str">
        <f t="shared" si="3"/>
        <v>Abastecimiento</v>
      </c>
      <c r="O53" s="59" t="str">
        <f t="shared" si="4"/>
        <v>Suministro de Líneas</v>
      </c>
      <c r="P53" s="30" t="s">
        <v>1321</v>
      </c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32">
        <f t="shared" si="23"/>
        <v>0</v>
      </c>
      <c r="AF53" s="32">
        <f t="shared" si="24"/>
        <v>0</v>
      </c>
      <c r="AG53" s="47"/>
      <c r="AL53" s="21" t="str">
        <f t="shared" si="25"/>
        <v>07.815.607-4</v>
      </c>
      <c r="AM53" s="21">
        <v>44</v>
      </c>
      <c r="AN53" s="21">
        <f t="shared" si="7"/>
        <v>0</v>
      </c>
      <c r="AO53" s="21">
        <f t="shared" si="8"/>
        <v>0</v>
      </c>
      <c r="AP53" s="21">
        <f t="shared" si="9"/>
        <v>0</v>
      </c>
      <c r="AQ53" s="21">
        <f t="shared" si="10"/>
        <v>0</v>
      </c>
      <c r="AR53" s="21">
        <f t="shared" si="11"/>
        <v>0</v>
      </c>
      <c r="AS53" s="21">
        <f t="shared" si="12"/>
        <v>0</v>
      </c>
      <c r="AT53" s="21">
        <f t="shared" si="13"/>
        <v>0</v>
      </c>
      <c r="AU53" s="34">
        <f t="shared" si="14"/>
        <v>0</v>
      </c>
      <c r="AW53" s="21" t="str">
        <f t="shared" si="15"/>
        <v/>
      </c>
      <c r="AX53" s="21" t="str">
        <f t="shared" si="16"/>
        <v/>
      </c>
      <c r="AY53" s="21" t="str">
        <f t="shared" si="17"/>
        <v/>
      </c>
      <c r="AZ53" s="21" t="str">
        <f t="shared" si="18"/>
        <v/>
      </c>
      <c r="BA53" s="21" t="str">
        <f t="shared" si="19"/>
        <v/>
      </c>
      <c r="BB53" s="21" t="str">
        <f t="shared" si="20"/>
        <v/>
      </c>
      <c r="BC53" s="21" t="str">
        <f t="shared" si="21"/>
        <v/>
      </c>
    </row>
    <row r="54" spans="1:55" ht="15.75">
      <c r="A54" s="21" t="str">
        <f>IF(Base!B52="","",Base!B52)</f>
        <v>11.394.356-4</v>
      </c>
      <c r="B54" s="21" t="str">
        <f>IF(Base!F52="","",Base!F52)</f>
        <v>ANGELICA VICTORIA  DIAZ  MUÑOZ</v>
      </c>
      <c r="C54" s="21" t="str">
        <f>IF(Base!I52="","",Base!I52)</f>
        <v>Linea 7</v>
      </c>
      <c r="D54" s="22" t="str">
        <f>IF(Base!J52="","",Base!J52)</f>
        <v>Inspector etiqueta</v>
      </c>
      <c r="E54" s="21">
        <f>IF(Base!H52="","",Base!H52)</f>
        <v>1050616</v>
      </c>
      <c r="J54" s="28">
        <v>44</v>
      </c>
      <c r="K54" s="5" t="s">
        <v>301</v>
      </c>
      <c r="L54" s="58" t="str">
        <f t="shared" si="1"/>
        <v>JORGE ANDRES  DEL RIO  TRONCOSO</v>
      </c>
      <c r="M54" s="58">
        <f t="shared" si="2"/>
        <v>1050127</v>
      </c>
      <c r="N54" s="59" t="str">
        <f t="shared" si="3"/>
        <v>Abastecimiento</v>
      </c>
      <c r="O54" s="59" t="str">
        <f t="shared" si="4"/>
        <v>Preparación de Insum</v>
      </c>
      <c r="P54" s="30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32">
        <f t="shared" si="23"/>
        <v>0</v>
      </c>
      <c r="AF54" s="32">
        <f t="shared" si="24"/>
        <v>0</v>
      </c>
      <c r="AG54" s="47"/>
      <c r="AL54" s="21" t="str">
        <f t="shared" si="25"/>
        <v>14.181.387-0</v>
      </c>
      <c r="AM54" s="21">
        <v>45</v>
      </c>
      <c r="AN54" s="21">
        <f t="shared" si="7"/>
        <v>0</v>
      </c>
      <c r="AO54" s="21">
        <f t="shared" si="8"/>
        <v>0</v>
      </c>
      <c r="AP54" s="21">
        <f t="shared" si="9"/>
        <v>0</v>
      </c>
      <c r="AQ54" s="21">
        <f t="shared" si="10"/>
        <v>0</v>
      </c>
      <c r="AR54" s="21">
        <f t="shared" si="11"/>
        <v>0</v>
      </c>
      <c r="AS54" s="21">
        <f t="shared" si="12"/>
        <v>0</v>
      </c>
      <c r="AT54" s="21">
        <f t="shared" si="13"/>
        <v>0</v>
      </c>
      <c r="AU54" s="34">
        <f t="shared" si="14"/>
        <v>0</v>
      </c>
      <c r="AW54" s="21" t="str">
        <f t="shared" si="15"/>
        <v/>
      </c>
      <c r="AX54" s="21" t="str">
        <f t="shared" si="16"/>
        <v/>
      </c>
      <c r="AY54" s="21" t="str">
        <f t="shared" si="17"/>
        <v/>
      </c>
      <c r="AZ54" s="21" t="str">
        <f t="shared" si="18"/>
        <v/>
      </c>
      <c r="BA54" s="21" t="str">
        <f t="shared" si="19"/>
        <v/>
      </c>
      <c r="BB54" s="21" t="str">
        <f t="shared" si="20"/>
        <v/>
      </c>
      <c r="BC54" s="21" t="str">
        <f t="shared" si="21"/>
        <v/>
      </c>
    </row>
    <row r="55" spans="1:55" ht="15.75">
      <c r="A55" s="21" t="str">
        <f>IF(Base!B53="","",Base!B53)</f>
        <v>11.165.105-1</v>
      </c>
      <c r="B55" s="21" t="str">
        <f>IF(Base!F53="","",Base!F53)</f>
        <v>CECILIA  DIAZ  POBLETE</v>
      </c>
      <c r="C55" s="21" t="str">
        <f>IF(Base!I53="","",Base!I53)</f>
        <v>Linea 1</v>
      </c>
      <c r="D55" s="22" t="str">
        <f>IF(Base!J53="","",Base!J53)</f>
        <v>Inspector etiqueta</v>
      </c>
      <c r="E55" s="21">
        <f>IF(Base!H53="","",Base!H53)</f>
        <v>1050552</v>
      </c>
      <c r="J55" s="28">
        <v>45</v>
      </c>
      <c r="K55" s="5" t="s">
        <v>1378</v>
      </c>
      <c r="L55" s="58" t="str">
        <f t="shared" si="1"/>
        <v>JAEL DENNISSE DENIS ESCOBAR</v>
      </c>
      <c r="M55" s="58">
        <f t="shared" si="2"/>
        <v>1050581</v>
      </c>
      <c r="N55" s="59" t="str">
        <f t="shared" si="3"/>
        <v>Abastecimiento</v>
      </c>
      <c r="O55" s="59" t="str">
        <f t="shared" si="4"/>
        <v>Almacen Insumos Pque</v>
      </c>
      <c r="P55" s="30"/>
      <c r="Q55" s="96"/>
      <c r="R55" s="96"/>
      <c r="S55" s="96">
        <v>1</v>
      </c>
      <c r="T55" s="96"/>
      <c r="U55" s="96"/>
      <c r="V55" s="96"/>
      <c r="W55" s="96"/>
      <c r="X55" s="96"/>
      <c r="Y55" s="96"/>
      <c r="Z55" s="96"/>
      <c r="AA55" s="96">
        <v>7</v>
      </c>
      <c r="AB55" s="96"/>
      <c r="AC55" s="96"/>
      <c r="AD55" s="96"/>
      <c r="AE55" s="32">
        <f t="shared" si="23"/>
        <v>8</v>
      </c>
      <c r="AF55" s="32">
        <f t="shared" si="24"/>
        <v>0</v>
      </c>
      <c r="AG55" s="47" t="s">
        <v>1458</v>
      </c>
      <c r="AL55" s="21" t="str">
        <f t="shared" si="25"/>
        <v>17.926.694-6</v>
      </c>
      <c r="AM55" s="21">
        <v>46</v>
      </c>
      <c r="AN55" s="21">
        <f t="shared" si="7"/>
        <v>0</v>
      </c>
      <c r="AO55" s="21">
        <f t="shared" si="8"/>
        <v>1</v>
      </c>
      <c r="AP55" s="21">
        <f t="shared" si="9"/>
        <v>0</v>
      </c>
      <c r="AQ55" s="21">
        <f t="shared" si="10"/>
        <v>0</v>
      </c>
      <c r="AR55" s="21">
        <f t="shared" si="11"/>
        <v>0</v>
      </c>
      <c r="AS55" s="21">
        <f t="shared" si="12"/>
        <v>7</v>
      </c>
      <c r="AT55" s="21">
        <f t="shared" si="13"/>
        <v>0</v>
      </c>
      <c r="AU55" s="34">
        <f t="shared" si="14"/>
        <v>8</v>
      </c>
      <c r="AW55" s="21" t="str">
        <f t="shared" si="15"/>
        <v/>
      </c>
      <c r="AX55" s="21">
        <f t="shared" si="16"/>
        <v>0.5</v>
      </c>
      <c r="AY55" s="21" t="str">
        <f t="shared" si="17"/>
        <v/>
      </c>
      <c r="AZ55" s="21" t="str">
        <f t="shared" si="18"/>
        <v/>
      </c>
      <c r="BA55" s="21" t="str">
        <f t="shared" si="19"/>
        <v/>
      </c>
      <c r="BB55" s="21">
        <f t="shared" si="20"/>
        <v>0.5</v>
      </c>
      <c r="BC55" s="21" t="str">
        <f t="shared" si="21"/>
        <v/>
      </c>
    </row>
    <row r="56" spans="1:55" ht="15.75">
      <c r="A56" s="21" t="str">
        <f>IF(Base!B54="","",Base!B54)</f>
        <v>17.929.108-8</v>
      </c>
      <c r="B56" s="21" t="str">
        <f>IF(Base!F54="","",Base!F54)</f>
        <v>CRISTIAN ALFREDO  DONOSO  SANTIBAÑEZ</v>
      </c>
      <c r="C56" s="21" t="str">
        <f>IF(Base!I54="","",Base!I54)</f>
        <v>Setup</v>
      </c>
      <c r="D56" s="22" t="str">
        <f>IF(Base!J54="","",Base!J54)</f>
        <v>Setup</v>
      </c>
      <c r="E56" s="21">
        <f>IF(Base!H54="","",Base!H54)</f>
        <v>1050529</v>
      </c>
      <c r="J56" s="28">
        <v>46</v>
      </c>
      <c r="K56" s="5" t="s">
        <v>307</v>
      </c>
      <c r="L56" s="58" t="str">
        <f t="shared" si="1"/>
        <v>MIGUEL ANGEL  DIAZ  CASTRO</v>
      </c>
      <c r="M56" s="58">
        <f t="shared" si="2"/>
        <v>1050126</v>
      </c>
      <c r="N56" s="59" t="str">
        <f t="shared" si="3"/>
        <v>Abastecimiento</v>
      </c>
      <c r="O56" s="59" t="str">
        <f t="shared" si="4"/>
        <v>Control Ingresos Cen</v>
      </c>
      <c r="P56" s="30" t="s">
        <v>1321</v>
      </c>
      <c r="Q56" s="96"/>
      <c r="R56" s="96"/>
      <c r="S56" s="96"/>
      <c r="T56" s="96"/>
      <c r="U56" s="96">
        <v>2</v>
      </c>
      <c r="V56" s="96"/>
      <c r="W56" s="96">
        <v>2</v>
      </c>
      <c r="X56" s="96"/>
      <c r="Y56" s="96"/>
      <c r="Z56" s="96"/>
      <c r="AA56" s="96"/>
      <c r="AB56" s="96"/>
      <c r="AC56" s="96"/>
      <c r="AD56" s="96"/>
      <c r="AE56" s="32">
        <f t="shared" si="23"/>
        <v>4</v>
      </c>
      <c r="AF56" s="32">
        <f t="shared" si="24"/>
        <v>0</v>
      </c>
      <c r="AG56" s="47" t="s">
        <v>1453</v>
      </c>
      <c r="AL56" s="21" t="str">
        <f t="shared" si="25"/>
        <v>07.944.613-0</v>
      </c>
      <c r="AM56" s="21">
        <v>47</v>
      </c>
      <c r="AN56" s="21">
        <f t="shared" si="7"/>
        <v>0</v>
      </c>
      <c r="AO56" s="21">
        <f t="shared" si="8"/>
        <v>0</v>
      </c>
      <c r="AP56" s="21">
        <f t="shared" si="9"/>
        <v>2</v>
      </c>
      <c r="AQ56" s="21">
        <f t="shared" si="10"/>
        <v>2</v>
      </c>
      <c r="AR56" s="21">
        <f t="shared" si="11"/>
        <v>0</v>
      </c>
      <c r="AS56" s="21">
        <f t="shared" si="12"/>
        <v>0</v>
      </c>
      <c r="AT56" s="21">
        <f t="shared" si="13"/>
        <v>0</v>
      </c>
      <c r="AU56" s="34">
        <f t="shared" si="14"/>
        <v>4</v>
      </c>
      <c r="AW56" s="21" t="str">
        <f t="shared" si="15"/>
        <v/>
      </c>
      <c r="AX56" s="21" t="str">
        <f t="shared" si="16"/>
        <v/>
      </c>
      <c r="AY56" s="21">
        <f t="shared" si="17"/>
        <v>0.5</v>
      </c>
      <c r="AZ56" s="21">
        <f t="shared" si="18"/>
        <v>0.5</v>
      </c>
      <c r="BA56" s="21" t="str">
        <f t="shared" si="19"/>
        <v/>
      </c>
      <c r="BB56" s="21" t="str">
        <f t="shared" si="20"/>
        <v/>
      </c>
      <c r="BC56" s="21" t="str">
        <f t="shared" si="21"/>
        <v/>
      </c>
    </row>
    <row r="57" spans="1:55" ht="15.75">
      <c r="A57" s="21" t="str">
        <f>IF(Base!B55="","",Base!B55)</f>
        <v>05.267.317-8</v>
      </c>
      <c r="B57" s="21" t="str">
        <f>IF(Base!F55="","",Base!F55)</f>
        <v>LUIS  DUARTE  BECERRA</v>
      </c>
      <c r="C57" s="21" t="str">
        <f>IF(Base!I55="","",Base!I55)</f>
        <v>Abastecimiento</v>
      </c>
      <c r="D57" s="22" t="str">
        <f>IF(Base!J55="","",Base!J55)</f>
        <v>Preparación de Insum</v>
      </c>
      <c r="E57" s="21">
        <f>IF(Base!H55="","",Base!H55)</f>
        <v>1050127</v>
      </c>
      <c r="J57" s="28">
        <v>47</v>
      </c>
      <c r="K57" s="5" t="s">
        <v>1388</v>
      </c>
      <c r="L57" s="58" t="str">
        <f t="shared" si="1"/>
        <v>ERIKA PATRICIA ESPINOZA SERRANO</v>
      </c>
      <c r="M57" s="58">
        <f t="shared" si="2"/>
        <v>1050507</v>
      </c>
      <c r="N57" s="59" t="str">
        <f t="shared" si="3"/>
        <v>ADMINISTRATIVO</v>
      </c>
      <c r="O57" s="59" t="str">
        <f t="shared" si="4"/>
        <v>Almacen Insumos Pque</v>
      </c>
      <c r="P57" s="30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32">
        <f t="shared" si="23"/>
        <v>0</v>
      </c>
      <c r="AF57" s="32">
        <f t="shared" si="24"/>
        <v>0</v>
      </c>
      <c r="AG57" s="47"/>
      <c r="AL57" s="21" t="str">
        <f t="shared" si="25"/>
        <v>15.446.103-5</v>
      </c>
      <c r="AM57" s="21">
        <v>48</v>
      </c>
      <c r="AN57" s="21">
        <f t="shared" si="7"/>
        <v>0</v>
      </c>
      <c r="AO57" s="21">
        <f t="shared" si="8"/>
        <v>0</v>
      </c>
      <c r="AP57" s="21">
        <f t="shared" si="9"/>
        <v>0</v>
      </c>
      <c r="AQ57" s="21">
        <f t="shared" si="10"/>
        <v>0</v>
      </c>
      <c r="AR57" s="21">
        <f t="shared" si="11"/>
        <v>0</v>
      </c>
      <c r="AS57" s="21">
        <f t="shared" si="12"/>
        <v>0</v>
      </c>
      <c r="AT57" s="21">
        <f t="shared" si="13"/>
        <v>0</v>
      </c>
      <c r="AU57" s="34">
        <f t="shared" si="14"/>
        <v>0</v>
      </c>
      <c r="AW57" s="21" t="str">
        <f t="shared" si="15"/>
        <v/>
      </c>
      <c r="AX57" s="21" t="str">
        <f t="shared" si="16"/>
        <v/>
      </c>
      <c r="AY57" s="21" t="str">
        <f t="shared" si="17"/>
        <v/>
      </c>
      <c r="AZ57" s="21" t="str">
        <f t="shared" si="18"/>
        <v/>
      </c>
      <c r="BA57" s="21" t="str">
        <f t="shared" si="19"/>
        <v/>
      </c>
      <c r="BB57" s="21" t="str">
        <f t="shared" si="20"/>
        <v/>
      </c>
      <c r="BC57" s="21" t="str">
        <f t="shared" si="21"/>
        <v/>
      </c>
    </row>
    <row r="58" spans="1:55" ht="15.75">
      <c r="A58" s="21" t="str">
        <f>IF(Base!B56="","",Base!B56)</f>
        <v>14.336.328-7</v>
      </c>
      <c r="B58" s="21" t="str">
        <f>IF(Base!F56="","",Base!F56)</f>
        <v>HECTOR MANUEL  DURAN  HENRIQUEZ</v>
      </c>
      <c r="C58" s="21" t="str">
        <f>IF(Base!I56="","",Base!I56)</f>
        <v>Linea 1</v>
      </c>
      <c r="D58" s="22" t="str">
        <f>IF(Base!J56="","",Base!J56)</f>
        <v>Etiquetador</v>
      </c>
      <c r="E58" s="21">
        <f>IF(Base!H56="","",Base!H56)</f>
        <v>1050552</v>
      </c>
      <c r="J58" s="28">
        <v>48</v>
      </c>
      <c r="K58" s="5" t="s">
        <v>356</v>
      </c>
      <c r="L58" s="58" t="str">
        <f t="shared" si="1"/>
        <v>JOAQUIN  ESPINOZA  MORENO</v>
      </c>
      <c r="M58" s="58">
        <f t="shared" si="2"/>
        <v>1050581</v>
      </c>
      <c r="N58" s="59" t="str">
        <f t="shared" si="3"/>
        <v>Abastecimiento</v>
      </c>
      <c r="O58" s="59" t="str">
        <f t="shared" si="4"/>
        <v>Almacen Insumos Pque</v>
      </c>
      <c r="P58" s="30"/>
      <c r="Q58" s="96"/>
      <c r="R58" s="96"/>
      <c r="S58" s="96">
        <v>2</v>
      </c>
      <c r="T58" s="96"/>
      <c r="U58" s="96"/>
      <c r="V58" s="96"/>
      <c r="W58" s="96">
        <v>2</v>
      </c>
      <c r="X58" s="96"/>
      <c r="Y58" s="96">
        <v>2</v>
      </c>
      <c r="Z58" s="96"/>
      <c r="AA58" s="96"/>
      <c r="AB58" s="96"/>
      <c r="AC58" s="96"/>
      <c r="AD58" s="96"/>
      <c r="AE58" s="32">
        <f t="shared" si="23"/>
        <v>6</v>
      </c>
      <c r="AF58" s="32">
        <f t="shared" si="24"/>
        <v>0</v>
      </c>
      <c r="AG58" s="47" t="s">
        <v>1459</v>
      </c>
      <c r="AL58" s="21" t="str">
        <f t="shared" si="25"/>
        <v>11.267.594-9</v>
      </c>
      <c r="AM58" s="21">
        <v>49</v>
      </c>
      <c r="AN58" s="21">
        <f t="shared" si="7"/>
        <v>0</v>
      </c>
      <c r="AO58" s="21">
        <f t="shared" si="8"/>
        <v>2</v>
      </c>
      <c r="AP58" s="21">
        <f t="shared" si="9"/>
        <v>0</v>
      </c>
      <c r="AQ58" s="21">
        <f t="shared" si="10"/>
        <v>2</v>
      </c>
      <c r="AR58" s="21">
        <f t="shared" si="11"/>
        <v>2</v>
      </c>
      <c r="AS58" s="21">
        <f t="shared" si="12"/>
        <v>0</v>
      </c>
      <c r="AT58" s="21">
        <f t="shared" si="13"/>
        <v>0</v>
      </c>
      <c r="AU58" s="34">
        <f t="shared" si="14"/>
        <v>6</v>
      </c>
      <c r="AW58" s="21" t="str">
        <f t="shared" si="15"/>
        <v/>
      </c>
      <c r="AX58" s="21">
        <f t="shared" si="16"/>
        <v>0.5</v>
      </c>
      <c r="AY58" s="21" t="str">
        <f t="shared" si="17"/>
        <v/>
      </c>
      <c r="AZ58" s="21">
        <f t="shared" si="18"/>
        <v>0.5</v>
      </c>
      <c r="BA58" s="21">
        <f t="shared" si="19"/>
        <v>0.5</v>
      </c>
      <c r="BB58" s="21" t="str">
        <f t="shared" si="20"/>
        <v/>
      </c>
      <c r="BC58" s="21" t="str">
        <f t="shared" si="21"/>
        <v/>
      </c>
    </row>
    <row r="59" spans="1:55" ht="15.75">
      <c r="A59" s="21" t="str">
        <f>IF(Base!B57="","",Base!B57)</f>
        <v>09.957.527-1</v>
      </c>
      <c r="B59" s="21" t="str">
        <f>IF(Base!F57="","",Base!F57)</f>
        <v>JUAN LISANDRO  DURAN  MUÑOZ</v>
      </c>
      <c r="C59" s="21" t="str">
        <f>IF(Base!I57="","",Base!I57)</f>
        <v>Linea 7</v>
      </c>
      <c r="D59" s="22" t="str">
        <f>IF(Base!J57="","",Base!J57)</f>
        <v>Embalador</v>
      </c>
      <c r="E59" s="21">
        <f>IF(Base!H57="","",Base!H57)</f>
        <v>1050616</v>
      </c>
      <c r="J59" s="28">
        <v>49</v>
      </c>
      <c r="K59" s="5" t="s">
        <v>372</v>
      </c>
      <c r="L59" s="58" t="str">
        <f t="shared" si="1"/>
        <v>JONATHAN  ESPINOZA  MORENO</v>
      </c>
      <c r="M59" s="58">
        <f t="shared" si="2"/>
        <v>1050581</v>
      </c>
      <c r="N59" s="59" t="str">
        <f t="shared" si="3"/>
        <v>Abastecimiento</v>
      </c>
      <c r="O59" s="59" t="str">
        <f t="shared" si="4"/>
        <v>Suministro de Líneas</v>
      </c>
      <c r="P59" s="30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32">
        <f t="shared" si="23"/>
        <v>0</v>
      </c>
      <c r="AF59" s="32">
        <f t="shared" si="24"/>
        <v>0</v>
      </c>
      <c r="AG59" s="47"/>
      <c r="AL59" s="21" t="str">
        <f t="shared" si="25"/>
        <v>16.031.949-6</v>
      </c>
      <c r="AM59" s="21">
        <v>50</v>
      </c>
      <c r="AN59" s="21">
        <f t="shared" si="7"/>
        <v>0</v>
      </c>
      <c r="AO59" s="21">
        <f t="shared" si="8"/>
        <v>0</v>
      </c>
      <c r="AP59" s="21">
        <f t="shared" si="9"/>
        <v>0</v>
      </c>
      <c r="AQ59" s="21">
        <f t="shared" si="10"/>
        <v>0</v>
      </c>
      <c r="AR59" s="21">
        <f t="shared" si="11"/>
        <v>0</v>
      </c>
      <c r="AS59" s="21">
        <f t="shared" si="12"/>
        <v>0</v>
      </c>
      <c r="AT59" s="21">
        <f t="shared" si="13"/>
        <v>0</v>
      </c>
      <c r="AU59" s="34">
        <f t="shared" si="14"/>
        <v>0</v>
      </c>
      <c r="AW59" s="21" t="str">
        <f t="shared" si="15"/>
        <v/>
      </c>
      <c r="AX59" s="21" t="str">
        <f t="shared" si="16"/>
        <v/>
      </c>
      <c r="AY59" s="21" t="str">
        <f t="shared" si="17"/>
        <v/>
      </c>
      <c r="AZ59" s="21" t="str">
        <f t="shared" si="18"/>
        <v/>
      </c>
      <c r="BA59" s="21" t="str">
        <f t="shared" si="19"/>
        <v/>
      </c>
      <c r="BB59" s="21" t="str">
        <f t="shared" si="20"/>
        <v/>
      </c>
      <c r="BC59" s="21" t="str">
        <f t="shared" si="21"/>
        <v/>
      </c>
    </row>
    <row r="60" spans="1:55" ht="15.75">
      <c r="A60" s="21" t="str">
        <f>IF(Base!B58="","",Base!B58)</f>
        <v>06.326.657-4</v>
      </c>
      <c r="B60" s="21" t="str">
        <f>IF(Base!F58="","",Base!F58)</f>
        <v>FERNANDO  DURAN  SOTO</v>
      </c>
      <c r="C60" s="21" t="str">
        <f>IF(Base!I58="","",Base!I58)</f>
        <v>Linea 7</v>
      </c>
      <c r="D60" s="22" t="str">
        <f>IF(Base!J58="","",Base!J58)</f>
        <v>Embalador</v>
      </c>
      <c r="E60" s="21">
        <f>IF(Base!H58="","",Base!H58)</f>
        <v>1050616</v>
      </c>
      <c r="J60" s="28">
        <v>50</v>
      </c>
      <c r="K60" s="5" t="s">
        <v>376</v>
      </c>
      <c r="L60" s="58" t="str">
        <f t="shared" si="1"/>
        <v>CARLOS  FIGUEROA  NILO</v>
      </c>
      <c r="M60" s="58">
        <f t="shared" si="2"/>
        <v>1050126</v>
      </c>
      <c r="N60" s="59" t="str">
        <f t="shared" si="3"/>
        <v>Abastecimiento</v>
      </c>
      <c r="O60" s="59" t="str">
        <f t="shared" si="4"/>
        <v>Control Ingresos Cen</v>
      </c>
      <c r="P60" s="30" t="s">
        <v>1323</v>
      </c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32">
        <f t="shared" si="23"/>
        <v>0</v>
      </c>
      <c r="AF60" s="32">
        <f t="shared" si="24"/>
        <v>0</v>
      </c>
      <c r="AG60" s="47"/>
      <c r="AL60" s="21" t="str">
        <f t="shared" si="25"/>
        <v>05.080.993-5</v>
      </c>
      <c r="AM60" s="21">
        <v>51</v>
      </c>
      <c r="AN60" s="21">
        <f t="shared" si="7"/>
        <v>0</v>
      </c>
      <c r="AO60" s="21">
        <f t="shared" si="8"/>
        <v>0</v>
      </c>
      <c r="AP60" s="21">
        <f t="shared" si="9"/>
        <v>0</v>
      </c>
      <c r="AQ60" s="21">
        <f t="shared" si="10"/>
        <v>0</v>
      </c>
      <c r="AR60" s="21">
        <f t="shared" si="11"/>
        <v>0</v>
      </c>
      <c r="AS60" s="21">
        <f t="shared" si="12"/>
        <v>0</v>
      </c>
      <c r="AT60" s="21">
        <f t="shared" si="13"/>
        <v>0</v>
      </c>
      <c r="AU60" s="34">
        <f t="shared" si="14"/>
        <v>0</v>
      </c>
      <c r="AW60" s="21" t="str">
        <f t="shared" si="15"/>
        <v/>
      </c>
      <c r="AX60" s="21" t="str">
        <f t="shared" si="16"/>
        <v/>
      </c>
      <c r="AY60" s="21" t="str">
        <f t="shared" si="17"/>
        <v/>
      </c>
      <c r="AZ60" s="21" t="str">
        <f t="shared" si="18"/>
        <v/>
      </c>
      <c r="BA60" s="21" t="str">
        <f t="shared" si="19"/>
        <v/>
      </c>
      <c r="BB60" s="21" t="str">
        <f t="shared" si="20"/>
        <v/>
      </c>
      <c r="BC60" s="21" t="str">
        <f t="shared" si="21"/>
        <v/>
      </c>
    </row>
    <row r="61" spans="1:55" ht="15.75">
      <c r="A61" s="21" t="str">
        <f>IF(Base!B59="","",Base!B59)</f>
        <v>11.267.594-9</v>
      </c>
      <c r="B61" s="21" t="str">
        <f>IF(Base!F59="","",Base!F59)</f>
        <v>JOAQUIN  ESPINOZA  MORENO</v>
      </c>
      <c r="C61" s="21" t="str">
        <f>IF(Base!I59="","",Base!I59)</f>
        <v>Abastecimiento</v>
      </c>
      <c r="D61" s="22" t="str">
        <f>IF(Base!J59="","",Base!J59)</f>
        <v>Almacen Insumos Pque</v>
      </c>
      <c r="E61" s="21">
        <f>IF(Base!H59="","",Base!H59)</f>
        <v>1050581</v>
      </c>
      <c r="J61" s="28">
        <v>51</v>
      </c>
      <c r="K61" s="5" t="s">
        <v>381</v>
      </c>
      <c r="L61" s="58" t="str">
        <f t="shared" si="1"/>
        <v>NELLY E.  FIGUEROA  PAVEZ</v>
      </c>
      <c r="M61" s="58">
        <f t="shared" si="2"/>
        <v>1050126</v>
      </c>
      <c r="N61" s="59" t="str">
        <f t="shared" si="3"/>
        <v>Abastecimiento</v>
      </c>
      <c r="O61" s="59" t="str">
        <f t="shared" si="4"/>
        <v>Control Ingresos Cen</v>
      </c>
      <c r="P61" s="30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32">
        <f t="shared" si="23"/>
        <v>0</v>
      </c>
      <c r="AF61" s="32">
        <f t="shared" si="24"/>
        <v>0</v>
      </c>
      <c r="AG61" s="47"/>
      <c r="AL61" s="21" t="str">
        <f t="shared" si="25"/>
        <v>05.989.878-7</v>
      </c>
      <c r="AM61" s="21">
        <v>52</v>
      </c>
      <c r="AN61" s="21">
        <f t="shared" si="7"/>
        <v>0</v>
      </c>
      <c r="AO61" s="21">
        <f t="shared" si="8"/>
        <v>0</v>
      </c>
      <c r="AP61" s="21">
        <f t="shared" si="9"/>
        <v>0</v>
      </c>
      <c r="AQ61" s="21">
        <f t="shared" si="10"/>
        <v>0</v>
      </c>
      <c r="AR61" s="21">
        <f t="shared" si="11"/>
        <v>0</v>
      </c>
      <c r="AS61" s="21">
        <f t="shared" si="12"/>
        <v>0</v>
      </c>
      <c r="AT61" s="21">
        <f t="shared" si="13"/>
        <v>0</v>
      </c>
      <c r="AU61" s="34">
        <f t="shared" si="14"/>
        <v>0</v>
      </c>
      <c r="AW61" s="21" t="str">
        <f t="shared" si="15"/>
        <v/>
      </c>
      <c r="AX61" s="21" t="str">
        <f t="shared" si="16"/>
        <v/>
      </c>
      <c r="AY61" s="21" t="str">
        <f t="shared" si="17"/>
        <v/>
      </c>
      <c r="AZ61" s="21" t="str">
        <f t="shared" si="18"/>
        <v/>
      </c>
      <c r="BA61" s="21" t="str">
        <f t="shared" si="19"/>
        <v/>
      </c>
      <c r="BB61" s="21" t="str">
        <f t="shared" si="20"/>
        <v/>
      </c>
      <c r="BC61" s="21" t="str">
        <f t="shared" si="21"/>
        <v/>
      </c>
    </row>
    <row r="62" spans="1:55" ht="15.75">
      <c r="A62" s="21" t="str">
        <f>IF(Base!B60="","",Base!B60)</f>
        <v>08.161.344-3</v>
      </c>
      <c r="B62" s="21" t="str">
        <f>IF(Base!F60="","",Base!F60)</f>
        <v>ELIANA RITA  ESTRADA  ESTRADA</v>
      </c>
      <c r="C62" s="21" t="str">
        <f>IF(Base!I60="","",Base!I60)</f>
        <v>Linea 1</v>
      </c>
      <c r="D62" s="22" t="str">
        <f>IF(Base!J60="","",Base!J60)</f>
        <v>Inspector etiqueta</v>
      </c>
      <c r="E62" s="21">
        <f>IF(Base!H60="","",Base!H60)</f>
        <v>1050552</v>
      </c>
      <c r="J62" s="28">
        <v>52</v>
      </c>
      <c r="K62" s="5" t="s">
        <v>1350</v>
      </c>
      <c r="L62" s="58" t="str">
        <f t="shared" si="1"/>
        <v>MARCELO  FLORES  ARANDA</v>
      </c>
      <c r="M62" s="58">
        <f t="shared" si="2"/>
        <v>1050126</v>
      </c>
      <c r="N62" s="59" t="str">
        <f t="shared" si="3"/>
        <v>Abastecimiento</v>
      </c>
      <c r="O62" s="59" t="str">
        <f t="shared" si="4"/>
        <v>Control Ingresos Cen</v>
      </c>
      <c r="P62" s="30"/>
      <c r="Q62" s="96"/>
      <c r="R62" s="96"/>
      <c r="S62" s="96"/>
      <c r="T62" s="96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32">
        <f t="shared" si="23"/>
        <v>0</v>
      </c>
      <c r="AF62" s="32">
        <f t="shared" si="24"/>
        <v>0</v>
      </c>
      <c r="AG62" s="47"/>
      <c r="AL62" s="21" t="str">
        <f t="shared" si="25"/>
        <v>16.380.050-0</v>
      </c>
      <c r="AM62" s="21">
        <v>53</v>
      </c>
      <c r="AN62" s="21">
        <f t="shared" si="7"/>
        <v>0</v>
      </c>
      <c r="AO62" s="21">
        <f t="shared" si="8"/>
        <v>0</v>
      </c>
      <c r="AP62" s="21">
        <f t="shared" si="9"/>
        <v>0</v>
      </c>
      <c r="AQ62" s="21">
        <f t="shared" si="10"/>
        <v>0</v>
      </c>
      <c r="AR62" s="21">
        <f t="shared" si="11"/>
        <v>0</v>
      </c>
      <c r="AS62" s="21">
        <f t="shared" si="12"/>
        <v>0</v>
      </c>
      <c r="AT62" s="21">
        <f t="shared" si="13"/>
        <v>0</v>
      </c>
      <c r="AU62" s="34">
        <f t="shared" si="14"/>
        <v>0</v>
      </c>
      <c r="AW62" s="21" t="str">
        <f t="shared" si="15"/>
        <v/>
      </c>
      <c r="AX62" s="21" t="str">
        <f t="shared" si="16"/>
        <v/>
      </c>
      <c r="AY62" s="21" t="str">
        <f t="shared" si="17"/>
        <v/>
      </c>
      <c r="AZ62" s="21" t="str">
        <f t="shared" si="18"/>
        <v/>
      </c>
      <c r="BA62" s="21" t="str">
        <f t="shared" si="19"/>
        <v/>
      </c>
      <c r="BB62" s="21" t="str">
        <f t="shared" si="20"/>
        <v/>
      </c>
      <c r="BC62" s="21" t="str">
        <f t="shared" si="21"/>
        <v/>
      </c>
    </row>
    <row r="63" spans="1:55" ht="15.75">
      <c r="A63" s="21" t="str">
        <f>IF(Base!B61="","",Base!B61)</f>
        <v>11.914.799-9</v>
      </c>
      <c r="B63" s="21" t="str">
        <f>IF(Base!F61="","",Base!F61)</f>
        <v>LUIS  FERNANDEZ  MELLA</v>
      </c>
      <c r="C63" s="21" t="str">
        <f>IF(Base!I61="","",Base!I61)</f>
        <v>Linea 6</v>
      </c>
      <c r="D63" s="22" t="str">
        <f>IF(Base!J61="","",Base!J61)</f>
        <v>Embalador</v>
      </c>
      <c r="E63" s="21">
        <f>IF(Base!H61="","",Base!H61)</f>
        <v>1050610</v>
      </c>
      <c r="J63" s="28">
        <v>53</v>
      </c>
      <c r="K63" s="5" t="s">
        <v>418</v>
      </c>
      <c r="L63" s="58" t="str">
        <f t="shared" si="1"/>
        <v>MIGUEL FRANCISCO  GALLARDO  CASTRO</v>
      </c>
      <c r="M63" s="58">
        <f t="shared" si="2"/>
        <v>1050126</v>
      </c>
      <c r="N63" s="59" t="str">
        <f t="shared" si="3"/>
        <v>Abastecimiento</v>
      </c>
      <c r="O63" s="59" t="str">
        <f t="shared" si="4"/>
        <v>Control Ingresos Cen</v>
      </c>
      <c r="P63" s="30" t="s">
        <v>1321</v>
      </c>
      <c r="Q63" s="96"/>
      <c r="R63" s="96"/>
      <c r="S63" s="96">
        <v>2.5</v>
      </c>
      <c r="T63" s="96"/>
      <c r="U63" s="96">
        <v>4</v>
      </c>
      <c r="V63" s="96"/>
      <c r="W63" s="96">
        <v>4</v>
      </c>
      <c r="X63" s="96"/>
      <c r="Y63" s="96">
        <v>2</v>
      </c>
      <c r="Z63" s="96"/>
      <c r="AA63" s="96"/>
      <c r="AB63" s="96"/>
      <c r="AC63" s="96"/>
      <c r="AD63" s="96"/>
      <c r="AE63" s="32">
        <f t="shared" si="23"/>
        <v>12.5</v>
      </c>
      <c r="AF63" s="32">
        <f t="shared" si="24"/>
        <v>0</v>
      </c>
      <c r="AG63" s="47" t="s">
        <v>1460</v>
      </c>
      <c r="AL63" s="21" t="str">
        <f t="shared" si="25"/>
        <v>09.571.017-4</v>
      </c>
      <c r="AM63" s="21">
        <v>54</v>
      </c>
      <c r="AN63" s="21">
        <f t="shared" si="7"/>
        <v>0</v>
      </c>
      <c r="AO63" s="21">
        <f t="shared" si="8"/>
        <v>2.5</v>
      </c>
      <c r="AP63" s="21">
        <f t="shared" si="9"/>
        <v>4</v>
      </c>
      <c r="AQ63" s="21">
        <f t="shared" si="10"/>
        <v>4</v>
      </c>
      <c r="AR63" s="21">
        <f t="shared" si="11"/>
        <v>2</v>
      </c>
      <c r="AS63" s="21">
        <f t="shared" si="12"/>
        <v>0</v>
      </c>
      <c r="AT63" s="21">
        <f t="shared" si="13"/>
        <v>0</v>
      </c>
      <c r="AU63" s="34">
        <f t="shared" si="14"/>
        <v>12.5</v>
      </c>
      <c r="AW63" s="21" t="str">
        <f t="shared" si="15"/>
        <v/>
      </c>
      <c r="AX63" s="21">
        <f t="shared" si="16"/>
        <v>0.5</v>
      </c>
      <c r="AY63" s="21">
        <f t="shared" si="17"/>
        <v>0.5</v>
      </c>
      <c r="AZ63" s="21">
        <f t="shared" si="18"/>
        <v>0.5</v>
      </c>
      <c r="BA63" s="21">
        <f t="shared" si="19"/>
        <v>0.5</v>
      </c>
      <c r="BB63" s="21" t="str">
        <f t="shared" si="20"/>
        <v/>
      </c>
      <c r="BC63" s="21" t="str">
        <f t="shared" si="21"/>
        <v/>
      </c>
    </row>
    <row r="64" spans="1:55" ht="15.75">
      <c r="A64" s="21" t="str">
        <f>IF(Base!B62="","",Base!B62)</f>
        <v>16.031.949-6</v>
      </c>
      <c r="B64" s="21" t="str">
        <f>IF(Base!F62="","",Base!F62)</f>
        <v>JONATHAN  ESPINOZA  MORENO</v>
      </c>
      <c r="C64" s="21" t="str">
        <f>IF(Base!I62="","",Base!I62)</f>
        <v>Abastecimiento</v>
      </c>
      <c r="D64" s="22" t="str">
        <f>IF(Base!J62="","",Base!J62)</f>
        <v>Suministro de Líneas</v>
      </c>
      <c r="E64" s="21">
        <f>IF(Base!H62="","",Base!H62)</f>
        <v>1050581</v>
      </c>
      <c r="J64" s="28">
        <v>54</v>
      </c>
      <c r="K64" s="5" t="s">
        <v>423</v>
      </c>
      <c r="L64" s="58" t="str">
        <f t="shared" si="1"/>
        <v>EMERSON  GALLARDO  LUCERO</v>
      </c>
      <c r="M64" s="58">
        <f t="shared" si="2"/>
        <v>1050126</v>
      </c>
      <c r="N64" s="59" t="str">
        <f t="shared" si="3"/>
        <v>Abastecimiento</v>
      </c>
      <c r="O64" s="59" t="str">
        <f t="shared" si="4"/>
        <v>Control Ingresos Cen</v>
      </c>
      <c r="P64" s="30" t="s">
        <v>1321</v>
      </c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32">
        <f t="shared" si="23"/>
        <v>0</v>
      </c>
      <c r="AF64" s="32">
        <f t="shared" si="24"/>
        <v>0</v>
      </c>
      <c r="AG64" s="47"/>
      <c r="AL64" s="21" t="str">
        <f t="shared" si="25"/>
        <v>16.132.065-K</v>
      </c>
      <c r="AM64" s="21">
        <v>55</v>
      </c>
      <c r="AN64" s="21">
        <f t="shared" si="7"/>
        <v>0</v>
      </c>
      <c r="AO64" s="21">
        <f t="shared" si="8"/>
        <v>0</v>
      </c>
      <c r="AP64" s="21">
        <f t="shared" si="9"/>
        <v>0</v>
      </c>
      <c r="AQ64" s="21">
        <f t="shared" si="10"/>
        <v>0</v>
      </c>
      <c r="AR64" s="21">
        <f t="shared" si="11"/>
        <v>0</v>
      </c>
      <c r="AS64" s="21">
        <f t="shared" si="12"/>
        <v>0</v>
      </c>
      <c r="AT64" s="21">
        <f t="shared" si="13"/>
        <v>0</v>
      </c>
      <c r="AU64" s="34">
        <f t="shared" si="14"/>
        <v>0</v>
      </c>
      <c r="AW64" s="21" t="str">
        <f t="shared" si="15"/>
        <v/>
      </c>
      <c r="AX64" s="21" t="str">
        <f t="shared" si="16"/>
        <v/>
      </c>
      <c r="AY64" s="21" t="str">
        <f t="shared" si="17"/>
        <v/>
      </c>
      <c r="AZ64" s="21" t="str">
        <f t="shared" si="18"/>
        <v/>
      </c>
      <c r="BA64" s="21" t="str">
        <f t="shared" si="19"/>
        <v/>
      </c>
      <c r="BB64" s="21" t="str">
        <f t="shared" si="20"/>
        <v/>
      </c>
      <c r="BC64" s="21" t="str">
        <f t="shared" si="21"/>
        <v/>
      </c>
    </row>
    <row r="65" spans="1:55" ht="15.75">
      <c r="A65" s="21" t="str">
        <f>IF(Base!B63="","",Base!B63)</f>
        <v>05.080.993-5</v>
      </c>
      <c r="B65" s="21" t="str">
        <f>IF(Base!F63="","",Base!F63)</f>
        <v>CARLOS  FIGUEROA  NILO</v>
      </c>
      <c r="C65" s="21" t="str">
        <f>IF(Base!I63="","",Base!I63)</f>
        <v>Abastecimiento</v>
      </c>
      <c r="D65" s="22" t="str">
        <f>IF(Base!J63="","",Base!J63)</f>
        <v>Control Ingresos Cen</v>
      </c>
      <c r="E65" s="21">
        <f>IF(Base!H63="","",Base!H63)</f>
        <v>1050126</v>
      </c>
      <c r="J65" s="28">
        <v>55</v>
      </c>
      <c r="K65" s="5" t="s">
        <v>437</v>
      </c>
      <c r="L65" s="58" t="str">
        <f t="shared" si="1"/>
        <v>JUAN DIEGO ALEXIS  GARCES  MUÑOZ</v>
      </c>
      <c r="M65" s="58">
        <f t="shared" si="2"/>
        <v>1050161</v>
      </c>
      <c r="N65" s="59" t="str">
        <f t="shared" si="3"/>
        <v>Abastecimiento</v>
      </c>
      <c r="O65" s="59" t="str">
        <f t="shared" si="4"/>
        <v>Control Inventario I</v>
      </c>
      <c r="P65" s="30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32">
        <f t="shared" si="23"/>
        <v>0</v>
      </c>
      <c r="AF65" s="32">
        <f t="shared" si="24"/>
        <v>0</v>
      </c>
      <c r="AG65" s="48"/>
      <c r="AL65" s="21" t="str">
        <f t="shared" si="25"/>
        <v>17.002.272-6</v>
      </c>
      <c r="AM65" s="21">
        <v>56</v>
      </c>
      <c r="AN65" s="21">
        <f t="shared" si="7"/>
        <v>0</v>
      </c>
      <c r="AO65" s="21">
        <f t="shared" si="8"/>
        <v>0</v>
      </c>
      <c r="AP65" s="21">
        <f t="shared" si="9"/>
        <v>0</v>
      </c>
      <c r="AQ65" s="21">
        <f t="shared" si="10"/>
        <v>0</v>
      </c>
      <c r="AR65" s="21">
        <f t="shared" si="11"/>
        <v>0</v>
      </c>
      <c r="AS65" s="21">
        <f t="shared" si="12"/>
        <v>0</v>
      </c>
      <c r="AT65" s="21">
        <f t="shared" si="13"/>
        <v>0</v>
      </c>
      <c r="AU65" s="34">
        <f t="shared" si="14"/>
        <v>0</v>
      </c>
      <c r="AW65" s="21" t="str">
        <f t="shared" si="15"/>
        <v/>
      </c>
      <c r="AX65" s="21" t="str">
        <f t="shared" si="16"/>
        <v/>
      </c>
      <c r="AY65" s="21" t="str">
        <f t="shared" si="17"/>
        <v/>
      </c>
      <c r="AZ65" s="21" t="str">
        <f t="shared" si="18"/>
        <v/>
      </c>
      <c r="BA65" s="21" t="str">
        <f t="shared" si="19"/>
        <v/>
      </c>
      <c r="BB65" s="21" t="str">
        <f t="shared" si="20"/>
        <v/>
      </c>
      <c r="BC65" s="21" t="str">
        <f t="shared" si="21"/>
        <v/>
      </c>
    </row>
    <row r="66" spans="1:55" ht="15.75">
      <c r="A66" s="21" t="str">
        <f>IF(Base!B64="","",Base!B64)</f>
        <v>05.989.878-7</v>
      </c>
      <c r="B66" s="21" t="str">
        <f>IF(Base!F64="","",Base!F64)</f>
        <v>NELLY E.  FIGUEROA  PAVEZ</v>
      </c>
      <c r="C66" s="21" t="str">
        <f>IF(Base!I64="","",Base!I64)</f>
        <v>Abastecimiento</v>
      </c>
      <c r="D66" s="22" t="str">
        <f>IF(Base!J64="","",Base!J64)</f>
        <v>Control Ingresos Cen</v>
      </c>
      <c r="E66" s="21">
        <f>IF(Base!H64="","",Base!H64)</f>
        <v>1050126</v>
      </c>
      <c r="J66" s="28">
        <v>56</v>
      </c>
      <c r="K66" s="5" t="s">
        <v>443</v>
      </c>
      <c r="L66" s="58" t="str">
        <f t="shared" si="1"/>
        <v>PABLO HORACIO  GARCIA  DIAZ</v>
      </c>
      <c r="M66" s="58">
        <f t="shared" si="2"/>
        <v>1050126</v>
      </c>
      <c r="N66" s="59" t="str">
        <f t="shared" si="3"/>
        <v>Abastecimiento</v>
      </c>
      <c r="O66" s="59" t="str">
        <f t="shared" si="4"/>
        <v>Control Inventario I</v>
      </c>
      <c r="P66" s="30"/>
      <c r="Q66" s="96"/>
      <c r="R66" s="96"/>
      <c r="S66" s="96">
        <v>2</v>
      </c>
      <c r="T66" s="96"/>
      <c r="U66" s="96">
        <v>2</v>
      </c>
      <c r="V66" s="96"/>
      <c r="W66" s="96">
        <v>2</v>
      </c>
      <c r="X66" s="96"/>
      <c r="Y66" s="96">
        <v>2</v>
      </c>
      <c r="Z66" s="96"/>
      <c r="AA66" s="96"/>
      <c r="AB66" s="96"/>
      <c r="AC66" s="96"/>
      <c r="AD66" s="96"/>
      <c r="AE66" s="32">
        <f t="shared" si="23"/>
        <v>8</v>
      </c>
      <c r="AF66" s="32">
        <f t="shared" si="24"/>
        <v>0</v>
      </c>
      <c r="AG66" s="48" t="s">
        <v>1456</v>
      </c>
      <c r="AL66" s="21" t="str">
        <f t="shared" si="25"/>
        <v>09.048.185-1</v>
      </c>
      <c r="AM66" s="21">
        <v>57</v>
      </c>
      <c r="AN66" s="21">
        <f t="shared" si="7"/>
        <v>0</v>
      </c>
      <c r="AO66" s="21">
        <f t="shared" si="8"/>
        <v>2</v>
      </c>
      <c r="AP66" s="21">
        <f t="shared" si="9"/>
        <v>2</v>
      </c>
      <c r="AQ66" s="21">
        <f t="shared" si="10"/>
        <v>2</v>
      </c>
      <c r="AR66" s="21">
        <f t="shared" si="11"/>
        <v>2</v>
      </c>
      <c r="AS66" s="21">
        <f t="shared" si="12"/>
        <v>0</v>
      </c>
      <c r="AT66" s="21">
        <f t="shared" si="13"/>
        <v>0</v>
      </c>
      <c r="AU66" s="34">
        <f t="shared" si="14"/>
        <v>8</v>
      </c>
      <c r="AW66" s="21" t="str">
        <f t="shared" si="15"/>
        <v/>
      </c>
      <c r="AX66" s="21">
        <f t="shared" si="16"/>
        <v>0.5</v>
      </c>
      <c r="AY66" s="21">
        <f t="shared" si="17"/>
        <v>0.5</v>
      </c>
      <c r="AZ66" s="21">
        <f t="shared" si="18"/>
        <v>0.5</v>
      </c>
      <c r="BA66" s="21">
        <f t="shared" si="19"/>
        <v>0.5</v>
      </c>
      <c r="BB66" s="21" t="str">
        <f t="shared" si="20"/>
        <v/>
      </c>
      <c r="BC66" s="21" t="str">
        <f t="shared" si="21"/>
        <v/>
      </c>
    </row>
    <row r="67" spans="1:55" ht="15.75">
      <c r="A67" s="21" t="str">
        <f>IF(Base!B65="","",Base!B65)</f>
        <v>05.281.950-4</v>
      </c>
      <c r="B67" s="21" t="str">
        <f>IF(Base!F65="","",Base!F65)</f>
        <v>BLANCA  FUENTES  YAÑEZ</v>
      </c>
      <c r="C67" s="21" t="str">
        <f>IF(Base!I65="","",Base!I65)</f>
        <v>Linea 7</v>
      </c>
      <c r="D67" s="22" t="str">
        <f>IF(Base!J65="","",Base!J65)</f>
        <v>Capsulado</v>
      </c>
      <c r="E67" s="21">
        <f>IF(Base!H65="","",Base!H65)</f>
        <v>1050616</v>
      </c>
      <c r="J67" s="28">
        <v>57</v>
      </c>
      <c r="K67" s="5" t="s">
        <v>454</v>
      </c>
      <c r="L67" s="58" t="str">
        <f t="shared" si="1"/>
        <v>DARIO RODOLFO  GONZALEZ  DEL VALLE</v>
      </c>
      <c r="M67" s="58">
        <f t="shared" si="2"/>
        <v>1050581</v>
      </c>
      <c r="N67" s="59" t="str">
        <f t="shared" si="3"/>
        <v>Abastecimiento</v>
      </c>
      <c r="O67" s="59" t="str">
        <f t="shared" si="4"/>
        <v>Almacen Insumos Pque</v>
      </c>
      <c r="P67" s="30" t="s">
        <v>1321</v>
      </c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32">
        <f t="shared" si="23"/>
        <v>0</v>
      </c>
      <c r="AF67" s="32">
        <f t="shared" si="24"/>
        <v>0</v>
      </c>
      <c r="AG67" s="47"/>
      <c r="AL67" s="21" t="str">
        <f t="shared" si="25"/>
        <v>09.068.490-6</v>
      </c>
      <c r="AM67" s="21">
        <v>58</v>
      </c>
      <c r="AN67" s="21">
        <f t="shared" si="7"/>
        <v>0</v>
      </c>
      <c r="AO67" s="21">
        <f t="shared" si="8"/>
        <v>0</v>
      </c>
      <c r="AP67" s="21">
        <f t="shared" si="9"/>
        <v>0</v>
      </c>
      <c r="AQ67" s="21">
        <f t="shared" si="10"/>
        <v>0</v>
      </c>
      <c r="AR67" s="21">
        <f t="shared" si="11"/>
        <v>0</v>
      </c>
      <c r="AS67" s="21">
        <f t="shared" si="12"/>
        <v>0</v>
      </c>
      <c r="AT67" s="21">
        <f t="shared" si="13"/>
        <v>0</v>
      </c>
      <c r="AU67" s="34">
        <f t="shared" si="14"/>
        <v>0</v>
      </c>
      <c r="AW67" s="21" t="str">
        <f t="shared" si="15"/>
        <v/>
      </c>
      <c r="AX67" s="21" t="str">
        <f t="shared" si="16"/>
        <v/>
      </c>
      <c r="AY67" s="21" t="str">
        <f t="shared" si="17"/>
        <v/>
      </c>
      <c r="AZ67" s="21" t="str">
        <f t="shared" si="18"/>
        <v/>
      </c>
      <c r="BA67" s="21" t="str">
        <f t="shared" si="19"/>
        <v/>
      </c>
      <c r="BB67" s="21" t="str">
        <f t="shared" si="20"/>
        <v/>
      </c>
      <c r="BC67" s="21" t="str">
        <f t="shared" si="21"/>
        <v/>
      </c>
    </row>
    <row r="68" spans="1:55" ht="15.75">
      <c r="A68" s="21" t="str">
        <f>IF(Base!B66="","",Base!B66)</f>
        <v>06.187.914-5</v>
      </c>
      <c r="B68" s="21" t="str">
        <f>IF(Base!F66="","",Base!F66)</f>
        <v>PATRICIA  FUENTES  YAÑEZ</v>
      </c>
      <c r="C68" s="21" t="str">
        <f>IF(Base!I66="","",Base!I66)</f>
        <v>Linea 7</v>
      </c>
      <c r="D68" s="22" t="str">
        <f>IF(Base!J66="","",Base!J66)</f>
        <v>Capsulado</v>
      </c>
      <c r="E68" s="21">
        <f>IF(Base!H66="","",Base!H66)</f>
        <v>1050616</v>
      </c>
      <c r="J68" s="28">
        <v>58</v>
      </c>
      <c r="K68" s="5" t="s">
        <v>474</v>
      </c>
      <c r="L68" s="58" t="str">
        <f t="shared" si="1"/>
        <v>VICTOR MANUEL  HENRIQUEZ  FLORES</v>
      </c>
      <c r="M68" s="58">
        <f t="shared" si="2"/>
        <v>1050161</v>
      </c>
      <c r="N68" s="59" t="str">
        <f t="shared" si="3"/>
        <v>Abastecimiento</v>
      </c>
      <c r="O68" s="59" t="str">
        <f t="shared" si="4"/>
        <v>Control Inventario I</v>
      </c>
      <c r="P68" s="30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32">
        <f t="shared" si="23"/>
        <v>0</v>
      </c>
      <c r="AF68" s="32">
        <f t="shared" si="24"/>
        <v>0</v>
      </c>
      <c r="AG68" s="47"/>
      <c r="AL68" s="21" t="str">
        <f t="shared" si="25"/>
        <v>09.748.915-7</v>
      </c>
      <c r="AM68" s="21">
        <v>59</v>
      </c>
      <c r="AN68" s="21">
        <f t="shared" si="7"/>
        <v>0</v>
      </c>
      <c r="AO68" s="21">
        <f t="shared" si="8"/>
        <v>0</v>
      </c>
      <c r="AP68" s="21">
        <f t="shared" si="9"/>
        <v>0</v>
      </c>
      <c r="AQ68" s="21">
        <f t="shared" si="10"/>
        <v>0</v>
      </c>
      <c r="AR68" s="21">
        <f t="shared" si="11"/>
        <v>0</v>
      </c>
      <c r="AS68" s="21">
        <f t="shared" si="12"/>
        <v>0</v>
      </c>
      <c r="AT68" s="21">
        <f t="shared" si="13"/>
        <v>0</v>
      </c>
      <c r="AU68" s="34">
        <f t="shared" si="14"/>
        <v>0</v>
      </c>
      <c r="AW68" s="21" t="str">
        <f t="shared" si="15"/>
        <v/>
      </c>
      <c r="AX68" s="21" t="str">
        <f t="shared" si="16"/>
        <v/>
      </c>
      <c r="AY68" s="21" t="str">
        <f t="shared" si="17"/>
        <v/>
      </c>
      <c r="AZ68" s="21" t="str">
        <f t="shared" si="18"/>
        <v/>
      </c>
      <c r="BA68" s="21" t="str">
        <f t="shared" si="19"/>
        <v/>
      </c>
      <c r="BB68" s="21" t="str">
        <f t="shared" si="20"/>
        <v/>
      </c>
      <c r="BC68" s="21" t="str">
        <f t="shared" si="21"/>
        <v/>
      </c>
    </row>
    <row r="69" spans="1:55" ht="15.75">
      <c r="A69" s="21" t="str">
        <f>IF(Base!B67="","",Base!B67)</f>
        <v>07.023.216-2</v>
      </c>
      <c r="B69" s="21" t="str">
        <f>IF(Base!F67="","",Base!F67)</f>
        <v>FIDEL  FUENZALIDA  ADASME</v>
      </c>
      <c r="C69" s="21" t="str">
        <f>IF(Base!I67="","",Base!I67)</f>
        <v>Linea 7</v>
      </c>
      <c r="D69" s="22" t="str">
        <f>IF(Base!J67="","",Base!J67)</f>
        <v>Despalletizador</v>
      </c>
      <c r="E69" s="21">
        <f>IF(Base!H67="","",Base!H67)</f>
        <v>1050615</v>
      </c>
      <c r="J69" s="28">
        <v>59</v>
      </c>
      <c r="K69" s="5" t="s">
        <v>478</v>
      </c>
      <c r="L69" s="58" t="str">
        <f t="shared" si="1"/>
        <v>FRANKLIN LEONEL  HERNANDEZ  CESPEDES</v>
      </c>
      <c r="M69" s="58">
        <f t="shared" si="2"/>
        <v>1050126</v>
      </c>
      <c r="N69" s="59" t="str">
        <f t="shared" si="3"/>
        <v>Abastecimiento</v>
      </c>
      <c r="O69" s="59" t="str">
        <f t="shared" si="4"/>
        <v>Control Ingresos Cen</v>
      </c>
      <c r="P69" s="30" t="s">
        <v>1321</v>
      </c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32">
        <f t="shared" si="23"/>
        <v>0</v>
      </c>
      <c r="AF69" s="32">
        <f t="shared" si="24"/>
        <v>0</v>
      </c>
      <c r="AG69" s="50"/>
      <c r="AL69" s="21" t="str">
        <f t="shared" si="25"/>
        <v>09.989.723-6</v>
      </c>
      <c r="AM69" s="21">
        <v>60</v>
      </c>
      <c r="AN69" s="21">
        <f t="shared" si="7"/>
        <v>0</v>
      </c>
      <c r="AO69" s="21">
        <f t="shared" si="8"/>
        <v>0</v>
      </c>
      <c r="AP69" s="21">
        <f t="shared" si="9"/>
        <v>0</v>
      </c>
      <c r="AQ69" s="21">
        <f t="shared" si="10"/>
        <v>0</v>
      </c>
      <c r="AR69" s="21">
        <f t="shared" si="11"/>
        <v>0</v>
      </c>
      <c r="AS69" s="21">
        <f t="shared" si="12"/>
        <v>0</v>
      </c>
      <c r="AT69" s="21">
        <f t="shared" si="13"/>
        <v>0</v>
      </c>
      <c r="AU69" s="34">
        <f t="shared" si="14"/>
        <v>0</v>
      </c>
      <c r="AW69" s="21" t="str">
        <f t="shared" si="15"/>
        <v/>
      </c>
      <c r="AX69" s="21" t="str">
        <f t="shared" si="16"/>
        <v/>
      </c>
      <c r="AY69" s="21" t="str">
        <f t="shared" si="17"/>
        <v/>
      </c>
      <c r="AZ69" s="21" t="str">
        <f t="shared" si="18"/>
        <v/>
      </c>
      <c r="BA69" s="21" t="str">
        <f t="shared" si="19"/>
        <v/>
      </c>
      <c r="BB69" s="21" t="str">
        <f t="shared" si="20"/>
        <v/>
      </c>
      <c r="BC69" s="21" t="str">
        <f t="shared" si="21"/>
        <v/>
      </c>
    </row>
    <row r="70" spans="1:55" ht="15.75">
      <c r="A70" s="21" t="str">
        <f>IF(Base!B68="","",Base!B68)</f>
        <v>08.733.235-7</v>
      </c>
      <c r="B70" s="21" t="str">
        <f>IF(Base!F68="","",Base!F68)</f>
        <v>EXEQUIEL  FUENZALIDA  VALENZUELA</v>
      </c>
      <c r="C70" s="21" t="str">
        <f>IF(Base!I68="","",Base!I68)</f>
        <v>Linea 7</v>
      </c>
      <c r="D70" s="22" t="str">
        <f>IF(Base!J68="","",Base!J68)</f>
        <v>Llenador</v>
      </c>
      <c r="E70" s="21">
        <f>IF(Base!H68="","",Base!H68)</f>
        <v>1050615</v>
      </c>
      <c r="J70" s="28">
        <v>60</v>
      </c>
      <c r="K70" s="5" t="s">
        <v>484</v>
      </c>
      <c r="L70" s="58" t="str">
        <f t="shared" si="1"/>
        <v>QUINTIN ROBERTO  HERNANDEZ  GONZALEZ</v>
      </c>
      <c r="M70" s="58">
        <f t="shared" si="2"/>
        <v>1050633</v>
      </c>
      <c r="N70" s="59" t="str">
        <f t="shared" si="3"/>
        <v>Abastecimiento</v>
      </c>
      <c r="O70" s="59" t="str">
        <f t="shared" si="4"/>
        <v>Suministro de Líneas</v>
      </c>
      <c r="P70" s="30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32">
        <f t="shared" si="23"/>
        <v>0</v>
      </c>
      <c r="AF70" s="32">
        <f t="shared" si="24"/>
        <v>0</v>
      </c>
      <c r="AG70" s="47"/>
      <c r="AL70" s="21" t="str">
        <f t="shared" si="25"/>
        <v>10.199.755-3</v>
      </c>
      <c r="AM70" s="21">
        <v>61</v>
      </c>
      <c r="AN70" s="21">
        <f t="shared" si="7"/>
        <v>0</v>
      </c>
      <c r="AO70" s="21">
        <f t="shared" si="8"/>
        <v>0</v>
      </c>
      <c r="AP70" s="21">
        <f t="shared" si="9"/>
        <v>0</v>
      </c>
      <c r="AQ70" s="21">
        <f t="shared" si="10"/>
        <v>0</v>
      </c>
      <c r="AR70" s="21">
        <f t="shared" si="11"/>
        <v>0</v>
      </c>
      <c r="AS70" s="21">
        <f t="shared" si="12"/>
        <v>0</v>
      </c>
      <c r="AT70" s="21">
        <f t="shared" si="13"/>
        <v>0</v>
      </c>
      <c r="AU70" s="34">
        <f t="shared" si="14"/>
        <v>0</v>
      </c>
      <c r="AW70" s="21" t="str">
        <f t="shared" si="15"/>
        <v/>
      </c>
      <c r="AX70" s="21" t="str">
        <f t="shared" si="16"/>
        <v/>
      </c>
      <c r="AY70" s="21" t="str">
        <f t="shared" si="17"/>
        <v/>
      </c>
      <c r="AZ70" s="21" t="str">
        <f t="shared" si="18"/>
        <v/>
      </c>
      <c r="BA70" s="21" t="str">
        <f t="shared" si="19"/>
        <v/>
      </c>
      <c r="BB70" s="21" t="str">
        <f t="shared" si="20"/>
        <v/>
      </c>
      <c r="BC70" s="21" t="str">
        <f t="shared" si="21"/>
        <v/>
      </c>
    </row>
    <row r="71" spans="1:55" ht="15.75">
      <c r="A71" s="21" t="str">
        <f>IF(Base!B69="","",Base!B69)</f>
        <v>05.428.350-4</v>
      </c>
      <c r="B71" s="21" t="str">
        <f>IF(Base!F69="","",Base!F69)</f>
        <v>NELSON  GALAZ  DEL PINO</v>
      </c>
      <c r="C71" s="21" t="str">
        <f>IF(Base!I69="","",Base!I69)</f>
        <v>Linea 7</v>
      </c>
      <c r="D71" s="22" t="str">
        <f>IF(Base!J69="","",Base!J69)</f>
        <v>Embalador</v>
      </c>
      <c r="E71" s="21">
        <f>IF(Base!H69="","",Base!H69)</f>
        <v>1050616</v>
      </c>
      <c r="J71" s="28">
        <v>61</v>
      </c>
      <c r="K71" s="5" t="s">
        <v>501</v>
      </c>
      <c r="L71" s="58" t="str">
        <f t="shared" si="1"/>
        <v>PAOLO CESAR  IBAÑEZ  GRANIFO</v>
      </c>
      <c r="M71" s="58">
        <f t="shared" si="2"/>
        <v>1050127</v>
      </c>
      <c r="N71" s="59" t="str">
        <f t="shared" si="3"/>
        <v>Abastecimiento</v>
      </c>
      <c r="O71" s="59" t="str">
        <f t="shared" si="4"/>
        <v>Preparación de Insum</v>
      </c>
      <c r="P71" s="30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32">
        <f t="shared" si="23"/>
        <v>0</v>
      </c>
      <c r="AF71" s="32">
        <f t="shared" si="24"/>
        <v>0</v>
      </c>
      <c r="AG71" s="47"/>
      <c r="AL71" s="21" t="str">
        <f t="shared" si="25"/>
        <v>11.656.057-7</v>
      </c>
      <c r="AM71" s="21">
        <v>62</v>
      </c>
      <c r="AN71" s="21">
        <f t="shared" si="7"/>
        <v>0</v>
      </c>
      <c r="AO71" s="21">
        <f t="shared" si="8"/>
        <v>0</v>
      </c>
      <c r="AP71" s="21">
        <f t="shared" si="9"/>
        <v>0</v>
      </c>
      <c r="AQ71" s="21">
        <f t="shared" si="10"/>
        <v>0</v>
      </c>
      <c r="AR71" s="21">
        <f t="shared" si="11"/>
        <v>0</v>
      </c>
      <c r="AS71" s="21">
        <f t="shared" si="12"/>
        <v>0</v>
      </c>
      <c r="AT71" s="21">
        <f t="shared" si="13"/>
        <v>0</v>
      </c>
      <c r="AU71" s="34">
        <f t="shared" si="14"/>
        <v>0</v>
      </c>
      <c r="AW71" s="21" t="str">
        <f t="shared" si="15"/>
        <v/>
      </c>
      <c r="AX71" s="21" t="str">
        <f t="shared" si="16"/>
        <v/>
      </c>
      <c r="AY71" s="21" t="str">
        <f t="shared" si="17"/>
        <v/>
      </c>
      <c r="AZ71" s="21" t="str">
        <f t="shared" si="18"/>
        <v/>
      </c>
      <c r="BA71" s="21" t="str">
        <f t="shared" si="19"/>
        <v/>
      </c>
      <c r="BB71" s="21" t="str">
        <f t="shared" si="20"/>
        <v/>
      </c>
      <c r="BC71" s="21" t="str">
        <f t="shared" si="21"/>
        <v/>
      </c>
    </row>
    <row r="72" spans="1:55" ht="15.75">
      <c r="A72" s="21" t="str">
        <f>IF(Base!B70="","",Base!B70)</f>
        <v>16.380.050-0</v>
      </c>
      <c r="B72" s="21" t="str">
        <f>IF(Base!F70="","",Base!F70)</f>
        <v>MARCELO  FLORES  ARANDA</v>
      </c>
      <c r="C72" s="21" t="str">
        <f>IF(Base!I70="","",Base!I70)</f>
        <v>Abastecimiento</v>
      </c>
      <c r="D72" s="22" t="str">
        <f>IF(Base!J70="","",Base!J70)</f>
        <v>Control Ingresos Cen</v>
      </c>
      <c r="E72" s="21">
        <f>IF(Base!H70="","",Base!H70)</f>
        <v>1050126</v>
      </c>
      <c r="J72" s="28">
        <v>62</v>
      </c>
      <c r="K72" s="5" t="s">
        <v>542</v>
      </c>
      <c r="L72" s="58" t="str">
        <f t="shared" si="1"/>
        <v>JUAN ENRIQUE  LEIVA  MUÑOZ</v>
      </c>
      <c r="M72" s="58">
        <f t="shared" si="2"/>
        <v>1050127</v>
      </c>
      <c r="N72" s="59" t="str">
        <f t="shared" si="3"/>
        <v>Abastecimiento</v>
      </c>
      <c r="O72" s="59" t="str">
        <f t="shared" si="4"/>
        <v>Preparación de Insum</v>
      </c>
      <c r="P72" s="30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32">
        <f t="shared" si="23"/>
        <v>0</v>
      </c>
      <c r="AF72" s="32">
        <f t="shared" si="24"/>
        <v>0</v>
      </c>
      <c r="AG72" s="47"/>
      <c r="AL72" s="21" t="str">
        <f t="shared" si="25"/>
        <v>10.970.380-K</v>
      </c>
      <c r="AM72" s="21">
        <v>63</v>
      </c>
      <c r="AN72" s="21">
        <f t="shared" si="7"/>
        <v>0</v>
      </c>
      <c r="AO72" s="21">
        <f t="shared" si="8"/>
        <v>0</v>
      </c>
      <c r="AP72" s="21">
        <f t="shared" si="9"/>
        <v>0</v>
      </c>
      <c r="AQ72" s="21">
        <f t="shared" si="10"/>
        <v>0</v>
      </c>
      <c r="AR72" s="21">
        <f t="shared" si="11"/>
        <v>0</v>
      </c>
      <c r="AS72" s="21">
        <f t="shared" si="12"/>
        <v>0</v>
      </c>
      <c r="AT72" s="21">
        <f t="shared" si="13"/>
        <v>0</v>
      </c>
      <c r="AU72" s="34">
        <f t="shared" si="14"/>
        <v>0</v>
      </c>
      <c r="AW72" s="21" t="str">
        <f t="shared" si="15"/>
        <v/>
      </c>
      <c r="AX72" s="21" t="str">
        <f t="shared" si="16"/>
        <v/>
      </c>
      <c r="AY72" s="21" t="str">
        <f t="shared" si="17"/>
        <v/>
      </c>
      <c r="AZ72" s="21" t="str">
        <f t="shared" si="18"/>
        <v/>
      </c>
      <c r="BA72" s="21" t="str">
        <f t="shared" si="19"/>
        <v/>
      </c>
      <c r="BB72" s="21" t="str">
        <f t="shared" si="20"/>
        <v/>
      </c>
      <c r="BC72" s="21" t="str">
        <f t="shared" si="21"/>
        <v/>
      </c>
    </row>
    <row r="73" spans="1:55" ht="15.75">
      <c r="A73" s="21" t="str">
        <f>IF(Base!B71="","",Base!B71)</f>
        <v>09.571.017-4</v>
      </c>
      <c r="B73" s="21" t="str">
        <f>IF(Base!F71="","",Base!F71)</f>
        <v>MIGUEL FRANCISCO  GALLARDO  CASTRO</v>
      </c>
      <c r="C73" s="21" t="str">
        <f>IF(Base!I71="","",Base!I71)</f>
        <v>Abastecimiento</v>
      </c>
      <c r="D73" s="22" t="str">
        <f>IF(Base!J71="","",Base!J71)</f>
        <v>Control Ingresos Cen</v>
      </c>
      <c r="E73" s="21">
        <f>IF(Base!H71="","",Base!H71)</f>
        <v>1050126</v>
      </c>
      <c r="J73" s="28">
        <v>63</v>
      </c>
      <c r="K73" s="5" t="s">
        <v>567</v>
      </c>
      <c r="L73" s="58" t="str">
        <f t="shared" si="1"/>
        <v>MARCO ANTONIO  MADRID  PINTO</v>
      </c>
      <c r="M73" s="58">
        <f t="shared" si="2"/>
        <v>1050127</v>
      </c>
      <c r="N73" s="59" t="str">
        <f t="shared" si="3"/>
        <v>Abastecimiento</v>
      </c>
      <c r="O73" s="59" t="str">
        <f t="shared" si="4"/>
        <v>Preparación de Insum</v>
      </c>
      <c r="P73" s="30" t="s">
        <v>1323</v>
      </c>
      <c r="Q73" s="96"/>
      <c r="R73" s="96"/>
      <c r="S73" s="96"/>
      <c r="T73" s="97">
        <v>7.5</v>
      </c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32">
        <f t="shared" si="23"/>
        <v>0</v>
      </c>
      <c r="AF73" s="32">
        <f t="shared" si="24"/>
        <v>7.5</v>
      </c>
      <c r="AG73" s="47" t="s">
        <v>1461</v>
      </c>
      <c r="AL73" s="21" t="str">
        <f t="shared" si="25"/>
        <v>10.869.222-7</v>
      </c>
      <c r="AM73" s="21">
        <v>64</v>
      </c>
      <c r="AN73" s="21">
        <f t="shared" si="7"/>
        <v>0</v>
      </c>
      <c r="AO73" s="21">
        <f t="shared" si="8"/>
        <v>7.5</v>
      </c>
      <c r="AP73" s="21">
        <f t="shared" si="9"/>
        <v>0</v>
      </c>
      <c r="AQ73" s="21">
        <f t="shared" si="10"/>
        <v>0</v>
      </c>
      <c r="AR73" s="21">
        <f t="shared" si="11"/>
        <v>0</v>
      </c>
      <c r="AS73" s="21">
        <f t="shared" si="12"/>
        <v>0</v>
      </c>
      <c r="AT73" s="21">
        <f t="shared" si="13"/>
        <v>0</v>
      </c>
      <c r="AU73" s="34">
        <f t="shared" si="14"/>
        <v>7.5</v>
      </c>
      <c r="AW73" s="21" t="str">
        <f t="shared" si="15"/>
        <v/>
      </c>
      <c r="AX73" s="21">
        <f t="shared" si="16"/>
        <v>1</v>
      </c>
      <c r="AY73" s="21" t="str">
        <f t="shared" si="17"/>
        <v/>
      </c>
      <c r="AZ73" s="21" t="str">
        <f t="shared" si="18"/>
        <v/>
      </c>
      <c r="BA73" s="21" t="str">
        <f t="shared" si="19"/>
        <v/>
      </c>
      <c r="BB73" s="21" t="str">
        <f t="shared" si="20"/>
        <v/>
      </c>
      <c r="BC73" s="21" t="str">
        <f t="shared" si="21"/>
        <v/>
      </c>
    </row>
    <row r="74" spans="1:55" ht="15.75">
      <c r="A74" s="21" t="str">
        <f>IF(Base!B72="","",Base!B72)</f>
        <v>16.132.065-K</v>
      </c>
      <c r="B74" s="21" t="str">
        <f>IF(Base!F72="","",Base!F72)</f>
        <v>EMERSON  GALLARDO  LUCERO</v>
      </c>
      <c r="C74" s="21" t="str">
        <f>IF(Base!I72="","",Base!I72)</f>
        <v>Abastecimiento</v>
      </c>
      <c r="D74" s="22" t="str">
        <f>IF(Base!J72="","",Base!J72)</f>
        <v>Control Ingresos Cen</v>
      </c>
      <c r="E74" s="21">
        <f>IF(Base!H72="","",Base!H72)</f>
        <v>1050126</v>
      </c>
      <c r="J74" s="28">
        <v>64</v>
      </c>
      <c r="K74" s="5" t="s">
        <v>448</v>
      </c>
      <c r="L74" s="58" t="str">
        <f t="shared" si="1"/>
        <v>MIGUEL  MALDONADO  DIAZ</v>
      </c>
      <c r="M74" s="58">
        <f t="shared" si="2"/>
        <v>1050161</v>
      </c>
      <c r="N74" s="59" t="str">
        <f t="shared" si="3"/>
        <v>Abastecimiento</v>
      </c>
      <c r="O74" s="59" t="str">
        <f t="shared" si="4"/>
        <v>Control y Gestión (marcado cajas)</v>
      </c>
      <c r="P74" s="30"/>
      <c r="Q74" s="96"/>
      <c r="R74" s="96"/>
      <c r="S74" s="96">
        <v>2.5</v>
      </c>
      <c r="T74" s="96"/>
      <c r="U74" s="96"/>
      <c r="V74" s="96"/>
      <c r="W74" s="96"/>
      <c r="X74" s="96"/>
      <c r="Y74" s="96">
        <v>2.5</v>
      </c>
      <c r="Z74" s="96"/>
      <c r="AA74" s="96"/>
      <c r="AB74" s="96"/>
      <c r="AC74" s="96"/>
      <c r="AD74" s="96"/>
      <c r="AE74" s="32">
        <f t="shared" si="23"/>
        <v>5</v>
      </c>
      <c r="AF74" s="32">
        <f t="shared" si="24"/>
        <v>0</v>
      </c>
      <c r="AG74" s="47" t="s">
        <v>1462</v>
      </c>
      <c r="AL74" s="21" t="str">
        <f t="shared" si="25"/>
        <v>13.486.907-0</v>
      </c>
      <c r="AM74" s="21">
        <v>65</v>
      </c>
      <c r="AN74" s="21">
        <f t="shared" si="7"/>
        <v>0</v>
      </c>
      <c r="AO74" s="21">
        <f t="shared" si="8"/>
        <v>2.5</v>
      </c>
      <c r="AP74" s="21">
        <f t="shared" si="9"/>
        <v>0</v>
      </c>
      <c r="AQ74" s="21">
        <f t="shared" si="10"/>
        <v>0</v>
      </c>
      <c r="AR74" s="21">
        <f t="shared" si="11"/>
        <v>2.5</v>
      </c>
      <c r="AS74" s="21">
        <f t="shared" si="12"/>
        <v>0</v>
      </c>
      <c r="AT74" s="21">
        <f t="shared" si="13"/>
        <v>0</v>
      </c>
      <c r="AU74" s="34">
        <f t="shared" si="14"/>
        <v>5</v>
      </c>
      <c r="AW74" s="21" t="str">
        <f t="shared" si="15"/>
        <v/>
      </c>
      <c r="AX74" s="21">
        <f t="shared" si="16"/>
        <v>0.5</v>
      </c>
      <c r="AY74" s="21" t="str">
        <f t="shared" si="17"/>
        <v/>
      </c>
      <c r="AZ74" s="21" t="str">
        <f t="shared" si="18"/>
        <v/>
      </c>
      <c r="BA74" s="21">
        <f t="shared" si="19"/>
        <v>0.5</v>
      </c>
      <c r="BB74" s="21" t="str">
        <f t="shared" si="20"/>
        <v/>
      </c>
      <c r="BC74" s="21" t="str">
        <f t="shared" si="21"/>
        <v/>
      </c>
    </row>
    <row r="75" spans="1:55" ht="15.75">
      <c r="A75" s="21" t="str">
        <f>IF(Base!B73="","",Base!B73)</f>
        <v>13.100.464-8</v>
      </c>
      <c r="B75" s="21" t="str">
        <f>IF(Base!F73="","",Base!F73)</f>
        <v>JOSE A.  GALLARDO  OYARCE</v>
      </c>
      <c r="C75" s="21" t="str">
        <f>IF(Base!I73="","",Base!I73)</f>
        <v>Sala filtros</v>
      </c>
      <c r="D75" s="22" t="str">
        <f>IF(Base!J73="","",Base!J73)</f>
        <v>Operador sala de filtros</v>
      </c>
      <c r="E75" s="21">
        <f>IF(Base!H73="","",Base!H73)</f>
        <v>1050574</v>
      </c>
      <c r="J75" s="28">
        <v>65</v>
      </c>
      <c r="K75" s="5" t="s">
        <v>572</v>
      </c>
      <c r="L75" s="58" t="str">
        <f t="shared" si="1"/>
        <v>RUBEN MARCO  MANQUIAN  NORIEGA</v>
      </c>
      <c r="M75" s="58">
        <f t="shared" si="2"/>
        <v>1050126</v>
      </c>
      <c r="N75" s="59" t="str">
        <f t="shared" si="3"/>
        <v>Abastecimiento</v>
      </c>
      <c r="O75" s="59" t="str">
        <f t="shared" si="4"/>
        <v>Control Ingresos Cen</v>
      </c>
      <c r="P75" s="30" t="s">
        <v>1321</v>
      </c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32">
        <f t="shared" si="23"/>
        <v>0</v>
      </c>
      <c r="AF75" s="32">
        <f t="shared" si="24"/>
        <v>0</v>
      </c>
      <c r="AG75" s="47"/>
      <c r="AL75" s="21" t="str">
        <f t="shared" si="25"/>
        <v>11.306.351-3</v>
      </c>
      <c r="AM75" s="21">
        <v>66</v>
      </c>
      <c r="AN75" s="21">
        <f t="shared" si="7"/>
        <v>0</v>
      </c>
      <c r="AO75" s="21">
        <f t="shared" si="8"/>
        <v>0</v>
      </c>
      <c r="AP75" s="21">
        <f t="shared" si="9"/>
        <v>0</v>
      </c>
      <c r="AQ75" s="21">
        <f t="shared" si="10"/>
        <v>0</v>
      </c>
      <c r="AR75" s="21">
        <f t="shared" si="11"/>
        <v>0</v>
      </c>
      <c r="AS75" s="21">
        <f t="shared" si="12"/>
        <v>0</v>
      </c>
      <c r="AT75" s="21">
        <f t="shared" si="13"/>
        <v>0</v>
      </c>
      <c r="AU75" s="34">
        <f t="shared" si="14"/>
        <v>0</v>
      </c>
      <c r="AW75" s="21" t="str">
        <f t="shared" si="15"/>
        <v/>
      </c>
      <c r="AX75" s="21" t="str">
        <f t="shared" si="16"/>
        <v/>
      </c>
      <c r="AY75" s="21" t="str">
        <f t="shared" si="17"/>
        <v/>
      </c>
      <c r="AZ75" s="21" t="str">
        <f t="shared" si="18"/>
        <v/>
      </c>
      <c r="BA75" s="21" t="str">
        <f t="shared" si="19"/>
        <v/>
      </c>
      <c r="BB75" s="21" t="str">
        <f t="shared" si="20"/>
        <v/>
      </c>
      <c r="BC75" s="21" t="str">
        <f t="shared" si="21"/>
        <v/>
      </c>
    </row>
    <row r="76" spans="1:55" ht="15.75">
      <c r="A76" s="21" t="str">
        <f>IF(Base!B74="","",Base!B74)</f>
        <v>17.065.312-2</v>
      </c>
      <c r="B76" s="21" t="str">
        <f>IF(Base!F74="","",Base!F74)</f>
        <v>ARIEL ALFREDO  GALVEZ  CERNA</v>
      </c>
      <c r="C76" s="21" t="str">
        <f>IF(Base!I74="","",Base!I74)</f>
        <v>Abastecimiento</v>
      </c>
      <c r="D76" s="22" t="str">
        <f>IF(Base!J74="","",Base!J74)</f>
        <v>Control Ingresos Cen</v>
      </c>
      <c r="E76" s="21">
        <f>IF(Base!H74="","",Base!H74)</f>
        <v>1050126</v>
      </c>
      <c r="J76" s="28">
        <v>66</v>
      </c>
      <c r="K76" s="5" t="s">
        <v>584</v>
      </c>
      <c r="L76" s="58" t="str">
        <f t="shared" ref="L76:L107" si="26">IF(K76="","",VLOOKUP($K76,A:D,2,FALSE))</f>
        <v>LUIS HUMBERTO  MARDONES  ALVARADO</v>
      </c>
      <c r="M76" s="58">
        <f t="shared" ref="M76:M107" si="27">IF(K76="","",VLOOKUP(K76,A:E,5,FALSE))</f>
        <v>1050633</v>
      </c>
      <c r="N76" s="59" t="str">
        <f t="shared" ref="N76:N139" si="28">IF(K76="","",VLOOKUP(K76,A:C,3,FALSE))</f>
        <v>Abastecimiento</v>
      </c>
      <c r="O76" s="59" t="str">
        <f t="shared" ref="O76:O139" si="29">IF(K76="","",VLOOKUP(K76,A:D,4,FALSE))</f>
        <v>Suministro de Líneas</v>
      </c>
      <c r="P76" s="30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32">
        <f t="shared" si="23"/>
        <v>0</v>
      </c>
      <c r="AF76" s="32">
        <f t="shared" si="24"/>
        <v>0</v>
      </c>
      <c r="AG76" s="47"/>
      <c r="AL76" s="21" t="str">
        <f t="shared" si="25"/>
        <v>11.370.436-5</v>
      </c>
      <c r="AM76" s="21">
        <v>67</v>
      </c>
      <c r="AN76" s="21">
        <f t="shared" ref="AN76:AN139" si="30">Q76+R76</f>
        <v>0</v>
      </c>
      <c r="AO76" s="21">
        <f t="shared" ref="AO76:AO139" si="31">S76+T76</f>
        <v>0</v>
      </c>
      <c r="AP76" s="21">
        <f t="shared" ref="AP76:AP139" si="32">U76+V76</f>
        <v>0</v>
      </c>
      <c r="AQ76" s="21">
        <f t="shared" ref="AQ76:AQ139" si="33">W76+X76</f>
        <v>0</v>
      </c>
      <c r="AR76" s="21">
        <f t="shared" ref="AR76:AR139" si="34">Y76+Z76</f>
        <v>0</v>
      </c>
      <c r="AS76" s="21">
        <f t="shared" ref="AS76:AS139" si="35">AA76+AB76</f>
        <v>0</v>
      </c>
      <c r="AT76" s="21">
        <f t="shared" ref="AT76:AT139" si="36">AC76+AD76</f>
        <v>0</v>
      </c>
      <c r="AU76" s="34">
        <f t="shared" ref="AU76:AU139" si="37">IF(SUM(AN76:AT76)=0,0,SUM(AN76:AT76))</f>
        <v>0</v>
      </c>
      <c r="AW76" s="21" t="str">
        <f t="shared" ref="AW76:AW139" si="38">IF(Q76&lt;&gt;"",0.5,IF(R76&lt;&gt;"",1,""))</f>
        <v/>
      </c>
      <c r="AX76" s="21" t="str">
        <f t="shared" ref="AX76:AX139" si="39">IF(S76&lt;&gt;"",0.5,IF(T76&lt;&gt;"",1,""))</f>
        <v/>
      </c>
      <c r="AY76" s="21" t="str">
        <f t="shared" ref="AY76:AY139" si="40">IF(U76&lt;&gt;"",0.5,IF(V76&lt;&gt;"",1,""))</f>
        <v/>
      </c>
      <c r="AZ76" s="21" t="str">
        <f t="shared" ref="AZ76:AZ139" si="41">IF(W76&lt;&gt;"",0.5,IF(X76&lt;&gt;"",1,""))</f>
        <v/>
      </c>
      <c r="BA76" s="21" t="str">
        <f t="shared" ref="BA76:BA139" si="42">IF(Y76&lt;&gt;"",0.5,IF(Z76&lt;&gt;"",1,""))</f>
        <v/>
      </c>
      <c r="BB76" s="21" t="str">
        <f t="shared" ref="BB76:BB139" si="43">IF(AA76&lt;&gt;"",0.5,IF(AB76&lt;&gt;"",1,""))</f>
        <v/>
      </c>
      <c r="BC76" s="21" t="str">
        <f t="shared" ref="BC76:BC139" si="44">IF(AC76&lt;&gt;"",0.5,IF(AD76&lt;&gt;"",1,""))</f>
        <v/>
      </c>
    </row>
    <row r="77" spans="1:55" ht="15.75">
      <c r="A77" s="21" t="str">
        <f>IF(Base!B75="","",Base!B75)</f>
        <v>17.002.272-6</v>
      </c>
      <c r="B77" s="21" t="str">
        <f>IF(Base!F75="","",Base!F75)</f>
        <v>JUAN DIEGO ALEXIS  GARCES  MUÑOZ</v>
      </c>
      <c r="C77" s="21" t="str">
        <f>IF(Base!I75="","",Base!I75)</f>
        <v>Abastecimiento</v>
      </c>
      <c r="D77" s="22" t="str">
        <f>IF(Base!J75="","",Base!J75)</f>
        <v>Control Inventario I</v>
      </c>
      <c r="E77" s="21">
        <f>IF(Base!H75="","",Base!H75)</f>
        <v>1050161</v>
      </c>
      <c r="J77" s="28">
        <v>67</v>
      </c>
      <c r="K77" s="5" t="s">
        <v>589</v>
      </c>
      <c r="L77" s="58" t="str">
        <f t="shared" si="26"/>
        <v>SERGIO SEGUNDO  MARDONES  ALVARADO</v>
      </c>
      <c r="M77" s="58">
        <f t="shared" si="27"/>
        <v>1050633</v>
      </c>
      <c r="N77" s="59" t="str">
        <f t="shared" si="28"/>
        <v>Abastecimiento</v>
      </c>
      <c r="O77" s="59" t="str">
        <f t="shared" si="29"/>
        <v>Suministro de Líneas</v>
      </c>
      <c r="P77" s="30" t="s">
        <v>1321</v>
      </c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32">
        <f t="shared" si="23"/>
        <v>0</v>
      </c>
      <c r="AF77" s="32">
        <f t="shared" si="24"/>
        <v>0</v>
      </c>
      <c r="AG77" s="47"/>
      <c r="AL77" s="21" t="str">
        <f t="shared" si="25"/>
        <v>09.081.025-1</v>
      </c>
      <c r="AM77" s="21">
        <v>68</v>
      </c>
      <c r="AN77" s="21">
        <f t="shared" si="30"/>
        <v>0</v>
      </c>
      <c r="AO77" s="21">
        <f t="shared" si="31"/>
        <v>0</v>
      </c>
      <c r="AP77" s="21">
        <f t="shared" si="32"/>
        <v>0</v>
      </c>
      <c r="AQ77" s="21">
        <f t="shared" si="33"/>
        <v>0</v>
      </c>
      <c r="AR77" s="21">
        <f t="shared" si="34"/>
        <v>0</v>
      </c>
      <c r="AS77" s="21">
        <f t="shared" si="35"/>
        <v>0</v>
      </c>
      <c r="AT77" s="21">
        <f t="shared" si="36"/>
        <v>0</v>
      </c>
      <c r="AU77" s="34">
        <f t="shared" si="37"/>
        <v>0</v>
      </c>
      <c r="AW77" s="21" t="str">
        <f t="shared" si="38"/>
        <v/>
      </c>
      <c r="AX77" s="21" t="str">
        <f t="shared" si="39"/>
        <v/>
      </c>
      <c r="AY77" s="21" t="str">
        <f t="shared" si="40"/>
        <v/>
      </c>
      <c r="AZ77" s="21" t="str">
        <f t="shared" si="41"/>
        <v/>
      </c>
      <c r="BA77" s="21" t="str">
        <f t="shared" si="42"/>
        <v/>
      </c>
      <c r="BB77" s="21" t="str">
        <f t="shared" si="43"/>
        <v/>
      </c>
      <c r="BC77" s="21" t="str">
        <f t="shared" si="44"/>
        <v/>
      </c>
    </row>
    <row r="78" spans="1:55" ht="15.75">
      <c r="A78" s="21" t="str">
        <f>IF(Base!B76="","",Base!B76)</f>
        <v>09.048.185-1</v>
      </c>
      <c r="B78" s="21" t="str">
        <f>IF(Base!F76="","",Base!F76)</f>
        <v>PABLO HORACIO  GARCIA  DIAZ</v>
      </c>
      <c r="C78" s="21" t="str">
        <f>IF(Base!I76="","",Base!I76)</f>
        <v>Abastecimiento</v>
      </c>
      <c r="D78" s="22" t="str">
        <f>IF(Base!J76="","",Base!J76)</f>
        <v>Control Inventario I</v>
      </c>
      <c r="E78" s="21">
        <f>IF(Base!H76="","",Base!H76)</f>
        <v>1050126</v>
      </c>
      <c r="J78" s="28">
        <v>68</v>
      </c>
      <c r="K78" s="5" t="s">
        <v>593</v>
      </c>
      <c r="L78" s="58" t="str">
        <f t="shared" si="26"/>
        <v>MARION RAQUEL  MARIN  MOSCOSO</v>
      </c>
      <c r="M78" s="58">
        <f t="shared" si="27"/>
        <v>1050581</v>
      </c>
      <c r="N78" s="59" t="str">
        <f t="shared" si="28"/>
        <v>Abastecimiento</v>
      </c>
      <c r="O78" s="59" t="str">
        <f t="shared" si="29"/>
        <v>Almacen Insumos Pque</v>
      </c>
      <c r="P78" s="30" t="s">
        <v>1323</v>
      </c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32">
        <f t="shared" si="23"/>
        <v>0</v>
      </c>
      <c r="AF78" s="32">
        <f t="shared" si="24"/>
        <v>0</v>
      </c>
      <c r="AG78" s="47"/>
      <c r="AL78" s="21" t="str">
        <f t="shared" si="25"/>
        <v>13.835.848-8</v>
      </c>
      <c r="AM78" s="21">
        <v>69</v>
      </c>
      <c r="AN78" s="21">
        <f t="shared" si="30"/>
        <v>0</v>
      </c>
      <c r="AO78" s="21">
        <f t="shared" si="31"/>
        <v>0</v>
      </c>
      <c r="AP78" s="21">
        <f t="shared" si="32"/>
        <v>0</v>
      </c>
      <c r="AQ78" s="21">
        <f t="shared" si="33"/>
        <v>0</v>
      </c>
      <c r="AR78" s="21">
        <f t="shared" si="34"/>
        <v>0</v>
      </c>
      <c r="AS78" s="21">
        <f t="shared" si="35"/>
        <v>0</v>
      </c>
      <c r="AT78" s="21">
        <f t="shared" si="36"/>
        <v>0</v>
      </c>
      <c r="AU78" s="34">
        <f t="shared" si="37"/>
        <v>0</v>
      </c>
      <c r="AW78" s="21" t="str">
        <f t="shared" si="38"/>
        <v/>
      </c>
      <c r="AX78" s="21" t="str">
        <f t="shared" si="39"/>
        <v/>
      </c>
      <c r="AY78" s="21" t="str">
        <f t="shared" si="40"/>
        <v/>
      </c>
      <c r="AZ78" s="21" t="str">
        <f t="shared" si="41"/>
        <v/>
      </c>
      <c r="BA78" s="21" t="str">
        <f t="shared" si="42"/>
        <v/>
      </c>
      <c r="BB78" s="21" t="str">
        <f t="shared" si="43"/>
        <v/>
      </c>
      <c r="BC78" s="21" t="str">
        <f t="shared" si="44"/>
        <v/>
      </c>
    </row>
    <row r="79" spans="1:55" ht="15.75">
      <c r="A79" s="21" t="str">
        <f>IF(Base!B77="","",Base!B77)</f>
        <v>13.486.907-0</v>
      </c>
      <c r="B79" s="21" t="str">
        <f>IF(Base!F77="","",Base!F77)</f>
        <v>MIGUEL  MALDONADO  DIAZ</v>
      </c>
      <c r="C79" s="21" t="str">
        <f>IF(Base!I77="","",Base!I77)</f>
        <v>Abastecimiento</v>
      </c>
      <c r="D79" s="22" t="str">
        <f>IF(Base!J77="","",Base!J77)</f>
        <v>Control y Gestión (marcado cajas)</v>
      </c>
      <c r="E79" s="21">
        <f>IF(Base!H77="","",Base!H77)</f>
        <v>1050161</v>
      </c>
      <c r="J79" s="28">
        <v>69</v>
      </c>
      <c r="K79" s="5" t="s">
        <v>1306</v>
      </c>
      <c r="L79" s="58" t="str">
        <f t="shared" si="26"/>
        <v>ISAAC MARTINEZ</v>
      </c>
      <c r="M79" s="58">
        <f t="shared" si="27"/>
        <v>1050633</v>
      </c>
      <c r="N79" s="59" t="str">
        <f t="shared" si="28"/>
        <v>Abastecimiento</v>
      </c>
      <c r="O79" s="59" t="str">
        <f t="shared" si="29"/>
        <v>Operario Almacenamiento</v>
      </c>
      <c r="P79" s="30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32">
        <f t="shared" si="23"/>
        <v>0</v>
      </c>
      <c r="AF79" s="32">
        <f t="shared" si="24"/>
        <v>0</v>
      </c>
      <c r="AG79" s="47"/>
      <c r="AL79" s="21" t="str">
        <f t="shared" si="25"/>
        <v>17.546.614-2</v>
      </c>
      <c r="AM79" s="21">
        <v>70</v>
      </c>
      <c r="AN79" s="21">
        <f t="shared" si="30"/>
        <v>0</v>
      </c>
      <c r="AO79" s="21">
        <f t="shared" si="31"/>
        <v>0</v>
      </c>
      <c r="AP79" s="21">
        <f t="shared" si="32"/>
        <v>0</v>
      </c>
      <c r="AQ79" s="21">
        <f t="shared" si="33"/>
        <v>0</v>
      </c>
      <c r="AR79" s="21">
        <f t="shared" si="34"/>
        <v>0</v>
      </c>
      <c r="AS79" s="21">
        <f t="shared" si="35"/>
        <v>0</v>
      </c>
      <c r="AT79" s="21">
        <f t="shared" si="36"/>
        <v>0</v>
      </c>
      <c r="AU79" s="34">
        <f t="shared" si="37"/>
        <v>0</v>
      </c>
      <c r="AW79" s="21" t="str">
        <f t="shared" si="38"/>
        <v/>
      </c>
      <c r="AX79" s="21" t="str">
        <f t="shared" si="39"/>
        <v/>
      </c>
      <c r="AY79" s="21" t="str">
        <f t="shared" si="40"/>
        <v/>
      </c>
      <c r="AZ79" s="21" t="str">
        <f t="shared" si="41"/>
        <v/>
      </c>
      <c r="BA79" s="21" t="str">
        <f t="shared" si="42"/>
        <v/>
      </c>
      <c r="BB79" s="21" t="str">
        <f t="shared" si="43"/>
        <v/>
      </c>
      <c r="BC79" s="21" t="str">
        <f t="shared" si="44"/>
        <v/>
      </c>
    </row>
    <row r="80" spans="1:55" ht="15.75">
      <c r="A80" s="21" t="str">
        <f>IF(Base!B78="","",Base!B78)</f>
        <v>09.068.490-6</v>
      </c>
      <c r="B80" s="21" t="str">
        <f>IF(Base!F78="","",Base!F78)</f>
        <v>DARIO RODOLFO  GONZALEZ  DEL VALLE</v>
      </c>
      <c r="C80" s="21" t="str">
        <f>IF(Base!I78="","",Base!I78)</f>
        <v>Abastecimiento</v>
      </c>
      <c r="D80" s="22" t="str">
        <f>IF(Base!J78="","",Base!J78)</f>
        <v>Almacen Insumos Pque</v>
      </c>
      <c r="E80" s="21">
        <f>IF(Base!H78="","",Base!H78)</f>
        <v>1050581</v>
      </c>
      <c r="J80" s="28">
        <v>70</v>
      </c>
      <c r="K80" s="5" t="s">
        <v>1342</v>
      </c>
      <c r="L80" s="58" t="str">
        <f t="shared" si="26"/>
        <v>JOSE MATURANA RIOS</v>
      </c>
      <c r="M80" s="58">
        <f t="shared" si="27"/>
        <v>1050633</v>
      </c>
      <c r="N80" s="59" t="str">
        <f t="shared" si="28"/>
        <v>Abastecimiento</v>
      </c>
      <c r="O80" s="59" t="str">
        <f t="shared" si="29"/>
        <v>Operario Almacenamiento</v>
      </c>
      <c r="P80" s="30" t="s">
        <v>1321</v>
      </c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32">
        <f t="shared" si="23"/>
        <v>0</v>
      </c>
      <c r="AF80" s="32">
        <f t="shared" si="24"/>
        <v>0</v>
      </c>
      <c r="AG80" s="47"/>
      <c r="AL80" s="21" t="str">
        <f t="shared" si="25"/>
        <v>11.267.622-8</v>
      </c>
      <c r="AM80" s="21">
        <v>71</v>
      </c>
      <c r="AN80" s="21">
        <f t="shared" si="30"/>
        <v>0</v>
      </c>
      <c r="AO80" s="21">
        <f t="shared" si="31"/>
        <v>0</v>
      </c>
      <c r="AP80" s="21">
        <f t="shared" si="32"/>
        <v>0</v>
      </c>
      <c r="AQ80" s="21">
        <f t="shared" si="33"/>
        <v>0</v>
      </c>
      <c r="AR80" s="21">
        <f t="shared" si="34"/>
        <v>0</v>
      </c>
      <c r="AS80" s="21">
        <f t="shared" si="35"/>
        <v>0</v>
      </c>
      <c r="AT80" s="21">
        <f t="shared" si="36"/>
        <v>0</v>
      </c>
      <c r="AU80" s="34">
        <f t="shared" si="37"/>
        <v>0</v>
      </c>
      <c r="AW80" s="21" t="str">
        <f t="shared" si="38"/>
        <v/>
      </c>
      <c r="AX80" s="21" t="str">
        <f t="shared" si="39"/>
        <v/>
      </c>
      <c r="AY80" s="21" t="str">
        <f t="shared" si="40"/>
        <v/>
      </c>
      <c r="AZ80" s="21" t="str">
        <f t="shared" si="41"/>
        <v/>
      </c>
      <c r="BA80" s="21" t="str">
        <f t="shared" si="42"/>
        <v/>
      </c>
      <c r="BB80" s="21" t="str">
        <f t="shared" si="43"/>
        <v/>
      </c>
      <c r="BC80" s="21" t="str">
        <f t="shared" si="44"/>
        <v/>
      </c>
    </row>
    <row r="81" spans="1:55" ht="15.75">
      <c r="A81" s="21" t="str">
        <f>IF(Base!B79="","",Base!B79)</f>
        <v>07.975.267-3</v>
      </c>
      <c r="B81" s="21" t="str">
        <f>IF(Base!F79="","",Base!F79)</f>
        <v>GLORIA  GONZALEZ  MASIAS</v>
      </c>
      <c r="C81" s="21" t="str">
        <f>IF(Base!I79="","",Base!I79)</f>
        <v>Linea 7</v>
      </c>
      <c r="D81" s="22" t="str">
        <f>IF(Base!J79="","",Base!J79)</f>
        <v>Inspector etiqueta</v>
      </c>
      <c r="E81" s="21">
        <f>IF(Base!H79="","",Base!H79)</f>
        <v>1050616</v>
      </c>
      <c r="J81" s="28">
        <v>71</v>
      </c>
      <c r="K81" s="5" t="s">
        <v>610</v>
      </c>
      <c r="L81" s="58" t="str">
        <f t="shared" si="26"/>
        <v>MIGUEL ALBERTO  MELLA  FRIAS</v>
      </c>
      <c r="M81" s="58">
        <f t="shared" si="27"/>
        <v>1050126</v>
      </c>
      <c r="N81" s="59" t="str">
        <f t="shared" si="28"/>
        <v>Abastecimiento</v>
      </c>
      <c r="O81" s="59" t="str">
        <f t="shared" si="29"/>
        <v>Control Ingresos Cen</v>
      </c>
      <c r="P81" s="30"/>
      <c r="Q81" s="96"/>
      <c r="R81" s="96"/>
      <c r="S81" s="96">
        <v>2.5</v>
      </c>
      <c r="T81" s="96"/>
      <c r="U81" s="96">
        <v>2.5</v>
      </c>
      <c r="V81" s="96"/>
      <c r="W81" s="96">
        <v>2.5</v>
      </c>
      <c r="X81" s="96"/>
      <c r="Y81" s="96">
        <v>2.5</v>
      </c>
      <c r="Z81" s="96"/>
      <c r="AA81" s="96"/>
      <c r="AB81" s="96"/>
      <c r="AC81" s="96"/>
      <c r="AD81" s="96"/>
      <c r="AE81" s="32">
        <f t="shared" si="23"/>
        <v>10</v>
      </c>
      <c r="AF81" s="32">
        <f t="shared" si="24"/>
        <v>0</v>
      </c>
      <c r="AG81" s="47" t="s">
        <v>1460</v>
      </c>
      <c r="AL81" s="21" t="str">
        <f t="shared" si="25"/>
        <v>10.157.067-3</v>
      </c>
      <c r="AM81" s="21">
        <v>72</v>
      </c>
      <c r="AN81" s="21">
        <f t="shared" si="30"/>
        <v>0</v>
      </c>
      <c r="AO81" s="21">
        <f t="shared" si="31"/>
        <v>2.5</v>
      </c>
      <c r="AP81" s="21">
        <f t="shared" si="32"/>
        <v>2.5</v>
      </c>
      <c r="AQ81" s="21">
        <f t="shared" si="33"/>
        <v>2.5</v>
      </c>
      <c r="AR81" s="21">
        <f t="shared" si="34"/>
        <v>2.5</v>
      </c>
      <c r="AS81" s="21">
        <f t="shared" si="35"/>
        <v>0</v>
      </c>
      <c r="AT81" s="21">
        <f t="shared" si="36"/>
        <v>0</v>
      </c>
      <c r="AU81" s="34">
        <f t="shared" si="37"/>
        <v>10</v>
      </c>
      <c r="AW81" s="21" t="str">
        <f t="shared" si="38"/>
        <v/>
      </c>
      <c r="AX81" s="21">
        <f t="shared" si="39"/>
        <v>0.5</v>
      </c>
      <c r="AY81" s="21">
        <f t="shared" si="40"/>
        <v>0.5</v>
      </c>
      <c r="AZ81" s="21">
        <f t="shared" si="41"/>
        <v>0.5</v>
      </c>
      <c r="BA81" s="21">
        <f t="shared" si="42"/>
        <v>0.5</v>
      </c>
      <c r="BB81" s="21" t="str">
        <f t="shared" si="43"/>
        <v/>
      </c>
      <c r="BC81" s="21" t="str">
        <f t="shared" si="44"/>
        <v/>
      </c>
    </row>
    <row r="82" spans="1:55" ht="15.75">
      <c r="A82" s="21" t="str">
        <f>IF(Base!B80="","",Base!B80)</f>
        <v>08.962.599-8</v>
      </c>
      <c r="B82" s="21" t="str">
        <f>IF(Base!F80="","",Base!F80)</f>
        <v>HUGO SIMON  GONZALEZ  MUÑOZ</v>
      </c>
      <c r="C82" s="21" t="str">
        <f>IF(Base!I80="","",Base!I80)</f>
        <v>Linea 3</v>
      </c>
      <c r="D82" s="22" t="str">
        <f>IF(Base!J80="","",Base!J80)</f>
        <v>Embalador</v>
      </c>
      <c r="E82" s="21">
        <f>IF(Base!H80="","",Base!H80)</f>
        <v>1050556</v>
      </c>
      <c r="J82" s="28">
        <v>72</v>
      </c>
      <c r="K82" s="5" t="s">
        <v>620</v>
      </c>
      <c r="L82" s="58" t="str">
        <f t="shared" si="26"/>
        <v>MARIA ELIANA  MILLAN  HERRERA</v>
      </c>
      <c r="M82" s="58">
        <f t="shared" si="27"/>
        <v>1050633</v>
      </c>
      <c r="N82" s="59" t="str">
        <f t="shared" si="28"/>
        <v>Abastecimiento</v>
      </c>
      <c r="O82" s="59" t="str">
        <f t="shared" si="29"/>
        <v>Suministro de Líneas</v>
      </c>
      <c r="P82" s="30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32">
        <f t="shared" si="23"/>
        <v>0</v>
      </c>
      <c r="AF82" s="32">
        <f t="shared" si="24"/>
        <v>0</v>
      </c>
      <c r="AG82" s="47"/>
      <c r="AL82" s="21" t="str">
        <f t="shared" si="25"/>
        <v>13.834.251-4</v>
      </c>
      <c r="AM82" s="21">
        <v>73</v>
      </c>
      <c r="AN82" s="21">
        <f t="shared" si="30"/>
        <v>0</v>
      </c>
      <c r="AO82" s="21">
        <f t="shared" si="31"/>
        <v>0</v>
      </c>
      <c r="AP82" s="21">
        <f t="shared" si="32"/>
        <v>0</v>
      </c>
      <c r="AQ82" s="21">
        <f t="shared" si="33"/>
        <v>0</v>
      </c>
      <c r="AR82" s="21">
        <f t="shared" si="34"/>
        <v>0</v>
      </c>
      <c r="AS82" s="21">
        <f t="shared" si="35"/>
        <v>0</v>
      </c>
      <c r="AT82" s="21">
        <f t="shared" si="36"/>
        <v>0</v>
      </c>
      <c r="AU82" s="34">
        <f t="shared" si="37"/>
        <v>0</v>
      </c>
      <c r="AW82" s="21" t="str">
        <f t="shared" si="38"/>
        <v/>
      </c>
      <c r="AX82" s="21" t="str">
        <f t="shared" si="39"/>
        <v/>
      </c>
      <c r="AY82" s="21" t="str">
        <f t="shared" si="40"/>
        <v/>
      </c>
      <c r="AZ82" s="21" t="str">
        <f t="shared" si="41"/>
        <v/>
      </c>
      <c r="BA82" s="21" t="str">
        <f t="shared" si="42"/>
        <v/>
      </c>
      <c r="BB82" s="21" t="str">
        <f t="shared" si="43"/>
        <v/>
      </c>
      <c r="BC82" s="21" t="str">
        <f t="shared" si="44"/>
        <v/>
      </c>
    </row>
    <row r="83" spans="1:55" ht="15.75">
      <c r="A83" s="21" t="str">
        <f>IF(Base!B81="","",Base!B81)</f>
        <v>05.921.603-1</v>
      </c>
      <c r="B83" s="21" t="str">
        <f>IF(Base!F81="","",Base!F81)</f>
        <v>JUAN MANUEL  GUERRERO  MONTANO</v>
      </c>
      <c r="C83" s="21" t="str">
        <f>IF(Base!I81="","",Base!I81)</f>
        <v>Aseo</v>
      </c>
      <c r="D83" s="22" t="str">
        <f>IF(Base!J81="","",Base!J81)</f>
        <v>Aseo</v>
      </c>
      <c r="E83" s="21">
        <f>IF(Base!H81="","",Base!H81)</f>
        <v>1050632</v>
      </c>
      <c r="J83" s="28">
        <v>73</v>
      </c>
      <c r="K83" s="5" t="s">
        <v>628</v>
      </c>
      <c r="L83" s="58" t="str">
        <f t="shared" si="26"/>
        <v>CARLOS ALEJANDRO  MORA  MORA</v>
      </c>
      <c r="M83" s="58">
        <f t="shared" si="27"/>
        <v>1050127</v>
      </c>
      <c r="N83" s="59" t="str">
        <f t="shared" si="28"/>
        <v>Abastecimiento</v>
      </c>
      <c r="O83" s="59" t="str">
        <f t="shared" si="29"/>
        <v>Preparación de Insum</v>
      </c>
      <c r="P83" s="30"/>
      <c r="Q83" s="96"/>
      <c r="R83" s="96"/>
      <c r="S83" s="96"/>
      <c r="T83" s="96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32">
        <f t="shared" si="23"/>
        <v>0</v>
      </c>
      <c r="AF83" s="32">
        <f t="shared" si="24"/>
        <v>0</v>
      </c>
      <c r="AG83" s="47"/>
      <c r="AL83" s="21" t="str">
        <f t="shared" si="25"/>
        <v>10.407.614-9</v>
      </c>
      <c r="AM83" s="21">
        <v>74</v>
      </c>
      <c r="AN83" s="21">
        <f t="shared" si="30"/>
        <v>0</v>
      </c>
      <c r="AO83" s="21">
        <f t="shared" si="31"/>
        <v>0</v>
      </c>
      <c r="AP83" s="21">
        <f t="shared" si="32"/>
        <v>0</v>
      </c>
      <c r="AQ83" s="21">
        <f t="shared" si="33"/>
        <v>0</v>
      </c>
      <c r="AR83" s="21">
        <f t="shared" si="34"/>
        <v>0</v>
      </c>
      <c r="AS83" s="21">
        <f t="shared" si="35"/>
        <v>0</v>
      </c>
      <c r="AT83" s="21">
        <f t="shared" si="36"/>
        <v>0</v>
      </c>
      <c r="AU83" s="34">
        <f t="shared" si="37"/>
        <v>0</v>
      </c>
      <c r="AW83" s="21" t="str">
        <f t="shared" si="38"/>
        <v/>
      </c>
      <c r="AX83" s="21" t="str">
        <f t="shared" si="39"/>
        <v/>
      </c>
      <c r="AY83" s="21" t="str">
        <f t="shared" si="40"/>
        <v/>
      </c>
      <c r="AZ83" s="21" t="str">
        <f t="shared" si="41"/>
        <v/>
      </c>
      <c r="BA83" s="21" t="str">
        <f t="shared" si="42"/>
        <v/>
      </c>
      <c r="BB83" s="21" t="str">
        <f t="shared" si="43"/>
        <v/>
      </c>
      <c r="BC83" s="21" t="str">
        <f t="shared" si="44"/>
        <v/>
      </c>
    </row>
    <row r="84" spans="1:55" ht="15.75">
      <c r="A84" s="21" t="str">
        <f>IF(Base!B82="","",Base!B82)</f>
        <v>09.748.915-7</v>
      </c>
      <c r="B84" s="21" t="str">
        <f>IF(Base!F82="","",Base!F82)</f>
        <v>VICTOR MANUEL  HENRIQUEZ  FLORES</v>
      </c>
      <c r="C84" s="21" t="str">
        <f>IF(Base!I82="","",Base!I82)</f>
        <v>Abastecimiento</v>
      </c>
      <c r="D84" s="22" t="str">
        <f>IF(Base!J82="","",Base!J82)</f>
        <v>Control Inventario I</v>
      </c>
      <c r="E84" s="21">
        <f>IF(Base!H82="","",Base!H82)</f>
        <v>1050161</v>
      </c>
      <c r="J84" s="28">
        <v>74</v>
      </c>
      <c r="K84" s="5" t="s">
        <v>666</v>
      </c>
      <c r="L84" s="58" t="str">
        <f t="shared" si="26"/>
        <v>CLAUDIO ARTURO  MUÑOZ  MUÑOZ</v>
      </c>
      <c r="M84" s="58">
        <f t="shared" si="27"/>
        <v>1050126</v>
      </c>
      <c r="N84" s="59" t="str">
        <f t="shared" si="28"/>
        <v>Abastecimiento</v>
      </c>
      <c r="O84" s="59" t="str">
        <f t="shared" si="29"/>
        <v>Control Ingresos Cen</v>
      </c>
      <c r="P84" s="30"/>
      <c r="Q84" s="96"/>
      <c r="R84" s="96"/>
      <c r="S84" s="96"/>
      <c r="T84" s="96"/>
      <c r="U84" s="96">
        <v>2</v>
      </c>
      <c r="V84" s="96"/>
      <c r="W84" s="96">
        <v>1</v>
      </c>
      <c r="X84" s="96"/>
      <c r="Y84" s="96">
        <v>1</v>
      </c>
      <c r="Z84" s="96"/>
      <c r="AA84" s="96"/>
      <c r="AB84" s="96"/>
      <c r="AC84" s="96"/>
      <c r="AD84" s="96"/>
      <c r="AE84" s="32">
        <f t="shared" si="23"/>
        <v>4</v>
      </c>
      <c r="AF84" s="32">
        <f t="shared" si="24"/>
        <v>0</v>
      </c>
      <c r="AG84" s="50" t="s">
        <v>1463</v>
      </c>
      <c r="AL84" s="21" t="str">
        <f t="shared" si="25"/>
        <v>11.659.510-9</v>
      </c>
      <c r="AM84" s="21">
        <v>75</v>
      </c>
      <c r="AN84" s="21">
        <f t="shared" si="30"/>
        <v>0</v>
      </c>
      <c r="AO84" s="21">
        <f t="shared" si="31"/>
        <v>0</v>
      </c>
      <c r="AP84" s="21">
        <f t="shared" si="32"/>
        <v>2</v>
      </c>
      <c r="AQ84" s="21">
        <f t="shared" si="33"/>
        <v>1</v>
      </c>
      <c r="AR84" s="21">
        <f t="shared" si="34"/>
        <v>1</v>
      </c>
      <c r="AS84" s="21">
        <f t="shared" si="35"/>
        <v>0</v>
      </c>
      <c r="AT84" s="21">
        <f t="shared" si="36"/>
        <v>0</v>
      </c>
      <c r="AU84" s="34">
        <f t="shared" si="37"/>
        <v>4</v>
      </c>
      <c r="AW84" s="21" t="str">
        <f t="shared" si="38"/>
        <v/>
      </c>
      <c r="AX84" s="21" t="str">
        <f t="shared" si="39"/>
        <v/>
      </c>
      <c r="AY84" s="21">
        <f t="shared" si="40"/>
        <v>0.5</v>
      </c>
      <c r="AZ84" s="21">
        <f t="shared" si="41"/>
        <v>0.5</v>
      </c>
      <c r="BA84" s="21">
        <f t="shared" si="42"/>
        <v>0.5</v>
      </c>
      <c r="BB84" s="21" t="str">
        <f t="shared" si="43"/>
        <v/>
      </c>
      <c r="BC84" s="21" t="str">
        <f t="shared" si="44"/>
        <v/>
      </c>
    </row>
    <row r="85" spans="1:55" ht="15.75">
      <c r="A85" s="21" t="str">
        <f>IF(Base!B83="","",Base!B83)</f>
        <v>09.989.723-6</v>
      </c>
      <c r="B85" s="21" t="str">
        <f>IF(Base!F83="","",Base!F83)</f>
        <v>FRANKLIN LEONEL  HERNANDEZ  CESPEDES</v>
      </c>
      <c r="C85" s="21" t="str">
        <f>IF(Base!I83="","",Base!I83)</f>
        <v>Abastecimiento</v>
      </c>
      <c r="D85" s="22" t="str">
        <f>IF(Base!J83="","",Base!J83)</f>
        <v>Control Ingresos Cen</v>
      </c>
      <c r="E85" s="21">
        <f>IF(Base!H83="","",Base!H83)</f>
        <v>1050126</v>
      </c>
      <c r="J85" s="28">
        <v>75</v>
      </c>
      <c r="K85" s="5" t="s">
        <v>670</v>
      </c>
      <c r="L85" s="58" t="str">
        <f t="shared" si="26"/>
        <v>JOSE ENRIQUE  MUÑOZ  QUENPUL</v>
      </c>
      <c r="M85" s="58">
        <f t="shared" si="27"/>
        <v>1050162</v>
      </c>
      <c r="N85" s="59" t="str">
        <f t="shared" si="28"/>
        <v>Abastecimiento</v>
      </c>
      <c r="O85" s="59" t="str">
        <f t="shared" si="29"/>
        <v>Almacen Envases Pirq</v>
      </c>
      <c r="P85" s="30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32">
        <f t="shared" ref="AE85:AE148" si="45">SUM(Q85,S85,U85,W85,Y85,AA85,AC85)</f>
        <v>0</v>
      </c>
      <c r="AF85" s="32">
        <f t="shared" ref="AF85:AF148" si="46">SUM(R85,T85,V85,X85,Z85,AB85,AD85)</f>
        <v>0</v>
      </c>
      <c r="AG85" s="47"/>
      <c r="AL85" s="21" t="str">
        <f t="shared" si="25"/>
        <v>11.124.307-7</v>
      </c>
      <c r="AM85" s="21">
        <v>76</v>
      </c>
      <c r="AN85" s="21">
        <f t="shared" si="30"/>
        <v>0</v>
      </c>
      <c r="AO85" s="21">
        <f t="shared" si="31"/>
        <v>0</v>
      </c>
      <c r="AP85" s="21">
        <f t="shared" si="32"/>
        <v>0</v>
      </c>
      <c r="AQ85" s="21">
        <f t="shared" si="33"/>
        <v>0</v>
      </c>
      <c r="AR85" s="21">
        <f t="shared" si="34"/>
        <v>0</v>
      </c>
      <c r="AS85" s="21">
        <f t="shared" si="35"/>
        <v>0</v>
      </c>
      <c r="AT85" s="21">
        <f t="shared" si="36"/>
        <v>0</v>
      </c>
      <c r="AU85" s="34">
        <f t="shared" si="37"/>
        <v>0</v>
      </c>
      <c r="AW85" s="21" t="str">
        <f t="shared" si="38"/>
        <v/>
      </c>
      <c r="AX85" s="21" t="str">
        <f t="shared" si="39"/>
        <v/>
      </c>
      <c r="AY85" s="21" t="str">
        <f t="shared" si="40"/>
        <v/>
      </c>
      <c r="AZ85" s="21" t="str">
        <f t="shared" si="41"/>
        <v/>
      </c>
      <c r="BA85" s="21" t="str">
        <f t="shared" si="42"/>
        <v/>
      </c>
      <c r="BB85" s="21" t="str">
        <f t="shared" si="43"/>
        <v/>
      </c>
      <c r="BC85" s="21" t="str">
        <f t="shared" si="44"/>
        <v/>
      </c>
    </row>
    <row r="86" spans="1:55" ht="15.75">
      <c r="A86" s="21" t="str">
        <f>IF(Base!B84="","",Base!B84)</f>
        <v>10.199.755-3</v>
      </c>
      <c r="B86" s="21" t="str">
        <f>IF(Base!F84="","",Base!F84)</f>
        <v>QUINTIN ROBERTO  HERNANDEZ  GONZALEZ</v>
      </c>
      <c r="C86" s="21" t="str">
        <f>IF(Base!I84="","",Base!I84)</f>
        <v>Abastecimiento</v>
      </c>
      <c r="D86" s="22" t="str">
        <f>IF(Base!J84="","",Base!J84)</f>
        <v>Suministro de Líneas</v>
      </c>
      <c r="E86" s="21">
        <f>IF(Base!H84="","",Base!H84)</f>
        <v>1050633</v>
      </c>
      <c r="J86" s="28">
        <v>76</v>
      </c>
      <c r="K86" s="5" t="s">
        <v>686</v>
      </c>
      <c r="L86" s="58" t="str">
        <f t="shared" si="26"/>
        <v>ALEXIS ANTONIO  NARVAI  DIAZ</v>
      </c>
      <c r="M86" s="58">
        <f t="shared" si="27"/>
        <v>1050581</v>
      </c>
      <c r="N86" s="59" t="str">
        <f t="shared" si="28"/>
        <v>Abastecimiento</v>
      </c>
      <c r="O86" s="59" t="str">
        <f t="shared" si="29"/>
        <v>Supervisor Almacen Insumos</v>
      </c>
      <c r="P86" s="30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32">
        <f t="shared" si="45"/>
        <v>0</v>
      </c>
      <c r="AF86" s="32">
        <f t="shared" si="46"/>
        <v>0</v>
      </c>
      <c r="AG86" s="50"/>
      <c r="AL86" s="21" t="str">
        <f t="shared" si="25"/>
        <v>11.754.811-2</v>
      </c>
      <c r="AM86" s="21">
        <v>77</v>
      </c>
      <c r="AN86" s="21">
        <f t="shared" si="30"/>
        <v>0</v>
      </c>
      <c r="AO86" s="21">
        <f t="shared" si="31"/>
        <v>0</v>
      </c>
      <c r="AP86" s="21">
        <f t="shared" si="32"/>
        <v>0</v>
      </c>
      <c r="AQ86" s="21">
        <f t="shared" si="33"/>
        <v>0</v>
      </c>
      <c r="AR86" s="21">
        <f t="shared" si="34"/>
        <v>0</v>
      </c>
      <c r="AS86" s="21">
        <f t="shared" si="35"/>
        <v>0</v>
      </c>
      <c r="AT86" s="21">
        <f t="shared" si="36"/>
        <v>0</v>
      </c>
      <c r="AU86" s="34">
        <f t="shared" si="37"/>
        <v>0</v>
      </c>
      <c r="AW86" s="21" t="str">
        <f t="shared" si="38"/>
        <v/>
      </c>
      <c r="AX86" s="21" t="str">
        <f t="shared" si="39"/>
        <v/>
      </c>
      <c r="AY86" s="21" t="str">
        <f t="shared" si="40"/>
        <v/>
      </c>
      <c r="AZ86" s="21" t="str">
        <f t="shared" si="41"/>
        <v/>
      </c>
      <c r="BA86" s="21" t="str">
        <f t="shared" si="42"/>
        <v/>
      </c>
      <c r="BB86" s="21" t="str">
        <f t="shared" si="43"/>
        <v/>
      </c>
      <c r="BC86" s="21" t="str">
        <f t="shared" si="44"/>
        <v/>
      </c>
    </row>
    <row r="87" spans="1:55" ht="15.75">
      <c r="A87" s="21" t="str">
        <f>IF(Base!B85="","",Base!B85)</f>
        <v>14.336.364-3</v>
      </c>
      <c r="B87" s="21" t="str">
        <f>IF(Base!F85="","",Base!F85)</f>
        <v>ARIEL A.  HERRERA  PALMA</v>
      </c>
      <c r="C87" s="21" t="str">
        <f>IF(Base!I85="","",Base!I85)</f>
        <v>Monitor Etiquetado</v>
      </c>
      <c r="D87" s="22" t="str">
        <f>IF(Base!J85="","",Base!J85)</f>
        <v>Monitor Etiquetado</v>
      </c>
      <c r="E87" s="21">
        <f>IF(Base!H85="","",Base!H85)</f>
        <v>1050604</v>
      </c>
      <c r="J87" s="28">
        <v>77</v>
      </c>
      <c r="K87" s="5" t="s">
        <v>692</v>
      </c>
      <c r="L87" s="58" t="str">
        <f t="shared" si="26"/>
        <v>ELSON GONZALO  NARVAI  DIAZ</v>
      </c>
      <c r="M87" s="58">
        <f t="shared" si="27"/>
        <v>1050506</v>
      </c>
      <c r="N87" s="59" t="str">
        <f t="shared" si="28"/>
        <v>Abastecimiento</v>
      </c>
      <c r="O87" s="59" t="str">
        <f t="shared" si="29"/>
        <v>Reimpresión</v>
      </c>
      <c r="P87" s="30"/>
      <c r="Q87" s="96"/>
      <c r="R87" s="96"/>
      <c r="S87" s="96"/>
      <c r="T87" s="96"/>
      <c r="U87" s="96"/>
      <c r="V87" s="96"/>
      <c r="W87" s="96"/>
      <c r="X87" s="96"/>
      <c r="Y87" s="96">
        <v>5</v>
      </c>
      <c r="Z87" s="96"/>
      <c r="AA87" s="96">
        <v>6</v>
      </c>
      <c r="AB87" s="96"/>
      <c r="AC87" s="96"/>
      <c r="AD87" s="96"/>
      <c r="AE87" s="32">
        <f t="shared" si="45"/>
        <v>11</v>
      </c>
      <c r="AF87" s="32">
        <f t="shared" si="46"/>
        <v>0</v>
      </c>
      <c r="AG87" s="48" t="s">
        <v>1464</v>
      </c>
      <c r="AL87" s="21" t="str">
        <f t="shared" si="25"/>
        <v>12.828.475-3</v>
      </c>
      <c r="AM87" s="21">
        <v>78</v>
      </c>
      <c r="AN87" s="21">
        <f t="shared" si="30"/>
        <v>0</v>
      </c>
      <c r="AO87" s="21">
        <f t="shared" si="31"/>
        <v>0</v>
      </c>
      <c r="AP87" s="21">
        <f t="shared" si="32"/>
        <v>0</v>
      </c>
      <c r="AQ87" s="21">
        <f t="shared" si="33"/>
        <v>0</v>
      </c>
      <c r="AR87" s="21">
        <f t="shared" si="34"/>
        <v>5</v>
      </c>
      <c r="AS87" s="21">
        <f t="shared" si="35"/>
        <v>6</v>
      </c>
      <c r="AT87" s="21">
        <f t="shared" si="36"/>
        <v>0</v>
      </c>
      <c r="AU87" s="34">
        <f t="shared" si="37"/>
        <v>11</v>
      </c>
      <c r="AW87" s="21" t="str">
        <f t="shared" si="38"/>
        <v/>
      </c>
      <c r="AX87" s="21" t="str">
        <f t="shared" si="39"/>
        <v/>
      </c>
      <c r="AY87" s="21" t="str">
        <f t="shared" si="40"/>
        <v/>
      </c>
      <c r="AZ87" s="21" t="str">
        <f t="shared" si="41"/>
        <v/>
      </c>
      <c r="BA87" s="21">
        <f t="shared" si="42"/>
        <v>0.5</v>
      </c>
      <c r="BB87" s="21">
        <f t="shared" si="43"/>
        <v>0.5</v>
      </c>
      <c r="BC87" s="21" t="str">
        <f t="shared" si="44"/>
        <v/>
      </c>
    </row>
    <row r="88" spans="1:55" ht="15.75">
      <c r="A88" s="21" t="str">
        <f>IF(Base!B86="","",Base!B86)</f>
        <v>9.905.897-8</v>
      </c>
      <c r="B88" s="21" t="str">
        <f>IF(Base!F86="","",Base!F86)</f>
        <v xml:space="preserve">JUAN PABLO  HERREROS   INFANTE </v>
      </c>
      <c r="C88" s="21" t="str">
        <f>IF(Base!I86="","",Base!I86)</f>
        <v>Envasado</v>
      </c>
      <c r="D88" s="22" t="str">
        <f>IF(Base!J86="","",Base!J86)</f>
        <v>Subgerente de Envasado</v>
      </c>
      <c r="E88" s="21">
        <f>IF(Base!H86="","",Base!H86)</f>
        <v>1050502</v>
      </c>
      <c r="J88" s="28">
        <v>78</v>
      </c>
      <c r="K88" s="5" t="s">
        <v>696</v>
      </c>
      <c r="L88" s="58" t="str">
        <f t="shared" si="26"/>
        <v>LUIS  NARVAI  DIAZ</v>
      </c>
      <c r="M88" s="58">
        <f t="shared" si="27"/>
        <v>1050581</v>
      </c>
      <c r="N88" s="59" t="str">
        <f t="shared" si="28"/>
        <v>Abastecimiento</v>
      </c>
      <c r="O88" s="59" t="str">
        <f t="shared" si="29"/>
        <v>Almacen Insumos Pque</v>
      </c>
      <c r="P88" s="30"/>
      <c r="Q88" s="96"/>
      <c r="R88" s="96"/>
      <c r="S88" s="96">
        <v>1</v>
      </c>
      <c r="T88" s="96"/>
      <c r="U88" s="96"/>
      <c r="V88" s="96"/>
      <c r="W88" s="96">
        <v>1</v>
      </c>
      <c r="X88" s="96"/>
      <c r="Y88" s="96">
        <v>1</v>
      </c>
      <c r="Z88" s="96"/>
      <c r="AA88" s="96">
        <v>7.5</v>
      </c>
      <c r="AB88" s="96"/>
      <c r="AC88" s="96"/>
      <c r="AD88" s="96"/>
      <c r="AE88" s="32">
        <f t="shared" si="45"/>
        <v>10.5</v>
      </c>
      <c r="AF88" s="32">
        <f t="shared" si="46"/>
        <v>0</v>
      </c>
      <c r="AG88" s="51" t="s">
        <v>1465</v>
      </c>
      <c r="AL88" s="21" t="str">
        <f t="shared" si="25"/>
        <v>11.523.497-8</v>
      </c>
      <c r="AM88" s="21">
        <v>79</v>
      </c>
      <c r="AN88" s="21">
        <f t="shared" si="30"/>
        <v>0</v>
      </c>
      <c r="AO88" s="21">
        <f t="shared" si="31"/>
        <v>1</v>
      </c>
      <c r="AP88" s="21">
        <f t="shared" si="32"/>
        <v>0</v>
      </c>
      <c r="AQ88" s="21">
        <f t="shared" si="33"/>
        <v>1</v>
      </c>
      <c r="AR88" s="21">
        <f t="shared" si="34"/>
        <v>1</v>
      </c>
      <c r="AS88" s="21">
        <f t="shared" si="35"/>
        <v>7.5</v>
      </c>
      <c r="AT88" s="21">
        <f t="shared" si="36"/>
        <v>0</v>
      </c>
      <c r="AU88" s="34">
        <f t="shared" si="37"/>
        <v>10.5</v>
      </c>
      <c r="AW88" s="21" t="str">
        <f t="shared" si="38"/>
        <v/>
      </c>
      <c r="AX88" s="21">
        <f t="shared" si="39"/>
        <v>0.5</v>
      </c>
      <c r="AY88" s="21" t="str">
        <f t="shared" si="40"/>
        <v/>
      </c>
      <c r="AZ88" s="21">
        <f t="shared" si="41"/>
        <v>0.5</v>
      </c>
      <c r="BA88" s="21">
        <f t="shared" si="42"/>
        <v>0.5</v>
      </c>
      <c r="BB88" s="21">
        <f t="shared" si="43"/>
        <v>0.5</v>
      </c>
      <c r="BC88" s="21" t="str">
        <f t="shared" si="44"/>
        <v/>
      </c>
    </row>
    <row r="89" spans="1:55" ht="15.75">
      <c r="A89" s="21" t="str">
        <f>IF(Base!B87="","",Base!B87)</f>
        <v>11.656.057-7</v>
      </c>
      <c r="B89" s="21" t="str">
        <f>IF(Base!F87="","",Base!F87)</f>
        <v>PAOLO CESAR  IBAÑEZ  GRANIFO</v>
      </c>
      <c r="C89" s="21" t="str">
        <f>IF(Base!I87="","",Base!I87)</f>
        <v>Abastecimiento</v>
      </c>
      <c r="D89" s="22" t="str">
        <f>IF(Base!J87="","",Base!J87)</f>
        <v>Preparación de Insum</v>
      </c>
      <c r="E89" s="21">
        <f>IF(Base!H87="","",Base!H87)</f>
        <v>1050127</v>
      </c>
      <c r="J89" s="28">
        <v>79</v>
      </c>
      <c r="K89" s="5" t="s">
        <v>699</v>
      </c>
      <c r="L89" s="58" t="str">
        <f t="shared" si="26"/>
        <v>JORGE PATRICIO  NARVAI  RIVERA</v>
      </c>
      <c r="M89" s="58">
        <f t="shared" si="27"/>
        <v>1050126</v>
      </c>
      <c r="N89" s="59" t="str">
        <f t="shared" si="28"/>
        <v>Abastecimiento</v>
      </c>
      <c r="O89" s="59" t="str">
        <f t="shared" si="29"/>
        <v>Control Ingresos Cen</v>
      </c>
      <c r="P89" s="30" t="s">
        <v>4</v>
      </c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32">
        <f t="shared" si="45"/>
        <v>0</v>
      </c>
      <c r="AF89" s="32">
        <f t="shared" si="46"/>
        <v>0</v>
      </c>
      <c r="AG89" s="47"/>
      <c r="AL89" s="21" t="str">
        <f t="shared" ref="AL89:AL152" si="47">IF(K89="","",K89)</f>
        <v>07.481.602-9</v>
      </c>
      <c r="AM89" s="21">
        <v>80</v>
      </c>
      <c r="AN89" s="21">
        <f t="shared" si="30"/>
        <v>0</v>
      </c>
      <c r="AO89" s="21">
        <f t="shared" si="31"/>
        <v>0</v>
      </c>
      <c r="AP89" s="21">
        <f t="shared" si="32"/>
        <v>0</v>
      </c>
      <c r="AQ89" s="21">
        <f t="shared" si="33"/>
        <v>0</v>
      </c>
      <c r="AR89" s="21">
        <f t="shared" si="34"/>
        <v>0</v>
      </c>
      <c r="AS89" s="21">
        <f t="shared" si="35"/>
        <v>0</v>
      </c>
      <c r="AT89" s="21">
        <f t="shared" si="36"/>
        <v>0</v>
      </c>
      <c r="AU89" s="34">
        <f t="shared" si="37"/>
        <v>0</v>
      </c>
      <c r="AW89" s="21" t="str">
        <f t="shared" si="38"/>
        <v/>
      </c>
      <c r="AX89" s="21" t="str">
        <f t="shared" si="39"/>
        <v/>
      </c>
      <c r="AY89" s="21" t="str">
        <f t="shared" si="40"/>
        <v/>
      </c>
      <c r="AZ89" s="21" t="str">
        <f t="shared" si="41"/>
        <v/>
      </c>
      <c r="BA89" s="21" t="str">
        <f t="shared" si="42"/>
        <v/>
      </c>
      <c r="BB89" s="21" t="str">
        <f t="shared" si="43"/>
        <v/>
      </c>
      <c r="BC89" s="21" t="str">
        <f t="shared" si="44"/>
        <v/>
      </c>
    </row>
    <row r="90" spans="1:55" ht="15.75">
      <c r="A90" s="21" t="str">
        <f>IF(Base!B88="","",Base!B88)</f>
        <v>13.897.327-1</v>
      </c>
      <c r="B90" s="21" t="str">
        <f>IF(Base!F88="","",Base!F88)</f>
        <v>DANIEL NEFTALI  ITURRIAGA  ORELLANA</v>
      </c>
      <c r="C90" s="21" t="str">
        <f>IF(Base!I88="","",Base!I88)</f>
        <v>Control y Gestión</v>
      </c>
      <c r="D90" s="22" t="str">
        <f>IF(Base!J88="","",Base!J88)</f>
        <v>Inspector tiempo</v>
      </c>
      <c r="E90" s="21">
        <f>IF(Base!H88="","",Base!H88)</f>
        <v>1050632</v>
      </c>
      <c r="J90" s="28">
        <v>80</v>
      </c>
      <c r="K90" s="5" t="s">
        <v>1377</v>
      </c>
      <c r="L90" s="58" t="str">
        <f t="shared" si="26"/>
        <v>NICOLAS NARVAI ZUBICUETA</v>
      </c>
      <c r="M90" s="58">
        <f t="shared" si="27"/>
        <v>1050633</v>
      </c>
      <c r="N90" s="59" t="str">
        <f t="shared" si="28"/>
        <v>Abastecimiento</v>
      </c>
      <c r="O90" s="59" t="str">
        <f t="shared" si="29"/>
        <v>Operario Almacenamiento</v>
      </c>
      <c r="P90" s="30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32">
        <f t="shared" si="45"/>
        <v>0</v>
      </c>
      <c r="AF90" s="32">
        <f t="shared" si="46"/>
        <v>0</v>
      </c>
      <c r="AG90" s="47"/>
      <c r="AL90" s="21" t="str">
        <f t="shared" si="47"/>
        <v>14.005.685-7</v>
      </c>
      <c r="AM90" s="21">
        <v>81</v>
      </c>
      <c r="AN90" s="21">
        <f t="shared" si="30"/>
        <v>0</v>
      </c>
      <c r="AO90" s="21">
        <f t="shared" si="31"/>
        <v>0</v>
      </c>
      <c r="AP90" s="21">
        <f t="shared" si="32"/>
        <v>0</v>
      </c>
      <c r="AQ90" s="21">
        <f t="shared" si="33"/>
        <v>0</v>
      </c>
      <c r="AR90" s="21">
        <f t="shared" si="34"/>
        <v>0</v>
      </c>
      <c r="AS90" s="21">
        <f t="shared" si="35"/>
        <v>0</v>
      </c>
      <c r="AT90" s="21">
        <f t="shared" si="36"/>
        <v>0</v>
      </c>
      <c r="AU90" s="34">
        <f t="shared" si="37"/>
        <v>0</v>
      </c>
      <c r="AW90" s="21" t="str">
        <f t="shared" si="38"/>
        <v/>
      </c>
      <c r="AX90" s="21" t="str">
        <f t="shared" si="39"/>
        <v/>
      </c>
      <c r="AY90" s="21" t="str">
        <f t="shared" si="40"/>
        <v/>
      </c>
      <c r="AZ90" s="21" t="str">
        <f t="shared" si="41"/>
        <v/>
      </c>
      <c r="BA90" s="21" t="str">
        <f t="shared" si="42"/>
        <v/>
      </c>
      <c r="BB90" s="21" t="str">
        <f t="shared" si="43"/>
        <v/>
      </c>
      <c r="BC90" s="21" t="str">
        <f t="shared" si="44"/>
        <v/>
      </c>
    </row>
    <row r="91" spans="1:55" ht="15.75">
      <c r="A91" s="21" t="str">
        <f>IF(Base!B89="","",Base!B89)</f>
        <v>15.899.732-0</v>
      </c>
      <c r="B91" s="21" t="str">
        <f>IF(Base!F89="","",Base!F89)</f>
        <v>ALEJANDRO ANDRES  JAQUE  VARGAS</v>
      </c>
      <c r="C91" s="21" t="str">
        <f>IF(Base!I89="","",Base!I89)</f>
        <v>Linea 3</v>
      </c>
      <c r="D91" s="22" t="str">
        <f>IF(Base!J89="","",Base!J89)</f>
        <v>Lavador externo</v>
      </c>
      <c r="E91" s="21">
        <f>IF(Base!H89="","",Base!H89)</f>
        <v>1050556</v>
      </c>
      <c r="J91" s="28">
        <v>81</v>
      </c>
      <c r="K91" s="5" t="s">
        <v>841</v>
      </c>
      <c r="L91" s="58" t="str">
        <f t="shared" si="26"/>
        <v>MAURICIO  NOVA  FIGUEROA</v>
      </c>
      <c r="M91" s="58">
        <f t="shared" si="27"/>
        <v>1050161</v>
      </c>
      <c r="N91" s="59" t="str">
        <f t="shared" si="28"/>
        <v>Abastecimiento</v>
      </c>
      <c r="O91" s="59" t="str">
        <f t="shared" si="29"/>
        <v>Analista de Inventario</v>
      </c>
      <c r="P91" s="30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32">
        <f t="shared" si="45"/>
        <v>0</v>
      </c>
      <c r="AF91" s="32">
        <f t="shared" si="46"/>
        <v>0</v>
      </c>
      <c r="AG91" s="47"/>
      <c r="AL91" s="21" t="str">
        <f t="shared" si="47"/>
        <v>12.051.254-4</v>
      </c>
      <c r="AM91" s="21">
        <v>82</v>
      </c>
      <c r="AN91" s="21">
        <f t="shared" si="30"/>
        <v>0</v>
      </c>
      <c r="AO91" s="21">
        <f t="shared" si="31"/>
        <v>0</v>
      </c>
      <c r="AP91" s="21">
        <f t="shared" si="32"/>
        <v>0</v>
      </c>
      <c r="AQ91" s="21">
        <f t="shared" si="33"/>
        <v>0</v>
      </c>
      <c r="AR91" s="21">
        <f t="shared" si="34"/>
        <v>0</v>
      </c>
      <c r="AS91" s="21">
        <f t="shared" si="35"/>
        <v>0</v>
      </c>
      <c r="AT91" s="21">
        <f t="shared" si="36"/>
        <v>0</v>
      </c>
      <c r="AU91" s="34">
        <f t="shared" si="37"/>
        <v>0</v>
      </c>
      <c r="AW91" s="21" t="str">
        <f t="shared" si="38"/>
        <v/>
      </c>
      <c r="AX91" s="21" t="str">
        <f t="shared" si="39"/>
        <v/>
      </c>
      <c r="AY91" s="21" t="str">
        <f t="shared" si="40"/>
        <v/>
      </c>
      <c r="AZ91" s="21" t="str">
        <f t="shared" si="41"/>
        <v/>
      </c>
      <c r="BA91" s="21" t="str">
        <f t="shared" si="42"/>
        <v/>
      </c>
      <c r="BB91" s="21" t="str">
        <f t="shared" si="43"/>
        <v/>
      </c>
      <c r="BC91" s="21" t="str">
        <f t="shared" si="44"/>
        <v/>
      </c>
    </row>
    <row r="92" spans="1:55" ht="15.75">
      <c r="A92" s="21" t="str">
        <f>IF(Base!B90="","",Base!B90)</f>
        <v>08.771.787-9</v>
      </c>
      <c r="B92" s="21" t="str">
        <f>IF(Base!F90="","",Base!F90)</f>
        <v>PABLO FLORENTINO  JIMENEZ  PAINECURA</v>
      </c>
      <c r="C92" s="21" t="str">
        <f>IF(Base!I90="","",Base!I90)</f>
        <v>Linea 3</v>
      </c>
      <c r="D92" s="22" t="str">
        <f>IF(Base!J90="","",Base!J90)</f>
        <v>Despalletizador</v>
      </c>
      <c r="E92" s="21">
        <f>IF(Base!H90="","",Base!H90)</f>
        <v>1050555</v>
      </c>
      <c r="J92" s="28">
        <v>82</v>
      </c>
      <c r="K92" s="5" t="s">
        <v>1394</v>
      </c>
      <c r="L92" s="58" t="str">
        <f t="shared" si="26"/>
        <v>EDUARDO ANDRES ORELLANA VERA</v>
      </c>
      <c r="M92" s="58">
        <f t="shared" si="27"/>
        <v>1050633</v>
      </c>
      <c r="N92" s="59" t="str">
        <f t="shared" si="28"/>
        <v>Operario Almacenamiento</v>
      </c>
      <c r="O92" s="59" t="str">
        <f t="shared" si="29"/>
        <v>Almacen Insumos Pque</v>
      </c>
      <c r="P92" s="30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32">
        <f t="shared" si="45"/>
        <v>0</v>
      </c>
      <c r="AF92" s="32">
        <f t="shared" si="46"/>
        <v>0</v>
      </c>
      <c r="AG92" s="47"/>
      <c r="AL92" s="21" t="str">
        <f t="shared" si="47"/>
        <v>17.849.530-5</v>
      </c>
      <c r="AM92" s="21">
        <v>83</v>
      </c>
      <c r="AN92" s="21">
        <f t="shared" si="30"/>
        <v>0</v>
      </c>
      <c r="AO92" s="21">
        <f t="shared" si="31"/>
        <v>0</v>
      </c>
      <c r="AP92" s="21">
        <f t="shared" si="32"/>
        <v>0</v>
      </c>
      <c r="AQ92" s="21">
        <f t="shared" si="33"/>
        <v>0</v>
      </c>
      <c r="AR92" s="21">
        <f t="shared" si="34"/>
        <v>0</v>
      </c>
      <c r="AS92" s="21">
        <f t="shared" si="35"/>
        <v>0</v>
      </c>
      <c r="AT92" s="21">
        <f t="shared" si="36"/>
        <v>0</v>
      </c>
      <c r="AU92" s="34">
        <f t="shared" si="37"/>
        <v>0</v>
      </c>
      <c r="AW92" s="21" t="str">
        <f t="shared" si="38"/>
        <v/>
      </c>
      <c r="AX92" s="21" t="str">
        <f t="shared" si="39"/>
        <v/>
      </c>
      <c r="AY92" s="21" t="str">
        <f t="shared" si="40"/>
        <v/>
      </c>
      <c r="AZ92" s="21" t="str">
        <f t="shared" si="41"/>
        <v/>
      </c>
      <c r="BA92" s="21" t="str">
        <f t="shared" si="42"/>
        <v/>
      </c>
      <c r="BB92" s="21" t="str">
        <f t="shared" si="43"/>
        <v/>
      </c>
      <c r="BC92" s="21" t="str">
        <f t="shared" si="44"/>
        <v/>
      </c>
    </row>
    <row r="93" spans="1:55" ht="15.75">
      <c r="A93" s="21" t="str">
        <f>IF(Base!B91="","",Base!B91)</f>
        <v>12.504.270-8</v>
      </c>
      <c r="B93" s="21" t="str">
        <f>IF(Base!F91="","",Base!F91)</f>
        <v>ROSEMARY  LAGOS  RUBIO</v>
      </c>
      <c r="C93" s="21" t="str">
        <f>IF(Base!I91="","",Base!I91)</f>
        <v>Linea 2</v>
      </c>
      <c r="D93" s="22" t="str">
        <f>IF(Base!J91="","",Base!J91)</f>
        <v>Inspector etiqueta</v>
      </c>
      <c r="E93" s="21">
        <f>IF(Base!H91="","",Base!H91)</f>
        <v>1050554</v>
      </c>
      <c r="J93" s="28">
        <v>83</v>
      </c>
      <c r="K93" s="5" t="s">
        <v>736</v>
      </c>
      <c r="L93" s="58" t="str">
        <f t="shared" si="26"/>
        <v>JULIO HERNAN  OYANEDEL  COFRE</v>
      </c>
      <c r="M93" s="58">
        <f t="shared" si="27"/>
        <v>1050581</v>
      </c>
      <c r="N93" s="59" t="str">
        <f t="shared" si="28"/>
        <v>Abastecimiento</v>
      </c>
      <c r="O93" s="59" t="str">
        <f t="shared" si="29"/>
        <v>Almacen Insumos Pque</v>
      </c>
      <c r="P93" s="30" t="s">
        <v>1321</v>
      </c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32">
        <f t="shared" si="45"/>
        <v>0</v>
      </c>
      <c r="AF93" s="32">
        <f t="shared" si="46"/>
        <v>0</v>
      </c>
      <c r="AG93" s="47"/>
      <c r="AL93" s="21" t="str">
        <f t="shared" si="47"/>
        <v>13.681.026-K</v>
      </c>
      <c r="AM93" s="21">
        <v>84</v>
      </c>
      <c r="AN93" s="21">
        <f t="shared" si="30"/>
        <v>0</v>
      </c>
      <c r="AO93" s="21">
        <f t="shared" si="31"/>
        <v>0</v>
      </c>
      <c r="AP93" s="21">
        <f t="shared" si="32"/>
        <v>0</v>
      </c>
      <c r="AQ93" s="21">
        <f t="shared" si="33"/>
        <v>0</v>
      </c>
      <c r="AR93" s="21">
        <f t="shared" si="34"/>
        <v>0</v>
      </c>
      <c r="AS93" s="21">
        <f t="shared" si="35"/>
        <v>0</v>
      </c>
      <c r="AT93" s="21">
        <f t="shared" si="36"/>
        <v>0</v>
      </c>
      <c r="AU93" s="34">
        <f t="shared" si="37"/>
        <v>0</v>
      </c>
      <c r="AW93" s="21" t="str">
        <f t="shared" si="38"/>
        <v/>
      </c>
      <c r="AX93" s="21" t="str">
        <f t="shared" si="39"/>
        <v/>
      </c>
      <c r="AY93" s="21" t="str">
        <f t="shared" si="40"/>
        <v/>
      </c>
      <c r="AZ93" s="21" t="str">
        <f t="shared" si="41"/>
        <v/>
      </c>
      <c r="BA93" s="21" t="str">
        <f t="shared" si="42"/>
        <v/>
      </c>
      <c r="BB93" s="21" t="str">
        <f t="shared" si="43"/>
        <v/>
      </c>
      <c r="BC93" s="21" t="str">
        <f t="shared" si="44"/>
        <v/>
      </c>
    </row>
    <row r="94" spans="1:55" ht="15.75">
      <c r="A94" s="21" t="str">
        <f>IF(Base!B92="","",Base!B92)</f>
        <v>13.769.935-4</v>
      </c>
      <c r="B94" s="21" t="str">
        <f>IF(Base!F92="","",Base!F92)</f>
        <v>GONZALO  LEDESMA  ARRIAGADA</v>
      </c>
      <c r="C94" s="21" t="str">
        <f>IF(Base!I92="","",Base!I92)</f>
        <v>Control y Gestión</v>
      </c>
      <c r="D94" s="22" t="str">
        <f>IF(Base!J92="","",Base!J92)</f>
        <v>Analista  control</v>
      </c>
      <c r="E94" s="21">
        <f>IF(Base!H92="","",Base!H92)</f>
        <v>1050632</v>
      </c>
      <c r="J94" s="28">
        <v>84</v>
      </c>
      <c r="K94" s="5" t="s">
        <v>742</v>
      </c>
      <c r="L94" s="58" t="str">
        <f t="shared" si="26"/>
        <v>CARLOS EUGENIO  OYARCE  DIAZ</v>
      </c>
      <c r="M94" s="58">
        <f t="shared" si="27"/>
        <v>1050126</v>
      </c>
      <c r="N94" s="59" t="str">
        <f t="shared" si="28"/>
        <v>Abastecimiento</v>
      </c>
      <c r="O94" s="59" t="str">
        <f t="shared" si="29"/>
        <v>Control Ingresos Cen</v>
      </c>
      <c r="P94" s="30" t="s">
        <v>1321</v>
      </c>
      <c r="Q94" s="96"/>
      <c r="R94" s="96"/>
      <c r="S94" s="96"/>
      <c r="T94" s="96"/>
      <c r="U94" s="96">
        <v>2</v>
      </c>
      <c r="V94" s="96"/>
      <c r="W94" s="96">
        <v>1.5</v>
      </c>
      <c r="X94" s="96"/>
      <c r="Y94" s="96">
        <v>1.5</v>
      </c>
      <c r="Z94" s="96"/>
      <c r="AA94" s="96"/>
      <c r="AB94" s="96"/>
      <c r="AC94" s="96"/>
      <c r="AD94" s="96"/>
      <c r="AE94" s="32">
        <f t="shared" si="45"/>
        <v>5</v>
      </c>
      <c r="AF94" s="32">
        <f t="shared" si="46"/>
        <v>0</v>
      </c>
      <c r="AG94" s="50" t="s">
        <v>1466</v>
      </c>
      <c r="AL94" s="21" t="str">
        <f t="shared" si="47"/>
        <v>14.017.495-5</v>
      </c>
      <c r="AM94" s="21">
        <v>85</v>
      </c>
      <c r="AN94" s="21">
        <f t="shared" si="30"/>
        <v>0</v>
      </c>
      <c r="AO94" s="21">
        <f t="shared" si="31"/>
        <v>0</v>
      </c>
      <c r="AP94" s="21">
        <f t="shared" si="32"/>
        <v>2</v>
      </c>
      <c r="AQ94" s="21">
        <f t="shared" si="33"/>
        <v>1.5</v>
      </c>
      <c r="AR94" s="21">
        <f t="shared" si="34"/>
        <v>1.5</v>
      </c>
      <c r="AS94" s="21">
        <f t="shared" si="35"/>
        <v>0</v>
      </c>
      <c r="AT94" s="21">
        <f t="shared" si="36"/>
        <v>0</v>
      </c>
      <c r="AU94" s="34">
        <f t="shared" si="37"/>
        <v>5</v>
      </c>
      <c r="AW94" s="21" t="str">
        <f t="shared" si="38"/>
        <v/>
      </c>
      <c r="AX94" s="21" t="str">
        <f t="shared" si="39"/>
        <v/>
      </c>
      <c r="AY94" s="21">
        <f t="shared" si="40"/>
        <v>0.5</v>
      </c>
      <c r="AZ94" s="21">
        <f t="shared" si="41"/>
        <v>0.5</v>
      </c>
      <c r="BA94" s="21">
        <f t="shared" si="42"/>
        <v>0.5</v>
      </c>
      <c r="BB94" s="21" t="str">
        <f t="shared" si="43"/>
        <v/>
      </c>
      <c r="BC94" s="21" t="str">
        <f t="shared" si="44"/>
        <v/>
      </c>
    </row>
    <row r="95" spans="1:55" ht="15.75">
      <c r="A95" s="21" t="str">
        <f>IF(Base!B93="","",Base!B93)</f>
        <v>08.025.043-6</v>
      </c>
      <c r="B95" s="21" t="str">
        <f>IF(Base!F93="","",Base!F93)</f>
        <v>RAUL  LEIVA  CASTILLO</v>
      </c>
      <c r="C95" s="21" t="str">
        <f>IF(Base!I93="","",Base!I93)</f>
        <v>Linea 1</v>
      </c>
      <c r="D95" s="22" t="str">
        <f>IF(Base!J93="","",Base!J93)</f>
        <v>Llenador</v>
      </c>
      <c r="E95" s="21">
        <f>IF(Base!H93="","",Base!H93)</f>
        <v>1050551</v>
      </c>
      <c r="J95" s="28">
        <v>85</v>
      </c>
      <c r="K95" s="5" t="s">
        <v>784</v>
      </c>
      <c r="L95" s="58" t="str">
        <f t="shared" si="26"/>
        <v>RODRIGO ALEJANDRO  PEREZ  PADILLA</v>
      </c>
      <c r="M95" s="58">
        <f t="shared" si="27"/>
        <v>1050127</v>
      </c>
      <c r="N95" s="59" t="str">
        <f t="shared" si="28"/>
        <v>Abastecimiento</v>
      </c>
      <c r="O95" s="59" t="str">
        <f t="shared" si="29"/>
        <v>Preparación de Insum</v>
      </c>
      <c r="P95" s="30"/>
      <c r="Q95" s="96"/>
      <c r="R95" s="96"/>
      <c r="S95" s="96">
        <v>2</v>
      </c>
      <c r="T95" s="96"/>
      <c r="U95" s="96"/>
      <c r="V95" s="96"/>
      <c r="W95" s="96">
        <v>2</v>
      </c>
      <c r="X95" s="96"/>
      <c r="Y95" s="96">
        <v>2</v>
      </c>
      <c r="Z95" s="96"/>
      <c r="AA95" s="96"/>
      <c r="AB95" s="96"/>
      <c r="AC95" s="96"/>
      <c r="AD95" s="96"/>
      <c r="AE95" s="32">
        <f t="shared" si="45"/>
        <v>6</v>
      </c>
      <c r="AF95" s="32">
        <f t="shared" si="46"/>
        <v>0</v>
      </c>
      <c r="AG95" s="51" t="s">
        <v>1467</v>
      </c>
      <c r="AL95" s="21" t="str">
        <f t="shared" si="47"/>
        <v>16.266.817-K</v>
      </c>
      <c r="AM95" s="21">
        <v>86</v>
      </c>
      <c r="AN95" s="21">
        <f t="shared" si="30"/>
        <v>0</v>
      </c>
      <c r="AO95" s="21">
        <f t="shared" si="31"/>
        <v>2</v>
      </c>
      <c r="AP95" s="21">
        <f t="shared" si="32"/>
        <v>0</v>
      </c>
      <c r="AQ95" s="21">
        <f t="shared" si="33"/>
        <v>2</v>
      </c>
      <c r="AR95" s="21">
        <f t="shared" si="34"/>
        <v>2</v>
      </c>
      <c r="AS95" s="21">
        <f t="shared" si="35"/>
        <v>0</v>
      </c>
      <c r="AT95" s="21">
        <f t="shared" si="36"/>
        <v>0</v>
      </c>
      <c r="AU95" s="34">
        <f t="shared" si="37"/>
        <v>6</v>
      </c>
      <c r="AW95" s="21" t="str">
        <f t="shared" si="38"/>
        <v/>
      </c>
      <c r="AX95" s="21">
        <f t="shared" si="39"/>
        <v>0.5</v>
      </c>
      <c r="AY95" s="21" t="str">
        <f t="shared" si="40"/>
        <v/>
      </c>
      <c r="AZ95" s="21">
        <f t="shared" si="41"/>
        <v>0.5</v>
      </c>
      <c r="BA95" s="21">
        <f t="shared" si="42"/>
        <v>0.5</v>
      </c>
      <c r="BB95" s="21" t="str">
        <f t="shared" si="43"/>
        <v/>
      </c>
      <c r="BC95" s="21" t="str">
        <f t="shared" si="44"/>
        <v/>
      </c>
    </row>
    <row r="96" spans="1:55" ht="15.75">
      <c r="A96" s="21" t="str">
        <f>IF(Base!B94="","",Base!B94)</f>
        <v>10.970.380-K</v>
      </c>
      <c r="B96" s="21" t="str">
        <f>IF(Base!F94="","",Base!F94)</f>
        <v>JUAN ENRIQUE  LEIVA  MUÑOZ</v>
      </c>
      <c r="C96" s="21" t="str">
        <f>IF(Base!I94="","",Base!I94)</f>
        <v>Abastecimiento</v>
      </c>
      <c r="D96" s="22" t="str">
        <f>IF(Base!J94="","",Base!J94)</f>
        <v>Preparación de Insum</v>
      </c>
      <c r="E96" s="21">
        <f>IF(Base!H94="","",Base!H94)</f>
        <v>1050127</v>
      </c>
      <c r="J96" s="28">
        <v>86</v>
      </c>
      <c r="K96" s="5" t="s">
        <v>1341</v>
      </c>
      <c r="L96" s="58" t="str">
        <f t="shared" si="26"/>
        <v>SEBASTIAN PEREZ</v>
      </c>
      <c r="M96" s="58">
        <f t="shared" si="27"/>
        <v>1050506</v>
      </c>
      <c r="N96" s="59" t="str">
        <f t="shared" si="28"/>
        <v>Abastecimiento</v>
      </c>
      <c r="O96" s="59" t="str">
        <f t="shared" si="29"/>
        <v>Operario Almacenamiento</v>
      </c>
      <c r="P96" s="30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32">
        <f t="shared" si="45"/>
        <v>0</v>
      </c>
      <c r="AF96" s="32">
        <f t="shared" si="46"/>
        <v>0</v>
      </c>
      <c r="AG96" s="47"/>
      <c r="AL96" s="21" t="str">
        <f t="shared" si="47"/>
        <v>23.040.236-1</v>
      </c>
      <c r="AM96" s="21">
        <v>87</v>
      </c>
      <c r="AN96" s="21">
        <f t="shared" si="30"/>
        <v>0</v>
      </c>
      <c r="AO96" s="21">
        <f t="shared" si="31"/>
        <v>0</v>
      </c>
      <c r="AP96" s="21">
        <f t="shared" si="32"/>
        <v>0</v>
      </c>
      <c r="AQ96" s="21">
        <f t="shared" si="33"/>
        <v>0</v>
      </c>
      <c r="AR96" s="21">
        <f t="shared" si="34"/>
        <v>0</v>
      </c>
      <c r="AS96" s="21">
        <f t="shared" si="35"/>
        <v>0</v>
      </c>
      <c r="AT96" s="21">
        <f t="shared" si="36"/>
        <v>0</v>
      </c>
      <c r="AU96" s="34">
        <f t="shared" si="37"/>
        <v>0</v>
      </c>
      <c r="AW96" s="21" t="str">
        <f t="shared" si="38"/>
        <v/>
      </c>
      <c r="AX96" s="21" t="str">
        <f t="shared" si="39"/>
        <v/>
      </c>
      <c r="AY96" s="21" t="str">
        <f t="shared" si="40"/>
        <v/>
      </c>
      <c r="AZ96" s="21" t="str">
        <f t="shared" si="41"/>
        <v/>
      </c>
      <c r="BA96" s="21" t="str">
        <f t="shared" si="42"/>
        <v/>
      </c>
      <c r="BB96" s="21" t="str">
        <f t="shared" si="43"/>
        <v/>
      </c>
      <c r="BC96" s="21" t="str">
        <f t="shared" si="44"/>
        <v/>
      </c>
    </row>
    <row r="97" spans="1:55" ht="15.75">
      <c r="A97" s="21" t="str">
        <f>IF(Base!B95="","",Base!B95)</f>
        <v>11.873.201-4</v>
      </c>
      <c r="B97" s="21" t="str">
        <f>IF(Base!F95="","",Base!F95)</f>
        <v>CARLOS  LEMUS  VELIZ</v>
      </c>
      <c r="C97" s="21" t="str">
        <f>IF(Base!I95="","",Base!I95)</f>
        <v>Abastecimiento</v>
      </c>
      <c r="D97" s="22" t="str">
        <f>IF(Base!J95="","",Base!J95)</f>
        <v>Preparación de Insum</v>
      </c>
      <c r="E97" s="21">
        <f>IF(Base!H95="","",Base!H95)</f>
        <v>1050127</v>
      </c>
      <c r="J97" s="28">
        <v>87</v>
      </c>
      <c r="K97" s="5" t="s">
        <v>800</v>
      </c>
      <c r="L97" s="58" t="str">
        <f t="shared" si="26"/>
        <v>ROBERTO  PINEDA  PEREZ</v>
      </c>
      <c r="M97" s="58">
        <f t="shared" si="27"/>
        <v>1050126</v>
      </c>
      <c r="N97" s="59" t="str">
        <f t="shared" si="28"/>
        <v>Abastecimiento</v>
      </c>
      <c r="O97" s="59" t="str">
        <f t="shared" si="29"/>
        <v>Control Ingresos Cen</v>
      </c>
      <c r="P97" s="30"/>
      <c r="Q97" s="96"/>
      <c r="R97" s="96"/>
      <c r="S97" s="96">
        <v>1</v>
      </c>
      <c r="T97" s="96"/>
      <c r="U97" s="96"/>
      <c r="V97" s="96"/>
      <c r="W97" s="96">
        <v>1</v>
      </c>
      <c r="X97" s="96"/>
      <c r="Y97" s="96">
        <v>5</v>
      </c>
      <c r="Z97" s="96"/>
      <c r="AA97" s="96"/>
      <c r="AB97" s="96"/>
      <c r="AC97" s="96"/>
      <c r="AD97" s="96"/>
      <c r="AE97" s="32">
        <f t="shared" si="45"/>
        <v>7</v>
      </c>
      <c r="AF97" s="32">
        <f t="shared" si="46"/>
        <v>0</v>
      </c>
      <c r="AG97" s="49" t="s">
        <v>1468</v>
      </c>
      <c r="AL97" s="21" t="str">
        <f t="shared" si="47"/>
        <v>12.020.450-5</v>
      </c>
      <c r="AM97" s="21">
        <v>88</v>
      </c>
      <c r="AN97" s="21">
        <f t="shared" si="30"/>
        <v>0</v>
      </c>
      <c r="AO97" s="21">
        <f t="shared" si="31"/>
        <v>1</v>
      </c>
      <c r="AP97" s="21">
        <f t="shared" si="32"/>
        <v>0</v>
      </c>
      <c r="AQ97" s="21">
        <f t="shared" si="33"/>
        <v>1</v>
      </c>
      <c r="AR97" s="21">
        <f t="shared" si="34"/>
        <v>5</v>
      </c>
      <c r="AS97" s="21">
        <f t="shared" si="35"/>
        <v>0</v>
      </c>
      <c r="AT97" s="21">
        <f t="shared" si="36"/>
        <v>0</v>
      </c>
      <c r="AU97" s="34">
        <f t="shared" si="37"/>
        <v>7</v>
      </c>
      <c r="AW97" s="21" t="str">
        <f t="shared" si="38"/>
        <v/>
      </c>
      <c r="AX97" s="21">
        <f t="shared" si="39"/>
        <v>0.5</v>
      </c>
      <c r="AY97" s="21" t="str">
        <f t="shared" si="40"/>
        <v/>
      </c>
      <c r="AZ97" s="21">
        <f t="shared" si="41"/>
        <v>0.5</v>
      </c>
      <c r="BA97" s="21">
        <f t="shared" si="42"/>
        <v>0.5</v>
      </c>
      <c r="BB97" s="21" t="str">
        <f t="shared" si="43"/>
        <v/>
      </c>
      <c r="BC97" s="21" t="str">
        <f t="shared" si="44"/>
        <v/>
      </c>
    </row>
    <row r="98" spans="1:55" ht="15.75">
      <c r="A98" s="21" t="str">
        <f>IF(Base!B96="","",Base!B96)</f>
        <v>09.878.189-7</v>
      </c>
      <c r="B98" s="21" t="str">
        <f>IF(Base!F96="","",Base!F96)</f>
        <v>GUILLERMO  LEON  GALVEZ</v>
      </c>
      <c r="C98" s="21" t="str">
        <f>IF(Base!I96="","",Base!I96)</f>
        <v>Linea 3</v>
      </c>
      <c r="D98" s="22" t="str">
        <f>IF(Base!J96="","",Base!J96)</f>
        <v>Lavador externo</v>
      </c>
      <c r="E98" s="21">
        <f>IF(Base!H96="","",Base!H96)</f>
        <v>1050556</v>
      </c>
      <c r="J98" s="28">
        <v>88</v>
      </c>
      <c r="K98" s="5" t="s">
        <v>819</v>
      </c>
      <c r="L98" s="58" t="str">
        <f t="shared" si="26"/>
        <v>MIGUEL ANTONIO  PLAZA  ARAYA</v>
      </c>
      <c r="M98" s="58">
        <f t="shared" si="27"/>
        <v>1050633</v>
      </c>
      <c r="N98" s="59" t="str">
        <f t="shared" si="28"/>
        <v>Abastecimiento</v>
      </c>
      <c r="O98" s="59" t="str">
        <f t="shared" si="29"/>
        <v>Suministro de Líneas</v>
      </c>
      <c r="P98" s="30" t="s">
        <v>1323</v>
      </c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32">
        <f t="shared" si="45"/>
        <v>0</v>
      </c>
      <c r="AF98" s="32">
        <f t="shared" si="46"/>
        <v>0</v>
      </c>
      <c r="AG98" s="47"/>
      <c r="AL98" s="21" t="str">
        <f t="shared" si="47"/>
        <v>15.444.951-5</v>
      </c>
      <c r="AM98" s="21">
        <v>89</v>
      </c>
      <c r="AN98" s="21">
        <f t="shared" si="30"/>
        <v>0</v>
      </c>
      <c r="AO98" s="21">
        <f t="shared" si="31"/>
        <v>0</v>
      </c>
      <c r="AP98" s="21">
        <f t="shared" si="32"/>
        <v>0</v>
      </c>
      <c r="AQ98" s="21">
        <f t="shared" si="33"/>
        <v>0</v>
      </c>
      <c r="AR98" s="21">
        <f t="shared" si="34"/>
        <v>0</v>
      </c>
      <c r="AS98" s="21">
        <f t="shared" si="35"/>
        <v>0</v>
      </c>
      <c r="AT98" s="21">
        <f t="shared" si="36"/>
        <v>0</v>
      </c>
      <c r="AU98" s="34">
        <f t="shared" si="37"/>
        <v>0</v>
      </c>
      <c r="AW98" s="21" t="str">
        <f t="shared" si="38"/>
        <v/>
      </c>
      <c r="AX98" s="21" t="str">
        <f t="shared" si="39"/>
        <v/>
      </c>
      <c r="AY98" s="21" t="str">
        <f t="shared" si="40"/>
        <v/>
      </c>
      <c r="AZ98" s="21" t="str">
        <f t="shared" si="41"/>
        <v/>
      </c>
      <c r="BA98" s="21" t="str">
        <f t="shared" si="42"/>
        <v/>
      </c>
      <c r="BB98" s="21" t="str">
        <f t="shared" si="43"/>
        <v/>
      </c>
      <c r="BC98" s="21" t="str">
        <f t="shared" si="44"/>
        <v/>
      </c>
    </row>
    <row r="99" spans="1:55" ht="15.75">
      <c r="A99" s="21" t="str">
        <f>IF(Base!B97="","",Base!B97)</f>
        <v>09.253.701-3</v>
      </c>
      <c r="B99" s="21" t="str">
        <f>IF(Base!F97="","",Base!F97)</f>
        <v>JOSE FRANCISCO  LEON  NUÑEZ</v>
      </c>
      <c r="C99" s="21" t="str">
        <f>IF(Base!I97="","",Base!I97)</f>
        <v>Linea 7</v>
      </c>
      <c r="D99" s="22" t="str">
        <f>IF(Base!J97="","",Base!J97)</f>
        <v>Llenador</v>
      </c>
      <c r="E99" s="21">
        <f>IF(Base!H97="","",Base!H97)</f>
        <v>1050615</v>
      </c>
      <c r="J99" s="28">
        <v>89</v>
      </c>
      <c r="K99" s="5" t="s">
        <v>836</v>
      </c>
      <c r="L99" s="58" t="str">
        <f t="shared" si="26"/>
        <v>JOSE MANUEL  QUIROZ  VENEGAS</v>
      </c>
      <c r="M99" s="58">
        <f t="shared" si="27"/>
        <v>1050633</v>
      </c>
      <c r="N99" s="59" t="str">
        <f t="shared" si="28"/>
        <v>Abastecimiento</v>
      </c>
      <c r="O99" s="59" t="str">
        <f t="shared" si="29"/>
        <v>Suministro de Líneas</v>
      </c>
      <c r="P99" s="30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32">
        <f t="shared" si="45"/>
        <v>0</v>
      </c>
      <c r="AF99" s="32">
        <f t="shared" si="46"/>
        <v>0</v>
      </c>
      <c r="AG99" s="47"/>
      <c r="AL99" s="21" t="str">
        <f t="shared" si="47"/>
        <v>07.721.223-K</v>
      </c>
      <c r="AM99" s="21">
        <v>90</v>
      </c>
      <c r="AN99" s="21">
        <f t="shared" si="30"/>
        <v>0</v>
      </c>
      <c r="AO99" s="21">
        <f t="shared" si="31"/>
        <v>0</v>
      </c>
      <c r="AP99" s="21">
        <f t="shared" si="32"/>
        <v>0</v>
      </c>
      <c r="AQ99" s="21">
        <f t="shared" si="33"/>
        <v>0</v>
      </c>
      <c r="AR99" s="21">
        <f t="shared" si="34"/>
        <v>0</v>
      </c>
      <c r="AS99" s="21">
        <f t="shared" si="35"/>
        <v>0</v>
      </c>
      <c r="AT99" s="21">
        <f t="shared" si="36"/>
        <v>0</v>
      </c>
      <c r="AU99" s="34">
        <f t="shared" si="37"/>
        <v>0</v>
      </c>
      <c r="AW99" s="21" t="str">
        <f t="shared" si="38"/>
        <v/>
      </c>
      <c r="AX99" s="21" t="str">
        <f t="shared" si="39"/>
        <v/>
      </c>
      <c r="AY99" s="21" t="str">
        <f t="shared" si="40"/>
        <v/>
      </c>
      <c r="AZ99" s="21" t="str">
        <f t="shared" si="41"/>
        <v/>
      </c>
      <c r="BA99" s="21" t="str">
        <f t="shared" si="42"/>
        <v/>
      </c>
      <c r="BB99" s="21" t="str">
        <f t="shared" si="43"/>
        <v/>
      </c>
      <c r="BC99" s="21" t="str">
        <f t="shared" si="44"/>
        <v/>
      </c>
    </row>
    <row r="100" spans="1:55" ht="15.75">
      <c r="A100" s="21" t="str">
        <f>IF(Base!B98="","",Base!B98)</f>
        <v>14.151.454-7</v>
      </c>
      <c r="B100" s="21" t="str">
        <f>IF(Base!F98="","",Base!F98)</f>
        <v>RODRIGO ESTEBAN  LOPEZ  CERVERA</v>
      </c>
      <c r="C100" s="21" t="str">
        <f>IF(Base!I98="","",Base!I98)</f>
        <v>Supervisor</v>
      </c>
      <c r="D100" s="22" t="str">
        <f>IF(Base!J98="","",Base!J98)</f>
        <v>Supervisor</v>
      </c>
      <c r="E100" s="21">
        <f>IF(Base!H98="","",Base!H98)</f>
        <v>1050603</v>
      </c>
      <c r="J100" s="28">
        <v>90</v>
      </c>
      <c r="K100" s="5" t="s">
        <v>846</v>
      </c>
      <c r="L100" s="58" t="str">
        <f t="shared" si="26"/>
        <v>JOSE  RAMIREZ  ROJAS</v>
      </c>
      <c r="M100" s="58">
        <f t="shared" si="27"/>
        <v>1050127</v>
      </c>
      <c r="N100" s="59" t="str">
        <f t="shared" si="28"/>
        <v>Abastecimiento</v>
      </c>
      <c r="O100" s="59" t="str">
        <f t="shared" si="29"/>
        <v>Preparación de Insum</v>
      </c>
      <c r="P100" s="30" t="s">
        <v>1321</v>
      </c>
      <c r="Q100" s="96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32">
        <f t="shared" si="45"/>
        <v>0</v>
      </c>
      <c r="AF100" s="32">
        <f t="shared" si="46"/>
        <v>0</v>
      </c>
      <c r="AG100" s="50"/>
      <c r="AL100" s="21" t="str">
        <f t="shared" si="47"/>
        <v>07.913.597-6</v>
      </c>
      <c r="AM100" s="21">
        <v>91</v>
      </c>
      <c r="AN100" s="21">
        <f t="shared" si="30"/>
        <v>0</v>
      </c>
      <c r="AO100" s="21">
        <f t="shared" si="31"/>
        <v>0</v>
      </c>
      <c r="AP100" s="21">
        <f t="shared" si="32"/>
        <v>0</v>
      </c>
      <c r="AQ100" s="21">
        <f t="shared" si="33"/>
        <v>0</v>
      </c>
      <c r="AR100" s="21">
        <f t="shared" si="34"/>
        <v>0</v>
      </c>
      <c r="AS100" s="21">
        <f t="shared" si="35"/>
        <v>0</v>
      </c>
      <c r="AT100" s="21">
        <f t="shared" si="36"/>
        <v>0</v>
      </c>
      <c r="AU100" s="34">
        <f t="shared" si="37"/>
        <v>0</v>
      </c>
      <c r="AW100" s="21" t="str">
        <f t="shared" si="38"/>
        <v/>
      </c>
      <c r="AX100" s="21" t="str">
        <f t="shared" si="39"/>
        <v/>
      </c>
      <c r="AY100" s="21" t="str">
        <f t="shared" si="40"/>
        <v/>
      </c>
      <c r="AZ100" s="21" t="str">
        <f t="shared" si="41"/>
        <v/>
      </c>
      <c r="BA100" s="21" t="str">
        <f t="shared" si="42"/>
        <v/>
      </c>
      <c r="BB100" s="21" t="str">
        <f t="shared" si="43"/>
        <v/>
      </c>
      <c r="BC100" s="21" t="str">
        <f t="shared" si="44"/>
        <v/>
      </c>
    </row>
    <row r="101" spans="1:55" ht="15.75">
      <c r="A101" s="21" t="str">
        <f>IF(Base!B99="","",Base!B99)</f>
        <v>10.869.222-7</v>
      </c>
      <c r="B101" s="21" t="str">
        <f>IF(Base!F99="","",Base!F99)</f>
        <v>MARCO ANTONIO  MADRID  PINTO</v>
      </c>
      <c r="C101" s="21" t="str">
        <f>IF(Base!I99="","",Base!I99)</f>
        <v>Abastecimiento</v>
      </c>
      <c r="D101" s="22" t="str">
        <f>IF(Base!J99="","",Base!J99)</f>
        <v>Preparación de Insum</v>
      </c>
      <c r="E101" s="21">
        <f>IF(Base!H99="","",Base!H99)</f>
        <v>1050127</v>
      </c>
      <c r="J101" s="28">
        <v>91</v>
      </c>
      <c r="K101" s="5" t="s">
        <v>851</v>
      </c>
      <c r="L101" s="58" t="str">
        <f t="shared" si="26"/>
        <v>RAUL  RAMIREZ  VASQUEZ</v>
      </c>
      <c r="M101" s="58">
        <f t="shared" si="27"/>
        <v>1050633</v>
      </c>
      <c r="N101" s="59" t="str">
        <f t="shared" si="28"/>
        <v>Abastecimiento</v>
      </c>
      <c r="O101" s="59" t="str">
        <f t="shared" si="29"/>
        <v>Suministro de Líneas</v>
      </c>
      <c r="P101" s="30" t="s">
        <v>1323</v>
      </c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32">
        <f t="shared" si="45"/>
        <v>0</v>
      </c>
      <c r="AF101" s="32">
        <f t="shared" si="46"/>
        <v>0</v>
      </c>
      <c r="AG101" s="47"/>
      <c r="AL101" s="21" t="str">
        <f t="shared" si="47"/>
        <v>10.168.958-1</v>
      </c>
      <c r="AM101" s="21">
        <v>92</v>
      </c>
      <c r="AN101" s="21">
        <f t="shared" si="30"/>
        <v>0</v>
      </c>
      <c r="AO101" s="21">
        <f t="shared" si="31"/>
        <v>0</v>
      </c>
      <c r="AP101" s="21">
        <f t="shared" si="32"/>
        <v>0</v>
      </c>
      <c r="AQ101" s="21">
        <f t="shared" si="33"/>
        <v>0</v>
      </c>
      <c r="AR101" s="21">
        <f t="shared" si="34"/>
        <v>0</v>
      </c>
      <c r="AS101" s="21">
        <f t="shared" si="35"/>
        <v>0</v>
      </c>
      <c r="AT101" s="21">
        <f t="shared" si="36"/>
        <v>0</v>
      </c>
      <c r="AU101" s="34">
        <f t="shared" si="37"/>
        <v>0</v>
      </c>
      <c r="AW101" s="21" t="str">
        <f t="shared" si="38"/>
        <v/>
      </c>
      <c r="AX101" s="21" t="str">
        <f t="shared" si="39"/>
        <v/>
      </c>
      <c r="AY101" s="21" t="str">
        <f t="shared" si="40"/>
        <v/>
      </c>
      <c r="AZ101" s="21" t="str">
        <f t="shared" si="41"/>
        <v/>
      </c>
      <c r="BA101" s="21" t="str">
        <f t="shared" si="42"/>
        <v/>
      </c>
      <c r="BB101" s="21" t="str">
        <f t="shared" si="43"/>
        <v/>
      </c>
      <c r="BC101" s="21" t="str">
        <f t="shared" si="44"/>
        <v/>
      </c>
    </row>
    <row r="102" spans="1:55" ht="15.75">
      <c r="A102" s="21" t="str">
        <f>IF(Base!B100="","",Base!B100)</f>
        <v>11.306.351-3</v>
      </c>
      <c r="B102" s="21" t="str">
        <f>IF(Base!F100="","",Base!F100)</f>
        <v>RUBEN MARCO  MANQUIAN  NORIEGA</v>
      </c>
      <c r="C102" s="21" t="str">
        <f>IF(Base!I100="","",Base!I100)</f>
        <v>Abastecimiento</v>
      </c>
      <c r="D102" s="22" t="str">
        <f>IF(Base!J100="","",Base!J100)</f>
        <v>Control Ingresos Cen</v>
      </c>
      <c r="E102" s="21">
        <f>IF(Base!H100="","",Base!H100)</f>
        <v>1050126</v>
      </c>
      <c r="J102" s="28">
        <v>92</v>
      </c>
      <c r="K102" s="5" t="s">
        <v>855</v>
      </c>
      <c r="L102" s="58" t="str">
        <f t="shared" si="26"/>
        <v>LAURA CECILIA  REINOSO  SALAS</v>
      </c>
      <c r="M102" s="58">
        <f t="shared" si="27"/>
        <v>1050126</v>
      </c>
      <c r="N102" s="59" t="str">
        <f t="shared" si="28"/>
        <v>Abastecimiento</v>
      </c>
      <c r="O102" s="59" t="str">
        <f t="shared" si="29"/>
        <v>Control Ingresos Cen</v>
      </c>
      <c r="P102" s="30" t="s">
        <v>1321</v>
      </c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/>
      <c r="AD102" s="96"/>
      <c r="AE102" s="32">
        <f t="shared" si="45"/>
        <v>0</v>
      </c>
      <c r="AF102" s="32">
        <f t="shared" si="46"/>
        <v>0</v>
      </c>
      <c r="AG102" s="50"/>
      <c r="AL102" s="21" t="str">
        <f t="shared" si="47"/>
        <v>09.741.880-2</v>
      </c>
      <c r="AM102" s="21">
        <v>93</v>
      </c>
      <c r="AN102" s="21">
        <f t="shared" si="30"/>
        <v>0</v>
      </c>
      <c r="AO102" s="21">
        <f t="shared" si="31"/>
        <v>0</v>
      </c>
      <c r="AP102" s="21">
        <f t="shared" si="32"/>
        <v>0</v>
      </c>
      <c r="AQ102" s="21">
        <f t="shared" si="33"/>
        <v>0</v>
      </c>
      <c r="AR102" s="21">
        <f t="shared" si="34"/>
        <v>0</v>
      </c>
      <c r="AS102" s="21">
        <f t="shared" si="35"/>
        <v>0</v>
      </c>
      <c r="AT102" s="21">
        <f t="shared" si="36"/>
        <v>0</v>
      </c>
      <c r="AU102" s="34">
        <f t="shared" si="37"/>
        <v>0</v>
      </c>
      <c r="AW102" s="21" t="str">
        <f t="shared" si="38"/>
        <v/>
      </c>
      <c r="AX102" s="21" t="str">
        <f t="shared" si="39"/>
        <v/>
      </c>
      <c r="AY102" s="21" t="str">
        <f t="shared" si="40"/>
        <v/>
      </c>
      <c r="AZ102" s="21" t="str">
        <f t="shared" si="41"/>
        <v/>
      </c>
      <c r="BA102" s="21" t="str">
        <f t="shared" si="42"/>
        <v/>
      </c>
      <c r="BB102" s="21" t="str">
        <f t="shared" si="43"/>
        <v/>
      </c>
      <c r="BC102" s="21" t="str">
        <f t="shared" si="44"/>
        <v/>
      </c>
    </row>
    <row r="103" spans="1:55" ht="15.75">
      <c r="A103" s="21" t="str">
        <f>IF(Base!B101="","",Base!B101)</f>
        <v>12.740.284-1</v>
      </c>
      <c r="B103" s="21" t="str">
        <f>IF(Base!F101="","",Base!F101)</f>
        <v>JUAN CARLOS  MARCHANT  RAMIREZ</v>
      </c>
      <c r="C103" s="21" t="str">
        <f>IF(Base!I101="","",Base!I101)</f>
        <v>Linea 3</v>
      </c>
      <c r="D103" s="22" t="str">
        <f>IF(Base!J101="","",Base!J101)</f>
        <v>Embalador</v>
      </c>
      <c r="E103" s="21">
        <f>IF(Base!H101="","",Base!H101)</f>
        <v>1050556</v>
      </c>
      <c r="J103" s="28">
        <v>93</v>
      </c>
      <c r="K103" s="5" t="s">
        <v>871</v>
      </c>
      <c r="L103" s="58" t="str">
        <f t="shared" si="26"/>
        <v>NATALIA BELEN  REYES  ESPINOZA</v>
      </c>
      <c r="M103" s="58">
        <f t="shared" si="27"/>
        <v>1050127</v>
      </c>
      <c r="N103" s="59" t="str">
        <f t="shared" si="28"/>
        <v>Abastecimiento</v>
      </c>
      <c r="O103" s="59" t="str">
        <f t="shared" si="29"/>
        <v>Preparación de Insum</v>
      </c>
      <c r="P103" s="30"/>
      <c r="Q103" s="96"/>
      <c r="R103" s="96"/>
      <c r="S103" s="96">
        <v>2</v>
      </c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32">
        <f t="shared" si="45"/>
        <v>2</v>
      </c>
      <c r="AF103" s="32">
        <f t="shared" si="46"/>
        <v>0</v>
      </c>
      <c r="AG103" s="47" t="s">
        <v>1469</v>
      </c>
      <c r="AL103" s="21" t="str">
        <f t="shared" si="47"/>
        <v>16.697.450-K</v>
      </c>
      <c r="AM103" s="21">
        <v>94</v>
      </c>
      <c r="AN103" s="21">
        <f t="shared" si="30"/>
        <v>0</v>
      </c>
      <c r="AO103" s="21">
        <f t="shared" si="31"/>
        <v>2</v>
      </c>
      <c r="AP103" s="21">
        <f t="shared" si="32"/>
        <v>0</v>
      </c>
      <c r="AQ103" s="21">
        <f t="shared" si="33"/>
        <v>0</v>
      </c>
      <c r="AR103" s="21">
        <f t="shared" si="34"/>
        <v>0</v>
      </c>
      <c r="AS103" s="21">
        <f t="shared" si="35"/>
        <v>0</v>
      </c>
      <c r="AT103" s="21">
        <f t="shared" si="36"/>
        <v>0</v>
      </c>
      <c r="AU103" s="34">
        <f t="shared" si="37"/>
        <v>2</v>
      </c>
      <c r="AW103" s="21" t="str">
        <f t="shared" si="38"/>
        <v/>
      </c>
      <c r="AX103" s="21">
        <f t="shared" si="39"/>
        <v>0.5</v>
      </c>
      <c r="AY103" s="21" t="str">
        <f t="shared" si="40"/>
        <v/>
      </c>
      <c r="AZ103" s="21" t="str">
        <f t="shared" si="41"/>
        <v/>
      </c>
      <c r="BA103" s="21" t="str">
        <f t="shared" si="42"/>
        <v/>
      </c>
      <c r="BB103" s="21" t="str">
        <f t="shared" si="43"/>
        <v/>
      </c>
      <c r="BC103" s="21" t="str">
        <f t="shared" si="44"/>
        <v/>
      </c>
    </row>
    <row r="104" spans="1:55" ht="15.75">
      <c r="A104" s="21" t="str">
        <f>IF(Base!B102="","",Base!B102)</f>
        <v>11.370.436-5</v>
      </c>
      <c r="B104" s="21" t="str">
        <f>IF(Base!F102="","",Base!F102)</f>
        <v>LUIS HUMBERTO  MARDONES  ALVARADO</v>
      </c>
      <c r="C104" s="21" t="str">
        <f>IF(Base!I102="","",Base!I102)</f>
        <v>Abastecimiento</v>
      </c>
      <c r="D104" s="22" t="str">
        <f>IF(Base!J102="","",Base!J102)</f>
        <v>Suministro de Líneas</v>
      </c>
      <c r="E104" s="21">
        <f>IF(Base!H102="","",Base!H102)</f>
        <v>1050633</v>
      </c>
      <c r="J104" s="28">
        <v>94</v>
      </c>
      <c r="K104" s="5" t="s">
        <v>875</v>
      </c>
      <c r="L104" s="58" t="str">
        <f t="shared" si="26"/>
        <v>GUILLERMO ANTONIO  REYES  FUENZALIDA</v>
      </c>
      <c r="M104" s="58">
        <f t="shared" si="27"/>
        <v>1050162</v>
      </c>
      <c r="N104" s="59" t="str">
        <f t="shared" si="28"/>
        <v>Abastecimiento</v>
      </c>
      <c r="O104" s="59" t="str">
        <f t="shared" si="29"/>
        <v>Almacen Envases Pirq</v>
      </c>
      <c r="P104" s="30" t="s">
        <v>1323</v>
      </c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32">
        <f t="shared" si="45"/>
        <v>0</v>
      </c>
      <c r="AF104" s="32">
        <f t="shared" si="46"/>
        <v>0</v>
      </c>
      <c r="AG104" s="47"/>
      <c r="AL104" s="21" t="str">
        <f t="shared" si="47"/>
        <v>14.185.109-8</v>
      </c>
      <c r="AM104" s="21">
        <v>95</v>
      </c>
      <c r="AN104" s="21">
        <f t="shared" si="30"/>
        <v>0</v>
      </c>
      <c r="AO104" s="21">
        <f t="shared" si="31"/>
        <v>0</v>
      </c>
      <c r="AP104" s="21">
        <f t="shared" si="32"/>
        <v>0</v>
      </c>
      <c r="AQ104" s="21">
        <f t="shared" si="33"/>
        <v>0</v>
      </c>
      <c r="AR104" s="21">
        <f t="shared" si="34"/>
        <v>0</v>
      </c>
      <c r="AS104" s="21">
        <f t="shared" si="35"/>
        <v>0</v>
      </c>
      <c r="AT104" s="21">
        <f t="shared" si="36"/>
        <v>0</v>
      </c>
      <c r="AU104" s="34">
        <f t="shared" si="37"/>
        <v>0</v>
      </c>
      <c r="AW104" s="21" t="str">
        <f t="shared" si="38"/>
        <v/>
      </c>
      <c r="AX104" s="21" t="str">
        <f t="shared" si="39"/>
        <v/>
      </c>
      <c r="AY104" s="21" t="str">
        <f t="shared" si="40"/>
        <v/>
      </c>
      <c r="AZ104" s="21" t="str">
        <f t="shared" si="41"/>
        <v/>
      </c>
      <c r="BA104" s="21" t="str">
        <f t="shared" si="42"/>
        <v/>
      </c>
      <c r="BB104" s="21" t="str">
        <f t="shared" si="43"/>
        <v/>
      </c>
      <c r="BC104" s="21" t="str">
        <f t="shared" si="44"/>
        <v/>
      </c>
    </row>
    <row r="105" spans="1:55" ht="15.75">
      <c r="A105" s="21" t="str">
        <f>IF(Base!B103="","",Base!B103)</f>
        <v>09.081.025-1</v>
      </c>
      <c r="B105" s="21" t="str">
        <f>IF(Base!F103="","",Base!F103)</f>
        <v>SERGIO SEGUNDO  MARDONES  ALVARADO</v>
      </c>
      <c r="C105" s="21" t="str">
        <f>IF(Base!I103="","",Base!I103)</f>
        <v>Abastecimiento</v>
      </c>
      <c r="D105" s="22" t="str">
        <f>IF(Base!J103="","",Base!J103)</f>
        <v>Suministro de Líneas</v>
      </c>
      <c r="E105" s="21">
        <f>IF(Base!H103="","",Base!H103)</f>
        <v>1050633</v>
      </c>
      <c r="J105" s="28">
        <v>95</v>
      </c>
      <c r="K105" s="5" t="s">
        <v>883</v>
      </c>
      <c r="L105" s="58" t="str">
        <f t="shared" si="26"/>
        <v>ANGELA ADELA  REYES  LARA</v>
      </c>
      <c r="M105" s="58">
        <f t="shared" si="27"/>
        <v>1050633</v>
      </c>
      <c r="N105" s="59" t="str">
        <f t="shared" si="28"/>
        <v>Abastecimiento</v>
      </c>
      <c r="O105" s="59" t="str">
        <f t="shared" si="29"/>
        <v>Suministro de Líneas</v>
      </c>
      <c r="P105" s="30"/>
      <c r="Q105" s="96"/>
      <c r="R105" s="96"/>
      <c r="S105" s="96"/>
      <c r="T105" s="96"/>
      <c r="U105" s="96"/>
      <c r="V105" s="96"/>
      <c r="W105" s="96"/>
      <c r="X105" s="96"/>
      <c r="Y105" s="96"/>
      <c r="Z105" s="96"/>
      <c r="AA105" s="96">
        <v>7.5</v>
      </c>
      <c r="AB105" s="96"/>
      <c r="AC105" s="96"/>
      <c r="AD105" s="96"/>
      <c r="AE105" s="32">
        <f t="shared" si="45"/>
        <v>7.5</v>
      </c>
      <c r="AF105" s="32">
        <f t="shared" si="46"/>
        <v>0</v>
      </c>
      <c r="AG105" s="51" t="s">
        <v>1470</v>
      </c>
      <c r="AL105" s="21" t="str">
        <f t="shared" si="47"/>
        <v>10.309.203-5</v>
      </c>
      <c r="AM105" s="21">
        <v>96</v>
      </c>
      <c r="AN105" s="21">
        <f t="shared" si="30"/>
        <v>0</v>
      </c>
      <c r="AO105" s="21">
        <f t="shared" si="31"/>
        <v>0</v>
      </c>
      <c r="AP105" s="21">
        <f t="shared" si="32"/>
        <v>0</v>
      </c>
      <c r="AQ105" s="21">
        <f t="shared" si="33"/>
        <v>0</v>
      </c>
      <c r="AR105" s="21">
        <f t="shared" si="34"/>
        <v>0</v>
      </c>
      <c r="AS105" s="21">
        <f t="shared" si="35"/>
        <v>7.5</v>
      </c>
      <c r="AT105" s="21">
        <f t="shared" si="36"/>
        <v>0</v>
      </c>
      <c r="AU105" s="34">
        <f t="shared" si="37"/>
        <v>7.5</v>
      </c>
      <c r="AW105" s="21" t="str">
        <f t="shared" si="38"/>
        <v/>
      </c>
      <c r="AX105" s="21" t="str">
        <f t="shared" si="39"/>
        <v/>
      </c>
      <c r="AY105" s="21" t="str">
        <f t="shared" si="40"/>
        <v/>
      </c>
      <c r="AZ105" s="21" t="str">
        <f t="shared" si="41"/>
        <v/>
      </c>
      <c r="BA105" s="21" t="str">
        <f t="shared" si="42"/>
        <v/>
      </c>
      <c r="BB105" s="21">
        <f t="shared" si="43"/>
        <v>0.5</v>
      </c>
      <c r="BC105" s="21" t="str">
        <f t="shared" si="44"/>
        <v/>
      </c>
    </row>
    <row r="106" spans="1:55" ht="15.75">
      <c r="A106" s="21" t="str">
        <f>IF(Base!B104="","",Base!B104)</f>
        <v>13.835.848-8</v>
      </c>
      <c r="B106" s="21" t="str">
        <f>IF(Base!F104="","",Base!F104)</f>
        <v>MARION RAQUEL  MARIN  MOSCOSO</v>
      </c>
      <c r="C106" s="21" t="str">
        <f>IF(Base!I104="","",Base!I104)</f>
        <v>Abastecimiento</v>
      </c>
      <c r="D106" s="22" t="str">
        <f>IF(Base!J104="","",Base!J104)</f>
        <v>Almacen Insumos Pque</v>
      </c>
      <c r="E106" s="21">
        <f>IF(Base!H104="","",Base!H104)</f>
        <v>1050581</v>
      </c>
      <c r="J106" s="28">
        <v>96</v>
      </c>
      <c r="K106" s="5" t="s">
        <v>861</v>
      </c>
      <c r="L106" s="58" t="str">
        <f t="shared" si="26"/>
        <v>MAURICIO ALEJANDRO  RETAMAL  ACUÑA</v>
      </c>
      <c r="M106" s="58">
        <f t="shared" si="27"/>
        <v>1050127</v>
      </c>
      <c r="N106" s="59" t="str">
        <f t="shared" si="28"/>
        <v>Abastecimiento</v>
      </c>
      <c r="O106" s="59" t="str">
        <f t="shared" si="29"/>
        <v>Preparación de Insum</v>
      </c>
      <c r="P106" s="30" t="s">
        <v>1323</v>
      </c>
      <c r="Q106" s="96"/>
      <c r="R106" s="96"/>
      <c r="S106" s="96"/>
      <c r="T106" s="97">
        <v>7.5</v>
      </c>
      <c r="U106" s="96"/>
      <c r="V106" s="96"/>
      <c r="W106" s="96"/>
      <c r="X106" s="96"/>
      <c r="Y106" s="96"/>
      <c r="Z106" s="96"/>
      <c r="AA106" s="96"/>
      <c r="AB106" s="96"/>
      <c r="AC106" s="96"/>
      <c r="AD106" s="96"/>
      <c r="AE106" s="32">
        <f t="shared" si="45"/>
        <v>0</v>
      </c>
      <c r="AF106" s="32">
        <f t="shared" si="46"/>
        <v>7.5</v>
      </c>
      <c r="AG106" s="47" t="s">
        <v>1461</v>
      </c>
      <c r="AL106" s="21" t="str">
        <f t="shared" si="47"/>
        <v>15.444.698-2</v>
      </c>
      <c r="AM106" s="21">
        <v>97</v>
      </c>
      <c r="AN106" s="21">
        <f t="shared" si="30"/>
        <v>0</v>
      </c>
      <c r="AO106" s="21">
        <f t="shared" si="31"/>
        <v>7.5</v>
      </c>
      <c r="AP106" s="21">
        <f t="shared" si="32"/>
        <v>0</v>
      </c>
      <c r="AQ106" s="21">
        <f t="shared" si="33"/>
        <v>0</v>
      </c>
      <c r="AR106" s="21">
        <f t="shared" si="34"/>
        <v>0</v>
      </c>
      <c r="AS106" s="21">
        <f t="shared" si="35"/>
        <v>0</v>
      </c>
      <c r="AT106" s="21">
        <f t="shared" si="36"/>
        <v>0</v>
      </c>
      <c r="AU106" s="34">
        <f t="shared" si="37"/>
        <v>7.5</v>
      </c>
      <c r="AW106" s="21" t="str">
        <f t="shared" si="38"/>
        <v/>
      </c>
      <c r="AX106" s="21">
        <f t="shared" si="39"/>
        <v>1</v>
      </c>
      <c r="AY106" s="21" t="str">
        <f t="shared" si="40"/>
        <v/>
      </c>
      <c r="AZ106" s="21" t="str">
        <f t="shared" si="41"/>
        <v/>
      </c>
      <c r="BA106" s="21" t="str">
        <f t="shared" si="42"/>
        <v/>
      </c>
      <c r="BB106" s="21" t="str">
        <f t="shared" si="43"/>
        <v/>
      </c>
      <c r="BC106" s="21" t="str">
        <f t="shared" si="44"/>
        <v/>
      </c>
    </row>
    <row r="107" spans="1:55" ht="15.75">
      <c r="A107" s="21" t="str">
        <f>IF(Base!B105="","",Base!B105)</f>
        <v>13.077.995-6</v>
      </c>
      <c r="B107" s="21" t="str">
        <f>IF(Base!F105="","",Base!F105)</f>
        <v>FRANCISCO ANTONIO  MARTINEZ  OSSES</v>
      </c>
      <c r="C107" s="21" t="str">
        <f>IF(Base!I105="","",Base!I105)</f>
        <v xml:space="preserve">Setup </v>
      </c>
      <c r="D107" s="22" t="str">
        <f>IF(Base!J105="","",Base!J105)</f>
        <v xml:space="preserve">Setup </v>
      </c>
      <c r="E107" s="21">
        <f>IF(Base!H105="","",Base!H105)</f>
        <v>1050529</v>
      </c>
      <c r="J107" s="28">
        <v>97</v>
      </c>
      <c r="K107" s="5" t="s">
        <v>898</v>
      </c>
      <c r="L107" s="58" t="str">
        <f t="shared" si="26"/>
        <v>FRANCISCO JAVIER  RIQUELME  GONZALEZ</v>
      </c>
      <c r="M107" s="58">
        <f t="shared" si="27"/>
        <v>1050581</v>
      </c>
      <c r="N107" s="59" t="str">
        <f t="shared" si="28"/>
        <v>Abastecimiento</v>
      </c>
      <c r="O107" s="59" t="str">
        <f t="shared" si="29"/>
        <v>Almacen Insumos Pque</v>
      </c>
      <c r="P107" s="30" t="s">
        <v>1321</v>
      </c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32">
        <f t="shared" si="45"/>
        <v>0</v>
      </c>
      <c r="AF107" s="32">
        <f t="shared" si="46"/>
        <v>0</v>
      </c>
      <c r="AG107" s="50"/>
      <c r="AL107" s="21" t="str">
        <f t="shared" si="47"/>
        <v>16.296.340-6</v>
      </c>
      <c r="AM107" s="21">
        <v>98</v>
      </c>
      <c r="AN107" s="21">
        <f t="shared" si="30"/>
        <v>0</v>
      </c>
      <c r="AO107" s="21">
        <f t="shared" si="31"/>
        <v>0</v>
      </c>
      <c r="AP107" s="21">
        <f t="shared" si="32"/>
        <v>0</v>
      </c>
      <c r="AQ107" s="21">
        <f t="shared" si="33"/>
        <v>0</v>
      </c>
      <c r="AR107" s="21">
        <f t="shared" si="34"/>
        <v>0</v>
      </c>
      <c r="AS107" s="21">
        <f t="shared" si="35"/>
        <v>0</v>
      </c>
      <c r="AT107" s="21">
        <f t="shared" si="36"/>
        <v>0</v>
      </c>
      <c r="AU107" s="34">
        <f t="shared" si="37"/>
        <v>0</v>
      </c>
      <c r="AW107" s="21" t="str">
        <f t="shared" si="38"/>
        <v/>
      </c>
      <c r="AX107" s="21" t="str">
        <f t="shared" si="39"/>
        <v/>
      </c>
      <c r="AY107" s="21" t="str">
        <f t="shared" si="40"/>
        <v/>
      </c>
      <c r="AZ107" s="21" t="str">
        <f t="shared" si="41"/>
        <v/>
      </c>
      <c r="BA107" s="21" t="str">
        <f t="shared" si="42"/>
        <v/>
      </c>
      <c r="BB107" s="21" t="str">
        <f t="shared" si="43"/>
        <v/>
      </c>
      <c r="BC107" s="21" t="str">
        <f t="shared" si="44"/>
        <v/>
      </c>
    </row>
    <row r="108" spans="1:55" ht="15.75">
      <c r="A108" s="21" t="str">
        <f>IF(Base!B106="","",Base!B106)</f>
        <v>14.005.554-9</v>
      </c>
      <c r="B108" s="21" t="str">
        <f>IF(Base!F106="","",Base!F106)</f>
        <v>LUIS  MATURANA  SANDOVAL</v>
      </c>
      <c r="C108" s="21" t="str">
        <f>IF(Base!I106="","",Base!I106)</f>
        <v>Linea 3</v>
      </c>
      <c r="D108" s="22" t="str">
        <f>IF(Base!J106="","",Base!J106)</f>
        <v>Embalador</v>
      </c>
      <c r="E108" s="21">
        <f>IF(Base!H106="","",Base!H106)</f>
        <v>1050556</v>
      </c>
      <c r="J108" s="28">
        <v>98</v>
      </c>
      <c r="K108" s="5" t="s">
        <v>921</v>
      </c>
      <c r="L108" s="58" t="str">
        <f t="shared" ref="L108:L139" si="48">IF(K108="","",VLOOKUP($K108,A:D,2,FALSE))</f>
        <v>LUIS ALBERTO  ROJAS  GONZALEZ</v>
      </c>
      <c r="M108" s="58">
        <f t="shared" ref="M108:M139" si="49">IF(K108="","",VLOOKUP(K108,A:E,5,FALSE))</f>
        <v>1050127</v>
      </c>
      <c r="N108" s="59" t="str">
        <f t="shared" si="28"/>
        <v>Abastecimiento</v>
      </c>
      <c r="O108" s="59" t="str">
        <f t="shared" si="29"/>
        <v>Preparación de Insum</v>
      </c>
      <c r="P108" s="30" t="s">
        <v>1323</v>
      </c>
      <c r="Q108" s="96"/>
      <c r="R108" s="96"/>
      <c r="S108" s="96"/>
      <c r="T108" s="97">
        <v>7.5</v>
      </c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32">
        <f t="shared" si="45"/>
        <v>0</v>
      </c>
      <c r="AF108" s="32">
        <f t="shared" si="46"/>
        <v>7.5</v>
      </c>
      <c r="AG108" s="47" t="s">
        <v>1461</v>
      </c>
      <c r="AL108" s="21" t="str">
        <f t="shared" si="47"/>
        <v>09.485.526-8</v>
      </c>
      <c r="AM108" s="21">
        <v>99</v>
      </c>
      <c r="AN108" s="21">
        <f t="shared" si="30"/>
        <v>0</v>
      </c>
      <c r="AO108" s="21">
        <f t="shared" si="31"/>
        <v>7.5</v>
      </c>
      <c r="AP108" s="21">
        <f t="shared" si="32"/>
        <v>0</v>
      </c>
      <c r="AQ108" s="21">
        <f t="shared" si="33"/>
        <v>0</v>
      </c>
      <c r="AR108" s="21">
        <f t="shared" si="34"/>
        <v>0</v>
      </c>
      <c r="AS108" s="21">
        <f t="shared" si="35"/>
        <v>0</v>
      </c>
      <c r="AT108" s="21">
        <f t="shared" si="36"/>
        <v>0</v>
      </c>
      <c r="AU108" s="34">
        <f t="shared" si="37"/>
        <v>7.5</v>
      </c>
      <c r="AW108" s="21" t="str">
        <f t="shared" si="38"/>
        <v/>
      </c>
      <c r="AX108" s="21">
        <f t="shared" si="39"/>
        <v>1</v>
      </c>
      <c r="AY108" s="21" t="str">
        <f t="shared" si="40"/>
        <v/>
      </c>
      <c r="AZ108" s="21" t="str">
        <f t="shared" si="41"/>
        <v/>
      </c>
      <c r="BA108" s="21" t="str">
        <f t="shared" si="42"/>
        <v/>
      </c>
      <c r="BB108" s="21" t="str">
        <f t="shared" si="43"/>
        <v/>
      </c>
      <c r="BC108" s="21" t="str">
        <f t="shared" si="44"/>
        <v/>
      </c>
    </row>
    <row r="109" spans="1:55" ht="15.75">
      <c r="A109" s="21" t="str">
        <f>IF(Base!B107="","",Base!B107)</f>
        <v>10.157.067-3</v>
      </c>
      <c r="B109" s="21" t="str">
        <f>IF(Base!F107="","",Base!F107)</f>
        <v>MIGUEL ALBERTO  MELLA  FRIAS</v>
      </c>
      <c r="C109" s="21" t="str">
        <f>IF(Base!I107="","",Base!I107)</f>
        <v>Abastecimiento</v>
      </c>
      <c r="D109" s="22" t="str">
        <f>IF(Base!J107="","",Base!J107)</f>
        <v>Control Ingresos Cen</v>
      </c>
      <c r="E109" s="21">
        <f>IF(Base!H107="","",Base!H107)</f>
        <v>1050126</v>
      </c>
      <c r="J109" s="28">
        <v>99</v>
      </c>
      <c r="K109" s="5" t="s">
        <v>924</v>
      </c>
      <c r="L109" s="58" t="str">
        <f t="shared" si="48"/>
        <v>RODRIGO ALEJANDRO  ROJAS  SALAMANCA</v>
      </c>
      <c r="M109" s="58">
        <f t="shared" si="49"/>
        <v>1050581</v>
      </c>
      <c r="N109" s="59" t="str">
        <f t="shared" si="28"/>
        <v>Abastecimiento</v>
      </c>
      <c r="O109" s="59" t="str">
        <f t="shared" si="29"/>
        <v>Almacen Insumos Pque</v>
      </c>
      <c r="P109" s="30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32">
        <f t="shared" si="45"/>
        <v>0</v>
      </c>
      <c r="AF109" s="32">
        <f t="shared" si="46"/>
        <v>0</v>
      </c>
      <c r="AG109" s="47"/>
      <c r="AL109" s="21" t="str">
        <f t="shared" si="47"/>
        <v>17.245.009-1</v>
      </c>
      <c r="AM109" s="21">
        <v>100</v>
      </c>
      <c r="AN109" s="21">
        <f t="shared" si="30"/>
        <v>0</v>
      </c>
      <c r="AO109" s="21">
        <f t="shared" si="31"/>
        <v>0</v>
      </c>
      <c r="AP109" s="21">
        <f t="shared" si="32"/>
        <v>0</v>
      </c>
      <c r="AQ109" s="21">
        <f t="shared" si="33"/>
        <v>0</v>
      </c>
      <c r="AR109" s="21">
        <f t="shared" si="34"/>
        <v>0</v>
      </c>
      <c r="AS109" s="21">
        <f t="shared" si="35"/>
        <v>0</v>
      </c>
      <c r="AT109" s="21">
        <f t="shared" si="36"/>
        <v>0</v>
      </c>
      <c r="AU109" s="34">
        <f t="shared" si="37"/>
        <v>0</v>
      </c>
      <c r="AW109" s="21" t="str">
        <f t="shared" si="38"/>
        <v/>
      </c>
      <c r="AX109" s="21" t="str">
        <f t="shared" si="39"/>
        <v/>
      </c>
      <c r="AY109" s="21" t="str">
        <f t="shared" si="40"/>
        <v/>
      </c>
      <c r="AZ109" s="21" t="str">
        <f t="shared" si="41"/>
        <v/>
      </c>
      <c r="BA109" s="21" t="str">
        <f t="shared" si="42"/>
        <v/>
      </c>
      <c r="BB109" s="21" t="str">
        <f t="shared" si="43"/>
        <v/>
      </c>
      <c r="BC109" s="21" t="str">
        <f t="shared" si="44"/>
        <v/>
      </c>
    </row>
    <row r="110" spans="1:55" ht="15.75">
      <c r="A110" s="21" t="str">
        <f>IF(Base!B108="","",Base!B108)</f>
        <v>17.755.770-6</v>
      </c>
      <c r="B110" s="21" t="str">
        <f>IF(Base!F108="","",Base!F108)</f>
        <v>CRISTIAN EDUARDO  MEZA  MEZA</v>
      </c>
      <c r="C110" s="21" t="str">
        <f>IF(Base!I108="","",Base!I108)</f>
        <v>Linea 7</v>
      </c>
      <c r="D110" s="22" t="str">
        <f>IF(Base!J108="","",Base!J108)</f>
        <v>Despalletizador</v>
      </c>
      <c r="E110" s="21">
        <f>IF(Base!H108="","",Base!H108)</f>
        <v>1050615</v>
      </c>
      <c r="J110" s="28">
        <v>100</v>
      </c>
      <c r="K110" s="5" t="s">
        <v>942</v>
      </c>
      <c r="L110" s="58" t="str">
        <f t="shared" si="48"/>
        <v>JUAN RAMON  SALAMANCA  VIDAL</v>
      </c>
      <c r="M110" s="58">
        <f t="shared" si="49"/>
        <v>1050127</v>
      </c>
      <c r="N110" s="59" t="str">
        <f t="shared" si="28"/>
        <v>Abastecimiento</v>
      </c>
      <c r="O110" s="59" t="str">
        <f t="shared" si="29"/>
        <v>Preparación de Insum</v>
      </c>
      <c r="P110" s="30" t="s">
        <v>1323</v>
      </c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32">
        <f t="shared" si="45"/>
        <v>0</v>
      </c>
      <c r="AF110" s="32">
        <f t="shared" si="46"/>
        <v>0</v>
      </c>
      <c r="AG110" s="47"/>
      <c r="AL110" s="21" t="str">
        <f t="shared" si="47"/>
        <v>11.657.838-7</v>
      </c>
      <c r="AM110" s="21">
        <v>101</v>
      </c>
      <c r="AN110" s="21">
        <f t="shared" si="30"/>
        <v>0</v>
      </c>
      <c r="AO110" s="21">
        <f t="shared" si="31"/>
        <v>0</v>
      </c>
      <c r="AP110" s="21">
        <f t="shared" si="32"/>
        <v>0</v>
      </c>
      <c r="AQ110" s="21">
        <f t="shared" si="33"/>
        <v>0</v>
      </c>
      <c r="AR110" s="21">
        <f t="shared" si="34"/>
        <v>0</v>
      </c>
      <c r="AS110" s="21">
        <f t="shared" si="35"/>
        <v>0</v>
      </c>
      <c r="AT110" s="21">
        <f t="shared" si="36"/>
        <v>0</v>
      </c>
      <c r="AU110" s="34">
        <f t="shared" si="37"/>
        <v>0</v>
      </c>
      <c r="AW110" s="21" t="str">
        <f t="shared" si="38"/>
        <v/>
      </c>
      <c r="AX110" s="21" t="str">
        <f t="shared" si="39"/>
        <v/>
      </c>
      <c r="AY110" s="21" t="str">
        <f t="shared" si="40"/>
        <v/>
      </c>
      <c r="AZ110" s="21" t="str">
        <f t="shared" si="41"/>
        <v/>
      </c>
      <c r="BA110" s="21" t="str">
        <f t="shared" si="42"/>
        <v/>
      </c>
      <c r="BB110" s="21" t="str">
        <f t="shared" si="43"/>
        <v/>
      </c>
      <c r="BC110" s="21" t="str">
        <f t="shared" si="44"/>
        <v/>
      </c>
    </row>
    <row r="111" spans="1:55" ht="15.75">
      <c r="A111" s="21" t="str">
        <f>IF(Base!B109="","",Base!B109)</f>
        <v>13.834.251-4</v>
      </c>
      <c r="B111" s="21" t="str">
        <f>IF(Base!F109="","",Base!F109)</f>
        <v>MARIA ELIANA  MILLAN  HERRERA</v>
      </c>
      <c r="C111" s="21" t="str">
        <f>IF(Base!I109="","",Base!I109)</f>
        <v>Abastecimiento</v>
      </c>
      <c r="D111" s="22" t="str">
        <f>IF(Base!J109="","",Base!J109)</f>
        <v>Suministro de Líneas</v>
      </c>
      <c r="E111" s="21">
        <f>IF(Base!H109="","",Base!H109)</f>
        <v>1050633</v>
      </c>
      <c r="J111" s="28">
        <v>101</v>
      </c>
      <c r="K111" s="5" t="s">
        <v>949</v>
      </c>
      <c r="L111" s="58" t="str">
        <f t="shared" si="48"/>
        <v>PAULO  SALAZAR  FREYHOFER</v>
      </c>
      <c r="M111" s="58">
        <f t="shared" si="49"/>
        <v>1050581</v>
      </c>
      <c r="N111" s="59" t="str">
        <f t="shared" si="28"/>
        <v>Abastecimiento</v>
      </c>
      <c r="O111" s="59" t="str">
        <f t="shared" si="29"/>
        <v>Supervisor Almacen Insumos</v>
      </c>
      <c r="P111" s="30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32">
        <f t="shared" si="45"/>
        <v>0</v>
      </c>
      <c r="AF111" s="32">
        <f t="shared" si="46"/>
        <v>0</v>
      </c>
      <c r="AG111" s="50"/>
      <c r="AL111" s="21" t="str">
        <f t="shared" si="47"/>
        <v>12.647.009-6</v>
      </c>
      <c r="AM111" s="21">
        <v>102</v>
      </c>
      <c r="AN111" s="21">
        <f t="shared" si="30"/>
        <v>0</v>
      </c>
      <c r="AO111" s="21">
        <f t="shared" si="31"/>
        <v>0</v>
      </c>
      <c r="AP111" s="21">
        <f t="shared" si="32"/>
        <v>0</v>
      </c>
      <c r="AQ111" s="21">
        <f t="shared" si="33"/>
        <v>0</v>
      </c>
      <c r="AR111" s="21">
        <f t="shared" si="34"/>
        <v>0</v>
      </c>
      <c r="AS111" s="21">
        <f t="shared" si="35"/>
        <v>0</v>
      </c>
      <c r="AT111" s="21">
        <f t="shared" si="36"/>
        <v>0</v>
      </c>
      <c r="AU111" s="34">
        <f t="shared" si="37"/>
        <v>0</v>
      </c>
      <c r="AW111" s="21" t="str">
        <f t="shared" si="38"/>
        <v/>
      </c>
      <c r="AX111" s="21" t="str">
        <f t="shared" si="39"/>
        <v/>
      </c>
      <c r="AY111" s="21" t="str">
        <f t="shared" si="40"/>
        <v/>
      </c>
      <c r="AZ111" s="21" t="str">
        <f t="shared" si="41"/>
        <v/>
      </c>
      <c r="BA111" s="21" t="str">
        <f t="shared" si="42"/>
        <v/>
      </c>
      <c r="BB111" s="21" t="str">
        <f t="shared" si="43"/>
        <v/>
      </c>
      <c r="BC111" s="21" t="str">
        <f t="shared" si="44"/>
        <v/>
      </c>
    </row>
    <row r="112" spans="1:55" ht="15.75">
      <c r="A112" s="21" t="str">
        <f>IF(Base!B110="","",Base!B110)</f>
        <v>16.266.873-0</v>
      </c>
      <c r="B112" s="21" t="str">
        <f>IF(Base!F110="","",Base!F110)</f>
        <v>CARLOS  MONTANARES  MONTANARES</v>
      </c>
      <c r="C112" s="21" t="str">
        <f>IF(Base!I110="","",Base!I110)</f>
        <v>Linea 3</v>
      </c>
      <c r="D112" s="22" t="str">
        <f>IF(Base!J110="","",Base!J110)</f>
        <v>Despalletizador</v>
      </c>
      <c r="E112" s="21">
        <f>IF(Base!H110="","",Base!H110)</f>
        <v>1050555</v>
      </c>
      <c r="J112" s="28">
        <v>102</v>
      </c>
      <c r="K112" s="5" t="s">
        <v>954</v>
      </c>
      <c r="L112" s="58" t="str">
        <f t="shared" si="48"/>
        <v>HECTOR ENRIQUE  SALAZAR  VIDELA</v>
      </c>
      <c r="M112" s="58">
        <f t="shared" si="49"/>
        <v>1050126</v>
      </c>
      <c r="N112" s="59" t="str">
        <f t="shared" si="28"/>
        <v>Abastecimiento</v>
      </c>
      <c r="O112" s="59" t="str">
        <f t="shared" si="29"/>
        <v>Control Ingresos Cen</v>
      </c>
      <c r="P112" s="30" t="s">
        <v>1323</v>
      </c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32">
        <f t="shared" si="45"/>
        <v>0</v>
      </c>
      <c r="AF112" s="32">
        <f t="shared" si="46"/>
        <v>0</v>
      </c>
      <c r="AG112" s="47"/>
      <c r="AL112" s="21" t="str">
        <f t="shared" si="47"/>
        <v>07.009.784-2</v>
      </c>
      <c r="AM112" s="21">
        <v>103</v>
      </c>
      <c r="AN112" s="21">
        <f t="shared" si="30"/>
        <v>0</v>
      </c>
      <c r="AO112" s="21">
        <f t="shared" si="31"/>
        <v>0</v>
      </c>
      <c r="AP112" s="21">
        <f t="shared" si="32"/>
        <v>0</v>
      </c>
      <c r="AQ112" s="21">
        <f t="shared" si="33"/>
        <v>0</v>
      </c>
      <c r="AR112" s="21">
        <f t="shared" si="34"/>
        <v>0</v>
      </c>
      <c r="AS112" s="21">
        <f t="shared" si="35"/>
        <v>0</v>
      </c>
      <c r="AT112" s="21">
        <f t="shared" si="36"/>
        <v>0</v>
      </c>
      <c r="AU112" s="34">
        <f t="shared" si="37"/>
        <v>0</v>
      </c>
      <c r="AW112" s="21" t="str">
        <f t="shared" si="38"/>
        <v/>
      </c>
      <c r="AX112" s="21" t="str">
        <f t="shared" si="39"/>
        <v/>
      </c>
      <c r="AY112" s="21" t="str">
        <f t="shared" si="40"/>
        <v/>
      </c>
      <c r="AZ112" s="21" t="str">
        <f t="shared" si="41"/>
        <v/>
      </c>
      <c r="BA112" s="21" t="str">
        <f t="shared" si="42"/>
        <v/>
      </c>
      <c r="BB112" s="21" t="str">
        <f t="shared" si="43"/>
        <v/>
      </c>
      <c r="BC112" s="21" t="str">
        <f t="shared" si="44"/>
        <v/>
      </c>
    </row>
    <row r="113" spans="1:55" ht="15.75">
      <c r="A113" s="21" t="str">
        <f>IF(Base!B111="","",Base!B111)</f>
        <v>10.407.614-9</v>
      </c>
      <c r="B113" s="21" t="str">
        <f>IF(Base!F111="","",Base!F111)</f>
        <v>CARLOS ALEJANDRO  MORA  MORA</v>
      </c>
      <c r="C113" s="21" t="str">
        <f>IF(Base!I111="","",Base!I111)</f>
        <v>Abastecimiento</v>
      </c>
      <c r="D113" s="22" t="str">
        <f>IF(Base!J111="","",Base!J111)</f>
        <v>Preparación de Insum</v>
      </c>
      <c r="E113" s="21">
        <f>IF(Base!H111="","",Base!H111)</f>
        <v>1050127</v>
      </c>
      <c r="J113" s="28">
        <v>103</v>
      </c>
      <c r="K113" s="5" t="s">
        <v>959</v>
      </c>
      <c r="L113" s="58" t="str">
        <f t="shared" si="48"/>
        <v>JUAN  SALINAS  CUEVAS</v>
      </c>
      <c r="M113" s="58">
        <f t="shared" si="49"/>
        <v>1050633</v>
      </c>
      <c r="N113" s="59" t="str">
        <f t="shared" si="28"/>
        <v>Abastecimiento</v>
      </c>
      <c r="O113" s="59" t="str">
        <f t="shared" si="29"/>
        <v>Suministro de Líneas</v>
      </c>
      <c r="P113" s="30" t="s">
        <v>1321</v>
      </c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32">
        <f t="shared" si="45"/>
        <v>0</v>
      </c>
      <c r="AF113" s="32">
        <f t="shared" si="46"/>
        <v>0</v>
      </c>
      <c r="AG113" s="50"/>
      <c r="AL113" s="21" t="str">
        <f t="shared" si="47"/>
        <v>08.245.727-5</v>
      </c>
      <c r="AM113" s="21">
        <v>104</v>
      </c>
      <c r="AN113" s="21">
        <f t="shared" si="30"/>
        <v>0</v>
      </c>
      <c r="AO113" s="21">
        <f t="shared" si="31"/>
        <v>0</v>
      </c>
      <c r="AP113" s="21">
        <f t="shared" si="32"/>
        <v>0</v>
      </c>
      <c r="AQ113" s="21">
        <f t="shared" si="33"/>
        <v>0</v>
      </c>
      <c r="AR113" s="21">
        <f t="shared" si="34"/>
        <v>0</v>
      </c>
      <c r="AS113" s="21">
        <f t="shared" si="35"/>
        <v>0</v>
      </c>
      <c r="AT113" s="21">
        <f t="shared" si="36"/>
        <v>0</v>
      </c>
      <c r="AU113" s="34">
        <f t="shared" si="37"/>
        <v>0</v>
      </c>
      <c r="AW113" s="21" t="str">
        <f t="shared" si="38"/>
        <v/>
      </c>
      <c r="AX113" s="21" t="str">
        <f t="shared" si="39"/>
        <v/>
      </c>
      <c r="AY113" s="21" t="str">
        <f t="shared" si="40"/>
        <v/>
      </c>
      <c r="AZ113" s="21" t="str">
        <f t="shared" si="41"/>
        <v/>
      </c>
      <c r="BA113" s="21" t="str">
        <f t="shared" si="42"/>
        <v/>
      </c>
      <c r="BB113" s="21" t="str">
        <f t="shared" si="43"/>
        <v/>
      </c>
      <c r="BC113" s="21" t="str">
        <f t="shared" si="44"/>
        <v/>
      </c>
    </row>
    <row r="114" spans="1:55" ht="15.75">
      <c r="A114" s="21" t="str">
        <f>IF(Base!B112="","",Base!B112)</f>
        <v>13.700.526-3</v>
      </c>
      <c r="B114" s="21" t="str">
        <f>IF(Base!F112="","",Base!F112)</f>
        <v>PATRICIO  MORALES  NUÑEZ</v>
      </c>
      <c r="C114" s="21" t="str">
        <f>IF(Base!I112="","",Base!I112)</f>
        <v>Linea 7</v>
      </c>
      <c r="D114" s="22" t="str">
        <f>IF(Base!J112="","",Base!J112)</f>
        <v>Llenador</v>
      </c>
      <c r="E114" s="21">
        <f>IF(Base!H112="","",Base!H112)</f>
        <v>1050615</v>
      </c>
      <c r="J114" s="28">
        <v>104</v>
      </c>
      <c r="K114" s="5" t="s">
        <v>982</v>
      </c>
      <c r="L114" s="58" t="str">
        <f t="shared" si="48"/>
        <v>DANIEL PATRICIO  SANCHEZ  VASQUEZ</v>
      </c>
      <c r="M114" s="58">
        <f t="shared" si="49"/>
        <v>1050581</v>
      </c>
      <c r="N114" s="59" t="str">
        <f t="shared" si="28"/>
        <v>Abastecimiento</v>
      </c>
      <c r="O114" s="59" t="str">
        <f t="shared" si="29"/>
        <v>Almacen Insumos Pque</v>
      </c>
      <c r="P114" s="30" t="s">
        <v>1323</v>
      </c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  <c r="AD114" s="96"/>
      <c r="AE114" s="32">
        <f t="shared" si="45"/>
        <v>0</v>
      </c>
      <c r="AF114" s="32">
        <f t="shared" si="46"/>
        <v>0</v>
      </c>
      <c r="AG114" s="48"/>
      <c r="AL114" s="21" t="str">
        <f t="shared" si="47"/>
        <v>10.835.391-0</v>
      </c>
      <c r="AM114" s="21">
        <v>105</v>
      </c>
      <c r="AN114" s="21">
        <f t="shared" si="30"/>
        <v>0</v>
      </c>
      <c r="AO114" s="21">
        <f t="shared" si="31"/>
        <v>0</v>
      </c>
      <c r="AP114" s="21">
        <f t="shared" si="32"/>
        <v>0</v>
      </c>
      <c r="AQ114" s="21">
        <f t="shared" si="33"/>
        <v>0</v>
      </c>
      <c r="AR114" s="21">
        <f t="shared" si="34"/>
        <v>0</v>
      </c>
      <c r="AS114" s="21">
        <f t="shared" si="35"/>
        <v>0</v>
      </c>
      <c r="AT114" s="21">
        <f t="shared" si="36"/>
        <v>0</v>
      </c>
      <c r="AU114" s="34">
        <f t="shared" si="37"/>
        <v>0</v>
      </c>
      <c r="AW114" s="21" t="str">
        <f t="shared" si="38"/>
        <v/>
      </c>
      <c r="AX114" s="21" t="str">
        <f t="shared" si="39"/>
        <v/>
      </c>
      <c r="AY114" s="21" t="str">
        <f t="shared" si="40"/>
        <v/>
      </c>
      <c r="AZ114" s="21" t="str">
        <f t="shared" si="41"/>
        <v/>
      </c>
      <c r="BA114" s="21" t="str">
        <f t="shared" si="42"/>
        <v/>
      </c>
      <c r="BB114" s="21" t="str">
        <f t="shared" si="43"/>
        <v/>
      </c>
      <c r="BC114" s="21" t="str">
        <f t="shared" si="44"/>
        <v/>
      </c>
    </row>
    <row r="115" spans="1:55" ht="15.75">
      <c r="A115" s="21" t="str">
        <f>IF(Base!B113="","",Base!B113)</f>
        <v>12.690.098-8</v>
      </c>
      <c r="B115" s="21" t="str">
        <f>IF(Base!F113="","",Base!F113)</f>
        <v>RODRIGO  MORALES  OLGUIN</v>
      </c>
      <c r="C115" s="21" t="str">
        <f>IF(Base!I113="","",Base!I113)</f>
        <v>Linea 6</v>
      </c>
      <c r="D115" s="22" t="str">
        <f>IF(Base!J113="","",Base!J113)</f>
        <v>Etiquetador</v>
      </c>
      <c r="E115" s="21">
        <f>IF(Base!H113="","",Base!H113)</f>
        <v>1050610</v>
      </c>
      <c r="J115" s="28">
        <v>105</v>
      </c>
      <c r="K115" s="5" t="s">
        <v>973</v>
      </c>
      <c r="L115" s="58" t="str">
        <f t="shared" si="48"/>
        <v>FREDDY  SANCHEZ  TORRES</v>
      </c>
      <c r="M115" s="58">
        <f t="shared" si="49"/>
        <v>1050161</v>
      </c>
      <c r="N115" s="59" t="str">
        <f t="shared" si="28"/>
        <v>Abastecimiento</v>
      </c>
      <c r="O115" s="59" t="str">
        <f t="shared" si="29"/>
        <v>Control Inventario I</v>
      </c>
      <c r="P115" s="30"/>
      <c r="Q115" s="96"/>
      <c r="R115" s="96"/>
      <c r="S115" s="96">
        <v>1</v>
      </c>
      <c r="T115" s="96"/>
      <c r="U115" s="96">
        <v>1</v>
      </c>
      <c r="V115" s="96"/>
      <c r="W115" s="96">
        <v>1</v>
      </c>
      <c r="X115" s="96"/>
      <c r="Y115" s="96">
        <v>1</v>
      </c>
      <c r="Z115" s="96"/>
      <c r="AA115" s="96"/>
      <c r="AB115" s="96"/>
      <c r="AC115" s="96"/>
      <c r="AD115" s="96"/>
      <c r="AE115" s="32">
        <f t="shared" si="45"/>
        <v>4</v>
      </c>
      <c r="AF115" s="32">
        <f t="shared" si="46"/>
        <v>0</v>
      </c>
      <c r="AG115" s="47" t="s">
        <v>1471</v>
      </c>
      <c r="AL115" s="21" t="str">
        <f t="shared" si="47"/>
        <v>12.500.119-K</v>
      </c>
      <c r="AM115" s="21">
        <v>106</v>
      </c>
      <c r="AN115" s="21">
        <f t="shared" si="30"/>
        <v>0</v>
      </c>
      <c r="AO115" s="21">
        <f t="shared" si="31"/>
        <v>1</v>
      </c>
      <c r="AP115" s="21">
        <f t="shared" si="32"/>
        <v>1</v>
      </c>
      <c r="AQ115" s="21">
        <f t="shared" si="33"/>
        <v>1</v>
      </c>
      <c r="AR115" s="21">
        <f t="shared" si="34"/>
        <v>1</v>
      </c>
      <c r="AS115" s="21">
        <f t="shared" si="35"/>
        <v>0</v>
      </c>
      <c r="AT115" s="21">
        <f t="shared" si="36"/>
        <v>0</v>
      </c>
      <c r="AU115" s="34">
        <f t="shared" si="37"/>
        <v>4</v>
      </c>
      <c r="AW115" s="21" t="str">
        <f t="shared" si="38"/>
        <v/>
      </c>
      <c r="AX115" s="21">
        <f t="shared" si="39"/>
        <v>0.5</v>
      </c>
      <c r="AY115" s="21">
        <f t="shared" si="40"/>
        <v>0.5</v>
      </c>
      <c r="AZ115" s="21">
        <f t="shared" si="41"/>
        <v>0.5</v>
      </c>
      <c r="BA115" s="21">
        <f t="shared" si="42"/>
        <v>0.5</v>
      </c>
      <c r="BB115" s="21" t="str">
        <f t="shared" si="43"/>
        <v/>
      </c>
      <c r="BC115" s="21" t="str">
        <f t="shared" si="44"/>
        <v/>
      </c>
    </row>
    <row r="116" spans="1:55" ht="15.75">
      <c r="A116" s="21" t="str">
        <f>IF(Base!B114="","",Base!B114)</f>
        <v>08.585.356-2</v>
      </c>
      <c r="B116" s="21" t="str">
        <f>IF(Base!F114="","",Base!F114)</f>
        <v>OSCAR E.  MORALES  ZAPATA</v>
      </c>
      <c r="C116" s="21" t="str">
        <f>IF(Base!I114="","",Base!I114)</f>
        <v>Supervisor</v>
      </c>
      <c r="D116" s="22" t="str">
        <f>IF(Base!J114="","",Base!J114)</f>
        <v>Supervisor</v>
      </c>
      <c r="E116" s="21">
        <f>IF(Base!H114="","",Base!H114)</f>
        <v>1050603</v>
      </c>
      <c r="J116" s="28">
        <v>106</v>
      </c>
      <c r="K116" s="5" t="s">
        <v>978</v>
      </c>
      <c r="L116" s="58" t="str">
        <f t="shared" si="48"/>
        <v>MARCELINO JHONATTAN  SANCHEZ  TORRES</v>
      </c>
      <c r="M116" s="58">
        <f t="shared" si="49"/>
        <v>1050126</v>
      </c>
      <c r="N116" s="59" t="str">
        <f t="shared" si="28"/>
        <v>Abastecimiento</v>
      </c>
      <c r="O116" s="59" t="str">
        <f t="shared" si="29"/>
        <v>Control Ingresos Cen</v>
      </c>
      <c r="P116" s="30"/>
      <c r="Q116" s="96"/>
      <c r="R116" s="96"/>
      <c r="S116" s="96">
        <v>2.5</v>
      </c>
      <c r="T116" s="96"/>
      <c r="U116" s="96">
        <v>1</v>
      </c>
      <c r="V116" s="96"/>
      <c r="W116" s="96"/>
      <c r="X116" s="96"/>
      <c r="Y116" s="96"/>
      <c r="Z116" s="96"/>
      <c r="AA116" s="96"/>
      <c r="AB116" s="96"/>
      <c r="AC116" s="96"/>
      <c r="AD116" s="96"/>
      <c r="AE116" s="32">
        <f t="shared" si="45"/>
        <v>3.5</v>
      </c>
      <c r="AF116" s="32">
        <f t="shared" si="46"/>
        <v>0</v>
      </c>
      <c r="AG116" s="47" t="s">
        <v>1466</v>
      </c>
      <c r="AL116" s="21" t="str">
        <f t="shared" si="47"/>
        <v>13.701.209-K</v>
      </c>
      <c r="AM116" s="21">
        <v>107</v>
      </c>
      <c r="AN116" s="21">
        <f t="shared" si="30"/>
        <v>0</v>
      </c>
      <c r="AO116" s="21">
        <f t="shared" si="31"/>
        <v>2.5</v>
      </c>
      <c r="AP116" s="21">
        <f t="shared" si="32"/>
        <v>1</v>
      </c>
      <c r="AQ116" s="21">
        <f t="shared" si="33"/>
        <v>0</v>
      </c>
      <c r="AR116" s="21">
        <f t="shared" si="34"/>
        <v>0</v>
      </c>
      <c r="AS116" s="21">
        <f t="shared" si="35"/>
        <v>0</v>
      </c>
      <c r="AT116" s="21">
        <f t="shared" si="36"/>
        <v>0</v>
      </c>
      <c r="AU116" s="34">
        <f t="shared" si="37"/>
        <v>3.5</v>
      </c>
      <c r="AW116" s="21" t="str">
        <f t="shared" si="38"/>
        <v/>
      </c>
      <c r="AX116" s="21">
        <f t="shared" si="39"/>
        <v>0.5</v>
      </c>
      <c r="AY116" s="21">
        <f t="shared" si="40"/>
        <v>0.5</v>
      </c>
      <c r="AZ116" s="21" t="str">
        <f t="shared" si="41"/>
        <v/>
      </c>
      <c r="BA116" s="21" t="str">
        <f t="shared" si="42"/>
        <v/>
      </c>
      <c r="BB116" s="21" t="str">
        <f t="shared" si="43"/>
        <v/>
      </c>
      <c r="BC116" s="21" t="str">
        <f t="shared" si="44"/>
        <v/>
      </c>
    </row>
    <row r="117" spans="1:55" ht="15.75">
      <c r="A117" s="21" t="str">
        <f>IF(Base!B115="","",Base!B115)</f>
        <v>11.994.656-5</v>
      </c>
      <c r="B117" s="21" t="str">
        <f>IF(Base!F115="","",Base!F115)</f>
        <v>MARIA E  MOSCOSO  LOPEZ</v>
      </c>
      <c r="C117" s="21" t="str">
        <f>IF(Base!I115="","",Base!I115)</f>
        <v>Control y Gestión</v>
      </c>
      <c r="D117" s="22" t="str">
        <f>IF(Base!J115="","",Base!J115)</f>
        <v>Secretaria operaciones</v>
      </c>
      <c r="E117" s="21">
        <f>IF(Base!H115="","",Base!H115)</f>
        <v>1050632</v>
      </c>
      <c r="J117" s="28">
        <v>107</v>
      </c>
      <c r="K117" s="5" t="s">
        <v>990</v>
      </c>
      <c r="L117" s="58" t="str">
        <f t="shared" si="48"/>
        <v>LORENZO ARTURO  SANDOVAL  ALTAMIRANO</v>
      </c>
      <c r="M117" s="58">
        <f t="shared" si="49"/>
        <v>1050581</v>
      </c>
      <c r="N117" s="59" t="str">
        <f t="shared" si="28"/>
        <v>Abastecimiento</v>
      </c>
      <c r="O117" s="59" t="str">
        <f t="shared" si="29"/>
        <v>Almacen Insumos Pque</v>
      </c>
      <c r="P117" s="30" t="s">
        <v>1321</v>
      </c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  <c r="AD117" s="96"/>
      <c r="AE117" s="32">
        <f t="shared" si="45"/>
        <v>0</v>
      </c>
      <c r="AF117" s="32">
        <f t="shared" si="46"/>
        <v>0</v>
      </c>
      <c r="AG117" s="47"/>
      <c r="AL117" s="21" t="str">
        <f t="shared" si="47"/>
        <v>16.691.386-1</v>
      </c>
      <c r="AM117" s="21">
        <v>108</v>
      </c>
      <c r="AN117" s="21">
        <f t="shared" si="30"/>
        <v>0</v>
      </c>
      <c r="AO117" s="21">
        <f t="shared" si="31"/>
        <v>0</v>
      </c>
      <c r="AP117" s="21">
        <f t="shared" si="32"/>
        <v>0</v>
      </c>
      <c r="AQ117" s="21">
        <f t="shared" si="33"/>
        <v>0</v>
      </c>
      <c r="AR117" s="21">
        <f t="shared" si="34"/>
        <v>0</v>
      </c>
      <c r="AS117" s="21">
        <f t="shared" si="35"/>
        <v>0</v>
      </c>
      <c r="AT117" s="21">
        <f t="shared" si="36"/>
        <v>0</v>
      </c>
      <c r="AU117" s="34">
        <f t="shared" si="37"/>
        <v>0</v>
      </c>
      <c r="AW117" s="21" t="str">
        <f t="shared" si="38"/>
        <v/>
      </c>
      <c r="AX117" s="21" t="str">
        <f t="shared" si="39"/>
        <v/>
      </c>
      <c r="AY117" s="21" t="str">
        <f t="shared" si="40"/>
        <v/>
      </c>
      <c r="AZ117" s="21" t="str">
        <f t="shared" si="41"/>
        <v/>
      </c>
      <c r="BA117" s="21" t="str">
        <f t="shared" si="42"/>
        <v/>
      </c>
      <c r="BB117" s="21" t="str">
        <f t="shared" si="43"/>
        <v/>
      </c>
      <c r="BC117" s="21" t="str">
        <f t="shared" si="44"/>
        <v/>
      </c>
    </row>
    <row r="118" spans="1:55" ht="15.75">
      <c r="A118" s="21" t="str">
        <f>IF(Base!B116="","",Base!B116)</f>
        <v>13.552.988-5</v>
      </c>
      <c r="B118" s="21" t="str">
        <f>IF(Base!F116="","",Base!F116)</f>
        <v>DAVID  MOYA  BEROIZA</v>
      </c>
      <c r="C118" s="21" t="str">
        <f>IF(Base!I116="","",Base!I116)</f>
        <v>Linea 7</v>
      </c>
      <c r="D118" s="22" t="str">
        <f>IF(Base!J116="","",Base!J116)</f>
        <v>Despalletizador</v>
      </c>
      <c r="E118" s="21">
        <f>IF(Base!H116="","",Base!H116)</f>
        <v>1050615</v>
      </c>
      <c r="J118" s="28">
        <v>108</v>
      </c>
      <c r="K118" s="5" t="s">
        <v>986</v>
      </c>
      <c r="L118" s="58" t="str">
        <f t="shared" si="48"/>
        <v>VICTOR H.  SANDOVAL  ACUÑA</v>
      </c>
      <c r="M118" s="58">
        <f t="shared" si="49"/>
        <v>1050633</v>
      </c>
      <c r="N118" s="59" t="str">
        <f t="shared" si="28"/>
        <v>Abastecimiento</v>
      </c>
      <c r="O118" s="59" t="str">
        <f t="shared" si="29"/>
        <v>Suministro de Líneas</v>
      </c>
      <c r="P118" s="30"/>
      <c r="Q118" s="96"/>
      <c r="R118" s="96"/>
      <c r="S118" s="96"/>
      <c r="T118" s="96"/>
      <c r="U118" s="96"/>
      <c r="V118" s="96"/>
      <c r="W118" s="96"/>
      <c r="X118" s="96"/>
      <c r="Y118" s="96"/>
      <c r="Z118" s="96"/>
      <c r="AA118" s="96"/>
      <c r="AB118" s="96"/>
      <c r="AC118" s="96"/>
      <c r="AD118" s="96"/>
      <c r="AE118" s="32">
        <f t="shared" si="45"/>
        <v>0</v>
      </c>
      <c r="AF118" s="32">
        <f t="shared" si="46"/>
        <v>0</v>
      </c>
      <c r="AG118" s="47"/>
      <c r="AL118" s="21" t="str">
        <f t="shared" si="47"/>
        <v>08.618.882-1</v>
      </c>
      <c r="AM118" s="21">
        <v>109</v>
      </c>
      <c r="AN118" s="21">
        <f t="shared" si="30"/>
        <v>0</v>
      </c>
      <c r="AO118" s="21">
        <f t="shared" si="31"/>
        <v>0</v>
      </c>
      <c r="AP118" s="21">
        <f t="shared" si="32"/>
        <v>0</v>
      </c>
      <c r="AQ118" s="21">
        <f t="shared" si="33"/>
        <v>0</v>
      </c>
      <c r="AR118" s="21">
        <f t="shared" si="34"/>
        <v>0</v>
      </c>
      <c r="AS118" s="21">
        <f t="shared" si="35"/>
        <v>0</v>
      </c>
      <c r="AT118" s="21">
        <f t="shared" si="36"/>
        <v>0</v>
      </c>
      <c r="AU118" s="34">
        <f t="shared" si="37"/>
        <v>0</v>
      </c>
      <c r="AW118" s="21" t="str">
        <f t="shared" si="38"/>
        <v/>
      </c>
      <c r="AX118" s="21" t="str">
        <f t="shared" si="39"/>
        <v/>
      </c>
      <c r="AY118" s="21" t="str">
        <f t="shared" si="40"/>
        <v/>
      </c>
      <c r="AZ118" s="21" t="str">
        <f t="shared" si="41"/>
        <v/>
      </c>
      <c r="BA118" s="21" t="str">
        <f t="shared" si="42"/>
        <v/>
      </c>
      <c r="BB118" s="21" t="str">
        <f t="shared" si="43"/>
        <v/>
      </c>
      <c r="BC118" s="21" t="str">
        <f t="shared" si="44"/>
        <v/>
      </c>
    </row>
    <row r="119" spans="1:55" ht="15.75">
      <c r="A119" s="21" t="str">
        <f>IF(Base!B117="","",Base!B117)</f>
        <v>09.488.820-4</v>
      </c>
      <c r="B119" s="21" t="str">
        <f>IF(Base!F117="","",Base!F117)</f>
        <v>MARCO ANTONIO  MUÑOZ  BUGUEÑO</v>
      </c>
      <c r="C119" s="21" t="str">
        <f>IF(Base!I117="","",Base!I117)</f>
        <v>Linea 2</v>
      </c>
      <c r="D119" s="22" t="str">
        <f>IF(Base!J117="","",Base!J117)</f>
        <v>Despalletizador</v>
      </c>
      <c r="E119" s="21">
        <f>IF(Base!H117="","",Base!H117)</f>
        <v>1050554</v>
      </c>
      <c r="J119" s="28">
        <v>109</v>
      </c>
      <c r="K119" s="5" t="s">
        <v>1397</v>
      </c>
      <c r="L119" s="58" t="str">
        <f t="shared" si="48"/>
        <v>PAMELA BELEN SETIEN VERA</v>
      </c>
      <c r="M119" s="58">
        <f t="shared" si="49"/>
        <v>1050633</v>
      </c>
      <c r="N119" s="59" t="str">
        <f t="shared" si="28"/>
        <v>Operario Almacenamiento</v>
      </c>
      <c r="O119" s="59" t="str">
        <f t="shared" si="29"/>
        <v>Almacen Insumos Pque</v>
      </c>
      <c r="P119" s="30" t="s">
        <v>1321</v>
      </c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32">
        <f t="shared" si="45"/>
        <v>0</v>
      </c>
      <c r="AF119" s="32">
        <f t="shared" si="46"/>
        <v>0</v>
      </c>
      <c r="AG119" s="47"/>
      <c r="AL119" s="21" t="str">
        <f t="shared" si="47"/>
        <v>15.718.343-5</v>
      </c>
      <c r="AM119" s="21">
        <v>110</v>
      </c>
      <c r="AN119" s="21">
        <f t="shared" si="30"/>
        <v>0</v>
      </c>
      <c r="AO119" s="21">
        <f t="shared" si="31"/>
        <v>0</v>
      </c>
      <c r="AP119" s="21">
        <f t="shared" si="32"/>
        <v>0</v>
      </c>
      <c r="AQ119" s="21">
        <f t="shared" si="33"/>
        <v>0</v>
      </c>
      <c r="AR119" s="21">
        <f t="shared" si="34"/>
        <v>0</v>
      </c>
      <c r="AS119" s="21">
        <f t="shared" si="35"/>
        <v>0</v>
      </c>
      <c r="AT119" s="21">
        <f t="shared" si="36"/>
        <v>0</v>
      </c>
      <c r="AU119" s="34">
        <f t="shared" si="37"/>
        <v>0</v>
      </c>
      <c r="AW119" s="21" t="str">
        <f t="shared" si="38"/>
        <v/>
      </c>
      <c r="AX119" s="21" t="str">
        <f t="shared" si="39"/>
        <v/>
      </c>
      <c r="AY119" s="21" t="str">
        <f t="shared" si="40"/>
        <v/>
      </c>
      <c r="AZ119" s="21" t="str">
        <f t="shared" si="41"/>
        <v/>
      </c>
      <c r="BA119" s="21" t="str">
        <f t="shared" si="42"/>
        <v/>
      </c>
      <c r="BB119" s="21" t="str">
        <f t="shared" si="43"/>
        <v/>
      </c>
      <c r="BC119" s="21" t="str">
        <f t="shared" si="44"/>
        <v/>
      </c>
    </row>
    <row r="120" spans="1:55" ht="15.75">
      <c r="A120" s="21" t="str">
        <f>IF(Base!B118="","",Base!B118)</f>
        <v>09.613.720-6</v>
      </c>
      <c r="B120" s="21" t="str">
        <f>IF(Base!F118="","",Base!F118)</f>
        <v>ANGELA  MUÑOZ  GONZALEZ</v>
      </c>
      <c r="C120" s="21" t="str">
        <f>IF(Base!I118="","",Base!I118)</f>
        <v>Linea 7</v>
      </c>
      <c r="D120" s="22" t="str">
        <f>IF(Base!J118="","",Base!J118)</f>
        <v>Capsulado</v>
      </c>
      <c r="E120" s="21">
        <f>IF(Base!H118="","",Base!H118)</f>
        <v>1050616</v>
      </c>
      <c r="J120" s="28">
        <v>110</v>
      </c>
      <c r="K120" s="5" t="s">
        <v>1027</v>
      </c>
      <c r="L120" s="58" t="str">
        <f t="shared" si="48"/>
        <v>ORLANDINO GUMERCINDO  TAPIA  OLIVARES</v>
      </c>
      <c r="M120" s="58">
        <f t="shared" si="49"/>
        <v>1050633</v>
      </c>
      <c r="N120" s="59" t="str">
        <f t="shared" si="28"/>
        <v>Abastecimiento</v>
      </c>
      <c r="O120" s="59" t="str">
        <f t="shared" si="29"/>
        <v>Suministro de Líneas</v>
      </c>
      <c r="P120" s="30" t="s">
        <v>1321</v>
      </c>
      <c r="Q120" s="96"/>
      <c r="R120" s="96"/>
      <c r="S120" s="96"/>
      <c r="T120" s="96"/>
      <c r="U120" s="96"/>
      <c r="V120" s="96"/>
      <c r="W120" s="96"/>
      <c r="X120" s="96"/>
      <c r="Y120" s="96"/>
      <c r="Z120" s="96"/>
      <c r="AA120" s="96"/>
      <c r="AB120" s="96"/>
      <c r="AC120" s="96"/>
      <c r="AD120" s="96"/>
      <c r="AE120" s="32">
        <f t="shared" si="45"/>
        <v>0</v>
      </c>
      <c r="AF120" s="32">
        <f t="shared" si="46"/>
        <v>0</v>
      </c>
      <c r="AG120" s="50"/>
      <c r="AL120" s="21" t="str">
        <f t="shared" si="47"/>
        <v>06.467.952-K</v>
      </c>
      <c r="AM120" s="21">
        <v>111</v>
      </c>
      <c r="AN120" s="21">
        <f t="shared" si="30"/>
        <v>0</v>
      </c>
      <c r="AO120" s="21">
        <f t="shared" si="31"/>
        <v>0</v>
      </c>
      <c r="AP120" s="21">
        <f t="shared" si="32"/>
        <v>0</v>
      </c>
      <c r="AQ120" s="21">
        <f t="shared" si="33"/>
        <v>0</v>
      </c>
      <c r="AR120" s="21">
        <f t="shared" si="34"/>
        <v>0</v>
      </c>
      <c r="AS120" s="21">
        <f t="shared" si="35"/>
        <v>0</v>
      </c>
      <c r="AT120" s="21">
        <f t="shared" si="36"/>
        <v>0</v>
      </c>
      <c r="AU120" s="34">
        <f t="shared" si="37"/>
        <v>0</v>
      </c>
      <c r="AW120" s="21" t="str">
        <f t="shared" si="38"/>
        <v/>
      </c>
      <c r="AX120" s="21" t="str">
        <f t="shared" si="39"/>
        <v/>
      </c>
      <c r="AY120" s="21" t="str">
        <f t="shared" si="40"/>
        <v/>
      </c>
      <c r="AZ120" s="21" t="str">
        <f t="shared" si="41"/>
        <v/>
      </c>
      <c r="BA120" s="21" t="str">
        <f t="shared" si="42"/>
        <v/>
      </c>
      <c r="BB120" s="21" t="str">
        <f t="shared" si="43"/>
        <v/>
      </c>
      <c r="BC120" s="21" t="str">
        <f t="shared" si="44"/>
        <v/>
      </c>
    </row>
    <row r="121" spans="1:55" ht="15.75">
      <c r="A121" s="21" t="str">
        <f>IF(Base!B119="","",Base!B119)</f>
        <v>11.659.510-9</v>
      </c>
      <c r="B121" s="21" t="str">
        <f>IF(Base!F119="","",Base!F119)</f>
        <v>CLAUDIO ARTURO  MUÑOZ  MUÑOZ</v>
      </c>
      <c r="C121" s="21" t="str">
        <f>IF(Base!I119="","",Base!I119)</f>
        <v>Abastecimiento</v>
      </c>
      <c r="D121" s="22" t="str">
        <f>IF(Base!J119="","",Base!J119)</f>
        <v>Control Ingresos Cen</v>
      </c>
      <c r="E121" s="21">
        <f>IF(Base!H119="","",Base!H119)</f>
        <v>1050126</v>
      </c>
      <c r="J121" s="28">
        <v>111</v>
      </c>
      <c r="K121" s="5" t="s">
        <v>1401</v>
      </c>
      <c r="L121" s="58" t="str">
        <f t="shared" si="48"/>
        <v>DENISSE BEATRIZ UBILLA RODRIGUEZ</v>
      </c>
      <c r="M121" s="58">
        <f t="shared" si="49"/>
        <v>1050127</v>
      </c>
      <c r="N121" s="59" t="str">
        <f t="shared" si="28"/>
        <v>Operario Almacenamiento</v>
      </c>
      <c r="O121" s="59" t="str">
        <f t="shared" si="29"/>
        <v>Almacen Insumos Pque</v>
      </c>
      <c r="P121" s="30"/>
      <c r="Q121" s="96"/>
      <c r="R121" s="96"/>
      <c r="S121" s="96"/>
      <c r="T121" s="96"/>
      <c r="U121" s="96"/>
      <c r="V121" s="96"/>
      <c r="W121" s="96"/>
      <c r="X121" s="96"/>
      <c r="Y121" s="96"/>
      <c r="Z121" s="96"/>
      <c r="AA121" s="96"/>
      <c r="AB121" s="96"/>
      <c r="AC121" s="96"/>
      <c r="AD121" s="96"/>
      <c r="AE121" s="32">
        <f t="shared" si="45"/>
        <v>0</v>
      </c>
      <c r="AF121" s="32">
        <f t="shared" si="46"/>
        <v>0</v>
      </c>
      <c r="AG121" s="50"/>
      <c r="AL121" s="21" t="str">
        <f t="shared" si="47"/>
        <v>16.724.323-1</v>
      </c>
      <c r="AM121" s="21">
        <v>112</v>
      </c>
      <c r="AN121" s="21">
        <f t="shared" si="30"/>
        <v>0</v>
      </c>
      <c r="AO121" s="21">
        <f t="shared" si="31"/>
        <v>0</v>
      </c>
      <c r="AP121" s="21">
        <f t="shared" si="32"/>
        <v>0</v>
      </c>
      <c r="AQ121" s="21">
        <f t="shared" si="33"/>
        <v>0</v>
      </c>
      <c r="AR121" s="21">
        <f t="shared" si="34"/>
        <v>0</v>
      </c>
      <c r="AS121" s="21">
        <f t="shared" si="35"/>
        <v>0</v>
      </c>
      <c r="AT121" s="21">
        <f t="shared" si="36"/>
        <v>0</v>
      </c>
      <c r="AU121" s="34">
        <f t="shared" si="37"/>
        <v>0</v>
      </c>
      <c r="AW121" s="21" t="str">
        <f t="shared" si="38"/>
        <v/>
      </c>
      <c r="AX121" s="21" t="str">
        <f t="shared" si="39"/>
        <v/>
      </c>
      <c r="AY121" s="21" t="str">
        <f t="shared" si="40"/>
        <v/>
      </c>
      <c r="AZ121" s="21" t="str">
        <f t="shared" si="41"/>
        <v/>
      </c>
      <c r="BA121" s="21" t="str">
        <f t="shared" si="42"/>
        <v/>
      </c>
      <c r="BB121" s="21" t="str">
        <f t="shared" si="43"/>
        <v/>
      </c>
      <c r="BC121" s="21" t="str">
        <f t="shared" si="44"/>
        <v/>
      </c>
    </row>
    <row r="122" spans="1:55" ht="15.75">
      <c r="A122" s="21" t="str">
        <f>IF(Base!B120="","",Base!B120)</f>
        <v>11.124.307-7</v>
      </c>
      <c r="B122" s="21" t="str">
        <f>IF(Base!F120="","",Base!F120)</f>
        <v>JOSE ENRIQUE  MUÑOZ  QUENPUL</v>
      </c>
      <c r="C122" s="21" t="str">
        <f>IF(Base!I120="","",Base!I120)</f>
        <v>Abastecimiento</v>
      </c>
      <c r="D122" s="22" t="str">
        <f>IF(Base!J120="","",Base!J120)</f>
        <v>Almacen Envases Pirq</v>
      </c>
      <c r="E122" s="21">
        <f>IF(Base!H120="","",Base!H120)</f>
        <v>1050162</v>
      </c>
      <c r="J122" s="28">
        <v>112</v>
      </c>
      <c r="K122" s="5" t="s">
        <v>1061</v>
      </c>
      <c r="L122" s="58" t="str">
        <f t="shared" si="48"/>
        <v>MARCO ANTONIO  VARGAS  MORENO</v>
      </c>
      <c r="M122" s="58">
        <f t="shared" si="49"/>
        <v>1050633</v>
      </c>
      <c r="N122" s="59" t="str">
        <f t="shared" si="28"/>
        <v>Abastecimiento</v>
      </c>
      <c r="O122" s="59" t="str">
        <f t="shared" si="29"/>
        <v>Suministro de Líneas</v>
      </c>
      <c r="P122" s="30" t="s">
        <v>1323</v>
      </c>
      <c r="Q122" s="96"/>
      <c r="R122" s="96"/>
      <c r="S122" s="96"/>
      <c r="T122" s="97">
        <v>7.5</v>
      </c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32">
        <f t="shared" si="45"/>
        <v>0</v>
      </c>
      <c r="AF122" s="32">
        <f t="shared" si="46"/>
        <v>7.5</v>
      </c>
      <c r="AG122" s="47" t="s">
        <v>1461</v>
      </c>
      <c r="AL122" s="21" t="str">
        <f t="shared" si="47"/>
        <v>10.572.816-6</v>
      </c>
      <c r="AM122" s="21">
        <v>113</v>
      </c>
      <c r="AN122" s="21">
        <f t="shared" si="30"/>
        <v>0</v>
      </c>
      <c r="AO122" s="21">
        <f t="shared" si="31"/>
        <v>7.5</v>
      </c>
      <c r="AP122" s="21">
        <f t="shared" si="32"/>
        <v>0</v>
      </c>
      <c r="AQ122" s="21">
        <f t="shared" si="33"/>
        <v>0</v>
      </c>
      <c r="AR122" s="21">
        <f t="shared" si="34"/>
        <v>0</v>
      </c>
      <c r="AS122" s="21">
        <f t="shared" si="35"/>
        <v>0</v>
      </c>
      <c r="AT122" s="21">
        <f t="shared" si="36"/>
        <v>0</v>
      </c>
      <c r="AU122" s="34">
        <f t="shared" si="37"/>
        <v>7.5</v>
      </c>
      <c r="AW122" s="21" t="str">
        <f t="shared" si="38"/>
        <v/>
      </c>
      <c r="AX122" s="21">
        <f t="shared" si="39"/>
        <v>1</v>
      </c>
      <c r="AY122" s="21" t="str">
        <f t="shared" si="40"/>
        <v/>
      </c>
      <c r="AZ122" s="21" t="str">
        <f t="shared" si="41"/>
        <v/>
      </c>
      <c r="BA122" s="21" t="str">
        <f t="shared" si="42"/>
        <v/>
      </c>
      <c r="BB122" s="21" t="str">
        <f t="shared" si="43"/>
        <v/>
      </c>
      <c r="BC122" s="21" t="str">
        <f t="shared" si="44"/>
        <v/>
      </c>
    </row>
    <row r="123" spans="1:55" ht="15.75">
      <c r="A123" s="21" t="str">
        <f>IF(Base!B121="","",Base!B121)</f>
        <v>13.284.709-6</v>
      </c>
      <c r="B123" s="21" t="str">
        <f>IF(Base!F121="","",Base!F121)</f>
        <v>KATHERINE ANDREA  MUÑOZ  RAMIREZ</v>
      </c>
      <c r="C123" s="21" t="str">
        <f>IF(Base!I121="","",Base!I121)</f>
        <v>Linea 3</v>
      </c>
      <c r="D123" s="22" t="str">
        <f>IF(Base!J121="","",Base!J121)</f>
        <v>Inspector etiqueta</v>
      </c>
      <c r="E123" s="21">
        <f>IF(Base!H121="","",Base!H121)</f>
        <v>1050556</v>
      </c>
      <c r="J123" s="28">
        <v>113</v>
      </c>
      <c r="K123" s="5"/>
      <c r="L123" s="58" t="str">
        <f t="shared" si="48"/>
        <v/>
      </c>
      <c r="M123" s="58" t="str">
        <f t="shared" si="49"/>
        <v/>
      </c>
      <c r="N123" s="59" t="str">
        <f t="shared" si="28"/>
        <v/>
      </c>
      <c r="O123" s="59" t="str">
        <f t="shared" si="29"/>
        <v/>
      </c>
      <c r="P123" s="30"/>
      <c r="Q123" s="79"/>
      <c r="R123" s="80"/>
      <c r="S123" s="79"/>
      <c r="T123" s="79"/>
      <c r="U123" s="79"/>
      <c r="V123" s="79"/>
      <c r="W123" s="79"/>
      <c r="X123" s="79"/>
      <c r="Y123" s="79"/>
      <c r="Z123" s="35"/>
      <c r="AA123" s="35"/>
      <c r="AB123" s="31"/>
      <c r="AC123" s="31"/>
      <c r="AD123" s="31"/>
      <c r="AE123" s="32">
        <f t="shared" si="45"/>
        <v>0</v>
      </c>
      <c r="AF123" s="32">
        <f t="shared" si="46"/>
        <v>0</v>
      </c>
      <c r="AG123" s="33"/>
      <c r="AL123" s="21" t="str">
        <f t="shared" si="47"/>
        <v/>
      </c>
      <c r="AM123" s="21">
        <v>114</v>
      </c>
      <c r="AN123" s="21">
        <f t="shared" si="30"/>
        <v>0</v>
      </c>
      <c r="AO123" s="21">
        <f t="shared" si="31"/>
        <v>0</v>
      </c>
      <c r="AP123" s="21">
        <f t="shared" si="32"/>
        <v>0</v>
      </c>
      <c r="AQ123" s="21">
        <f t="shared" si="33"/>
        <v>0</v>
      </c>
      <c r="AR123" s="21">
        <f t="shared" si="34"/>
        <v>0</v>
      </c>
      <c r="AS123" s="21">
        <f t="shared" si="35"/>
        <v>0</v>
      </c>
      <c r="AT123" s="21">
        <f t="shared" si="36"/>
        <v>0</v>
      </c>
      <c r="AU123" s="34">
        <f t="shared" si="37"/>
        <v>0</v>
      </c>
      <c r="AW123" s="21" t="str">
        <f t="shared" si="38"/>
        <v/>
      </c>
      <c r="AX123" s="21" t="str">
        <f t="shared" si="39"/>
        <v/>
      </c>
      <c r="AY123" s="21" t="str">
        <f t="shared" si="40"/>
        <v/>
      </c>
      <c r="AZ123" s="21" t="str">
        <f t="shared" si="41"/>
        <v/>
      </c>
      <c r="BA123" s="21" t="str">
        <f t="shared" si="42"/>
        <v/>
      </c>
      <c r="BB123" s="21" t="str">
        <f t="shared" si="43"/>
        <v/>
      </c>
      <c r="BC123" s="21" t="str">
        <f t="shared" si="44"/>
        <v/>
      </c>
    </row>
    <row r="124" spans="1:55" ht="15.75">
      <c r="A124" s="21" t="str">
        <f>IF(Base!B122="","",Base!B122)</f>
        <v>15.437.429-9</v>
      </c>
      <c r="B124" s="21" t="str">
        <f>IF(Base!F122="","",Base!F122)</f>
        <v>JULIO  NADEAU  JOFRE</v>
      </c>
      <c r="C124" s="21" t="str">
        <f>IF(Base!I122="","",Base!I122)</f>
        <v>Control y Gestión</v>
      </c>
      <c r="D124" s="22" t="str">
        <f>IF(Base!J122="","",Base!J122)</f>
        <v>Analista  almacén</v>
      </c>
      <c r="E124" s="21">
        <f>IF(Base!H122="","",Base!H122)</f>
        <v>1050574</v>
      </c>
      <c r="J124" s="28">
        <v>114</v>
      </c>
      <c r="K124" s="5"/>
      <c r="L124" s="58" t="str">
        <f t="shared" si="48"/>
        <v/>
      </c>
      <c r="M124" s="58" t="str">
        <f t="shared" si="49"/>
        <v/>
      </c>
      <c r="N124" s="59" t="str">
        <f t="shared" si="28"/>
        <v/>
      </c>
      <c r="O124" s="59" t="str">
        <f t="shared" si="29"/>
        <v/>
      </c>
      <c r="P124" s="30"/>
      <c r="Q124" s="79"/>
      <c r="R124" s="80"/>
      <c r="S124" s="79"/>
      <c r="T124" s="79"/>
      <c r="U124" s="79"/>
      <c r="V124" s="79"/>
      <c r="W124" s="79"/>
      <c r="X124" s="79"/>
      <c r="Y124" s="79"/>
      <c r="Z124" s="35"/>
      <c r="AA124" s="35"/>
      <c r="AB124" s="31"/>
      <c r="AC124" s="31"/>
      <c r="AD124" s="31"/>
      <c r="AE124" s="32">
        <f t="shared" si="45"/>
        <v>0</v>
      </c>
      <c r="AF124" s="32">
        <f t="shared" si="46"/>
        <v>0</v>
      </c>
      <c r="AG124" s="33"/>
      <c r="AL124" s="21" t="str">
        <f t="shared" si="47"/>
        <v/>
      </c>
      <c r="AM124" s="21">
        <v>115</v>
      </c>
      <c r="AN124" s="21">
        <f t="shared" si="30"/>
        <v>0</v>
      </c>
      <c r="AO124" s="21">
        <f t="shared" si="31"/>
        <v>0</v>
      </c>
      <c r="AP124" s="21">
        <f t="shared" si="32"/>
        <v>0</v>
      </c>
      <c r="AQ124" s="21">
        <f t="shared" si="33"/>
        <v>0</v>
      </c>
      <c r="AR124" s="21">
        <f t="shared" si="34"/>
        <v>0</v>
      </c>
      <c r="AS124" s="21">
        <f t="shared" si="35"/>
        <v>0</v>
      </c>
      <c r="AT124" s="21">
        <f t="shared" si="36"/>
        <v>0</v>
      </c>
      <c r="AU124" s="34">
        <f t="shared" si="37"/>
        <v>0</v>
      </c>
      <c r="AW124" s="21" t="str">
        <f t="shared" si="38"/>
        <v/>
      </c>
      <c r="AX124" s="21" t="str">
        <f t="shared" si="39"/>
        <v/>
      </c>
      <c r="AY124" s="21" t="str">
        <f t="shared" si="40"/>
        <v/>
      </c>
      <c r="AZ124" s="21" t="str">
        <f t="shared" si="41"/>
        <v/>
      </c>
      <c r="BA124" s="21" t="str">
        <f t="shared" si="42"/>
        <v/>
      </c>
      <c r="BB124" s="21" t="str">
        <f t="shared" si="43"/>
        <v/>
      </c>
      <c r="BC124" s="21" t="str">
        <f t="shared" si="44"/>
        <v/>
      </c>
    </row>
    <row r="125" spans="1:55" ht="15.75">
      <c r="A125" s="21" t="str">
        <f>IF(Base!B123="","",Base!B123)</f>
        <v>11.754.811-2</v>
      </c>
      <c r="B125" s="21" t="str">
        <f>IF(Base!F123="","",Base!F123)</f>
        <v>ALEXIS ANTONIO  NARVAI  DIAZ</v>
      </c>
      <c r="C125" s="21" t="str">
        <f>IF(Base!I123="","",Base!I123)</f>
        <v>Abastecimiento</v>
      </c>
      <c r="D125" s="22" t="str">
        <f>IF(Base!J123="","",Base!J123)</f>
        <v>Supervisor Almacen Insumos</v>
      </c>
      <c r="E125" s="21">
        <f>IF(Base!H123="","",Base!H123)</f>
        <v>1050581</v>
      </c>
      <c r="J125" s="28">
        <v>115</v>
      </c>
      <c r="K125" s="5"/>
      <c r="L125" s="58" t="str">
        <f t="shared" si="48"/>
        <v/>
      </c>
      <c r="M125" s="58" t="str">
        <f t="shared" si="49"/>
        <v/>
      </c>
      <c r="N125" s="59" t="str">
        <f t="shared" si="28"/>
        <v/>
      </c>
      <c r="O125" s="59" t="str">
        <f t="shared" si="29"/>
        <v/>
      </c>
      <c r="P125" s="30"/>
      <c r="Q125" s="79"/>
      <c r="R125" s="80"/>
      <c r="S125" s="79"/>
      <c r="T125" s="79"/>
      <c r="U125" s="79"/>
      <c r="V125" s="79"/>
      <c r="W125" s="79"/>
      <c r="X125" s="79"/>
      <c r="Y125" s="79"/>
      <c r="Z125" s="35"/>
      <c r="AA125" s="35"/>
      <c r="AB125" s="31"/>
      <c r="AC125" s="31"/>
      <c r="AD125" s="31"/>
      <c r="AE125" s="32">
        <f t="shared" si="45"/>
        <v>0</v>
      </c>
      <c r="AF125" s="32">
        <f t="shared" si="46"/>
        <v>0</v>
      </c>
      <c r="AG125" s="33"/>
      <c r="AL125" s="21" t="str">
        <f t="shared" si="47"/>
        <v/>
      </c>
      <c r="AM125" s="21">
        <v>116</v>
      </c>
      <c r="AN125" s="21">
        <f t="shared" si="30"/>
        <v>0</v>
      </c>
      <c r="AO125" s="21">
        <f t="shared" si="31"/>
        <v>0</v>
      </c>
      <c r="AP125" s="21">
        <f t="shared" si="32"/>
        <v>0</v>
      </c>
      <c r="AQ125" s="21">
        <f t="shared" si="33"/>
        <v>0</v>
      </c>
      <c r="AR125" s="21">
        <f t="shared" si="34"/>
        <v>0</v>
      </c>
      <c r="AS125" s="21">
        <f t="shared" si="35"/>
        <v>0</v>
      </c>
      <c r="AT125" s="21">
        <f t="shared" si="36"/>
        <v>0</v>
      </c>
      <c r="AU125" s="34">
        <f t="shared" si="37"/>
        <v>0</v>
      </c>
      <c r="AW125" s="21" t="str">
        <f t="shared" si="38"/>
        <v/>
      </c>
      <c r="AX125" s="21" t="str">
        <f t="shared" si="39"/>
        <v/>
      </c>
      <c r="AY125" s="21" t="str">
        <f t="shared" si="40"/>
        <v/>
      </c>
      <c r="AZ125" s="21" t="str">
        <f t="shared" si="41"/>
        <v/>
      </c>
      <c r="BA125" s="21" t="str">
        <f t="shared" si="42"/>
        <v/>
      </c>
      <c r="BB125" s="21" t="str">
        <f t="shared" si="43"/>
        <v/>
      </c>
      <c r="BC125" s="21" t="str">
        <f t="shared" si="44"/>
        <v/>
      </c>
    </row>
    <row r="126" spans="1:55" ht="15.75">
      <c r="A126" s="21" t="str">
        <f>IF(Base!B124="","",Base!B124)</f>
        <v>12.828.475-3</v>
      </c>
      <c r="B126" s="21" t="str">
        <f>IF(Base!F124="","",Base!F124)</f>
        <v>ELSON GONZALO  NARVAI  DIAZ</v>
      </c>
      <c r="C126" s="21" t="str">
        <f>IF(Base!I124="","",Base!I124)</f>
        <v>Abastecimiento</v>
      </c>
      <c r="D126" s="22" t="str">
        <f>IF(Base!J124="","",Base!J124)</f>
        <v>Reimpresión</v>
      </c>
      <c r="E126" s="21">
        <f>IF(Base!H124="","",Base!H124)</f>
        <v>1050506</v>
      </c>
      <c r="J126" s="28">
        <v>116</v>
      </c>
      <c r="K126" s="5"/>
      <c r="L126" s="58" t="str">
        <f t="shared" si="48"/>
        <v/>
      </c>
      <c r="M126" s="58" t="str">
        <f t="shared" si="49"/>
        <v/>
      </c>
      <c r="N126" s="59" t="str">
        <f t="shared" si="28"/>
        <v/>
      </c>
      <c r="O126" s="59" t="str">
        <f t="shared" si="29"/>
        <v/>
      </c>
      <c r="P126" s="30"/>
      <c r="Q126" s="79"/>
      <c r="R126" s="80"/>
      <c r="S126" s="79"/>
      <c r="T126" s="79"/>
      <c r="U126" s="79"/>
      <c r="V126" s="79"/>
      <c r="W126" s="79"/>
      <c r="X126" s="79"/>
      <c r="Y126" s="79"/>
      <c r="Z126" s="35"/>
      <c r="AA126" s="35"/>
      <c r="AB126" s="31"/>
      <c r="AC126" s="31"/>
      <c r="AD126" s="31"/>
      <c r="AE126" s="32">
        <f t="shared" si="45"/>
        <v>0</v>
      </c>
      <c r="AF126" s="32">
        <f t="shared" si="46"/>
        <v>0</v>
      </c>
      <c r="AG126" s="33"/>
      <c r="AL126" s="21" t="str">
        <f t="shared" si="47"/>
        <v/>
      </c>
      <c r="AM126" s="21">
        <v>117</v>
      </c>
      <c r="AN126" s="21">
        <f t="shared" si="30"/>
        <v>0</v>
      </c>
      <c r="AO126" s="21">
        <f t="shared" si="31"/>
        <v>0</v>
      </c>
      <c r="AP126" s="21">
        <f t="shared" si="32"/>
        <v>0</v>
      </c>
      <c r="AQ126" s="21">
        <f t="shared" si="33"/>
        <v>0</v>
      </c>
      <c r="AR126" s="21">
        <f t="shared" si="34"/>
        <v>0</v>
      </c>
      <c r="AS126" s="21">
        <f t="shared" si="35"/>
        <v>0</v>
      </c>
      <c r="AT126" s="21">
        <f t="shared" si="36"/>
        <v>0</v>
      </c>
      <c r="AU126" s="34">
        <f t="shared" si="37"/>
        <v>0</v>
      </c>
      <c r="AW126" s="21" t="str">
        <f t="shared" si="38"/>
        <v/>
      </c>
      <c r="AX126" s="21" t="str">
        <f t="shared" si="39"/>
        <v/>
      </c>
      <c r="AY126" s="21" t="str">
        <f t="shared" si="40"/>
        <v/>
      </c>
      <c r="AZ126" s="21" t="str">
        <f t="shared" si="41"/>
        <v/>
      </c>
      <c r="BA126" s="21" t="str">
        <f t="shared" si="42"/>
        <v/>
      </c>
      <c r="BB126" s="21" t="str">
        <f t="shared" si="43"/>
        <v/>
      </c>
      <c r="BC126" s="21" t="str">
        <f t="shared" si="44"/>
        <v/>
      </c>
    </row>
    <row r="127" spans="1:55" ht="15">
      <c r="A127" s="21" t="str">
        <f>IF(Base!B125="","",Base!B125)</f>
        <v>11.523.497-8</v>
      </c>
      <c r="B127" s="21" t="str">
        <f>IF(Base!F125="","",Base!F125)</f>
        <v>LUIS  NARVAI  DIAZ</v>
      </c>
      <c r="C127" s="21" t="str">
        <f>IF(Base!I125="","",Base!I125)</f>
        <v>Abastecimiento</v>
      </c>
      <c r="D127" s="22" t="str">
        <f>IF(Base!J125="","",Base!J125)</f>
        <v>Almacen Insumos Pque</v>
      </c>
      <c r="E127" s="21">
        <f>IF(Base!H125="","",Base!H125)</f>
        <v>1050581</v>
      </c>
      <c r="J127" s="28">
        <v>117</v>
      </c>
      <c r="K127" s="5"/>
      <c r="L127" s="58" t="str">
        <f t="shared" si="48"/>
        <v/>
      </c>
      <c r="M127" s="58" t="str">
        <f t="shared" si="49"/>
        <v/>
      </c>
      <c r="N127" s="59" t="str">
        <f t="shared" si="28"/>
        <v/>
      </c>
      <c r="O127" s="59" t="str">
        <f t="shared" si="29"/>
        <v/>
      </c>
      <c r="P127" s="30"/>
      <c r="Q127" s="35"/>
      <c r="R127" s="63"/>
      <c r="S127" s="35"/>
      <c r="T127" s="35"/>
      <c r="U127" s="35"/>
      <c r="V127" s="35"/>
      <c r="W127" s="35"/>
      <c r="X127" s="35"/>
      <c r="Y127" s="35"/>
      <c r="Z127" s="35"/>
      <c r="AA127" s="35"/>
      <c r="AB127" s="31"/>
      <c r="AC127" s="31"/>
      <c r="AD127" s="31"/>
      <c r="AE127" s="32">
        <f t="shared" si="45"/>
        <v>0</v>
      </c>
      <c r="AF127" s="32">
        <f t="shared" si="46"/>
        <v>0</v>
      </c>
      <c r="AG127" s="33"/>
      <c r="AL127" s="21" t="str">
        <f t="shared" si="47"/>
        <v/>
      </c>
      <c r="AM127" s="21">
        <v>118</v>
      </c>
      <c r="AN127" s="21">
        <f t="shared" si="30"/>
        <v>0</v>
      </c>
      <c r="AO127" s="21">
        <f t="shared" si="31"/>
        <v>0</v>
      </c>
      <c r="AP127" s="21">
        <f t="shared" si="32"/>
        <v>0</v>
      </c>
      <c r="AQ127" s="21">
        <f t="shared" si="33"/>
        <v>0</v>
      </c>
      <c r="AR127" s="21">
        <f t="shared" si="34"/>
        <v>0</v>
      </c>
      <c r="AS127" s="21">
        <f t="shared" si="35"/>
        <v>0</v>
      </c>
      <c r="AT127" s="21">
        <f t="shared" si="36"/>
        <v>0</v>
      </c>
      <c r="AU127" s="34">
        <f t="shared" si="37"/>
        <v>0</v>
      </c>
      <c r="AW127" s="21" t="str">
        <f t="shared" si="38"/>
        <v/>
      </c>
      <c r="AX127" s="21" t="str">
        <f t="shared" si="39"/>
        <v/>
      </c>
      <c r="AY127" s="21" t="str">
        <f t="shared" si="40"/>
        <v/>
      </c>
      <c r="AZ127" s="21" t="str">
        <f t="shared" si="41"/>
        <v/>
      </c>
      <c r="BA127" s="21" t="str">
        <f t="shared" si="42"/>
        <v/>
      </c>
      <c r="BB127" s="21" t="str">
        <f t="shared" si="43"/>
        <v/>
      </c>
      <c r="BC127" s="21" t="str">
        <f t="shared" si="44"/>
        <v/>
      </c>
    </row>
    <row r="128" spans="1:55" ht="15">
      <c r="A128" s="21" t="str">
        <f>IF(Base!B126="","",Base!B126)</f>
        <v>07.481.602-9</v>
      </c>
      <c r="B128" s="21" t="str">
        <f>IF(Base!F126="","",Base!F126)</f>
        <v>JORGE PATRICIO  NARVAI  RIVERA</v>
      </c>
      <c r="C128" s="21" t="str">
        <f>IF(Base!I126="","",Base!I126)</f>
        <v>Abastecimiento</v>
      </c>
      <c r="D128" s="22" t="str">
        <f>IF(Base!J126="","",Base!J126)</f>
        <v>Control Ingresos Cen</v>
      </c>
      <c r="E128" s="21">
        <f>IF(Base!H126="","",Base!H126)</f>
        <v>1050126</v>
      </c>
      <c r="J128" s="28">
        <v>118</v>
      </c>
      <c r="K128" s="5"/>
      <c r="L128" s="58" t="str">
        <f t="shared" si="48"/>
        <v/>
      </c>
      <c r="M128" s="58" t="str">
        <f t="shared" si="49"/>
        <v/>
      </c>
      <c r="N128" s="59" t="str">
        <f t="shared" si="28"/>
        <v/>
      </c>
      <c r="O128" s="59" t="str">
        <f t="shared" si="29"/>
        <v/>
      </c>
      <c r="P128" s="30"/>
      <c r="Q128" s="35"/>
      <c r="R128" s="63"/>
      <c r="S128" s="35"/>
      <c r="T128" s="35"/>
      <c r="U128" s="35"/>
      <c r="V128" s="35"/>
      <c r="W128" s="35"/>
      <c r="X128" s="35"/>
      <c r="Y128" s="35"/>
      <c r="Z128" s="35"/>
      <c r="AA128" s="35"/>
      <c r="AB128" s="31"/>
      <c r="AC128" s="31"/>
      <c r="AD128" s="31"/>
      <c r="AE128" s="32">
        <f t="shared" si="45"/>
        <v>0</v>
      </c>
      <c r="AF128" s="32">
        <f t="shared" si="46"/>
        <v>0</v>
      </c>
      <c r="AG128" s="33"/>
      <c r="AL128" s="21" t="str">
        <f t="shared" si="47"/>
        <v/>
      </c>
      <c r="AM128" s="21">
        <v>119</v>
      </c>
      <c r="AN128" s="21">
        <f t="shared" si="30"/>
        <v>0</v>
      </c>
      <c r="AO128" s="21">
        <f t="shared" si="31"/>
        <v>0</v>
      </c>
      <c r="AP128" s="21">
        <f t="shared" si="32"/>
        <v>0</v>
      </c>
      <c r="AQ128" s="21">
        <f t="shared" si="33"/>
        <v>0</v>
      </c>
      <c r="AR128" s="21">
        <f t="shared" si="34"/>
        <v>0</v>
      </c>
      <c r="AS128" s="21">
        <f t="shared" si="35"/>
        <v>0</v>
      </c>
      <c r="AT128" s="21">
        <f t="shared" si="36"/>
        <v>0</v>
      </c>
      <c r="AU128" s="34">
        <f t="shared" si="37"/>
        <v>0</v>
      </c>
      <c r="AW128" s="21" t="str">
        <f t="shared" si="38"/>
        <v/>
      </c>
      <c r="AX128" s="21" t="str">
        <f t="shared" si="39"/>
        <v/>
      </c>
      <c r="AY128" s="21" t="str">
        <f t="shared" si="40"/>
        <v/>
      </c>
      <c r="AZ128" s="21" t="str">
        <f t="shared" si="41"/>
        <v/>
      </c>
      <c r="BA128" s="21" t="str">
        <f t="shared" si="42"/>
        <v/>
      </c>
      <c r="BB128" s="21" t="str">
        <f t="shared" si="43"/>
        <v/>
      </c>
      <c r="BC128" s="21" t="str">
        <f t="shared" si="44"/>
        <v/>
      </c>
    </row>
    <row r="129" spans="1:55" ht="15">
      <c r="A129" s="21" t="str">
        <f>IF(Base!B127="","",Base!B127)</f>
        <v>12.934.132-7</v>
      </c>
      <c r="B129" s="21" t="str">
        <f>IF(Base!F127="","",Base!F127)</f>
        <v>VICTOR IVAN  NITOR  TORRES</v>
      </c>
      <c r="C129" s="21" t="str">
        <f>IF(Base!I127="","",Base!I127)</f>
        <v>Supervisor</v>
      </c>
      <c r="D129" s="22" t="str">
        <f>IF(Base!J127="","",Base!J127)</f>
        <v>Supervisor</v>
      </c>
      <c r="E129" s="21">
        <f>IF(Base!H127="","",Base!H127)</f>
        <v>1050603</v>
      </c>
      <c r="J129" s="28">
        <v>119</v>
      </c>
      <c r="K129" s="5"/>
      <c r="L129" s="58" t="str">
        <f t="shared" si="48"/>
        <v/>
      </c>
      <c r="M129" s="58" t="str">
        <f t="shared" si="49"/>
        <v/>
      </c>
      <c r="N129" s="59" t="str">
        <f t="shared" si="28"/>
        <v/>
      </c>
      <c r="O129" s="59" t="str">
        <f t="shared" si="29"/>
        <v/>
      </c>
      <c r="P129" s="30"/>
      <c r="Q129" s="35"/>
      <c r="R129" s="63"/>
      <c r="S129" s="35"/>
      <c r="T129" s="35"/>
      <c r="U129" s="35"/>
      <c r="V129" s="35"/>
      <c r="W129" s="35"/>
      <c r="X129" s="35"/>
      <c r="Y129" s="35"/>
      <c r="Z129" s="35"/>
      <c r="AA129" s="35"/>
      <c r="AB129" s="31"/>
      <c r="AC129" s="31"/>
      <c r="AD129" s="31"/>
      <c r="AE129" s="32">
        <f t="shared" si="45"/>
        <v>0</v>
      </c>
      <c r="AF129" s="32">
        <f t="shared" si="46"/>
        <v>0</v>
      </c>
      <c r="AG129" s="33"/>
      <c r="AL129" s="21" t="str">
        <f t="shared" si="47"/>
        <v/>
      </c>
      <c r="AM129" s="21">
        <v>120</v>
      </c>
      <c r="AN129" s="21">
        <f t="shared" si="30"/>
        <v>0</v>
      </c>
      <c r="AO129" s="21">
        <f t="shared" si="31"/>
        <v>0</v>
      </c>
      <c r="AP129" s="21">
        <f t="shared" si="32"/>
        <v>0</v>
      </c>
      <c r="AQ129" s="21">
        <f t="shared" si="33"/>
        <v>0</v>
      </c>
      <c r="AR129" s="21">
        <f t="shared" si="34"/>
        <v>0</v>
      </c>
      <c r="AS129" s="21">
        <f t="shared" si="35"/>
        <v>0</v>
      </c>
      <c r="AT129" s="21">
        <f t="shared" si="36"/>
        <v>0</v>
      </c>
      <c r="AU129" s="34">
        <f t="shared" si="37"/>
        <v>0</v>
      </c>
      <c r="AW129" s="21" t="str">
        <f t="shared" si="38"/>
        <v/>
      </c>
      <c r="AX129" s="21" t="str">
        <f t="shared" si="39"/>
        <v/>
      </c>
      <c r="AY129" s="21" t="str">
        <f t="shared" si="40"/>
        <v/>
      </c>
      <c r="AZ129" s="21" t="str">
        <f t="shared" si="41"/>
        <v/>
      </c>
      <c r="BA129" s="21" t="str">
        <f t="shared" si="42"/>
        <v/>
      </c>
      <c r="BB129" s="21" t="str">
        <f t="shared" si="43"/>
        <v/>
      </c>
      <c r="BC129" s="21" t="str">
        <f t="shared" si="44"/>
        <v/>
      </c>
    </row>
    <row r="130" spans="1:55" ht="15">
      <c r="A130" s="21" t="str">
        <f>IF(Base!B128="","",Base!B128)</f>
        <v>04.776.546-3</v>
      </c>
      <c r="B130" s="21" t="str">
        <f>IF(Base!F128="","",Base!F128)</f>
        <v>EUGENIO  OLEKSIUK  SEKOWSKA</v>
      </c>
      <c r="C130" s="21" t="str">
        <f>IF(Base!I128="","",Base!I128)</f>
        <v>Linea 7</v>
      </c>
      <c r="D130" s="22" t="str">
        <f>IF(Base!J128="","",Base!J128)</f>
        <v>Embalador</v>
      </c>
      <c r="E130" s="21">
        <f>IF(Base!H128="","",Base!H128)</f>
        <v>1050616</v>
      </c>
      <c r="J130" s="28">
        <v>120</v>
      </c>
      <c r="K130" s="5"/>
      <c r="L130" s="58" t="str">
        <f t="shared" si="48"/>
        <v/>
      </c>
      <c r="M130" s="58" t="str">
        <f t="shared" si="49"/>
        <v/>
      </c>
      <c r="N130" s="59" t="str">
        <f t="shared" si="28"/>
        <v/>
      </c>
      <c r="O130" s="59" t="str">
        <f t="shared" si="29"/>
        <v/>
      </c>
      <c r="P130" s="30"/>
      <c r="Q130" s="35"/>
      <c r="R130" s="63"/>
      <c r="S130" s="35"/>
      <c r="T130" s="35"/>
      <c r="U130" s="35"/>
      <c r="V130" s="35"/>
      <c r="W130" s="35"/>
      <c r="X130" s="35"/>
      <c r="Y130" s="35"/>
      <c r="Z130" s="35"/>
      <c r="AA130" s="35"/>
      <c r="AB130" s="31"/>
      <c r="AC130" s="31"/>
      <c r="AD130" s="31"/>
      <c r="AE130" s="32">
        <f t="shared" si="45"/>
        <v>0</v>
      </c>
      <c r="AF130" s="32">
        <f t="shared" si="46"/>
        <v>0</v>
      </c>
      <c r="AG130" s="33"/>
      <c r="AL130" s="21" t="str">
        <f t="shared" si="47"/>
        <v/>
      </c>
      <c r="AM130" s="21">
        <v>121</v>
      </c>
      <c r="AN130" s="21">
        <f t="shared" si="30"/>
        <v>0</v>
      </c>
      <c r="AO130" s="21">
        <f t="shared" si="31"/>
        <v>0</v>
      </c>
      <c r="AP130" s="21">
        <f t="shared" si="32"/>
        <v>0</v>
      </c>
      <c r="AQ130" s="21">
        <f t="shared" si="33"/>
        <v>0</v>
      </c>
      <c r="AR130" s="21">
        <f t="shared" si="34"/>
        <v>0</v>
      </c>
      <c r="AS130" s="21">
        <f t="shared" si="35"/>
        <v>0</v>
      </c>
      <c r="AT130" s="21">
        <f t="shared" si="36"/>
        <v>0</v>
      </c>
      <c r="AU130" s="34">
        <f t="shared" si="37"/>
        <v>0</v>
      </c>
      <c r="AW130" s="21" t="str">
        <f t="shared" si="38"/>
        <v/>
      </c>
      <c r="AX130" s="21" t="str">
        <f t="shared" si="39"/>
        <v/>
      </c>
      <c r="AY130" s="21" t="str">
        <f t="shared" si="40"/>
        <v/>
      </c>
      <c r="AZ130" s="21" t="str">
        <f t="shared" si="41"/>
        <v/>
      </c>
      <c r="BA130" s="21" t="str">
        <f t="shared" si="42"/>
        <v/>
      </c>
      <c r="BB130" s="21" t="str">
        <f t="shared" si="43"/>
        <v/>
      </c>
      <c r="BC130" s="21" t="str">
        <f t="shared" si="44"/>
        <v/>
      </c>
    </row>
    <row r="131" spans="1:55" ht="15">
      <c r="A131" s="21" t="str">
        <f>IF(Base!B129="","",Base!B129)</f>
        <v>10.746.078-0</v>
      </c>
      <c r="B131" s="21" t="str">
        <f>IF(Base!F129="","",Base!F129)</f>
        <v>ARMANDO  ORELLANA  OLIVARES</v>
      </c>
      <c r="C131" s="21" t="str">
        <f>IF(Base!I129="","",Base!I129)</f>
        <v>Sala filtros</v>
      </c>
      <c r="D131" s="22" t="str">
        <f>IF(Base!J129="","",Base!J129)</f>
        <v>Operador sala de filtros</v>
      </c>
      <c r="E131" s="21">
        <f>IF(Base!H129="","",Base!H129)</f>
        <v>1050574</v>
      </c>
      <c r="J131" s="28">
        <v>121</v>
      </c>
      <c r="K131" s="5"/>
      <c r="L131" s="58" t="str">
        <f t="shared" si="48"/>
        <v/>
      </c>
      <c r="M131" s="58" t="str">
        <f t="shared" si="49"/>
        <v/>
      </c>
      <c r="N131" s="59" t="str">
        <f t="shared" si="28"/>
        <v/>
      </c>
      <c r="O131" s="59" t="str">
        <f t="shared" si="29"/>
        <v/>
      </c>
      <c r="P131" s="30"/>
      <c r="Q131" s="35"/>
      <c r="R131" s="63"/>
      <c r="S131" s="35"/>
      <c r="T131" s="35"/>
      <c r="U131" s="35"/>
      <c r="V131" s="35"/>
      <c r="W131" s="35"/>
      <c r="X131" s="35"/>
      <c r="Y131" s="35"/>
      <c r="Z131" s="35"/>
      <c r="AA131" s="35"/>
      <c r="AB131" s="31"/>
      <c r="AC131" s="31"/>
      <c r="AD131" s="31"/>
      <c r="AE131" s="32">
        <f t="shared" si="45"/>
        <v>0</v>
      </c>
      <c r="AF131" s="32">
        <f t="shared" si="46"/>
        <v>0</v>
      </c>
      <c r="AG131" s="33"/>
      <c r="AL131" s="21" t="str">
        <f t="shared" si="47"/>
        <v/>
      </c>
      <c r="AM131" s="21">
        <v>122</v>
      </c>
      <c r="AN131" s="21">
        <f t="shared" si="30"/>
        <v>0</v>
      </c>
      <c r="AO131" s="21">
        <f t="shared" si="31"/>
        <v>0</v>
      </c>
      <c r="AP131" s="21">
        <f t="shared" si="32"/>
        <v>0</v>
      </c>
      <c r="AQ131" s="21">
        <f t="shared" si="33"/>
        <v>0</v>
      </c>
      <c r="AR131" s="21">
        <f t="shared" si="34"/>
        <v>0</v>
      </c>
      <c r="AS131" s="21">
        <f t="shared" si="35"/>
        <v>0</v>
      </c>
      <c r="AT131" s="21">
        <f t="shared" si="36"/>
        <v>0</v>
      </c>
      <c r="AU131" s="34">
        <f t="shared" si="37"/>
        <v>0</v>
      </c>
      <c r="AW131" s="21" t="str">
        <f t="shared" si="38"/>
        <v/>
      </c>
      <c r="AX131" s="21" t="str">
        <f t="shared" si="39"/>
        <v/>
      </c>
      <c r="AY131" s="21" t="str">
        <f t="shared" si="40"/>
        <v/>
      </c>
      <c r="AZ131" s="21" t="str">
        <f t="shared" si="41"/>
        <v/>
      </c>
      <c r="BA131" s="21" t="str">
        <f t="shared" si="42"/>
        <v/>
      </c>
      <c r="BB131" s="21" t="str">
        <f t="shared" si="43"/>
        <v/>
      </c>
      <c r="BC131" s="21" t="str">
        <f t="shared" si="44"/>
        <v/>
      </c>
    </row>
    <row r="132" spans="1:55" ht="15">
      <c r="A132" s="21" t="str">
        <f>IF(Base!B130="","",Base!B130)</f>
        <v>15.823.421-1</v>
      </c>
      <c r="B132" s="21" t="str">
        <f>IF(Base!F130="","",Base!F130)</f>
        <v>ALEXIS  ORIAS  ORIAS</v>
      </c>
      <c r="C132" s="21" t="str">
        <f>IF(Base!I130="","",Base!I130)</f>
        <v>Linea 1</v>
      </c>
      <c r="D132" s="22" t="str">
        <f>IF(Base!J130="","",Base!J130)</f>
        <v>Etiquetador</v>
      </c>
      <c r="E132" s="21">
        <f>IF(Base!H130="","",Base!H130)</f>
        <v>1050552</v>
      </c>
      <c r="J132" s="28">
        <v>122</v>
      </c>
      <c r="K132" s="5"/>
      <c r="L132" s="58" t="str">
        <f t="shared" si="48"/>
        <v/>
      </c>
      <c r="M132" s="58" t="str">
        <f t="shared" si="49"/>
        <v/>
      </c>
      <c r="N132" s="59" t="str">
        <f t="shared" si="28"/>
        <v/>
      </c>
      <c r="O132" s="59" t="str">
        <f t="shared" si="29"/>
        <v/>
      </c>
      <c r="P132" s="30"/>
      <c r="Q132" s="35"/>
      <c r="R132" s="63"/>
      <c r="S132" s="35"/>
      <c r="T132" s="35"/>
      <c r="U132" s="35"/>
      <c r="V132" s="35"/>
      <c r="W132" s="35"/>
      <c r="X132" s="35"/>
      <c r="Y132" s="35"/>
      <c r="Z132" s="35"/>
      <c r="AA132" s="35"/>
      <c r="AB132" s="31"/>
      <c r="AC132" s="31"/>
      <c r="AD132" s="31"/>
      <c r="AE132" s="32">
        <f t="shared" si="45"/>
        <v>0</v>
      </c>
      <c r="AF132" s="32">
        <f t="shared" si="46"/>
        <v>0</v>
      </c>
      <c r="AG132" s="33"/>
      <c r="AL132" s="21" t="str">
        <f t="shared" si="47"/>
        <v/>
      </c>
      <c r="AM132" s="21">
        <v>123</v>
      </c>
      <c r="AN132" s="21">
        <f t="shared" si="30"/>
        <v>0</v>
      </c>
      <c r="AO132" s="21">
        <f t="shared" si="31"/>
        <v>0</v>
      </c>
      <c r="AP132" s="21">
        <f t="shared" si="32"/>
        <v>0</v>
      </c>
      <c r="AQ132" s="21">
        <f t="shared" si="33"/>
        <v>0</v>
      </c>
      <c r="AR132" s="21">
        <f t="shared" si="34"/>
        <v>0</v>
      </c>
      <c r="AS132" s="21">
        <f t="shared" si="35"/>
        <v>0</v>
      </c>
      <c r="AT132" s="21">
        <f t="shared" si="36"/>
        <v>0</v>
      </c>
      <c r="AU132" s="34">
        <f t="shared" si="37"/>
        <v>0</v>
      </c>
      <c r="AW132" s="21" t="str">
        <f t="shared" si="38"/>
        <v/>
      </c>
      <c r="AX132" s="21" t="str">
        <f t="shared" si="39"/>
        <v/>
      </c>
      <c r="AY132" s="21" t="str">
        <f t="shared" si="40"/>
        <v/>
      </c>
      <c r="AZ132" s="21" t="str">
        <f t="shared" si="41"/>
        <v/>
      </c>
      <c r="BA132" s="21" t="str">
        <f t="shared" si="42"/>
        <v/>
      </c>
      <c r="BB132" s="21" t="str">
        <f t="shared" si="43"/>
        <v/>
      </c>
      <c r="BC132" s="21" t="str">
        <f t="shared" si="44"/>
        <v/>
      </c>
    </row>
    <row r="133" spans="1:55" ht="15">
      <c r="A133" s="21" t="str">
        <f>IF(Base!B131="","",Base!B131)</f>
        <v>09.503.712-7</v>
      </c>
      <c r="B133" s="21" t="str">
        <f>IF(Base!F131="","",Base!F131)</f>
        <v>MANUEL  ORTIZ  CONTRERAS</v>
      </c>
      <c r="C133" s="21" t="str">
        <f>IF(Base!I131="","",Base!I131)</f>
        <v>Linea 4</v>
      </c>
      <c r="D133" s="22" t="str">
        <f>IF(Base!J131="","",Base!J131)</f>
        <v>Llenador</v>
      </c>
      <c r="E133" s="21">
        <f>IF(Base!H131="","",Base!H131)</f>
        <v>1050557</v>
      </c>
      <c r="J133" s="28">
        <v>123</v>
      </c>
      <c r="K133" s="5"/>
      <c r="L133" s="58" t="str">
        <f t="shared" si="48"/>
        <v/>
      </c>
      <c r="M133" s="58" t="str">
        <f t="shared" si="49"/>
        <v/>
      </c>
      <c r="N133" s="59" t="str">
        <f t="shared" si="28"/>
        <v/>
      </c>
      <c r="O133" s="59" t="str">
        <f t="shared" si="29"/>
        <v/>
      </c>
      <c r="P133" s="30"/>
      <c r="Q133" s="35"/>
      <c r="R133" s="63"/>
      <c r="S133" s="35"/>
      <c r="T133" s="35"/>
      <c r="U133" s="35"/>
      <c r="V133" s="35"/>
      <c r="W133" s="35"/>
      <c r="X133" s="35"/>
      <c r="Y133" s="35"/>
      <c r="Z133" s="35"/>
      <c r="AA133" s="35"/>
      <c r="AB133" s="31"/>
      <c r="AC133" s="31"/>
      <c r="AD133" s="31"/>
      <c r="AE133" s="32">
        <f t="shared" si="45"/>
        <v>0</v>
      </c>
      <c r="AF133" s="32">
        <f t="shared" si="46"/>
        <v>0</v>
      </c>
      <c r="AG133" s="33"/>
      <c r="AL133" s="21" t="str">
        <f t="shared" si="47"/>
        <v/>
      </c>
      <c r="AM133" s="21">
        <v>124</v>
      </c>
      <c r="AN133" s="21">
        <f t="shared" si="30"/>
        <v>0</v>
      </c>
      <c r="AO133" s="21">
        <f t="shared" si="31"/>
        <v>0</v>
      </c>
      <c r="AP133" s="21">
        <f t="shared" si="32"/>
        <v>0</v>
      </c>
      <c r="AQ133" s="21">
        <f t="shared" si="33"/>
        <v>0</v>
      </c>
      <c r="AR133" s="21">
        <f t="shared" si="34"/>
        <v>0</v>
      </c>
      <c r="AS133" s="21">
        <f t="shared" si="35"/>
        <v>0</v>
      </c>
      <c r="AT133" s="21">
        <f t="shared" si="36"/>
        <v>0</v>
      </c>
      <c r="AU133" s="34">
        <f t="shared" si="37"/>
        <v>0</v>
      </c>
      <c r="AW133" s="21" t="str">
        <f t="shared" si="38"/>
        <v/>
      </c>
      <c r="AX133" s="21" t="str">
        <f t="shared" si="39"/>
        <v/>
      </c>
      <c r="AY133" s="21" t="str">
        <f t="shared" si="40"/>
        <v/>
      </c>
      <c r="AZ133" s="21" t="str">
        <f t="shared" si="41"/>
        <v/>
      </c>
      <c r="BA133" s="21" t="str">
        <f t="shared" si="42"/>
        <v/>
      </c>
      <c r="BB133" s="21" t="str">
        <f t="shared" si="43"/>
        <v/>
      </c>
      <c r="BC133" s="21" t="str">
        <f t="shared" si="44"/>
        <v/>
      </c>
    </row>
    <row r="134" spans="1:55" ht="15">
      <c r="A134" s="21" t="str">
        <f>IF(Base!B132="","",Base!B132)</f>
        <v>08.272.509-1</v>
      </c>
      <c r="B134" s="21" t="str">
        <f>IF(Base!F132="","",Base!F132)</f>
        <v>JORGE MANUEL  OSORIO  OSORIO</v>
      </c>
      <c r="C134" s="21" t="str">
        <f>IF(Base!I132="","",Base!I132)</f>
        <v>Linea 7</v>
      </c>
      <c r="D134" s="22" t="str">
        <f>IF(Base!J132="","",Base!J132)</f>
        <v>Despalletizador</v>
      </c>
      <c r="E134" s="21">
        <f>IF(Base!H132="","",Base!H132)</f>
        <v>1050616</v>
      </c>
      <c r="J134" s="28">
        <v>124</v>
      </c>
      <c r="K134" s="5"/>
      <c r="L134" s="58" t="str">
        <f t="shared" si="48"/>
        <v/>
      </c>
      <c r="M134" s="58" t="str">
        <f t="shared" si="49"/>
        <v/>
      </c>
      <c r="N134" s="59" t="str">
        <f t="shared" si="28"/>
        <v/>
      </c>
      <c r="O134" s="59" t="str">
        <f t="shared" si="29"/>
        <v/>
      </c>
      <c r="P134" s="30"/>
      <c r="Q134" s="35"/>
      <c r="R134" s="63"/>
      <c r="S134" s="35"/>
      <c r="T134" s="35"/>
      <c r="U134" s="35"/>
      <c r="V134" s="35"/>
      <c r="W134" s="35"/>
      <c r="X134" s="35"/>
      <c r="Y134" s="35"/>
      <c r="Z134" s="35"/>
      <c r="AA134" s="35"/>
      <c r="AB134" s="31"/>
      <c r="AC134" s="31"/>
      <c r="AD134" s="31"/>
      <c r="AE134" s="32">
        <f t="shared" si="45"/>
        <v>0</v>
      </c>
      <c r="AF134" s="32">
        <f t="shared" si="46"/>
        <v>0</v>
      </c>
      <c r="AG134" s="33"/>
      <c r="AL134" s="21" t="str">
        <f t="shared" si="47"/>
        <v/>
      </c>
      <c r="AM134" s="21">
        <v>125</v>
      </c>
      <c r="AN134" s="21">
        <f t="shared" si="30"/>
        <v>0</v>
      </c>
      <c r="AO134" s="21">
        <f t="shared" si="31"/>
        <v>0</v>
      </c>
      <c r="AP134" s="21">
        <f t="shared" si="32"/>
        <v>0</v>
      </c>
      <c r="AQ134" s="21">
        <f t="shared" si="33"/>
        <v>0</v>
      </c>
      <c r="AR134" s="21">
        <f t="shared" si="34"/>
        <v>0</v>
      </c>
      <c r="AS134" s="21">
        <f t="shared" si="35"/>
        <v>0</v>
      </c>
      <c r="AT134" s="21">
        <f t="shared" si="36"/>
        <v>0</v>
      </c>
      <c r="AU134" s="34">
        <f t="shared" si="37"/>
        <v>0</v>
      </c>
      <c r="AW134" s="21" t="str">
        <f t="shared" si="38"/>
        <v/>
      </c>
      <c r="AX134" s="21" t="str">
        <f t="shared" si="39"/>
        <v/>
      </c>
      <c r="AY134" s="21" t="str">
        <f t="shared" si="40"/>
        <v/>
      </c>
      <c r="AZ134" s="21" t="str">
        <f t="shared" si="41"/>
        <v/>
      </c>
      <c r="BA134" s="21" t="str">
        <f t="shared" si="42"/>
        <v/>
      </c>
      <c r="BB134" s="21" t="str">
        <f t="shared" si="43"/>
        <v/>
      </c>
      <c r="BC134" s="21" t="str">
        <f t="shared" si="44"/>
        <v/>
      </c>
    </row>
    <row r="135" spans="1:55" ht="15">
      <c r="A135" s="21" t="str">
        <f>IF(Base!B133="","",Base!B133)</f>
        <v>13.681.026-K</v>
      </c>
      <c r="B135" s="21" t="str">
        <f>IF(Base!F133="","",Base!F133)</f>
        <v>JULIO HERNAN  OYANEDEL  COFRE</v>
      </c>
      <c r="C135" s="21" t="str">
        <f>IF(Base!I133="","",Base!I133)</f>
        <v>Abastecimiento</v>
      </c>
      <c r="D135" s="22" t="str">
        <f>IF(Base!J133="","",Base!J133)</f>
        <v>Almacen Insumos Pque</v>
      </c>
      <c r="E135" s="21">
        <f>IF(Base!H133="","",Base!H133)</f>
        <v>1050581</v>
      </c>
      <c r="J135" s="28">
        <v>125</v>
      </c>
      <c r="K135" s="5"/>
      <c r="L135" s="58" t="str">
        <f t="shared" si="48"/>
        <v/>
      </c>
      <c r="M135" s="58" t="str">
        <f t="shared" si="49"/>
        <v/>
      </c>
      <c r="N135" s="59" t="str">
        <f t="shared" si="28"/>
        <v/>
      </c>
      <c r="O135" s="59" t="str">
        <f t="shared" si="29"/>
        <v/>
      </c>
      <c r="P135" s="30"/>
      <c r="Q135" s="35"/>
      <c r="R135" s="63"/>
      <c r="S135" s="35"/>
      <c r="T135" s="35"/>
      <c r="U135" s="35"/>
      <c r="V135" s="35"/>
      <c r="W135" s="35"/>
      <c r="X135" s="35"/>
      <c r="Y135" s="35"/>
      <c r="Z135" s="35"/>
      <c r="AA135" s="35"/>
      <c r="AB135" s="31"/>
      <c r="AC135" s="31"/>
      <c r="AD135" s="31"/>
      <c r="AE135" s="32">
        <f t="shared" si="45"/>
        <v>0</v>
      </c>
      <c r="AF135" s="32">
        <f t="shared" si="46"/>
        <v>0</v>
      </c>
      <c r="AG135" s="33"/>
      <c r="AL135" s="21" t="str">
        <f t="shared" si="47"/>
        <v/>
      </c>
      <c r="AM135" s="21">
        <v>126</v>
      </c>
      <c r="AN135" s="21">
        <f t="shared" si="30"/>
        <v>0</v>
      </c>
      <c r="AO135" s="21">
        <f t="shared" si="31"/>
        <v>0</v>
      </c>
      <c r="AP135" s="21">
        <f t="shared" si="32"/>
        <v>0</v>
      </c>
      <c r="AQ135" s="21">
        <f t="shared" si="33"/>
        <v>0</v>
      </c>
      <c r="AR135" s="21">
        <f t="shared" si="34"/>
        <v>0</v>
      </c>
      <c r="AS135" s="21">
        <f t="shared" si="35"/>
        <v>0</v>
      </c>
      <c r="AT135" s="21">
        <f t="shared" si="36"/>
        <v>0</v>
      </c>
      <c r="AU135" s="34">
        <f t="shared" si="37"/>
        <v>0</v>
      </c>
      <c r="AW135" s="21" t="str">
        <f t="shared" si="38"/>
        <v/>
      </c>
      <c r="AX135" s="21" t="str">
        <f t="shared" si="39"/>
        <v/>
      </c>
      <c r="AY135" s="21" t="str">
        <f t="shared" si="40"/>
        <v/>
      </c>
      <c r="AZ135" s="21" t="str">
        <f t="shared" si="41"/>
        <v/>
      </c>
      <c r="BA135" s="21" t="str">
        <f t="shared" si="42"/>
        <v/>
      </c>
      <c r="BB135" s="21" t="str">
        <f t="shared" si="43"/>
        <v/>
      </c>
      <c r="BC135" s="21" t="str">
        <f t="shared" si="44"/>
        <v/>
      </c>
    </row>
    <row r="136" spans="1:55" ht="15">
      <c r="A136" s="21" t="str">
        <f>IF(Base!B134="","",Base!B134)</f>
        <v>14.017.495-5</v>
      </c>
      <c r="B136" s="21" t="str">
        <f>IF(Base!F134="","",Base!F134)</f>
        <v>CARLOS EUGENIO  OYARCE  DIAZ</v>
      </c>
      <c r="C136" s="21" t="str">
        <f>IF(Base!I134="","",Base!I134)</f>
        <v>Abastecimiento</v>
      </c>
      <c r="D136" s="22" t="str">
        <f>IF(Base!J134="","",Base!J134)</f>
        <v>Control Ingresos Cen</v>
      </c>
      <c r="E136" s="21">
        <f>IF(Base!H134="","",Base!H134)</f>
        <v>1050126</v>
      </c>
      <c r="J136" s="28">
        <v>126</v>
      </c>
      <c r="K136" s="5"/>
      <c r="L136" s="58" t="str">
        <f t="shared" si="48"/>
        <v/>
      </c>
      <c r="M136" s="58" t="str">
        <f t="shared" si="49"/>
        <v/>
      </c>
      <c r="N136" s="59" t="str">
        <f t="shared" si="28"/>
        <v/>
      </c>
      <c r="O136" s="59" t="str">
        <f t="shared" si="29"/>
        <v/>
      </c>
      <c r="P136" s="30"/>
      <c r="Q136" s="35"/>
      <c r="R136" s="63"/>
      <c r="S136" s="35"/>
      <c r="T136" s="35"/>
      <c r="U136" s="35"/>
      <c r="V136" s="35"/>
      <c r="W136" s="35"/>
      <c r="X136" s="35"/>
      <c r="Y136" s="35"/>
      <c r="Z136" s="35"/>
      <c r="AA136" s="35"/>
      <c r="AB136" s="31"/>
      <c r="AC136" s="31"/>
      <c r="AD136" s="31"/>
      <c r="AE136" s="32">
        <f t="shared" si="45"/>
        <v>0</v>
      </c>
      <c r="AF136" s="32">
        <f t="shared" si="46"/>
        <v>0</v>
      </c>
      <c r="AG136" s="33"/>
      <c r="AL136" s="21" t="str">
        <f t="shared" si="47"/>
        <v/>
      </c>
      <c r="AM136" s="21">
        <v>127</v>
      </c>
      <c r="AN136" s="21">
        <f t="shared" si="30"/>
        <v>0</v>
      </c>
      <c r="AO136" s="21">
        <f t="shared" si="31"/>
        <v>0</v>
      </c>
      <c r="AP136" s="21">
        <f t="shared" si="32"/>
        <v>0</v>
      </c>
      <c r="AQ136" s="21">
        <f t="shared" si="33"/>
        <v>0</v>
      </c>
      <c r="AR136" s="21">
        <f t="shared" si="34"/>
        <v>0</v>
      </c>
      <c r="AS136" s="21">
        <f t="shared" si="35"/>
        <v>0</v>
      </c>
      <c r="AT136" s="21">
        <f t="shared" si="36"/>
        <v>0</v>
      </c>
      <c r="AU136" s="34">
        <f t="shared" si="37"/>
        <v>0</v>
      </c>
      <c r="AW136" s="21" t="str">
        <f t="shared" si="38"/>
        <v/>
      </c>
      <c r="AX136" s="21" t="str">
        <f t="shared" si="39"/>
        <v/>
      </c>
      <c r="AY136" s="21" t="str">
        <f t="shared" si="40"/>
        <v/>
      </c>
      <c r="AZ136" s="21" t="str">
        <f t="shared" si="41"/>
        <v/>
      </c>
      <c r="BA136" s="21" t="str">
        <f t="shared" si="42"/>
        <v/>
      </c>
      <c r="BB136" s="21" t="str">
        <f t="shared" si="43"/>
        <v/>
      </c>
      <c r="BC136" s="21" t="str">
        <f t="shared" si="44"/>
        <v/>
      </c>
    </row>
    <row r="137" spans="1:55" ht="15">
      <c r="A137" s="21" t="str">
        <f>IF(Base!B135="","",Base!B135)</f>
        <v>17.543.156-K</v>
      </c>
      <c r="B137" s="21" t="str">
        <f>IF(Base!F135="","",Base!F135)</f>
        <v>FELIPE ANDRES  PALACIOS  VENEGAS</v>
      </c>
      <c r="C137" s="21" t="str">
        <f>IF(Base!I135="","",Base!I135)</f>
        <v>Linea 6</v>
      </c>
      <c r="D137" s="22" t="str">
        <f>IF(Base!J135="","",Base!J135)</f>
        <v>Despalletizador</v>
      </c>
      <c r="E137" s="21">
        <f>IF(Base!H135="","",Base!H135)</f>
        <v>1050609</v>
      </c>
      <c r="J137" s="28">
        <v>127</v>
      </c>
      <c r="K137" s="5"/>
      <c r="L137" s="58" t="str">
        <f t="shared" si="48"/>
        <v/>
      </c>
      <c r="M137" s="58" t="str">
        <f t="shared" si="49"/>
        <v/>
      </c>
      <c r="N137" s="59" t="str">
        <f t="shared" si="28"/>
        <v/>
      </c>
      <c r="O137" s="59" t="str">
        <f t="shared" si="29"/>
        <v/>
      </c>
      <c r="P137" s="30"/>
      <c r="Q137" s="35"/>
      <c r="R137" s="63"/>
      <c r="S137" s="35"/>
      <c r="T137" s="35"/>
      <c r="U137" s="35"/>
      <c r="V137" s="35"/>
      <c r="W137" s="35"/>
      <c r="X137" s="35"/>
      <c r="Y137" s="35"/>
      <c r="Z137" s="35"/>
      <c r="AA137" s="35"/>
      <c r="AB137" s="31"/>
      <c r="AC137" s="31"/>
      <c r="AD137" s="31"/>
      <c r="AE137" s="32">
        <f t="shared" si="45"/>
        <v>0</v>
      </c>
      <c r="AF137" s="32">
        <f t="shared" si="46"/>
        <v>0</v>
      </c>
      <c r="AG137" s="33"/>
      <c r="AL137" s="21" t="str">
        <f t="shared" si="47"/>
        <v/>
      </c>
      <c r="AM137" s="21">
        <v>128</v>
      </c>
      <c r="AN137" s="21">
        <f t="shared" si="30"/>
        <v>0</v>
      </c>
      <c r="AO137" s="21">
        <f t="shared" si="31"/>
        <v>0</v>
      </c>
      <c r="AP137" s="21">
        <f t="shared" si="32"/>
        <v>0</v>
      </c>
      <c r="AQ137" s="21">
        <f t="shared" si="33"/>
        <v>0</v>
      </c>
      <c r="AR137" s="21">
        <f t="shared" si="34"/>
        <v>0</v>
      </c>
      <c r="AS137" s="21">
        <f t="shared" si="35"/>
        <v>0</v>
      </c>
      <c r="AT137" s="21">
        <f t="shared" si="36"/>
        <v>0</v>
      </c>
      <c r="AU137" s="34">
        <f t="shared" si="37"/>
        <v>0</v>
      </c>
      <c r="AW137" s="21" t="str">
        <f t="shared" si="38"/>
        <v/>
      </c>
      <c r="AX137" s="21" t="str">
        <f t="shared" si="39"/>
        <v/>
      </c>
      <c r="AY137" s="21" t="str">
        <f t="shared" si="40"/>
        <v/>
      </c>
      <c r="AZ137" s="21" t="str">
        <f t="shared" si="41"/>
        <v/>
      </c>
      <c r="BA137" s="21" t="str">
        <f t="shared" si="42"/>
        <v/>
      </c>
      <c r="BB137" s="21" t="str">
        <f t="shared" si="43"/>
        <v/>
      </c>
      <c r="BC137" s="21" t="str">
        <f t="shared" si="44"/>
        <v/>
      </c>
    </row>
    <row r="138" spans="1:55" ht="15">
      <c r="A138" s="21" t="str">
        <f>IF(Base!B136="","",Base!B136)</f>
        <v>11.054.986-5</v>
      </c>
      <c r="B138" s="21" t="str">
        <f>IF(Base!F136="","",Base!F136)</f>
        <v>CLAUDIA  PALAVECINOS  SEPULVEDA</v>
      </c>
      <c r="C138" s="21" t="str">
        <f>IF(Base!I136="","",Base!I136)</f>
        <v>Linea 2</v>
      </c>
      <c r="D138" s="22" t="str">
        <f>IF(Base!J136="","",Base!J136)</f>
        <v>Inspector etiqueta</v>
      </c>
      <c r="E138" s="21">
        <f>IF(Base!H136="","",Base!H136)</f>
        <v>1050554</v>
      </c>
      <c r="J138" s="28">
        <v>128</v>
      </c>
      <c r="K138" s="5"/>
      <c r="L138" s="58" t="str">
        <f t="shared" si="48"/>
        <v/>
      </c>
      <c r="M138" s="58" t="str">
        <f t="shared" si="49"/>
        <v/>
      </c>
      <c r="N138" s="59" t="str">
        <f t="shared" si="28"/>
        <v/>
      </c>
      <c r="O138" s="59" t="str">
        <f t="shared" si="29"/>
        <v/>
      </c>
      <c r="P138" s="30"/>
      <c r="Q138" s="35"/>
      <c r="R138" s="63"/>
      <c r="S138" s="35"/>
      <c r="T138" s="35"/>
      <c r="U138" s="35"/>
      <c r="V138" s="35"/>
      <c r="W138" s="35"/>
      <c r="X138" s="35"/>
      <c r="Y138" s="35"/>
      <c r="Z138" s="35"/>
      <c r="AA138" s="35"/>
      <c r="AB138" s="31"/>
      <c r="AC138" s="31"/>
      <c r="AD138" s="31"/>
      <c r="AE138" s="32">
        <f t="shared" si="45"/>
        <v>0</v>
      </c>
      <c r="AF138" s="32">
        <f t="shared" si="46"/>
        <v>0</v>
      </c>
      <c r="AG138" s="33"/>
      <c r="AL138" s="21" t="str">
        <f t="shared" si="47"/>
        <v/>
      </c>
      <c r="AM138" s="21">
        <v>129</v>
      </c>
      <c r="AN138" s="21">
        <f t="shared" si="30"/>
        <v>0</v>
      </c>
      <c r="AO138" s="21">
        <f t="shared" si="31"/>
        <v>0</v>
      </c>
      <c r="AP138" s="21">
        <f t="shared" si="32"/>
        <v>0</v>
      </c>
      <c r="AQ138" s="21">
        <f t="shared" si="33"/>
        <v>0</v>
      </c>
      <c r="AR138" s="21">
        <f t="shared" si="34"/>
        <v>0</v>
      </c>
      <c r="AS138" s="21">
        <f t="shared" si="35"/>
        <v>0</v>
      </c>
      <c r="AT138" s="21">
        <f t="shared" si="36"/>
        <v>0</v>
      </c>
      <c r="AU138" s="34">
        <f t="shared" si="37"/>
        <v>0</v>
      </c>
      <c r="AW138" s="21" t="str">
        <f t="shared" si="38"/>
        <v/>
      </c>
      <c r="AX138" s="21" t="str">
        <f t="shared" si="39"/>
        <v/>
      </c>
      <c r="AY138" s="21" t="str">
        <f t="shared" si="40"/>
        <v/>
      </c>
      <c r="AZ138" s="21" t="str">
        <f t="shared" si="41"/>
        <v/>
      </c>
      <c r="BA138" s="21" t="str">
        <f t="shared" si="42"/>
        <v/>
      </c>
      <c r="BB138" s="21" t="str">
        <f t="shared" si="43"/>
        <v/>
      </c>
      <c r="BC138" s="21" t="str">
        <f t="shared" si="44"/>
        <v/>
      </c>
    </row>
    <row r="139" spans="1:55" ht="15">
      <c r="A139" s="21" t="str">
        <f>IF(Base!B137="","",Base!B137)</f>
        <v>12.898.844-0</v>
      </c>
      <c r="B139" s="21" t="str">
        <f>IF(Base!F137="","",Base!F137)</f>
        <v>DANIEL H.  PALMA  CLARO</v>
      </c>
      <c r="C139" s="21" t="str">
        <f>IF(Base!I137="","",Base!I137)</f>
        <v>Monitor Embalado</v>
      </c>
      <c r="D139" s="22" t="str">
        <f>IF(Base!J137="","",Base!J137)</f>
        <v>Monitor Embalado</v>
      </c>
      <c r="E139" s="21">
        <f>IF(Base!H137="","",Base!H137)</f>
        <v>1050604</v>
      </c>
      <c r="J139" s="28">
        <v>129</v>
      </c>
      <c r="K139" s="5"/>
      <c r="L139" s="58" t="str">
        <f t="shared" si="48"/>
        <v/>
      </c>
      <c r="M139" s="58" t="str">
        <f t="shared" si="49"/>
        <v/>
      </c>
      <c r="N139" s="59" t="str">
        <f t="shared" si="28"/>
        <v/>
      </c>
      <c r="O139" s="59" t="str">
        <f t="shared" si="29"/>
        <v/>
      </c>
      <c r="P139" s="30"/>
      <c r="Q139" s="35"/>
      <c r="R139" s="63"/>
      <c r="S139" s="35"/>
      <c r="T139" s="35"/>
      <c r="U139" s="35"/>
      <c r="V139" s="35"/>
      <c r="W139" s="35"/>
      <c r="X139" s="35"/>
      <c r="Y139" s="35"/>
      <c r="Z139" s="35"/>
      <c r="AA139" s="35"/>
      <c r="AB139" s="31"/>
      <c r="AC139" s="31"/>
      <c r="AD139" s="31"/>
      <c r="AE139" s="32">
        <f t="shared" si="45"/>
        <v>0</v>
      </c>
      <c r="AF139" s="32">
        <f t="shared" si="46"/>
        <v>0</v>
      </c>
      <c r="AG139" s="33"/>
      <c r="AL139" s="21" t="str">
        <f t="shared" si="47"/>
        <v/>
      </c>
      <c r="AM139" s="21">
        <v>130</v>
      </c>
      <c r="AN139" s="21">
        <f t="shared" si="30"/>
        <v>0</v>
      </c>
      <c r="AO139" s="21">
        <f t="shared" si="31"/>
        <v>0</v>
      </c>
      <c r="AP139" s="21">
        <f t="shared" si="32"/>
        <v>0</v>
      </c>
      <c r="AQ139" s="21">
        <f t="shared" si="33"/>
        <v>0</v>
      </c>
      <c r="AR139" s="21">
        <f t="shared" si="34"/>
        <v>0</v>
      </c>
      <c r="AS139" s="21">
        <f t="shared" si="35"/>
        <v>0</v>
      </c>
      <c r="AT139" s="21">
        <f t="shared" si="36"/>
        <v>0</v>
      </c>
      <c r="AU139" s="34">
        <f t="shared" si="37"/>
        <v>0</v>
      </c>
      <c r="AW139" s="21" t="str">
        <f t="shared" si="38"/>
        <v/>
      </c>
      <c r="AX139" s="21" t="str">
        <f t="shared" si="39"/>
        <v/>
      </c>
      <c r="AY139" s="21" t="str">
        <f t="shared" si="40"/>
        <v/>
      </c>
      <c r="AZ139" s="21" t="str">
        <f t="shared" si="41"/>
        <v/>
      </c>
      <c r="BA139" s="21" t="str">
        <f t="shared" si="42"/>
        <v/>
      </c>
      <c r="BB139" s="21" t="str">
        <f t="shared" si="43"/>
        <v/>
      </c>
      <c r="BC139" s="21" t="str">
        <f t="shared" si="44"/>
        <v/>
      </c>
    </row>
    <row r="140" spans="1:55" ht="15">
      <c r="A140" s="21" t="str">
        <f>IF(Base!B138="","",Base!B138)</f>
        <v>10.876.404-K</v>
      </c>
      <c r="B140" s="21" t="str">
        <f>IF(Base!F138="","",Base!F138)</f>
        <v>LUIS RAFAEL  PALMA  MIRANDA</v>
      </c>
      <c r="C140" s="21" t="str">
        <f>IF(Base!I138="","",Base!I138)</f>
        <v>Linea 1</v>
      </c>
      <c r="D140" s="22" t="str">
        <f>IF(Base!J138="","",Base!J138)</f>
        <v>Llenador</v>
      </c>
      <c r="E140" s="21">
        <f>IF(Base!H138="","",Base!H138)</f>
        <v>1050551</v>
      </c>
      <c r="J140" s="28">
        <v>130</v>
      </c>
      <c r="K140" s="5"/>
      <c r="L140" s="58" t="str">
        <f t="shared" ref="L140:L203" si="50">IF(K140="","",VLOOKUP($K140,A:D,2,FALSE))</f>
        <v/>
      </c>
      <c r="M140" s="58" t="str">
        <f t="shared" ref="M140:M203" si="51">IF(K140="","",VLOOKUP(K140,A:E,5,FALSE))</f>
        <v/>
      </c>
      <c r="N140" s="59" t="str">
        <f t="shared" ref="N140:N203" si="52">IF(K140="","",VLOOKUP(K140,A:C,3,FALSE))</f>
        <v/>
      </c>
      <c r="O140" s="59" t="str">
        <f t="shared" ref="O140:O203" si="53">IF(K140="","",VLOOKUP(K140,A:D,4,FALSE))</f>
        <v/>
      </c>
      <c r="P140" s="30"/>
      <c r="Q140" s="35"/>
      <c r="R140" s="63"/>
      <c r="S140" s="35"/>
      <c r="T140" s="35"/>
      <c r="U140" s="35"/>
      <c r="V140" s="35"/>
      <c r="W140" s="35"/>
      <c r="X140" s="35"/>
      <c r="Y140" s="35"/>
      <c r="Z140" s="35"/>
      <c r="AA140" s="35"/>
      <c r="AB140" s="31"/>
      <c r="AC140" s="31"/>
      <c r="AD140" s="31"/>
      <c r="AE140" s="32">
        <f t="shared" si="45"/>
        <v>0</v>
      </c>
      <c r="AF140" s="32">
        <f t="shared" si="46"/>
        <v>0</v>
      </c>
      <c r="AG140" s="33"/>
      <c r="AL140" s="21" t="str">
        <f t="shared" si="47"/>
        <v/>
      </c>
      <c r="AM140" s="21">
        <v>131</v>
      </c>
      <c r="AN140" s="21">
        <f t="shared" ref="AN140:AN203" si="54">Q140+R140</f>
        <v>0</v>
      </c>
      <c r="AO140" s="21">
        <f t="shared" ref="AO140:AO203" si="55">S140+T140</f>
        <v>0</v>
      </c>
      <c r="AP140" s="21">
        <f t="shared" ref="AP140:AP203" si="56">U140+V140</f>
        <v>0</v>
      </c>
      <c r="AQ140" s="21">
        <f t="shared" ref="AQ140:AQ203" si="57">W140+X140</f>
        <v>0</v>
      </c>
      <c r="AR140" s="21">
        <f t="shared" ref="AR140:AR203" si="58">Y140+Z140</f>
        <v>0</v>
      </c>
      <c r="AS140" s="21">
        <f t="shared" ref="AS140:AS203" si="59">AA140+AB140</f>
        <v>0</v>
      </c>
      <c r="AT140" s="21">
        <f t="shared" ref="AT140:AT203" si="60">AC140+AD140</f>
        <v>0</v>
      </c>
      <c r="AU140" s="34">
        <f t="shared" ref="AU140:AU203" si="61">IF(SUM(AN140:AT140)=0,0,SUM(AN140:AT140))</f>
        <v>0</v>
      </c>
      <c r="AW140" s="21" t="str">
        <f t="shared" ref="AW140:AW203" si="62">IF(Q140&lt;&gt;"",0.5,IF(R140&lt;&gt;"",1,""))</f>
        <v/>
      </c>
      <c r="AX140" s="21" t="str">
        <f t="shared" ref="AX140:AX203" si="63">IF(S140&lt;&gt;"",0.5,IF(T140&lt;&gt;"",1,""))</f>
        <v/>
      </c>
      <c r="AY140" s="21" t="str">
        <f t="shared" ref="AY140:AY203" si="64">IF(U140&lt;&gt;"",0.5,IF(V140&lt;&gt;"",1,""))</f>
        <v/>
      </c>
      <c r="AZ140" s="21" t="str">
        <f t="shared" ref="AZ140:AZ203" si="65">IF(W140&lt;&gt;"",0.5,IF(X140&lt;&gt;"",1,""))</f>
        <v/>
      </c>
      <c r="BA140" s="21" t="str">
        <f t="shared" ref="BA140:BA203" si="66">IF(Y140&lt;&gt;"",0.5,IF(Z140&lt;&gt;"",1,""))</f>
        <v/>
      </c>
      <c r="BB140" s="21" t="str">
        <f t="shared" ref="BB140:BB203" si="67">IF(AA140&lt;&gt;"",0.5,IF(AB140&lt;&gt;"",1,""))</f>
        <v/>
      </c>
      <c r="BC140" s="21" t="str">
        <f t="shared" ref="BC140:BC203" si="68">IF(AC140&lt;&gt;"",0.5,IF(AD140&lt;&gt;"",1,""))</f>
        <v/>
      </c>
    </row>
    <row r="141" spans="1:55" ht="15">
      <c r="A141" s="21" t="str">
        <f>IF(Base!B139="","",Base!B139)</f>
        <v>07.815.083-1</v>
      </c>
      <c r="B141" s="21" t="str">
        <f>IF(Base!F139="","",Base!F139)</f>
        <v>ELOY ENRIQUE  PALMA  SEREÑO</v>
      </c>
      <c r="C141" s="21" t="str">
        <f>IF(Base!I139="","",Base!I139)</f>
        <v>Linea 2</v>
      </c>
      <c r="D141" s="22" t="str">
        <f>IF(Base!J139="","",Base!J139)</f>
        <v>Etiquetador</v>
      </c>
      <c r="E141" s="21">
        <f>IF(Base!H139="","",Base!H139)</f>
        <v>1050554</v>
      </c>
      <c r="J141" s="28">
        <v>131</v>
      </c>
      <c r="K141" s="5"/>
      <c r="L141" s="58" t="str">
        <f t="shared" si="50"/>
        <v/>
      </c>
      <c r="M141" s="58" t="str">
        <f t="shared" si="51"/>
        <v/>
      </c>
      <c r="N141" s="59" t="str">
        <f t="shared" si="52"/>
        <v/>
      </c>
      <c r="O141" s="59" t="str">
        <f t="shared" si="53"/>
        <v/>
      </c>
      <c r="P141" s="30"/>
      <c r="Q141" s="35"/>
      <c r="R141" s="63"/>
      <c r="S141" s="35"/>
      <c r="T141" s="35"/>
      <c r="U141" s="35"/>
      <c r="V141" s="35"/>
      <c r="W141" s="35"/>
      <c r="X141" s="35"/>
      <c r="Y141" s="35"/>
      <c r="Z141" s="35"/>
      <c r="AA141" s="35"/>
      <c r="AB141" s="31"/>
      <c r="AC141" s="31"/>
      <c r="AD141" s="31"/>
      <c r="AE141" s="32">
        <f t="shared" si="45"/>
        <v>0</v>
      </c>
      <c r="AF141" s="32">
        <f t="shared" si="46"/>
        <v>0</v>
      </c>
      <c r="AG141" s="33"/>
      <c r="AL141" s="21" t="str">
        <f t="shared" si="47"/>
        <v/>
      </c>
      <c r="AM141" s="21">
        <v>132</v>
      </c>
      <c r="AN141" s="21">
        <f t="shared" si="54"/>
        <v>0</v>
      </c>
      <c r="AO141" s="21">
        <f t="shared" si="55"/>
        <v>0</v>
      </c>
      <c r="AP141" s="21">
        <f t="shared" si="56"/>
        <v>0</v>
      </c>
      <c r="AQ141" s="21">
        <f t="shared" si="57"/>
        <v>0</v>
      </c>
      <c r="AR141" s="21">
        <f t="shared" si="58"/>
        <v>0</v>
      </c>
      <c r="AS141" s="21">
        <f t="shared" si="59"/>
        <v>0</v>
      </c>
      <c r="AT141" s="21">
        <f t="shared" si="60"/>
        <v>0</v>
      </c>
      <c r="AU141" s="34">
        <f t="shared" si="61"/>
        <v>0</v>
      </c>
      <c r="AW141" s="21" t="str">
        <f t="shared" si="62"/>
        <v/>
      </c>
      <c r="AX141" s="21" t="str">
        <f t="shared" si="63"/>
        <v/>
      </c>
      <c r="AY141" s="21" t="str">
        <f t="shared" si="64"/>
        <v/>
      </c>
      <c r="AZ141" s="21" t="str">
        <f t="shared" si="65"/>
        <v/>
      </c>
      <c r="BA141" s="21" t="str">
        <f t="shared" si="66"/>
        <v/>
      </c>
      <c r="BB141" s="21" t="str">
        <f t="shared" si="67"/>
        <v/>
      </c>
      <c r="BC141" s="21" t="str">
        <f t="shared" si="68"/>
        <v/>
      </c>
    </row>
    <row r="142" spans="1:55" ht="15">
      <c r="A142" s="21" t="str">
        <f>IF(Base!B140="","",Base!B140)</f>
        <v>06.646.724-4</v>
      </c>
      <c r="B142" s="21" t="str">
        <f>IF(Base!F140="","",Base!F140)</f>
        <v>JUAN RAMON  PALMA  SEREÑO</v>
      </c>
      <c r="C142" s="21" t="str">
        <f>IF(Base!I140="","",Base!I140)</f>
        <v>Linea 3</v>
      </c>
      <c r="D142" s="22" t="str">
        <f>IF(Base!J140="","",Base!J140)</f>
        <v>Llenador</v>
      </c>
      <c r="E142" s="21">
        <f>IF(Base!H140="","",Base!H140)</f>
        <v>1050555</v>
      </c>
      <c r="J142" s="28">
        <v>132</v>
      </c>
      <c r="K142" s="5"/>
      <c r="L142" s="58" t="str">
        <f t="shared" si="50"/>
        <v/>
      </c>
      <c r="M142" s="58" t="str">
        <f t="shared" si="51"/>
        <v/>
      </c>
      <c r="N142" s="59" t="str">
        <f t="shared" si="52"/>
        <v/>
      </c>
      <c r="O142" s="59" t="str">
        <f t="shared" si="53"/>
        <v/>
      </c>
      <c r="P142" s="30"/>
      <c r="Q142" s="35"/>
      <c r="R142" s="63"/>
      <c r="S142" s="35"/>
      <c r="T142" s="35"/>
      <c r="U142" s="35"/>
      <c r="V142" s="35"/>
      <c r="W142" s="35"/>
      <c r="X142" s="35"/>
      <c r="Y142" s="35"/>
      <c r="Z142" s="35"/>
      <c r="AA142" s="35"/>
      <c r="AB142" s="31"/>
      <c r="AC142" s="31"/>
      <c r="AD142" s="31"/>
      <c r="AE142" s="32">
        <f t="shared" si="45"/>
        <v>0</v>
      </c>
      <c r="AF142" s="32">
        <f t="shared" si="46"/>
        <v>0</v>
      </c>
      <c r="AG142" s="33"/>
      <c r="AL142" s="21" t="str">
        <f t="shared" si="47"/>
        <v/>
      </c>
      <c r="AM142" s="21">
        <v>133</v>
      </c>
      <c r="AN142" s="21">
        <f t="shared" si="54"/>
        <v>0</v>
      </c>
      <c r="AO142" s="21">
        <f t="shared" si="55"/>
        <v>0</v>
      </c>
      <c r="AP142" s="21">
        <f t="shared" si="56"/>
        <v>0</v>
      </c>
      <c r="AQ142" s="21">
        <f t="shared" si="57"/>
        <v>0</v>
      </c>
      <c r="AR142" s="21">
        <f t="shared" si="58"/>
        <v>0</v>
      </c>
      <c r="AS142" s="21">
        <f t="shared" si="59"/>
        <v>0</v>
      </c>
      <c r="AT142" s="21">
        <f t="shared" si="60"/>
        <v>0</v>
      </c>
      <c r="AU142" s="34">
        <f t="shared" si="61"/>
        <v>0</v>
      </c>
      <c r="AW142" s="21" t="str">
        <f t="shared" si="62"/>
        <v/>
      </c>
      <c r="AX142" s="21" t="str">
        <f t="shared" si="63"/>
        <v/>
      </c>
      <c r="AY142" s="21" t="str">
        <f t="shared" si="64"/>
        <v/>
      </c>
      <c r="AZ142" s="21" t="str">
        <f t="shared" si="65"/>
        <v/>
      </c>
      <c r="BA142" s="21" t="str">
        <f t="shared" si="66"/>
        <v/>
      </c>
      <c r="BB142" s="21" t="str">
        <f t="shared" si="67"/>
        <v/>
      </c>
      <c r="BC142" s="21" t="str">
        <f t="shared" si="68"/>
        <v/>
      </c>
    </row>
    <row r="143" spans="1:55" ht="15">
      <c r="A143" s="21" t="str">
        <f>IF(Base!B141="","",Base!B141)</f>
        <v>09.488.801-8</v>
      </c>
      <c r="B143" s="21" t="str">
        <f>IF(Base!F141="","",Base!F141)</f>
        <v>LUIS RICARDO  PALMA  SEREÑO</v>
      </c>
      <c r="C143" s="21" t="str">
        <f>IF(Base!I141="","",Base!I141)</f>
        <v>Linea 3</v>
      </c>
      <c r="D143" s="22" t="str">
        <f>IF(Base!J141="","",Base!J141)</f>
        <v>Llenador</v>
      </c>
      <c r="E143" s="21">
        <f>IF(Base!H141="","",Base!H141)</f>
        <v>1050555</v>
      </c>
      <c r="J143" s="28">
        <v>133</v>
      </c>
      <c r="K143" s="5"/>
      <c r="L143" s="58" t="str">
        <f t="shared" si="50"/>
        <v/>
      </c>
      <c r="M143" s="58" t="str">
        <f t="shared" si="51"/>
        <v/>
      </c>
      <c r="N143" s="59" t="str">
        <f t="shared" si="52"/>
        <v/>
      </c>
      <c r="O143" s="59" t="str">
        <f t="shared" si="53"/>
        <v/>
      </c>
      <c r="P143" s="30"/>
      <c r="Q143" s="35"/>
      <c r="R143" s="63"/>
      <c r="S143" s="35"/>
      <c r="T143" s="35"/>
      <c r="U143" s="35"/>
      <c r="V143" s="35"/>
      <c r="W143" s="35"/>
      <c r="X143" s="35"/>
      <c r="Y143" s="35"/>
      <c r="Z143" s="35"/>
      <c r="AA143" s="35"/>
      <c r="AB143" s="31"/>
      <c r="AC143" s="31"/>
      <c r="AD143" s="31"/>
      <c r="AE143" s="32">
        <f t="shared" si="45"/>
        <v>0</v>
      </c>
      <c r="AF143" s="32">
        <f t="shared" si="46"/>
        <v>0</v>
      </c>
      <c r="AG143" s="33"/>
      <c r="AL143" s="21" t="str">
        <f t="shared" si="47"/>
        <v/>
      </c>
      <c r="AM143" s="21">
        <v>134</v>
      </c>
      <c r="AN143" s="21">
        <f t="shared" si="54"/>
        <v>0</v>
      </c>
      <c r="AO143" s="21">
        <f t="shared" si="55"/>
        <v>0</v>
      </c>
      <c r="AP143" s="21">
        <f t="shared" si="56"/>
        <v>0</v>
      </c>
      <c r="AQ143" s="21">
        <f t="shared" si="57"/>
        <v>0</v>
      </c>
      <c r="AR143" s="21">
        <f t="shared" si="58"/>
        <v>0</v>
      </c>
      <c r="AS143" s="21">
        <f t="shared" si="59"/>
        <v>0</v>
      </c>
      <c r="AT143" s="21">
        <f t="shared" si="60"/>
        <v>0</v>
      </c>
      <c r="AU143" s="34">
        <f t="shared" si="61"/>
        <v>0</v>
      </c>
      <c r="AW143" s="21" t="str">
        <f t="shared" si="62"/>
        <v/>
      </c>
      <c r="AX143" s="21" t="str">
        <f t="shared" si="63"/>
        <v/>
      </c>
      <c r="AY143" s="21" t="str">
        <f t="shared" si="64"/>
        <v/>
      </c>
      <c r="AZ143" s="21" t="str">
        <f t="shared" si="65"/>
        <v/>
      </c>
      <c r="BA143" s="21" t="str">
        <f t="shared" si="66"/>
        <v/>
      </c>
      <c r="BB143" s="21" t="str">
        <f t="shared" si="67"/>
        <v/>
      </c>
      <c r="BC143" s="21" t="str">
        <f t="shared" si="68"/>
        <v/>
      </c>
    </row>
    <row r="144" spans="1:55" ht="15">
      <c r="A144" s="21" t="str">
        <f>IF(Base!B142="","",Base!B142)</f>
        <v>15.786.314-2</v>
      </c>
      <c r="B144" s="21" t="str">
        <f>IF(Base!F142="","",Base!F142)</f>
        <v>JUAN PABLO  PALMA  VERA</v>
      </c>
      <c r="C144" s="21" t="str">
        <f>IF(Base!I142="","",Base!I142)</f>
        <v>Linea 7</v>
      </c>
      <c r="D144" s="22" t="str">
        <f>IF(Base!J142="","",Base!J142)</f>
        <v>Palletizador</v>
      </c>
      <c r="E144" s="21">
        <f>IF(Base!H142="","",Base!H142)</f>
        <v>1050616</v>
      </c>
      <c r="J144" s="28">
        <v>134</v>
      </c>
      <c r="K144" s="5"/>
      <c r="L144" s="58" t="str">
        <f t="shared" si="50"/>
        <v/>
      </c>
      <c r="M144" s="58" t="str">
        <f t="shared" si="51"/>
        <v/>
      </c>
      <c r="N144" s="59" t="str">
        <f t="shared" si="52"/>
        <v/>
      </c>
      <c r="O144" s="59" t="str">
        <f t="shared" si="53"/>
        <v/>
      </c>
      <c r="P144" s="30"/>
      <c r="Q144" s="35"/>
      <c r="R144" s="63"/>
      <c r="S144" s="35"/>
      <c r="T144" s="35"/>
      <c r="U144" s="35"/>
      <c r="V144" s="35"/>
      <c r="W144" s="35"/>
      <c r="X144" s="35"/>
      <c r="Y144" s="35"/>
      <c r="Z144" s="35"/>
      <c r="AA144" s="35"/>
      <c r="AB144" s="31"/>
      <c r="AC144" s="31"/>
      <c r="AD144" s="31"/>
      <c r="AE144" s="32">
        <f t="shared" si="45"/>
        <v>0</v>
      </c>
      <c r="AF144" s="32">
        <f t="shared" si="46"/>
        <v>0</v>
      </c>
      <c r="AG144" s="33"/>
      <c r="AL144" s="21" t="str">
        <f t="shared" si="47"/>
        <v/>
      </c>
      <c r="AM144" s="21">
        <v>135</v>
      </c>
      <c r="AN144" s="21">
        <f t="shared" si="54"/>
        <v>0</v>
      </c>
      <c r="AO144" s="21">
        <f t="shared" si="55"/>
        <v>0</v>
      </c>
      <c r="AP144" s="21">
        <f t="shared" si="56"/>
        <v>0</v>
      </c>
      <c r="AQ144" s="21">
        <f t="shared" si="57"/>
        <v>0</v>
      </c>
      <c r="AR144" s="21">
        <f t="shared" si="58"/>
        <v>0</v>
      </c>
      <c r="AS144" s="21">
        <f t="shared" si="59"/>
        <v>0</v>
      </c>
      <c r="AT144" s="21">
        <f t="shared" si="60"/>
        <v>0</v>
      </c>
      <c r="AU144" s="34">
        <f t="shared" si="61"/>
        <v>0</v>
      </c>
      <c r="AW144" s="21" t="str">
        <f t="shared" si="62"/>
        <v/>
      </c>
      <c r="AX144" s="21" t="str">
        <f t="shared" si="63"/>
        <v/>
      </c>
      <c r="AY144" s="21" t="str">
        <f t="shared" si="64"/>
        <v/>
      </c>
      <c r="AZ144" s="21" t="str">
        <f t="shared" si="65"/>
        <v/>
      </c>
      <c r="BA144" s="21" t="str">
        <f t="shared" si="66"/>
        <v/>
      </c>
      <c r="BB144" s="21" t="str">
        <f t="shared" si="67"/>
        <v/>
      </c>
      <c r="BC144" s="21" t="str">
        <f t="shared" si="68"/>
        <v/>
      </c>
    </row>
    <row r="145" spans="1:55" ht="15">
      <c r="A145" s="21" t="str">
        <f>IF(Base!B143="","",Base!B143)</f>
        <v>16.266.817-K</v>
      </c>
      <c r="B145" s="21" t="str">
        <f>IF(Base!F143="","",Base!F143)</f>
        <v>RODRIGO ALEJANDRO  PEREZ  PADILLA</v>
      </c>
      <c r="C145" s="21" t="str">
        <f>IF(Base!I143="","",Base!I143)</f>
        <v>Abastecimiento</v>
      </c>
      <c r="D145" s="22" t="str">
        <f>IF(Base!J143="","",Base!J143)</f>
        <v>Preparación de Insum</v>
      </c>
      <c r="E145" s="21">
        <f>IF(Base!H143="","",Base!H143)</f>
        <v>1050127</v>
      </c>
      <c r="J145" s="28">
        <v>135</v>
      </c>
      <c r="K145" s="5"/>
      <c r="L145" s="58" t="str">
        <f t="shared" si="50"/>
        <v/>
      </c>
      <c r="M145" s="58" t="str">
        <f t="shared" si="51"/>
        <v/>
      </c>
      <c r="N145" s="59" t="str">
        <f t="shared" si="52"/>
        <v/>
      </c>
      <c r="O145" s="59" t="str">
        <f t="shared" si="53"/>
        <v/>
      </c>
      <c r="P145" s="30"/>
      <c r="Q145" s="35"/>
      <c r="R145" s="63"/>
      <c r="S145" s="35"/>
      <c r="T145" s="35"/>
      <c r="U145" s="35"/>
      <c r="V145" s="35"/>
      <c r="W145" s="35"/>
      <c r="X145" s="35"/>
      <c r="Y145" s="35"/>
      <c r="Z145" s="35"/>
      <c r="AA145" s="35"/>
      <c r="AB145" s="31"/>
      <c r="AC145" s="31"/>
      <c r="AD145" s="31"/>
      <c r="AE145" s="32">
        <f t="shared" si="45"/>
        <v>0</v>
      </c>
      <c r="AF145" s="32">
        <f t="shared" si="46"/>
        <v>0</v>
      </c>
      <c r="AG145" s="33"/>
      <c r="AL145" s="21" t="str">
        <f t="shared" si="47"/>
        <v/>
      </c>
      <c r="AM145" s="21">
        <v>136</v>
      </c>
      <c r="AN145" s="21">
        <f t="shared" si="54"/>
        <v>0</v>
      </c>
      <c r="AO145" s="21">
        <f t="shared" si="55"/>
        <v>0</v>
      </c>
      <c r="AP145" s="21">
        <f t="shared" si="56"/>
        <v>0</v>
      </c>
      <c r="AQ145" s="21">
        <f t="shared" si="57"/>
        <v>0</v>
      </c>
      <c r="AR145" s="21">
        <f t="shared" si="58"/>
        <v>0</v>
      </c>
      <c r="AS145" s="21">
        <f t="shared" si="59"/>
        <v>0</v>
      </c>
      <c r="AT145" s="21">
        <f t="shared" si="60"/>
        <v>0</v>
      </c>
      <c r="AU145" s="34">
        <f t="shared" si="61"/>
        <v>0</v>
      </c>
      <c r="AW145" s="21" t="str">
        <f t="shared" si="62"/>
        <v/>
      </c>
      <c r="AX145" s="21" t="str">
        <f t="shared" si="63"/>
        <v/>
      </c>
      <c r="AY145" s="21" t="str">
        <f t="shared" si="64"/>
        <v/>
      </c>
      <c r="AZ145" s="21" t="str">
        <f t="shared" si="65"/>
        <v/>
      </c>
      <c r="BA145" s="21" t="str">
        <f t="shared" si="66"/>
        <v/>
      </c>
      <c r="BB145" s="21" t="str">
        <f t="shared" si="67"/>
        <v/>
      </c>
      <c r="BC145" s="21" t="str">
        <f t="shared" si="68"/>
        <v/>
      </c>
    </row>
    <row r="146" spans="1:55" ht="15">
      <c r="A146" s="21" t="str">
        <f>IF(Base!B144="","",Base!B144)</f>
        <v>20.342.651-8</v>
      </c>
      <c r="B146" s="21" t="str">
        <f>IF(Base!F144="","",Base!F144)</f>
        <v>CARLOS PATRICIO  PEREZ  SALAZAR</v>
      </c>
      <c r="C146" s="21" t="str">
        <f>IF(Base!I144="","",Base!I144)</f>
        <v>Sala filtros</v>
      </c>
      <c r="D146" s="22" t="str">
        <f>IF(Base!J144="","",Base!J144)</f>
        <v>Operador sala de filtros</v>
      </c>
      <c r="E146" s="21">
        <f>IF(Base!H144="","",Base!H144)</f>
        <v>1050574</v>
      </c>
      <c r="J146" s="28">
        <v>136</v>
      </c>
      <c r="K146" s="5"/>
      <c r="L146" s="58" t="str">
        <f t="shared" si="50"/>
        <v/>
      </c>
      <c r="M146" s="58" t="str">
        <f t="shared" si="51"/>
        <v/>
      </c>
      <c r="N146" s="59" t="str">
        <f t="shared" si="52"/>
        <v/>
      </c>
      <c r="O146" s="59" t="str">
        <f t="shared" si="53"/>
        <v/>
      </c>
      <c r="P146" s="30"/>
      <c r="Q146" s="35"/>
      <c r="R146" s="63"/>
      <c r="S146" s="35"/>
      <c r="T146" s="35"/>
      <c r="U146" s="35"/>
      <c r="V146" s="35"/>
      <c r="W146" s="35"/>
      <c r="X146" s="35"/>
      <c r="Y146" s="35"/>
      <c r="Z146" s="35"/>
      <c r="AA146" s="35"/>
      <c r="AB146" s="31"/>
      <c r="AC146" s="31"/>
      <c r="AD146" s="31"/>
      <c r="AE146" s="32">
        <f t="shared" si="45"/>
        <v>0</v>
      </c>
      <c r="AF146" s="32">
        <f t="shared" si="46"/>
        <v>0</v>
      </c>
      <c r="AG146" s="33"/>
      <c r="AL146" s="21" t="str">
        <f t="shared" si="47"/>
        <v/>
      </c>
      <c r="AM146" s="21">
        <v>137</v>
      </c>
      <c r="AN146" s="21">
        <f t="shared" si="54"/>
        <v>0</v>
      </c>
      <c r="AO146" s="21">
        <f t="shared" si="55"/>
        <v>0</v>
      </c>
      <c r="AP146" s="21">
        <f t="shared" si="56"/>
        <v>0</v>
      </c>
      <c r="AQ146" s="21">
        <f t="shared" si="57"/>
        <v>0</v>
      </c>
      <c r="AR146" s="21">
        <f t="shared" si="58"/>
        <v>0</v>
      </c>
      <c r="AS146" s="21">
        <f t="shared" si="59"/>
        <v>0</v>
      </c>
      <c r="AT146" s="21">
        <f t="shared" si="60"/>
        <v>0</v>
      </c>
      <c r="AU146" s="34">
        <f t="shared" si="61"/>
        <v>0</v>
      </c>
      <c r="AW146" s="21" t="str">
        <f t="shared" si="62"/>
        <v/>
      </c>
      <c r="AX146" s="21" t="str">
        <f t="shared" si="63"/>
        <v/>
      </c>
      <c r="AY146" s="21" t="str">
        <f t="shared" si="64"/>
        <v/>
      </c>
      <c r="AZ146" s="21" t="str">
        <f t="shared" si="65"/>
        <v/>
      </c>
      <c r="BA146" s="21" t="str">
        <f t="shared" si="66"/>
        <v/>
      </c>
      <c r="BB146" s="21" t="str">
        <f t="shared" si="67"/>
        <v/>
      </c>
      <c r="BC146" s="21" t="str">
        <f t="shared" si="68"/>
        <v/>
      </c>
    </row>
    <row r="147" spans="1:55" ht="15">
      <c r="A147" s="21" t="str">
        <f>IF(Base!B145="","",Base!B145)</f>
        <v>09.608.532-K</v>
      </c>
      <c r="B147" s="21" t="str">
        <f>IF(Base!F145="","",Base!F145)</f>
        <v>LUIS  PEZO  ANRIQUEZ</v>
      </c>
      <c r="C147" s="21" t="str">
        <f>IF(Base!I145="","",Base!I145)</f>
        <v>Supervisor</v>
      </c>
      <c r="D147" s="22" t="str">
        <f>IF(Base!J145="","",Base!J145)</f>
        <v>Supervisor</v>
      </c>
      <c r="E147" s="21">
        <f>IF(Base!H145="","",Base!H145)</f>
        <v>1050603</v>
      </c>
      <c r="J147" s="28">
        <v>137</v>
      </c>
      <c r="K147" s="5"/>
      <c r="L147" s="58" t="str">
        <f t="shared" si="50"/>
        <v/>
      </c>
      <c r="M147" s="58" t="str">
        <f t="shared" si="51"/>
        <v/>
      </c>
      <c r="N147" s="59" t="str">
        <f t="shared" si="52"/>
        <v/>
      </c>
      <c r="O147" s="59" t="str">
        <f t="shared" si="53"/>
        <v/>
      </c>
      <c r="P147" s="30"/>
      <c r="Q147" s="35"/>
      <c r="R147" s="63"/>
      <c r="S147" s="35"/>
      <c r="T147" s="35"/>
      <c r="U147" s="35"/>
      <c r="V147" s="35"/>
      <c r="W147" s="35"/>
      <c r="X147" s="35"/>
      <c r="Y147" s="35"/>
      <c r="Z147" s="35"/>
      <c r="AA147" s="35"/>
      <c r="AB147" s="31"/>
      <c r="AC147" s="31"/>
      <c r="AD147" s="31"/>
      <c r="AE147" s="32">
        <f t="shared" si="45"/>
        <v>0</v>
      </c>
      <c r="AF147" s="32">
        <f t="shared" si="46"/>
        <v>0</v>
      </c>
      <c r="AG147" s="33"/>
      <c r="AL147" s="21" t="str">
        <f t="shared" si="47"/>
        <v/>
      </c>
      <c r="AM147" s="21">
        <v>138</v>
      </c>
      <c r="AN147" s="21">
        <f t="shared" si="54"/>
        <v>0</v>
      </c>
      <c r="AO147" s="21">
        <f t="shared" si="55"/>
        <v>0</v>
      </c>
      <c r="AP147" s="21">
        <f t="shared" si="56"/>
        <v>0</v>
      </c>
      <c r="AQ147" s="21">
        <f t="shared" si="57"/>
        <v>0</v>
      </c>
      <c r="AR147" s="21">
        <f t="shared" si="58"/>
        <v>0</v>
      </c>
      <c r="AS147" s="21">
        <f t="shared" si="59"/>
        <v>0</v>
      </c>
      <c r="AT147" s="21">
        <f t="shared" si="60"/>
        <v>0</v>
      </c>
      <c r="AU147" s="34">
        <f t="shared" si="61"/>
        <v>0</v>
      </c>
      <c r="AW147" s="21" t="str">
        <f t="shared" si="62"/>
        <v/>
      </c>
      <c r="AX147" s="21" t="str">
        <f t="shared" si="63"/>
        <v/>
      </c>
      <c r="AY147" s="21" t="str">
        <f t="shared" si="64"/>
        <v/>
      </c>
      <c r="AZ147" s="21" t="str">
        <f t="shared" si="65"/>
        <v/>
      </c>
      <c r="BA147" s="21" t="str">
        <f t="shared" si="66"/>
        <v/>
      </c>
      <c r="BB147" s="21" t="str">
        <f t="shared" si="67"/>
        <v/>
      </c>
      <c r="BC147" s="21" t="str">
        <f t="shared" si="68"/>
        <v/>
      </c>
    </row>
    <row r="148" spans="1:55" ht="15">
      <c r="A148" s="21" t="str">
        <f>IF(Base!B146="","",Base!B146)</f>
        <v>12.020.450-5</v>
      </c>
      <c r="B148" s="21" t="str">
        <f>IF(Base!F146="","",Base!F146)</f>
        <v>ROBERTO  PINEDA  PEREZ</v>
      </c>
      <c r="C148" s="21" t="str">
        <f>IF(Base!I146="","",Base!I146)</f>
        <v>Abastecimiento</v>
      </c>
      <c r="D148" s="22" t="str">
        <f>IF(Base!J146="","",Base!J146)</f>
        <v>Control Ingresos Cen</v>
      </c>
      <c r="E148" s="21">
        <f>IF(Base!H146="","",Base!H146)</f>
        <v>1050126</v>
      </c>
      <c r="J148" s="28">
        <v>138</v>
      </c>
      <c r="K148" s="5"/>
      <c r="L148" s="58" t="str">
        <f t="shared" si="50"/>
        <v/>
      </c>
      <c r="M148" s="58" t="str">
        <f t="shared" si="51"/>
        <v/>
      </c>
      <c r="N148" s="59" t="str">
        <f t="shared" si="52"/>
        <v/>
      </c>
      <c r="O148" s="59" t="str">
        <f t="shared" si="53"/>
        <v/>
      </c>
      <c r="P148" s="30"/>
      <c r="Q148" s="35"/>
      <c r="R148" s="63"/>
      <c r="S148" s="35"/>
      <c r="T148" s="35"/>
      <c r="U148" s="35"/>
      <c r="V148" s="35"/>
      <c r="W148" s="35"/>
      <c r="X148" s="35"/>
      <c r="Y148" s="35"/>
      <c r="Z148" s="35"/>
      <c r="AA148" s="35"/>
      <c r="AB148" s="31"/>
      <c r="AC148" s="31"/>
      <c r="AD148" s="31"/>
      <c r="AE148" s="32">
        <f t="shared" si="45"/>
        <v>0</v>
      </c>
      <c r="AF148" s="32">
        <f t="shared" si="46"/>
        <v>0</v>
      </c>
      <c r="AG148" s="33"/>
      <c r="AL148" s="21" t="str">
        <f t="shared" si="47"/>
        <v/>
      </c>
      <c r="AM148" s="21">
        <v>139</v>
      </c>
      <c r="AN148" s="21">
        <f t="shared" si="54"/>
        <v>0</v>
      </c>
      <c r="AO148" s="21">
        <f t="shared" si="55"/>
        <v>0</v>
      </c>
      <c r="AP148" s="21">
        <f t="shared" si="56"/>
        <v>0</v>
      </c>
      <c r="AQ148" s="21">
        <f t="shared" si="57"/>
        <v>0</v>
      </c>
      <c r="AR148" s="21">
        <f t="shared" si="58"/>
        <v>0</v>
      </c>
      <c r="AS148" s="21">
        <f t="shared" si="59"/>
        <v>0</v>
      </c>
      <c r="AT148" s="21">
        <f t="shared" si="60"/>
        <v>0</v>
      </c>
      <c r="AU148" s="34">
        <f t="shared" si="61"/>
        <v>0</v>
      </c>
      <c r="AW148" s="21" t="str">
        <f t="shared" si="62"/>
        <v/>
      </c>
      <c r="AX148" s="21" t="str">
        <f t="shared" si="63"/>
        <v/>
      </c>
      <c r="AY148" s="21" t="str">
        <f t="shared" si="64"/>
        <v/>
      </c>
      <c r="AZ148" s="21" t="str">
        <f t="shared" si="65"/>
        <v/>
      </c>
      <c r="BA148" s="21" t="str">
        <f t="shared" si="66"/>
        <v/>
      </c>
      <c r="BB148" s="21" t="str">
        <f t="shared" si="67"/>
        <v/>
      </c>
      <c r="BC148" s="21" t="str">
        <f t="shared" si="68"/>
        <v/>
      </c>
    </row>
    <row r="149" spans="1:55" ht="15">
      <c r="A149" s="21" t="str">
        <f>IF(Base!B147="","",Base!B147)</f>
        <v>06.528.911-3</v>
      </c>
      <c r="B149" s="21" t="str">
        <f>IF(Base!F147="","",Base!F147)</f>
        <v>CARLOS  PINO  MARTINEZ</v>
      </c>
      <c r="C149" s="21" t="str">
        <f>IF(Base!I147="","",Base!I147)</f>
        <v>Linea 2</v>
      </c>
      <c r="D149" s="22" t="str">
        <f>IF(Base!J147="","",Base!J147)</f>
        <v>Capsulado</v>
      </c>
      <c r="E149" s="21">
        <f>IF(Base!H147="","",Base!H147)</f>
        <v>1050554</v>
      </c>
      <c r="J149" s="28">
        <v>139</v>
      </c>
      <c r="K149" s="5"/>
      <c r="L149" s="58" t="str">
        <f t="shared" si="50"/>
        <v/>
      </c>
      <c r="M149" s="58" t="str">
        <f t="shared" si="51"/>
        <v/>
      </c>
      <c r="N149" s="59" t="str">
        <f t="shared" si="52"/>
        <v/>
      </c>
      <c r="O149" s="59" t="str">
        <f t="shared" si="53"/>
        <v/>
      </c>
      <c r="P149" s="30"/>
      <c r="Q149" s="35"/>
      <c r="R149" s="63"/>
      <c r="S149" s="35"/>
      <c r="T149" s="35"/>
      <c r="U149" s="35"/>
      <c r="V149" s="35"/>
      <c r="W149" s="35"/>
      <c r="X149" s="35"/>
      <c r="Y149" s="35"/>
      <c r="Z149" s="35"/>
      <c r="AA149" s="35"/>
      <c r="AB149" s="31"/>
      <c r="AC149" s="31"/>
      <c r="AD149" s="31"/>
      <c r="AE149" s="32">
        <f t="shared" ref="AE149:AE212" si="69">SUM(Q149,S149,U149,W149,Y149,AA149,AC149)</f>
        <v>0</v>
      </c>
      <c r="AF149" s="32">
        <f t="shared" ref="AF149:AF212" si="70">SUM(R149,T149,V149,X149,Z149,AB149,AD149)</f>
        <v>0</v>
      </c>
      <c r="AG149" s="33"/>
      <c r="AL149" s="21" t="str">
        <f t="shared" si="47"/>
        <v/>
      </c>
      <c r="AM149" s="21">
        <v>140</v>
      </c>
      <c r="AN149" s="21">
        <f t="shared" si="54"/>
        <v>0</v>
      </c>
      <c r="AO149" s="21">
        <f t="shared" si="55"/>
        <v>0</v>
      </c>
      <c r="AP149" s="21">
        <f t="shared" si="56"/>
        <v>0</v>
      </c>
      <c r="AQ149" s="21">
        <f t="shared" si="57"/>
        <v>0</v>
      </c>
      <c r="AR149" s="21">
        <f t="shared" si="58"/>
        <v>0</v>
      </c>
      <c r="AS149" s="21">
        <f t="shared" si="59"/>
        <v>0</v>
      </c>
      <c r="AT149" s="21">
        <f t="shared" si="60"/>
        <v>0</v>
      </c>
      <c r="AU149" s="34">
        <f t="shared" si="61"/>
        <v>0</v>
      </c>
      <c r="AW149" s="21" t="str">
        <f t="shared" si="62"/>
        <v/>
      </c>
      <c r="AX149" s="21" t="str">
        <f t="shared" si="63"/>
        <v/>
      </c>
      <c r="AY149" s="21" t="str">
        <f t="shared" si="64"/>
        <v/>
      </c>
      <c r="AZ149" s="21" t="str">
        <f t="shared" si="65"/>
        <v/>
      </c>
      <c r="BA149" s="21" t="str">
        <f t="shared" si="66"/>
        <v/>
      </c>
      <c r="BB149" s="21" t="str">
        <f t="shared" si="67"/>
        <v/>
      </c>
      <c r="BC149" s="21" t="str">
        <f t="shared" si="68"/>
        <v/>
      </c>
    </row>
    <row r="150" spans="1:55" ht="15">
      <c r="A150" s="21" t="str">
        <f>IF(Base!B148="","",Base!B148)</f>
        <v>06.010.169-8</v>
      </c>
      <c r="B150" s="21" t="str">
        <f>IF(Base!F148="","",Base!F148)</f>
        <v>GUILLERMO  PINO  QUINTANILLA</v>
      </c>
      <c r="C150" s="21" t="str">
        <f>IF(Base!I148="","",Base!I148)</f>
        <v>Linea 7</v>
      </c>
      <c r="D150" s="22" t="str">
        <f>IF(Base!J148="","",Base!J148)</f>
        <v>Embalador</v>
      </c>
      <c r="E150" s="21">
        <f>IF(Base!H148="","",Base!H148)</f>
        <v>1050616</v>
      </c>
      <c r="J150" s="28">
        <v>140</v>
      </c>
      <c r="K150" s="5"/>
      <c r="L150" s="58" t="str">
        <f t="shared" si="50"/>
        <v/>
      </c>
      <c r="M150" s="58" t="str">
        <f t="shared" si="51"/>
        <v/>
      </c>
      <c r="N150" s="59" t="str">
        <f t="shared" si="52"/>
        <v/>
      </c>
      <c r="O150" s="59" t="str">
        <f t="shared" si="53"/>
        <v/>
      </c>
      <c r="P150" s="30"/>
      <c r="Q150" s="35"/>
      <c r="R150" s="63"/>
      <c r="S150" s="35"/>
      <c r="T150" s="35"/>
      <c r="U150" s="35"/>
      <c r="V150" s="35"/>
      <c r="W150" s="35"/>
      <c r="X150" s="35"/>
      <c r="Y150" s="35"/>
      <c r="Z150" s="35"/>
      <c r="AA150" s="35"/>
      <c r="AB150" s="31"/>
      <c r="AC150" s="31"/>
      <c r="AD150" s="31"/>
      <c r="AE150" s="32">
        <f t="shared" si="69"/>
        <v>0</v>
      </c>
      <c r="AF150" s="32">
        <f t="shared" si="70"/>
        <v>0</v>
      </c>
      <c r="AG150" s="33"/>
      <c r="AL150" s="21" t="str">
        <f t="shared" si="47"/>
        <v/>
      </c>
      <c r="AM150" s="21">
        <v>141</v>
      </c>
      <c r="AN150" s="21">
        <f t="shared" si="54"/>
        <v>0</v>
      </c>
      <c r="AO150" s="21">
        <f t="shared" si="55"/>
        <v>0</v>
      </c>
      <c r="AP150" s="21">
        <f t="shared" si="56"/>
        <v>0</v>
      </c>
      <c r="AQ150" s="21">
        <f t="shared" si="57"/>
        <v>0</v>
      </c>
      <c r="AR150" s="21">
        <f t="shared" si="58"/>
        <v>0</v>
      </c>
      <c r="AS150" s="21">
        <f t="shared" si="59"/>
        <v>0</v>
      </c>
      <c r="AT150" s="21">
        <f t="shared" si="60"/>
        <v>0</v>
      </c>
      <c r="AU150" s="34">
        <f t="shared" si="61"/>
        <v>0</v>
      </c>
      <c r="AW150" s="21" t="str">
        <f t="shared" si="62"/>
        <v/>
      </c>
      <c r="AX150" s="21" t="str">
        <f t="shared" si="63"/>
        <v/>
      </c>
      <c r="AY150" s="21" t="str">
        <f t="shared" si="64"/>
        <v/>
      </c>
      <c r="AZ150" s="21" t="str">
        <f t="shared" si="65"/>
        <v/>
      </c>
      <c r="BA150" s="21" t="str">
        <f t="shared" si="66"/>
        <v/>
      </c>
      <c r="BB150" s="21" t="str">
        <f t="shared" si="67"/>
        <v/>
      </c>
      <c r="BC150" s="21" t="str">
        <f t="shared" si="68"/>
        <v/>
      </c>
    </row>
    <row r="151" spans="1:55" ht="15">
      <c r="A151" s="21" t="str">
        <f>IF(Base!B149="","",Base!B149)</f>
        <v>06.940.813-3</v>
      </c>
      <c r="B151" s="21" t="str">
        <f>IF(Base!F149="","",Base!F149)</f>
        <v>ISAIAS  PLAZA  ALFARO</v>
      </c>
      <c r="C151" s="21" t="str">
        <f>IF(Base!I149="","",Base!I149)</f>
        <v>Linea 3</v>
      </c>
      <c r="D151" s="22" t="str">
        <f>IF(Base!J149="","",Base!J149)</f>
        <v>Despalletizador</v>
      </c>
      <c r="E151" s="21">
        <f>IF(Base!H149="","",Base!H149)</f>
        <v>1050555</v>
      </c>
      <c r="J151" s="28">
        <v>141</v>
      </c>
      <c r="K151" s="5"/>
      <c r="L151" s="58" t="str">
        <f t="shared" si="50"/>
        <v/>
      </c>
      <c r="M151" s="58" t="str">
        <f t="shared" si="51"/>
        <v/>
      </c>
      <c r="N151" s="59" t="str">
        <f t="shared" si="52"/>
        <v/>
      </c>
      <c r="O151" s="59" t="str">
        <f t="shared" si="53"/>
        <v/>
      </c>
      <c r="P151" s="30"/>
      <c r="Q151" s="35"/>
      <c r="R151" s="63"/>
      <c r="S151" s="35"/>
      <c r="T151" s="35"/>
      <c r="U151" s="35"/>
      <c r="V151" s="35"/>
      <c r="W151" s="35"/>
      <c r="X151" s="35"/>
      <c r="Y151" s="35"/>
      <c r="Z151" s="35"/>
      <c r="AA151" s="35"/>
      <c r="AB151" s="31"/>
      <c r="AC151" s="31"/>
      <c r="AD151" s="31"/>
      <c r="AE151" s="32">
        <f t="shared" si="69"/>
        <v>0</v>
      </c>
      <c r="AF151" s="32">
        <f t="shared" si="70"/>
        <v>0</v>
      </c>
      <c r="AG151" s="33"/>
      <c r="AL151" s="21" t="str">
        <f t="shared" si="47"/>
        <v/>
      </c>
      <c r="AM151" s="21">
        <v>142</v>
      </c>
      <c r="AN151" s="21">
        <f t="shared" si="54"/>
        <v>0</v>
      </c>
      <c r="AO151" s="21">
        <f t="shared" si="55"/>
        <v>0</v>
      </c>
      <c r="AP151" s="21">
        <f t="shared" si="56"/>
        <v>0</v>
      </c>
      <c r="AQ151" s="21">
        <f t="shared" si="57"/>
        <v>0</v>
      </c>
      <c r="AR151" s="21">
        <f t="shared" si="58"/>
        <v>0</v>
      </c>
      <c r="AS151" s="21">
        <f t="shared" si="59"/>
        <v>0</v>
      </c>
      <c r="AT151" s="21">
        <f t="shared" si="60"/>
        <v>0</v>
      </c>
      <c r="AU151" s="34">
        <f t="shared" si="61"/>
        <v>0</v>
      </c>
      <c r="AW151" s="21" t="str">
        <f t="shared" si="62"/>
        <v/>
      </c>
      <c r="AX151" s="21" t="str">
        <f t="shared" si="63"/>
        <v/>
      </c>
      <c r="AY151" s="21" t="str">
        <f t="shared" si="64"/>
        <v/>
      </c>
      <c r="AZ151" s="21" t="str">
        <f t="shared" si="65"/>
        <v/>
      </c>
      <c r="BA151" s="21" t="str">
        <f t="shared" si="66"/>
        <v/>
      </c>
      <c r="BB151" s="21" t="str">
        <f t="shared" si="67"/>
        <v/>
      </c>
      <c r="BC151" s="21" t="str">
        <f t="shared" si="68"/>
        <v/>
      </c>
    </row>
    <row r="152" spans="1:55" ht="15">
      <c r="A152" s="21" t="str">
        <f>IF(Base!B150="","",Base!B150)</f>
        <v>15.444.951-5</v>
      </c>
      <c r="B152" s="21" t="str">
        <f>IF(Base!F150="","",Base!F150)</f>
        <v>MIGUEL ANTONIO  PLAZA  ARAYA</v>
      </c>
      <c r="C152" s="21" t="str">
        <f>IF(Base!I150="","",Base!I150)</f>
        <v>Abastecimiento</v>
      </c>
      <c r="D152" s="22" t="str">
        <f>IF(Base!J150="","",Base!J150)</f>
        <v>Suministro de Líneas</v>
      </c>
      <c r="E152" s="21">
        <f>IF(Base!H150="","",Base!H150)</f>
        <v>1050633</v>
      </c>
      <c r="J152" s="28">
        <v>142</v>
      </c>
      <c r="K152" s="5"/>
      <c r="L152" s="58" t="str">
        <f t="shared" si="50"/>
        <v/>
      </c>
      <c r="M152" s="58" t="str">
        <f t="shared" si="51"/>
        <v/>
      </c>
      <c r="N152" s="59" t="str">
        <f t="shared" si="52"/>
        <v/>
      </c>
      <c r="O152" s="59" t="str">
        <f t="shared" si="53"/>
        <v/>
      </c>
      <c r="P152" s="30"/>
      <c r="Q152" s="35"/>
      <c r="R152" s="63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2">
        <f t="shared" si="69"/>
        <v>0</v>
      </c>
      <c r="AF152" s="32">
        <f t="shared" si="70"/>
        <v>0</v>
      </c>
      <c r="AG152" s="33"/>
      <c r="AL152" s="21" t="str">
        <f t="shared" si="47"/>
        <v/>
      </c>
      <c r="AM152" s="21">
        <v>143</v>
      </c>
      <c r="AN152" s="21">
        <f t="shared" si="54"/>
        <v>0</v>
      </c>
      <c r="AO152" s="21">
        <f t="shared" si="55"/>
        <v>0</v>
      </c>
      <c r="AP152" s="21">
        <f t="shared" si="56"/>
        <v>0</v>
      </c>
      <c r="AQ152" s="21">
        <f t="shared" si="57"/>
        <v>0</v>
      </c>
      <c r="AR152" s="21">
        <f t="shared" si="58"/>
        <v>0</v>
      </c>
      <c r="AS152" s="21">
        <f t="shared" si="59"/>
        <v>0</v>
      </c>
      <c r="AT152" s="21">
        <f t="shared" si="60"/>
        <v>0</v>
      </c>
      <c r="AU152" s="34">
        <f t="shared" si="61"/>
        <v>0</v>
      </c>
      <c r="AW152" s="21" t="str">
        <f t="shared" si="62"/>
        <v/>
      </c>
      <c r="AX152" s="21" t="str">
        <f t="shared" si="63"/>
        <v/>
      </c>
      <c r="AY152" s="21" t="str">
        <f t="shared" si="64"/>
        <v/>
      </c>
      <c r="AZ152" s="21" t="str">
        <f t="shared" si="65"/>
        <v/>
      </c>
      <c r="BA152" s="21" t="str">
        <f t="shared" si="66"/>
        <v/>
      </c>
      <c r="BB152" s="21" t="str">
        <f t="shared" si="67"/>
        <v/>
      </c>
      <c r="BC152" s="21" t="str">
        <f t="shared" si="68"/>
        <v/>
      </c>
    </row>
    <row r="153" spans="1:55" ht="15">
      <c r="A153" s="21" t="str">
        <f>IF(Base!B151="","",Base!B151)</f>
        <v>13.297.988-K</v>
      </c>
      <c r="B153" s="21" t="str">
        <f>IF(Base!F151="","",Base!F151)</f>
        <v>JORGE  POBLETE  RIVEROS</v>
      </c>
      <c r="C153" s="21" t="str">
        <f>IF(Base!I151="","",Base!I151)</f>
        <v>Linea 6</v>
      </c>
      <c r="D153" s="22" t="str">
        <f>IF(Base!J151="","",Base!J151)</f>
        <v>Llenador</v>
      </c>
      <c r="E153" s="21">
        <f>IF(Base!H151="","",Base!H151)</f>
        <v>1050609</v>
      </c>
      <c r="J153" s="28">
        <v>143</v>
      </c>
      <c r="K153" s="5"/>
      <c r="L153" s="58" t="str">
        <f t="shared" si="50"/>
        <v/>
      </c>
      <c r="M153" s="58" t="str">
        <f t="shared" si="51"/>
        <v/>
      </c>
      <c r="N153" s="59" t="str">
        <f t="shared" si="52"/>
        <v/>
      </c>
      <c r="O153" s="59" t="str">
        <f t="shared" si="53"/>
        <v/>
      </c>
      <c r="P153" s="30"/>
      <c r="Q153" s="35"/>
      <c r="R153" s="63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2">
        <f t="shared" si="69"/>
        <v>0</v>
      </c>
      <c r="AF153" s="32">
        <f t="shared" si="70"/>
        <v>0</v>
      </c>
      <c r="AG153" s="33"/>
      <c r="AL153" s="21" t="str">
        <f t="shared" ref="AL153:AL216" si="71">IF(K153="","",K153)</f>
        <v/>
      </c>
      <c r="AM153" s="21">
        <v>144</v>
      </c>
      <c r="AN153" s="21">
        <f t="shared" si="54"/>
        <v>0</v>
      </c>
      <c r="AO153" s="21">
        <f t="shared" si="55"/>
        <v>0</v>
      </c>
      <c r="AP153" s="21">
        <f t="shared" si="56"/>
        <v>0</v>
      </c>
      <c r="AQ153" s="21">
        <f t="shared" si="57"/>
        <v>0</v>
      </c>
      <c r="AR153" s="21">
        <f t="shared" si="58"/>
        <v>0</v>
      </c>
      <c r="AS153" s="21">
        <f t="shared" si="59"/>
        <v>0</v>
      </c>
      <c r="AT153" s="21">
        <f t="shared" si="60"/>
        <v>0</v>
      </c>
      <c r="AU153" s="34">
        <f t="shared" si="61"/>
        <v>0</v>
      </c>
      <c r="AW153" s="21" t="str">
        <f t="shared" si="62"/>
        <v/>
      </c>
      <c r="AX153" s="21" t="str">
        <f t="shared" si="63"/>
        <v/>
      </c>
      <c r="AY153" s="21" t="str">
        <f t="shared" si="64"/>
        <v/>
      </c>
      <c r="AZ153" s="21" t="str">
        <f t="shared" si="65"/>
        <v/>
      </c>
      <c r="BA153" s="21" t="str">
        <f t="shared" si="66"/>
        <v/>
      </c>
      <c r="BB153" s="21" t="str">
        <f t="shared" si="67"/>
        <v/>
      </c>
      <c r="BC153" s="21" t="str">
        <f t="shared" si="68"/>
        <v/>
      </c>
    </row>
    <row r="154" spans="1:55" ht="15">
      <c r="A154" s="21" t="str">
        <f>IF(Base!B152="","",Base!B152)</f>
        <v>16.149.604-9</v>
      </c>
      <c r="B154" s="21" t="str">
        <f>IF(Base!F152="","",Base!F152)</f>
        <v>RODRIGO  POBLETE  SANDOVAL</v>
      </c>
      <c r="C154" s="21" t="str">
        <f>IF(Base!I152="","",Base!I152)</f>
        <v>Setup</v>
      </c>
      <c r="D154" s="22" t="str">
        <f>IF(Base!J152="","",Base!J152)</f>
        <v>Setup</v>
      </c>
      <c r="E154" s="21">
        <f>IF(Base!H152="","",Base!H152)</f>
        <v>1050529</v>
      </c>
      <c r="J154" s="28">
        <v>144</v>
      </c>
      <c r="K154" s="5"/>
      <c r="L154" s="58" t="str">
        <f t="shared" si="50"/>
        <v/>
      </c>
      <c r="M154" s="58" t="str">
        <f t="shared" si="51"/>
        <v/>
      </c>
      <c r="N154" s="59" t="str">
        <f t="shared" si="52"/>
        <v/>
      </c>
      <c r="O154" s="59" t="str">
        <f t="shared" si="53"/>
        <v/>
      </c>
      <c r="P154" s="30"/>
      <c r="Q154" s="35"/>
      <c r="R154" s="63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2">
        <f t="shared" si="69"/>
        <v>0</v>
      </c>
      <c r="AF154" s="32">
        <f t="shared" si="70"/>
        <v>0</v>
      </c>
      <c r="AG154" s="33"/>
      <c r="AL154" s="21" t="str">
        <f t="shared" si="71"/>
        <v/>
      </c>
      <c r="AM154" s="21">
        <v>145</v>
      </c>
      <c r="AN154" s="21">
        <f t="shared" si="54"/>
        <v>0</v>
      </c>
      <c r="AO154" s="21">
        <f t="shared" si="55"/>
        <v>0</v>
      </c>
      <c r="AP154" s="21">
        <f t="shared" si="56"/>
        <v>0</v>
      </c>
      <c r="AQ154" s="21">
        <f t="shared" si="57"/>
        <v>0</v>
      </c>
      <c r="AR154" s="21">
        <f t="shared" si="58"/>
        <v>0</v>
      </c>
      <c r="AS154" s="21">
        <f t="shared" si="59"/>
        <v>0</v>
      </c>
      <c r="AT154" s="21">
        <f t="shared" si="60"/>
        <v>0</v>
      </c>
      <c r="AU154" s="34">
        <f t="shared" si="61"/>
        <v>0</v>
      </c>
      <c r="AW154" s="21" t="str">
        <f t="shared" si="62"/>
        <v/>
      </c>
      <c r="AX154" s="21" t="str">
        <f t="shared" si="63"/>
        <v/>
      </c>
      <c r="AY154" s="21" t="str">
        <f t="shared" si="64"/>
        <v/>
      </c>
      <c r="AZ154" s="21" t="str">
        <f t="shared" si="65"/>
        <v/>
      </c>
      <c r="BA154" s="21" t="str">
        <f t="shared" si="66"/>
        <v/>
      </c>
      <c r="BB154" s="21" t="str">
        <f t="shared" si="67"/>
        <v/>
      </c>
      <c r="BC154" s="21" t="str">
        <f t="shared" si="68"/>
        <v/>
      </c>
    </row>
    <row r="155" spans="1:55" ht="15">
      <c r="A155" s="21" t="str">
        <f>IF(Base!B153="","",Base!B153)</f>
        <v>16.408.490-6</v>
      </c>
      <c r="B155" s="21" t="str">
        <f>IF(Base!F153="","",Base!F153)</f>
        <v>JUAN MIGUEL  POZO  CAMPOS</v>
      </c>
      <c r="C155" s="21" t="str">
        <f>IF(Base!I153="","",Base!I153)</f>
        <v>Reemplazo Sindicato</v>
      </c>
      <c r="D155" s="22" t="str">
        <f>IF(Base!J153="","",Base!J153)</f>
        <v>Reemplazo Sindicato</v>
      </c>
      <c r="E155" s="21">
        <f>IF(Base!H153="","",Base!H153)</f>
        <v>1050502</v>
      </c>
      <c r="J155" s="28">
        <v>145</v>
      </c>
      <c r="K155" s="5"/>
      <c r="L155" s="58" t="str">
        <f t="shared" si="50"/>
        <v/>
      </c>
      <c r="M155" s="58" t="str">
        <f t="shared" si="51"/>
        <v/>
      </c>
      <c r="N155" s="59" t="str">
        <f t="shared" si="52"/>
        <v/>
      </c>
      <c r="O155" s="59" t="str">
        <f t="shared" si="53"/>
        <v/>
      </c>
      <c r="P155" s="30"/>
      <c r="Q155" s="35"/>
      <c r="R155" s="63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2">
        <f t="shared" si="69"/>
        <v>0</v>
      </c>
      <c r="AF155" s="32">
        <f t="shared" si="70"/>
        <v>0</v>
      </c>
      <c r="AG155" s="33"/>
      <c r="AL155" s="21" t="str">
        <f t="shared" si="71"/>
        <v/>
      </c>
      <c r="AM155" s="21">
        <v>146</v>
      </c>
      <c r="AN155" s="21">
        <f t="shared" si="54"/>
        <v>0</v>
      </c>
      <c r="AO155" s="21">
        <f t="shared" si="55"/>
        <v>0</v>
      </c>
      <c r="AP155" s="21">
        <f t="shared" si="56"/>
        <v>0</v>
      </c>
      <c r="AQ155" s="21">
        <f t="shared" si="57"/>
        <v>0</v>
      </c>
      <c r="AR155" s="21">
        <f t="shared" si="58"/>
        <v>0</v>
      </c>
      <c r="AS155" s="21">
        <f t="shared" si="59"/>
        <v>0</v>
      </c>
      <c r="AT155" s="21">
        <f t="shared" si="60"/>
        <v>0</v>
      </c>
      <c r="AU155" s="34">
        <f t="shared" si="61"/>
        <v>0</v>
      </c>
      <c r="AW155" s="21" t="str">
        <f t="shared" si="62"/>
        <v/>
      </c>
      <c r="AX155" s="21" t="str">
        <f t="shared" si="63"/>
        <v/>
      </c>
      <c r="AY155" s="21" t="str">
        <f t="shared" si="64"/>
        <v/>
      </c>
      <c r="AZ155" s="21" t="str">
        <f t="shared" si="65"/>
        <v/>
      </c>
      <c r="BA155" s="21" t="str">
        <f t="shared" si="66"/>
        <v/>
      </c>
      <c r="BB155" s="21" t="str">
        <f t="shared" si="67"/>
        <v/>
      </c>
      <c r="BC155" s="21" t="str">
        <f t="shared" si="68"/>
        <v/>
      </c>
    </row>
    <row r="156" spans="1:55" ht="15">
      <c r="A156" s="21" t="str">
        <f>IF(Base!B154="","",Base!B154)</f>
        <v>07.721.223-K</v>
      </c>
      <c r="B156" s="21" t="str">
        <f>IF(Base!F154="","",Base!F154)</f>
        <v>JOSE MANUEL  QUIROZ  VENEGAS</v>
      </c>
      <c r="C156" s="21" t="str">
        <f>IF(Base!I154="","",Base!I154)</f>
        <v>Abastecimiento</v>
      </c>
      <c r="D156" s="22" t="str">
        <f>IF(Base!J154="","",Base!J154)</f>
        <v>Suministro de Líneas</v>
      </c>
      <c r="E156" s="21">
        <f>IF(Base!H154="","",Base!H154)</f>
        <v>1050633</v>
      </c>
      <c r="J156" s="28">
        <v>146</v>
      </c>
      <c r="K156" s="5"/>
      <c r="L156" s="58" t="str">
        <f t="shared" si="50"/>
        <v/>
      </c>
      <c r="M156" s="58" t="str">
        <f t="shared" si="51"/>
        <v/>
      </c>
      <c r="N156" s="59" t="str">
        <f t="shared" si="52"/>
        <v/>
      </c>
      <c r="O156" s="59" t="str">
        <f t="shared" si="53"/>
        <v/>
      </c>
      <c r="P156" s="30"/>
      <c r="Q156" s="35"/>
      <c r="R156" s="63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2">
        <f t="shared" si="69"/>
        <v>0</v>
      </c>
      <c r="AF156" s="32">
        <f t="shared" si="70"/>
        <v>0</v>
      </c>
      <c r="AG156" s="33"/>
      <c r="AL156" s="21" t="str">
        <f t="shared" si="71"/>
        <v/>
      </c>
      <c r="AM156" s="21">
        <v>147</v>
      </c>
      <c r="AN156" s="21">
        <f t="shared" si="54"/>
        <v>0</v>
      </c>
      <c r="AO156" s="21">
        <f t="shared" si="55"/>
        <v>0</v>
      </c>
      <c r="AP156" s="21">
        <f t="shared" si="56"/>
        <v>0</v>
      </c>
      <c r="AQ156" s="21">
        <f t="shared" si="57"/>
        <v>0</v>
      </c>
      <c r="AR156" s="21">
        <f t="shared" si="58"/>
        <v>0</v>
      </c>
      <c r="AS156" s="21">
        <f t="shared" si="59"/>
        <v>0</v>
      </c>
      <c r="AT156" s="21">
        <f t="shared" si="60"/>
        <v>0</v>
      </c>
      <c r="AU156" s="34">
        <f t="shared" si="61"/>
        <v>0</v>
      </c>
      <c r="AW156" s="21" t="str">
        <f t="shared" si="62"/>
        <v/>
      </c>
      <c r="AX156" s="21" t="str">
        <f t="shared" si="63"/>
        <v/>
      </c>
      <c r="AY156" s="21" t="str">
        <f t="shared" si="64"/>
        <v/>
      </c>
      <c r="AZ156" s="21" t="str">
        <f t="shared" si="65"/>
        <v/>
      </c>
      <c r="BA156" s="21" t="str">
        <f t="shared" si="66"/>
        <v/>
      </c>
      <c r="BB156" s="21" t="str">
        <f t="shared" si="67"/>
        <v/>
      </c>
      <c r="BC156" s="21" t="str">
        <f t="shared" si="68"/>
        <v/>
      </c>
    </row>
    <row r="157" spans="1:55" ht="15">
      <c r="A157" s="21" t="str">
        <f>IF(Base!B155="","",Base!B155)</f>
        <v>12.051.254-4</v>
      </c>
      <c r="B157" s="21" t="str">
        <f>IF(Base!F155="","",Base!F155)</f>
        <v>MAURICIO  NOVA  FIGUEROA</v>
      </c>
      <c r="C157" s="21" t="str">
        <f>IF(Base!I155="","",Base!I155)</f>
        <v>Abastecimiento</v>
      </c>
      <c r="D157" s="22" t="str">
        <f>IF(Base!J155="","",Base!J155)</f>
        <v>Analista de Inventario</v>
      </c>
      <c r="E157" s="21">
        <f>IF(Base!H155="","",Base!H155)</f>
        <v>1050161</v>
      </c>
      <c r="J157" s="28">
        <v>147</v>
      </c>
      <c r="K157" s="5"/>
      <c r="L157" s="58" t="str">
        <f t="shared" si="50"/>
        <v/>
      </c>
      <c r="M157" s="58" t="str">
        <f t="shared" si="51"/>
        <v/>
      </c>
      <c r="N157" s="59" t="str">
        <f t="shared" si="52"/>
        <v/>
      </c>
      <c r="O157" s="59" t="str">
        <f t="shared" si="53"/>
        <v/>
      </c>
      <c r="P157" s="30"/>
      <c r="Q157" s="35"/>
      <c r="R157" s="63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2">
        <f t="shared" si="69"/>
        <v>0</v>
      </c>
      <c r="AF157" s="32">
        <f t="shared" si="70"/>
        <v>0</v>
      </c>
      <c r="AG157" s="33"/>
      <c r="AL157" s="21" t="str">
        <f t="shared" si="71"/>
        <v/>
      </c>
      <c r="AM157" s="21">
        <v>148</v>
      </c>
      <c r="AN157" s="21">
        <f t="shared" si="54"/>
        <v>0</v>
      </c>
      <c r="AO157" s="21">
        <f t="shared" si="55"/>
        <v>0</v>
      </c>
      <c r="AP157" s="21">
        <f t="shared" si="56"/>
        <v>0</v>
      </c>
      <c r="AQ157" s="21">
        <f t="shared" si="57"/>
        <v>0</v>
      </c>
      <c r="AR157" s="21">
        <f t="shared" si="58"/>
        <v>0</v>
      </c>
      <c r="AS157" s="21">
        <f t="shared" si="59"/>
        <v>0</v>
      </c>
      <c r="AT157" s="21">
        <f t="shared" si="60"/>
        <v>0</v>
      </c>
      <c r="AU157" s="34">
        <f t="shared" si="61"/>
        <v>0</v>
      </c>
      <c r="AW157" s="21" t="str">
        <f t="shared" si="62"/>
        <v/>
      </c>
      <c r="AX157" s="21" t="str">
        <f t="shared" si="63"/>
        <v/>
      </c>
      <c r="AY157" s="21" t="str">
        <f t="shared" si="64"/>
        <v/>
      </c>
      <c r="AZ157" s="21" t="str">
        <f t="shared" si="65"/>
        <v/>
      </c>
      <c r="BA157" s="21" t="str">
        <f t="shared" si="66"/>
        <v/>
      </c>
      <c r="BB157" s="21" t="str">
        <f t="shared" si="67"/>
        <v/>
      </c>
      <c r="BC157" s="21" t="str">
        <f t="shared" si="68"/>
        <v/>
      </c>
    </row>
    <row r="158" spans="1:55" ht="15">
      <c r="A158" s="21" t="str">
        <f>IF(Base!B156="","",Base!B156)</f>
        <v>07.913.597-6</v>
      </c>
      <c r="B158" s="21" t="str">
        <f>IF(Base!F156="","",Base!F156)</f>
        <v>JOSE  RAMIREZ  ROJAS</v>
      </c>
      <c r="C158" s="21" t="str">
        <f>IF(Base!I156="","",Base!I156)</f>
        <v>Abastecimiento</v>
      </c>
      <c r="D158" s="22" t="str">
        <f>IF(Base!J156="","",Base!J156)</f>
        <v>Preparación de Insum</v>
      </c>
      <c r="E158" s="21">
        <f>IF(Base!H156="","",Base!H156)</f>
        <v>1050127</v>
      </c>
      <c r="J158" s="28">
        <v>148</v>
      </c>
      <c r="K158" s="5"/>
      <c r="L158" s="58" t="str">
        <f t="shared" si="50"/>
        <v/>
      </c>
      <c r="M158" s="58" t="str">
        <f t="shared" si="51"/>
        <v/>
      </c>
      <c r="N158" s="59" t="str">
        <f t="shared" si="52"/>
        <v/>
      </c>
      <c r="O158" s="59" t="str">
        <f t="shared" si="53"/>
        <v/>
      </c>
      <c r="P158" s="30"/>
      <c r="Q158" s="35"/>
      <c r="R158" s="63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2">
        <f t="shared" si="69"/>
        <v>0</v>
      </c>
      <c r="AF158" s="32">
        <f t="shared" si="70"/>
        <v>0</v>
      </c>
      <c r="AG158" s="33"/>
      <c r="AL158" s="21" t="str">
        <f t="shared" si="71"/>
        <v/>
      </c>
      <c r="AM158" s="21">
        <v>149</v>
      </c>
      <c r="AN158" s="21">
        <f t="shared" si="54"/>
        <v>0</v>
      </c>
      <c r="AO158" s="21">
        <f t="shared" si="55"/>
        <v>0</v>
      </c>
      <c r="AP158" s="21">
        <f t="shared" si="56"/>
        <v>0</v>
      </c>
      <c r="AQ158" s="21">
        <f t="shared" si="57"/>
        <v>0</v>
      </c>
      <c r="AR158" s="21">
        <f t="shared" si="58"/>
        <v>0</v>
      </c>
      <c r="AS158" s="21">
        <f t="shared" si="59"/>
        <v>0</v>
      </c>
      <c r="AT158" s="21">
        <f t="shared" si="60"/>
        <v>0</v>
      </c>
      <c r="AU158" s="34">
        <f t="shared" si="61"/>
        <v>0</v>
      </c>
      <c r="AW158" s="21" t="str">
        <f t="shared" si="62"/>
        <v/>
      </c>
      <c r="AX158" s="21" t="str">
        <f t="shared" si="63"/>
        <v/>
      </c>
      <c r="AY158" s="21" t="str">
        <f t="shared" si="64"/>
        <v/>
      </c>
      <c r="AZ158" s="21" t="str">
        <f t="shared" si="65"/>
        <v/>
      </c>
      <c r="BA158" s="21" t="str">
        <f t="shared" si="66"/>
        <v/>
      </c>
      <c r="BB158" s="21" t="str">
        <f t="shared" si="67"/>
        <v/>
      </c>
      <c r="BC158" s="21" t="str">
        <f t="shared" si="68"/>
        <v/>
      </c>
    </row>
    <row r="159" spans="1:55" ht="15">
      <c r="A159" s="21" t="str">
        <f>IF(Base!B157="","",Base!B157)</f>
        <v>10.168.958-1</v>
      </c>
      <c r="B159" s="21" t="str">
        <f>IF(Base!F157="","",Base!F157)</f>
        <v>RAUL  RAMIREZ  VASQUEZ</v>
      </c>
      <c r="C159" s="21" t="str">
        <f>IF(Base!I157="","",Base!I157)</f>
        <v>Abastecimiento</v>
      </c>
      <c r="D159" s="22" t="str">
        <f>IF(Base!J157="","",Base!J157)</f>
        <v>Suministro de Líneas</v>
      </c>
      <c r="E159" s="21">
        <f>IF(Base!H157="","",Base!H157)</f>
        <v>1050633</v>
      </c>
      <c r="J159" s="28">
        <v>149</v>
      </c>
      <c r="K159" s="5"/>
      <c r="L159" s="58" t="str">
        <f t="shared" si="50"/>
        <v/>
      </c>
      <c r="M159" s="58" t="str">
        <f t="shared" si="51"/>
        <v/>
      </c>
      <c r="N159" s="59" t="str">
        <f t="shared" si="52"/>
        <v/>
      </c>
      <c r="O159" s="59" t="str">
        <f t="shared" si="53"/>
        <v/>
      </c>
      <c r="P159" s="30"/>
      <c r="Q159" s="35"/>
      <c r="R159" s="63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2">
        <f t="shared" si="69"/>
        <v>0</v>
      </c>
      <c r="AF159" s="32">
        <f t="shared" si="70"/>
        <v>0</v>
      </c>
      <c r="AG159" s="33"/>
      <c r="AL159" s="21" t="str">
        <f t="shared" si="71"/>
        <v/>
      </c>
      <c r="AM159" s="21">
        <v>150</v>
      </c>
      <c r="AN159" s="21">
        <f t="shared" si="54"/>
        <v>0</v>
      </c>
      <c r="AO159" s="21">
        <f t="shared" si="55"/>
        <v>0</v>
      </c>
      <c r="AP159" s="21">
        <f t="shared" si="56"/>
        <v>0</v>
      </c>
      <c r="AQ159" s="21">
        <f t="shared" si="57"/>
        <v>0</v>
      </c>
      <c r="AR159" s="21">
        <f t="shared" si="58"/>
        <v>0</v>
      </c>
      <c r="AS159" s="21">
        <f t="shared" si="59"/>
        <v>0</v>
      </c>
      <c r="AT159" s="21">
        <f t="shared" si="60"/>
        <v>0</v>
      </c>
      <c r="AU159" s="34">
        <f t="shared" si="61"/>
        <v>0</v>
      </c>
      <c r="AW159" s="21" t="str">
        <f t="shared" si="62"/>
        <v/>
      </c>
      <c r="AX159" s="21" t="str">
        <f t="shared" si="63"/>
        <v/>
      </c>
      <c r="AY159" s="21" t="str">
        <f t="shared" si="64"/>
        <v/>
      </c>
      <c r="AZ159" s="21" t="str">
        <f t="shared" si="65"/>
        <v/>
      </c>
      <c r="BA159" s="21" t="str">
        <f t="shared" si="66"/>
        <v/>
      </c>
      <c r="BB159" s="21" t="str">
        <f t="shared" si="67"/>
        <v/>
      </c>
      <c r="BC159" s="21" t="str">
        <f t="shared" si="68"/>
        <v/>
      </c>
    </row>
    <row r="160" spans="1:55" ht="15">
      <c r="A160" s="21" t="str">
        <f>IF(Base!B158="","",Base!B158)</f>
        <v>09.741.880-2</v>
      </c>
      <c r="B160" s="21" t="str">
        <f>IF(Base!F158="","",Base!F158)</f>
        <v>LAURA CECILIA  REINOSO  SALAS</v>
      </c>
      <c r="C160" s="21" t="str">
        <f>IF(Base!I158="","",Base!I158)</f>
        <v>Abastecimiento</v>
      </c>
      <c r="D160" s="22" t="str">
        <f>IF(Base!J158="","",Base!J158)</f>
        <v>Control Ingresos Cen</v>
      </c>
      <c r="E160" s="21">
        <f>IF(Base!H158="","",Base!H158)</f>
        <v>1050126</v>
      </c>
      <c r="J160" s="28">
        <v>150</v>
      </c>
      <c r="K160" s="5"/>
      <c r="L160" s="58" t="str">
        <f t="shared" si="50"/>
        <v/>
      </c>
      <c r="M160" s="58" t="str">
        <f t="shared" si="51"/>
        <v/>
      </c>
      <c r="N160" s="59" t="str">
        <f t="shared" si="52"/>
        <v/>
      </c>
      <c r="O160" s="59" t="str">
        <f t="shared" si="53"/>
        <v/>
      </c>
      <c r="P160" s="30"/>
      <c r="Q160" s="35"/>
      <c r="R160" s="63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2">
        <f t="shared" si="69"/>
        <v>0</v>
      </c>
      <c r="AF160" s="32">
        <f t="shared" si="70"/>
        <v>0</v>
      </c>
      <c r="AG160" s="33"/>
      <c r="AL160" s="21" t="str">
        <f t="shared" si="71"/>
        <v/>
      </c>
      <c r="AM160" s="21">
        <v>151</v>
      </c>
      <c r="AN160" s="21">
        <f t="shared" si="54"/>
        <v>0</v>
      </c>
      <c r="AO160" s="21">
        <f t="shared" si="55"/>
        <v>0</v>
      </c>
      <c r="AP160" s="21">
        <f t="shared" si="56"/>
        <v>0</v>
      </c>
      <c r="AQ160" s="21">
        <f t="shared" si="57"/>
        <v>0</v>
      </c>
      <c r="AR160" s="21">
        <f t="shared" si="58"/>
        <v>0</v>
      </c>
      <c r="AS160" s="21">
        <f t="shared" si="59"/>
        <v>0</v>
      </c>
      <c r="AT160" s="21">
        <f t="shared" si="60"/>
        <v>0</v>
      </c>
      <c r="AU160" s="34">
        <f t="shared" si="61"/>
        <v>0</v>
      </c>
      <c r="AW160" s="21" t="str">
        <f t="shared" si="62"/>
        <v/>
      </c>
      <c r="AX160" s="21" t="str">
        <f t="shared" si="63"/>
        <v/>
      </c>
      <c r="AY160" s="21" t="str">
        <f t="shared" si="64"/>
        <v/>
      </c>
      <c r="AZ160" s="21" t="str">
        <f t="shared" si="65"/>
        <v/>
      </c>
      <c r="BA160" s="21" t="str">
        <f t="shared" si="66"/>
        <v/>
      </c>
      <c r="BB160" s="21" t="str">
        <f t="shared" si="67"/>
        <v/>
      </c>
      <c r="BC160" s="21" t="str">
        <f t="shared" si="68"/>
        <v/>
      </c>
    </row>
    <row r="161" spans="1:55" ht="15">
      <c r="A161" s="21" t="str">
        <f>IF(Base!B159="","",Base!B159)</f>
        <v>15.444.698-2</v>
      </c>
      <c r="B161" s="21" t="str">
        <f>IF(Base!F159="","",Base!F159)</f>
        <v>MAURICIO ALEJANDRO  RETAMAL  ACUÑA</v>
      </c>
      <c r="C161" s="21" t="str">
        <f>IF(Base!I159="","",Base!I159)</f>
        <v>Abastecimiento</v>
      </c>
      <c r="D161" s="22" t="str">
        <f>IF(Base!J159="","",Base!J159)</f>
        <v>Preparación de Insum</v>
      </c>
      <c r="E161" s="21">
        <f>IF(Base!H159="","",Base!H159)</f>
        <v>1050127</v>
      </c>
      <c r="J161" s="28">
        <v>151</v>
      </c>
      <c r="K161" s="5"/>
      <c r="L161" s="58" t="str">
        <f t="shared" si="50"/>
        <v/>
      </c>
      <c r="M161" s="58" t="str">
        <f t="shared" si="51"/>
        <v/>
      </c>
      <c r="N161" s="59" t="str">
        <f t="shared" si="52"/>
        <v/>
      </c>
      <c r="O161" s="59" t="str">
        <f t="shared" si="53"/>
        <v/>
      </c>
      <c r="P161" s="30"/>
      <c r="Q161" s="35"/>
      <c r="R161" s="63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2">
        <f t="shared" si="69"/>
        <v>0</v>
      </c>
      <c r="AF161" s="32">
        <f t="shared" si="70"/>
        <v>0</v>
      </c>
      <c r="AG161" s="33"/>
      <c r="AL161" s="21" t="str">
        <f t="shared" si="71"/>
        <v/>
      </c>
      <c r="AM161" s="21">
        <v>152</v>
      </c>
      <c r="AN161" s="21">
        <f t="shared" si="54"/>
        <v>0</v>
      </c>
      <c r="AO161" s="21">
        <f t="shared" si="55"/>
        <v>0</v>
      </c>
      <c r="AP161" s="21">
        <f t="shared" si="56"/>
        <v>0</v>
      </c>
      <c r="AQ161" s="21">
        <f t="shared" si="57"/>
        <v>0</v>
      </c>
      <c r="AR161" s="21">
        <f t="shared" si="58"/>
        <v>0</v>
      </c>
      <c r="AS161" s="21">
        <f t="shared" si="59"/>
        <v>0</v>
      </c>
      <c r="AT161" s="21">
        <f t="shared" si="60"/>
        <v>0</v>
      </c>
      <c r="AU161" s="34">
        <f t="shared" si="61"/>
        <v>0</v>
      </c>
      <c r="AW161" s="21" t="str">
        <f t="shared" si="62"/>
        <v/>
      </c>
      <c r="AX161" s="21" t="str">
        <f t="shared" si="63"/>
        <v/>
      </c>
      <c r="AY161" s="21" t="str">
        <f t="shared" si="64"/>
        <v/>
      </c>
      <c r="AZ161" s="21" t="str">
        <f t="shared" si="65"/>
        <v/>
      </c>
      <c r="BA161" s="21" t="str">
        <f t="shared" si="66"/>
        <v/>
      </c>
      <c r="BB161" s="21" t="str">
        <f t="shared" si="67"/>
        <v/>
      </c>
      <c r="BC161" s="21" t="str">
        <f t="shared" si="68"/>
        <v/>
      </c>
    </row>
    <row r="162" spans="1:55" ht="15">
      <c r="A162" s="21" t="str">
        <f>IF(Base!B160="","",Base!B160)</f>
        <v>13.553.033-6</v>
      </c>
      <c r="B162" s="21" t="str">
        <f>IF(Base!F160="","",Base!F160)</f>
        <v>CLAUDIO  RETAMALES  SEPULVEDA</v>
      </c>
      <c r="C162" s="21" t="str">
        <f>IF(Base!I160="","",Base!I160)</f>
        <v>Linea 6</v>
      </c>
      <c r="D162" s="22" t="str">
        <f>IF(Base!J160="","",Base!J160)</f>
        <v>Etiquetador</v>
      </c>
      <c r="E162" s="21">
        <f>IF(Base!H160="","",Base!H160)</f>
        <v>1050610</v>
      </c>
      <c r="J162" s="28">
        <v>152</v>
      </c>
      <c r="K162" s="5"/>
      <c r="L162" s="58" t="str">
        <f t="shared" si="50"/>
        <v/>
      </c>
      <c r="M162" s="58" t="str">
        <f t="shared" si="51"/>
        <v/>
      </c>
      <c r="N162" s="59" t="str">
        <f t="shared" si="52"/>
        <v/>
      </c>
      <c r="O162" s="59" t="str">
        <f t="shared" si="53"/>
        <v/>
      </c>
      <c r="P162" s="30"/>
      <c r="Q162" s="35"/>
      <c r="R162" s="63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2">
        <f t="shared" si="69"/>
        <v>0</v>
      </c>
      <c r="AF162" s="32">
        <f t="shared" si="70"/>
        <v>0</v>
      </c>
      <c r="AG162" s="33"/>
      <c r="AL162" s="21" t="str">
        <f t="shared" si="71"/>
        <v/>
      </c>
      <c r="AM162" s="21">
        <v>153</v>
      </c>
      <c r="AN162" s="21">
        <f t="shared" si="54"/>
        <v>0</v>
      </c>
      <c r="AO162" s="21">
        <f t="shared" si="55"/>
        <v>0</v>
      </c>
      <c r="AP162" s="21">
        <f t="shared" si="56"/>
        <v>0</v>
      </c>
      <c r="AQ162" s="21">
        <f t="shared" si="57"/>
        <v>0</v>
      </c>
      <c r="AR162" s="21">
        <f t="shared" si="58"/>
        <v>0</v>
      </c>
      <c r="AS162" s="21">
        <f t="shared" si="59"/>
        <v>0</v>
      </c>
      <c r="AT162" s="21">
        <f t="shared" si="60"/>
        <v>0</v>
      </c>
      <c r="AU162" s="34">
        <f t="shared" si="61"/>
        <v>0</v>
      </c>
      <c r="AW162" s="21" t="str">
        <f t="shared" si="62"/>
        <v/>
      </c>
      <c r="AX162" s="21" t="str">
        <f t="shared" si="63"/>
        <v/>
      </c>
      <c r="AY162" s="21" t="str">
        <f t="shared" si="64"/>
        <v/>
      </c>
      <c r="AZ162" s="21" t="str">
        <f t="shared" si="65"/>
        <v/>
      </c>
      <c r="BA162" s="21" t="str">
        <f t="shared" si="66"/>
        <v/>
      </c>
      <c r="BB162" s="21" t="str">
        <f t="shared" si="67"/>
        <v/>
      </c>
      <c r="BC162" s="21" t="str">
        <f t="shared" si="68"/>
        <v/>
      </c>
    </row>
    <row r="163" spans="1:55" ht="15">
      <c r="A163" s="21" t="str">
        <f>IF(Base!B161="","",Base!B161)</f>
        <v>16.697.450-K</v>
      </c>
      <c r="B163" s="21" t="str">
        <f>IF(Base!F161="","",Base!F161)</f>
        <v>NATALIA BELEN  REYES  ESPINOZA</v>
      </c>
      <c r="C163" s="21" t="str">
        <f>IF(Base!I161="","",Base!I161)</f>
        <v>Abastecimiento</v>
      </c>
      <c r="D163" s="22" t="str">
        <f>IF(Base!J161="","",Base!J161)</f>
        <v>Preparación de Insum</v>
      </c>
      <c r="E163" s="21">
        <f>IF(Base!H161="","",Base!H161)</f>
        <v>1050127</v>
      </c>
      <c r="J163" s="28">
        <v>153</v>
      </c>
      <c r="K163" s="5"/>
      <c r="L163" s="58" t="str">
        <f t="shared" si="50"/>
        <v/>
      </c>
      <c r="M163" s="58" t="str">
        <f t="shared" si="51"/>
        <v/>
      </c>
      <c r="N163" s="59" t="str">
        <f t="shared" si="52"/>
        <v/>
      </c>
      <c r="O163" s="59" t="str">
        <f t="shared" si="53"/>
        <v/>
      </c>
      <c r="P163" s="30"/>
      <c r="Q163" s="35"/>
      <c r="R163" s="63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2">
        <f t="shared" si="69"/>
        <v>0</v>
      </c>
      <c r="AF163" s="32">
        <f t="shared" si="70"/>
        <v>0</v>
      </c>
      <c r="AG163" s="33"/>
      <c r="AL163" s="21" t="str">
        <f t="shared" si="71"/>
        <v/>
      </c>
      <c r="AM163" s="21">
        <v>154</v>
      </c>
      <c r="AN163" s="21">
        <f t="shared" si="54"/>
        <v>0</v>
      </c>
      <c r="AO163" s="21">
        <f t="shared" si="55"/>
        <v>0</v>
      </c>
      <c r="AP163" s="21">
        <f t="shared" si="56"/>
        <v>0</v>
      </c>
      <c r="AQ163" s="21">
        <f t="shared" si="57"/>
        <v>0</v>
      </c>
      <c r="AR163" s="21">
        <f t="shared" si="58"/>
        <v>0</v>
      </c>
      <c r="AS163" s="21">
        <f t="shared" si="59"/>
        <v>0</v>
      </c>
      <c r="AT163" s="21">
        <f t="shared" si="60"/>
        <v>0</v>
      </c>
      <c r="AU163" s="34">
        <f t="shared" si="61"/>
        <v>0</v>
      </c>
      <c r="AW163" s="21" t="str">
        <f t="shared" si="62"/>
        <v/>
      </c>
      <c r="AX163" s="21" t="str">
        <f t="shared" si="63"/>
        <v/>
      </c>
      <c r="AY163" s="21" t="str">
        <f t="shared" si="64"/>
        <v/>
      </c>
      <c r="AZ163" s="21" t="str">
        <f t="shared" si="65"/>
        <v/>
      </c>
      <c r="BA163" s="21" t="str">
        <f t="shared" si="66"/>
        <v/>
      </c>
      <c r="BB163" s="21" t="str">
        <f t="shared" si="67"/>
        <v/>
      </c>
      <c r="BC163" s="21" t="str">
        <f t="shared" si="68"/>
        <v/>
      </c>
    </row>
    <row r="164" spans="1:55" ht="15">
      <c r="A164" s="21" t="str">
        <f>IF(Base!B162="","",Base!B162)</f>
        <v>14.185.109-8</v>
      </c>
      <c r="B164" s="21" t="str">
        <f>IF(Base!F162="","",Base!F162)</f>
        <v>GUILLERMO ANTONIO  REYES  FUENZALIDA</v>
      </c>
      <c r="C164" s="21" t="str">
        <f>IF(Base!I162="","",Base!I162)</f>
        <v>Abastecimiento</v>
      </c>
      <c r="D164" s="22" t="str">
        <f>IF(Base!J162="","",Base!J162)</f>
        <v>Almacen Envases Pirq</v>
      </c>
      <c r="E164" s="21">
        <f>IF(Base!H162="","",Base!H162)</f>
        <v>1050162</v>
      </c>
      <c r="J164" s="28">
        <v>154</v>
      </c>
      <c r="K164" s="5"/>
      <c r="L164" s="58" t="str">
        <f t="shared" si="50"/>
        <v/>
      </c>
      <c r="M164" s="58" t="str">
        <f t="shared" si="51"/>
        <v/>
      </c>
      <c r="N164" s="59" t="str">
        <f t="shared" si="52"/>
        <v/>
      </c>
      <c r="O164" s="59" t="str">
        <f t="shared" si="53"/>
        <v/>
      </c>
      <c r="P164" s="30"/>
      <c r="Q164" s="35"/>
      <c r="R164" s="63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2">
        <f t="shared" si="69"/>
        <v>0</v>
      </c>
      <c r="AF164" s="32">
        <f t="shared" si="70"/>
        <v>0</v>
      </c>
      <c r="AG164" s="33"/>
      <c r="AL164" s="21" t="str">
        <f t="shared" si="71"/>
        <v/>
      </c>
      <c r="AM164" s="21">
        <v>155</v>
      </c>
      <c r="AN164" s="21">
        <f t="shared" si="54"/>
        <v>0</v>
      </c>
      <c r="AO164" s="21">
        <f t="shared" si="55"/>
        <v>0</v>
      </c>
      <c r="AP164" s="21">
        <f t="shared" si="56"/>
        <v>0</v>
      </c>
      <c r="AQ164" s="21">
        <f t="shared" si="57"/>
        <v>0</v>
      </c>
      <c r="AR164" s="21">
        <f t="shared" si="58"/>
        <v>0</v>
      </c>
      <c r="AS164" s="21">
        <f t="shared" si="59"/>
        <v>0</v>
      </c>
      <c r="AT164" s="21">
        <f t="shared" si="60"/>
        <v>0</v>
      </c>
      <c r="AU164" s="34">
        <f t="shared" si="61"/>
        <v>0</v>
      </c>
      <c r="AW164" s="21" t="str">
        <f t="shared" si="62"/>
        <v/>
      </c>
      <c r="AX164" s="21" t="str">
        <f t="shared" si="63"/>
        <v/>
      </c>
      <c r="AY164" s="21" t="str">
        <f t="shared" si="64"/>
        <v/>
      </c>
      <c r="AZ164" s="21" t="str">
        <f t="shared" si="65"/>
        <v/>
      </c>
      <c r="BA164" s="21" t="str">
        <f t="shared" si="66"/>
        <v/>
      </c>
      <c r="BB164" s="21" t="str">
        <f t="shared" si="67"/>
        <v/>
      </c>
      <c r="BC164" s="21" t="str">
        <f t="shared" si="68"/>
        <v/>
      </c>
    </row>
    <row r="165" spans="1:55" ht="15">
      <c r="A165" s="21" t="str">
        <f>IF(Base!B163="","",Base!B163)</f>
        <v>16.029.464-7</v>
      </c>
      <c r="B165" s="21" t="str">
        <f>IF(Base!F163="","",Base!F163)</f>
        <v>VICTOR  REYES  GALVEZ</v>
      </c>
      <c r="C165" s="21" t="str">
        <f>IF(Base!I163="","",Base!I163)</f>
        <v>Control y Gestión</v>
      </c>
      <c r="D165" s="22" t="str">
        <f>IF(Base!J163="","",Base!J163)</f>
        <v>Inspector tiempo</v>
      </c>
      <c r="E165" s="21">
        <f>IF(Base!H163="","",Base!H163)</f>
        <v>1050632</v>
      </c>
      <c r="J165" s="28">
        <v>155</v>
      </c>
      <c r="K165" s="5"/>
      <c r="L165" s="58" t="str">
        <f t="shared" si="50"/>
        <v/>
      </c>
      <c r="M165" s="58" t="str">
        <f t="shared" si="51"/>
        <v/>
      </c>
      <c r="N165" s="59" t="str">
        <f t="shared" si="52"/>
        <v/>
      </c>
      <c r="O165" s="59" t="str">
        <f t="shared" si="53"/>
        <v/>
      </c>
      <c r="P165" s="30"/>
      <c r="Q165" s="35"/>
      <c r="R165" s="63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2">
        <f t="shared" si="69"/>
        <v>0</v>
      </c>
      <c r="AF165" s="32">
        <f t="shared" si="70"/>
        <v>0</v>
      </c>
      <c r="AG165" s="33"/>
      <c r="AL165" s="21" t="str">
        <f t="shared" si="71"/>
        <v/>
      </c>
      <c r="AM165" s="21">
        <v>156</v>
      </c>
      <c r="AN165" s="21">
        <f t="shared" si="54"/>
        <v>0</v>
      </c>
      <c r="AO165" s="21">
        <f t="shared" si="55"/>
        <v>0</v>
      </c>
      <c r="AP165" s="21">
        <f t="shared" si="56"/>
        <v>0</v>
      </c>
      <c r="AQ165" s="21">
        <f t="shared" si="57"/>
        <v>0</v>
      </c>
      <c r="AR165" s="21">
        <f t="shared" si="58"/>
        <v>0</v>
      </c>
      <c r="AS165" s="21">
        <f t="shared" si="59"/>
        <v>0</v>
      </c>
      <c r="AT165" s="21">
        <f t="shared" si="60"/>
        <v>0</v>
      </c>
      <c r="AU165" s="34">
        <f t="shared" si="61"/>
        <v>0</v>
      </c>
      <c r="AW165" s="21" t="str">
        <f t="shared" si="62"/>
        <v/>
      </c>
      <c r="AX165" s="21" t="str">
        <f t="shared" si="63"/>
        <v/>
      </c>
      <c r="AY165" s="21" t="str">
        <f t="shared" si="64"/>
        <v/>
      </c>
      <c r="AZ165" s="21" t="str">
        <f t="shared" si="65"/>
        <v/>
      </c>
      <c r="BA165" s="21" t="str">
        <f t="shared" si="66"/>
        <v/>
      </c>
      <c r="BB165" s="21" t="str">
        <f t="shared" si="67"/>
        <v/>
      </c>
      <c r="BC165" s="21" t="str">
        <f t="shared" si="68"/>
        <v/>
      </c>
    </row>
    <row r="166" spans="1:55" ht="15">
      <c r="A166" s="21" t="str">
        <f>IF(Base!B164="","",Base!B164)</f>
        <v>10.309.203-5</v>
      </c>
      <c r="B166" s="21" t="str">
        <f>IF(Base!F164="","",Base!F164)</f>
        <v>ANGELA ADELA  REYES  LARA</v>
      </c>
      <c r="C166" s="21" t="str">
        <f>IF(Base!I164="","",Base!I164)</f>
        <v>Abastecimiento</v>
      </c>
      <c r="D166" s="22" t="str">
        <f>IF(Base!J164="","",Base!J164)</f>
        <v>Suministro de Líneas</v>
      </c>
      <c r="E166" s="21">
        <f>IF(Base!H164="","",Base!H164)</f>
        <v>1050633</v>
      </c>
      <c r="J166" s="28">
        <v>156</v>
      </c>
      <c r="K166" s="5"/>
      <c r="L166" s="58" t="str">
        <f t="shared" si="50"/>
        <v/>
      </c>
      <c r="M166" s="58" t="str">
        <f t="shared" si="51"/>
        <v/>
      </c>
      <c r="N166" s="59" t="str">
        <f t="shared" si="52"/>
        <v/>
      </c>
      <c r="O166" s="59" t="str">
        <f t="shared" si="53"/>
        <v/>
      </c>
      <c r="P166" s="30"/>
      <c r="Q166" s="35"/>
      <c r="R166" s="63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2">
        <f t="shared" si="69"/>
        <v>0</v>
      </c>
      <c r="AF166" s="32">
        <f t="shared" si="70"/>
        <v>0</v>
      </c>
      <c r="AG166" s="33"/>
      <c r="AL166" s="21" t="str">
        <f t="shared" si="71"/>
        <v/>
      </c>
      <c r="AM166" s="21">
        <v>157</v>
      </c>
      <c r="AN166" s="21">
        <f t="shared" si="54"/>
        <v>0</v>
      </c>
      <c r="AO166" s="21">
        <f t="shared" si="55"/>
        <v>0</v>
      </c>
      <c r="AP166" s="21">
        <f t="shared" si="56"/>
        <v>0</v>
      </c>
      <c r="AQ166" s="21">
        <f t="shared" si="57"/>
        <v>0</v>
      </c>
      <c r="AR166" s="21">
        <f t="shared" si="58"/>
        <v>0</v>
      </c>
      <c r="AS166" s="21">
        <f t="shared" si="59"/>
        <v>0</v>
      </c>
      <c r="AT166" s="21">
        <f t="shared" si="60"/>
        <v>0</v>
      </c>
      <c r="AU166" s="34">
        <f t="shared" si="61"/>
        <v>0</v>
      </c>
      <c r="AW166" s="21" t="str">
        <f t="shared" si="62"/>
        <v/>
      </c>
      <c r="AX166" s="21" t="str">
        <f t="shared" si="63"/>
        <v/>
      </c>
      <c r="AY166" s="21" t="str">
        <f t="shared" si="64"/>
        <v/>
      </c>
      <c r="AZ166" s="21" t="str">
        <f t="shared" si="65"/>
        <v/>
      </c>
      <c r="BA166" s="21" t="str">
        <f t="shared" si="66"/>
        <v/>
      </c>
      <c r="BB166" s="21" t="str">
        <f t="shared" si="67"/>
        <v/>
      </c>
      <c r="BC166" s="21" t="str">
        <f t="shared" si="68"/>
        <v/>
      </c>
    </row>
    <row r="167" spans="1:55" ht="15">
      <c r="A167" s="21" t="str">
        <f>IF(Base!B165="","",Base!B165)</f>
        <v>18.074.081-3</v>
      </c>
      <c r="B167" s="21" t="str">
        <f>IF(Base!F165="","",Base!F165)</f>
        <v>MATIAS ANDRES  REYES  SERRANO</v>
      </c>
      <c r="C167" s="21" t="str">
        <f>IF(Base!I165="","",Base!I165)</f>
        <v>Linea 6</v>
      </c>
      <c r="D167" s="22" t="str">
        <f>IF(Base!J165="","",Base!J165)</f>
        <v>Despalletizador</v>
      </c>
      <c r="E167" s="21">
        <f>IF(Base!H165="","",Base!H165)</f>
        <v>1050609</v>
      </c>
      <c r="J167" s="28">
        <v>157</v>
      </c>
      <c r="K167" s="5"/>
      <c r="L167" s="58" t="str">
        <f t="shared" si="50"/>
        <v/>
      </c>
      <c r="M167" s="58" t="str">
        <f t="shared" si="51"/>
        <v/>
      </c>
      <c r="N167" s="59" t="str">
        <f t="shared" si="52"/>
        <v/>
      </c>
      <c r="O167" s="59" t="str">
        <f t="shared" si="53"/>
        <v/>
      </c>
      <c r="P167" s="30"/>
      <c r="Q167" s="35"/>
      <c r="R167" s="63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2">
        <f t="shared" si="69"/>
        <v>0</v>
      </c>
      <c r="AF167" s="32">
        <f t="shared" si="70"/>
        <v>0</v>
      </c>
      <c r="AG167" s="33"/>
      <c r="AL167" s="21" t="str">
        <f t="shared" si="71"/>
        <v/>
      </c>
      <c r="AM167" s="21">
        <v>158</v>
      </c>
      <c r="AN167" s="21">
        <f t="shared" si="54"/>
        <v>0</v>
      </c>
      <c r="AO167" s="21">
        <f t="shared" si="55"/>
        <v>0</v>
      </c>
      <c r="AP167" s="21">
        <f t="shared" si="56"/>
        <v>0</v>
      </c>
      <c r="AQ167" s="21">
        <f t="shared" si="57"/>
        <v>0</v>
      </c>
      <c r="AR167" s="21">
        <f t="shared" si="58"/>
        <v>0</v>
      </c>
      <c r="AS167" s="21">
        <f t="shared" si="59"/>
        <v>0</v>
      </c>
      <c r="AT167" s="21">
        <f t="shared" si="60"/>
        <v>0</v>
      </c>
      <c r="AU167" s="34">
        <f t="shared" si="61"/>
        <v>0</v>
      </c>
      <c r="AW167" s="21" t="str">
        <f t="shared" si="62"/>
        <v/>
      </c>
      <c r="AX167" s="21" t="str">
        <f t="shared" si="63"/>
        <v/>
      </c>
      <c r="AY167" s="21" t="str">
        <f t="shared" si="64"/>
        <v/>
      </c>
      <c r="AZ167" s="21" t="str">
        <f t="shared" si="65"/>
        <v/>
      </c>
      <c r="BA167" s="21" t="str">
        <f t="shared" si="66"/>
        <v/>
      </c>
      <c r="BB167" s="21" t="str">
        <f t="shared" si="67"/>
        <v/>
      </c>
      <c r="BC167" s="21" t="str">
        <f t="shared" si="68"/>
        <v/>
      </c>
    </row>
    <row r="168" spans="1:55" ht="15">
      <c r="A168" s="21" t="str">
        <f>IF(Base!B166="","",Base!B166)</f>
        <v>09.806.171-1</v>
      </c>
      <c r="B168" s="21" t="str">
        <f>IF(Base!F166="","",Base!F166)</f>
        <v>VICTOR MANUEL  RIOS  MIRANDA</v>
      </c>
      <c r="C168" s="21" t="str">
        <f>IF(Base!I166="","",Base!I166)</f>
        <v>BIB</v>
      </c>
      <c r="D168" s="22" t="str">
        <f>IF(Base!J166="","",Base!J166)</f>
        <v>BIB</v>
      </c>
      <c r="E168" s="21">
        <f>IF(Base!H166="","",Base!H166)</f>
        <v>1050595</v>
      </c>
      <c r="J168" s="28">
        <v>158</v>
      </c>
      <c r="K168" s="5"/>
      <c r="L168" s="58" t="str">
        <f t="shared" si="50"/>
        <v/>
      </c>
      <c r="M168" s="58" t="str">
        <f t="shared" si="51"/>
        <v/>
      </c>
      <c r="N168" s="59" t="str">
        <f t="shared" si="52"/>
        <v/>
      </c>
      <c r="O168" s="59" t="str">
        <f t="shared" si="53"/>
        <v/>
      </c>
      <c r="P168" s="30"/>
      <c r="Q168" s="35"/>
      <c r="R168" s="63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2">
        <f t="shared" si="69"/>
        <v>0</v>
      </c>
      <c r="AF168" s="32">
        <f t="shared" si="70"/>
        <v>0</v>
      </c>
      <c r="AG168" s="33"/>
      <c r="AL168" s="21" t="str">
        <f t="shared" si="71"/>
        <v/>
      </c>
      <c r="AM168" s="21">
        <v>159</v>
      </c>
      <c r="AN168" s="21">
        <f t="shared" si="54"/>
        <v>0</v>
      </c>
      <c r="AO168" s="21">
        <f t="shared" si="55"/>
        <v>0</v>
      </c>
      <c r="AP168" s="21">
        <f t="shared" si="56"/>
        <v>0</v>
      </c>
      <c r="AQ168" s="21">
        <f t="shared" si="57"/>
        <v>0</v>
      </c>
      <c r="AR168" s="21">
        <f t="shared" si="58"/>
        <v>0</v>
      </c>
      <c r="AS168" s="21">
        <f t="shared" si="59"/>
        <v>0</v>
      </c>
      <c r="AT168" s="21">
        <f t="shared" si="60"/>
        <v>0</v>
      </c>
      <c r="AU168" s="34">
        <f t="shared" si="61"/>
        <v>0</v>
      </c>
      <c r="AW168" s="21" t="str">
        <f t="shared" si="62"/>
        <v/>
      </c>
      <c r="AX168" s="21" t="str">
        <f t="shared" si="63"/>
        <v/>
      </c>
      <c r="AY168" s="21" t="str">
        <f t="shared" si="64"/>
        <v/>
      </c>
      <c r="AZ168" s="21" t="str">
        <f t="shared" si="65"/>
        <v/>
      </c>
      <c r="BA168" s="21" t="str">
        <f t="shared" si="66"/>
        <v/>
      </c>
      <c r="BB168" s="21" t="str">
        <f t="shared" si="67"/>
        <v/>
      </c>
      <c r="BC168" s="21" t="str">
        <f t="shared" si="68"/>
        <v/>
      </c>
    </row>
    <row r="169" spans="1:55" ht="15">
      <c r="A169" s="21" t="str">
        <f>IF(Base!B167="","",Base!B167)</f>
        <v>16.296.340-6</v>
      </c>
      <c r="B169" s="21" t="str">
        <f>IF(Base!F167="","",Base!F167)</f>
        <v>FRANCISCO JAVIER  RIQUELME  GONZALEZ</v>
      </c>
      <c r="C169" s="21" t="str">
        <f>IF(Base!I167="","",Base!I167)</f>
        <v>Abastecimiento</v>
      </c>
      <c r="D169" s="22" t="str">
        <f>IF(Base!J167="","",Base!J167)</f>
        <v>Almacen Insumos Pque</v>
      </c>
      <c r="E169" s="21">
        <f>IF(Base!H167="","",Base!H167)</f>
        <v>1050581</v>
      </c>
      <c r="J169" s="28">
        <v>159</v>
      </c>
      <c r="K169" s="5"/>
      <c r="L169" s="58" t="str">
        <f t="shared" si="50"/>
        <v/>
      </c>
      <c r="M169" s="58" t="str">
        <f t="shared" si="51"/>
        <v/>
      </c>
      <c r="N169" s="59" t="str">
        <f t="shared" si="52"/>
        <v/>
      </c>
      <c r="O169" s="59" t="str">
        <f t="shared" si="53"/>
        <v/>
      </c>
      <c r="P169" s="30"/>
      <c r="Q169" s="35"/>
      <c r="R169" s="63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2">
        <f t="shared" si="69"/>
        <v>0</v>
      </c>
      <c r="AF169" s="32">
        <f t="shared" si="70"/>
        <v>0</v>
      </c>
      <c r="AG169" s="33"/>
      <c r="AL169" s="21" t="str">
        <f t="shared" si="71"/>
        <v/>
      </c>
      <c r="AM169" s="21">
        <v>160</v>
      </c>
      <c r="AN169" s="21">
        <f t="shared" si="54"/>
        <v>0</v>
      </c>
      <c r="AO169" s="21">
        <f t="shared" si="55"/>
        <v>0</v>
      </c>
      <c r="AP169" s="21">
        <f t="shared" si="56"/>
        <v>0</v>
      </c>
      <c r="AQ169" s="21">
        <f t="shared" si="57"/>
        <v>0</v>
      </c>
      <c r="AR169" s="21">
        <f t="shared" si="58"/>
        <v>0</v>
      </c>
      <c r="AS169" s="21">
        <f t="shared" si="59"/>
        <v>0</v>
      </c>
      <c r="AT169" s="21">
        <f t="shared" si="60"/>
        <v>0</v>
      </c>
      <c r="AU169" s="34">
        <f t="shared" si="61"/>
        <v>0</v>
      </c>
      <c r="AW169" s="21" t="str">
        <f t="shared" si="62"/>
        <v/>
      </c>
      <c r="AX169" s="21" t="str">
        <f t="shared" si="63"/>
        <v/>
      </c>
      <c r="AY169" s="21" t="str">
        <f t="shared" si="64"/>
        <v/>
      </c>
      <c r="AZ169" s="21" t="str">
        <f t="shared" si="65"/>
        <v/>
      </c>
      <c r="BA169" s="21" t="str">
        <f t="shared" si="66"/>
        <v/>
      </c>
      <c r="BB169" s="21" t="str">
        <f t="shared" si="67"/>
        <v/>
      </c>
      <c r="BC169" s="21" t="str">
        <f t="shared" si="68"/>
        <v/>
      </c>
    </row>
    <row r="170" spans="1:55" ht="15">
      <c r="A170" s="21" t="str">
        <f>IF(Base!B168="","",Base!B168)</f>
        <v>12.688.280-7</v>
      </c>
      <c r="B170" s="21" t="str">
        <f>IF(Base!F168="","",Base!F168)</f>
        <v>VERONICA ANDREA  RIVERA  VARGAS</v>
      </c>
      <c r="C170" s="21" t="str">
        <f>IF(Base!I168="","",Base!I168)</f>
        <v>Abastecimiento</v>
      </c>
      <c r="D170" s="22" t="str">
        <f>IF(Base!J168="","",Base!J168)</f>
        <v>Suministro de Líneas</v>
      </c>
      <c r="E170" s="21">
        <f>IF(Base!H168="","",Base!H168)</f>
        <v>1050633</v>
      </c>
      <c r="J170" s="28">
        <v>160</v>
      </c>
      <c r="K170" s="5"/>
      <c r="L170" s="58" t="str">
        <f t="shared" si="50"/>
        <v/>
      </c>
      <c r="M170" s="58" t="str">
        <f t="shared" si="51"/>
        <v/>
      </c>
      <c r="N170" s="59" t="str">
        <f t="shared" si="52"/>
        <v/>
      </c>
      <c r="O170" s="59" t="str">
        <f t="shared" si="53"/>
        <v/>
      </c>
      <c r="P170" s="30"/>
      <c r="Q170" s="35"/>
      <c r="R170" s="63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2">
        <f t="shared" si="69"/>
        <v>0</v>
      </c>
      <c r="AF170" s="32">
        <f t="shared" si="70"/>
        <v>0</v>
      </c>
      <c r="AG170" s="33"/>
      <c r="AL170" s="21" t="str">
        <f t="shared" si="71"/>
        <v/>
      </c>
      <c r="AM170" s="21">
        <v>161</v>
      </c>
      <c r="AN170" s="21">
        <f t="shared" si="54"/>
        <v>0</v>
      </c>
      <c r="AO170" s="21">
        <f t="shared" si="55"/>
        <v>0</v>
      </c>
      <c r="AP170" s="21">
        <f t="shared" si="56"/>
        <v>0</v>
      </c>
      <c r="AQ170" s="21">
        <f t="shared" si="57"/>
        <v>0</v>
      </c>
      <c r="AR170" s="21">
        <f t="shared" si="58"/>
        <v>0</v>
      </c>
      <c r="AS170" s="21">
        <f t="shared" si="59"/>
        <v>0</v>
      </c>
      <c r="AT170" s="21">
        <f t="shared" si="60"/>
        <v>0</v>
      </c>
      <c r="AU170" s="34">
        <f t="shared" si="61"/>
        <v>0</v>
      </c>
      <c r="AW170" s="21" t="str">
        <f t="shared" si="62"/>
        <v/>
      </c>
      <c r="AX170" s="21" t="str">
        <f t="shared" si="63"/>
        <v/>
      </c>
      <c r="AY170" s="21" t="str">
        <f t="shared" si="64"/>
        <v/>
      </c>
      <c r="AZ170" s="21" t="str">
        <f t="shared" si="65"/>
        <v/>
      </c>
      <c r="BA170" s="21" t="str">
        <f t="shared" si="66"/>
        <v/>
      </c>
      <c r="BB170" s="21" t="str">
        <f t="shared" si="67"/>
        <v/>
      </c>
      <c r="BC170" s="21" t="str">
        <f t="shared" si="68"/>
        <v/>
      </c>
    </row>
    <row r="171" spans="1:55" ht="15">
      <c r="A171" s="21" t="str">
        <f>IF(Base!B169="","",Base!B169)</f>
        <v>11.476.853-7</v>
      </c>
      <c r="B171" s="21" t="str">
        <f>IF(Base!F169="","",Base!F169)</f>
        <v>ALEJANDRA  RIVERA  PANES</v>
      </c>
      <c r="C171" s="21" t="str">
        <f>IF(Base!I169="","",Base!I169)</f>
        <v>Linea 6</v>
      </c>
      <c r="D171" s="22" t="str">
        <f>IF(Base!J169="","",Base!J169)</f>
        <v>Inspector etiqueta</v>
      </c>
      <c r="E171" s="21">
        <f>IF(Base!H169="","",Base!H169)</f>
        <v>1050610</v>
      </c>
      <c r="J171" s="28">
        <v>161</v>
      </c>
      <c r="K171" s="5"/>
      <c r="L171" s="58" t="str">
        <f t="shared" si="50"/>
        <v/>
      </c>
      <c r="M171" s="58" t="str">
        <f t="shared" si="51"/>
        <v/>
      </c>
      <c r="N171" s="59" t="str">
        <f t="shared" si="52"/>
        <v/>
      </c>
      <c r="O171" s="59" t="str">
        <f t="shared" si="53"/>
        <v/>
      </c>
      <c r="P171" s="30"/>
      <c r="Q171" s="35"/>
      <c r="R171" s="63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2">
        <f t="shared" si="69"/>
        <v>0</v>
      </c>
      <c r="AF171" s="32">
        <f t="shared" si="70"/>
        <v>0</v>
      </c>
      <c r="AG171" s="33"/>
      <c r="AL171" s="21" t="str">
        <f t="shared" si="71"/>
        <v/>
      </c>
      <c r="AM171" s="21">
        <v>162</v>
      </c>
      <c r="AN171" s="21">
        <f t="shared" si="54"/>
        <v>0</v>
      </c>
      <c r="AO171" s="21">
        <f t="shared" si="55"/>
        <v>0</v>
      </c>
      <c r="AP171" s="21">
        <f t="shared" si="56"/>
        <v>0</v>
      </c>
      <c r="AQ171" s="21">
        <f t="shared" si="57"/>
        <v>0</v>
      </c>
      <c r="AR171" s="21">
        <f t="shared" si="58"/>
        <v>0</v>
      </c>
      <c r="AS171" s="21">
        <f t="shared" si="59"/>
        <v>0</v>
      </c>
      <c r="AT171" s="21">
        <f t="shared" si="60"/>
        <v>0</v>
      </c>
      <c r="AU171" s="34">
        <f t="shared" si="61"/>
        <v>0</v>
      </c>
      <c r="AW171" s="21" t="str">
        <f t="shared" si="62"/>
        <v/>
      </c>
      <c r="AX171" s="21" t="str">
        <f t="shared" si="63"/>
        <v/>
      </c>
      <c r="AY171" s="21" t="str">
        <f t="shared" si="64"/>
        <v/>
      </c>
      <c r="AZ171" s="21" t="str">
        <f t="shared" si="65"/>
        <v/>
      </c>
      <c r="BA171" s="21" t="str">
        <f t="shared" si="66"/>
        <v/>
      </c>
      <c r="BB171" s="21" t="str">
        <f t="shared" si="67"/>
        <v/>
      </c>
      <c r="BC171" s="21" t="str">
        <f t="shared" si="68"/>
        <v/>
      </c>
    </row>
    <row r="172" spans="1:55" ht="15">
      <c r="A172" s="21" t="str">
        <f>IF(Base!B170="","",Base!B170)</f>
        <v>10.933.716-1</v>
      </c>
      <c r="B172" s="21" t="str">
        <f>IF(Base!F170="","",Base!F170)</f>
        <v>HERNANDO  RIVEROS  RIFFO</v>
      </c>
      <c r="C172" s="21" t="str">
        <f>IF(Base!I170="","",Base!I170)</f>
        <v>Sala filtros</v>
      </c>
      <c r="D172" s="22" t="str">
        <f>IF(Base!J170="","",Base!J170)</f>
        <v>Operador sala de filtros</v>
      </c>
      <c r="E172" s="21">
        <f>IF(Base!H170="","",Base!H170)</f>
        <v>1050574</v>
      </c>
      <c r="J172" s="28">
        <v>162</v>
      </c>
      <c r="K172" s="5"/>
      <c r="L172" s="58" t="str">
        <f t="shared" si="50"/>
        <v/>
      </c>
      <c r="M172" s="58" t="str">
        <f t="shared" si="51"/>
        <v/>
      </c>
      <c r="N172" s="59" t="str">
        <f t="shared" si="52"/>
        <v/>
      </c>
      <c r="O172" s="59" t="str">
        <f t="shared" si="53"/>
        <v/>
      </c>
      <c r="P172" s="30"/>
      <c r="Q172" s="35"/>
      <c r="R172" s="63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2">
        <f t="shared" si="69"/>
        <v>0</v>
      </c>
      <c r="AF172" s="32">
        <f t="shared" si="70"/>
        <v>0</v>
      </c>
      <c r="AG172" s="33"/>
      <c r="AL172" s="21" t="str">
        <f t="shared" si="71"/>
        <v/>
      </c>
      <c r="AM172" s="21">
        <v>163</v>
      </c>
      <c r="AN172" s="21">
        <f t="shared" si="54"/>
        <v>0</v>
      </c>
      <c r="AO172" s="21">
        <f t="shared" si="55"/>
        <v>0</v>
      </c>
      <c r="AP172" s="21">
        <f t="shared" si="56"/>
        <v>0</v>
      </c>
      <c r="AQ172" s="21">
        <f t="shared" si="57"/>
        <v>0</v>
      </c>
      <c r="AR172" s="21">
        <f t="shared" si="58"/>
        <v>0</v>
      </c>
      <c r="AS172" s="21">
        <f t="shared" si="59"/>
        <v>0</v>
      </c>
      <c r="AT172" s="21">
        <f t="shared" si="60"/>
        <v>0</v>
      </c>
      <c r="AU172" s="34">
        <f t="shared" si="61"/>
        <v>0</v>
      </c>
      <c r="AW172" s="21" t="str">
        <f t="shared" si="62"/>
        <v/>
      </c>
      <c r="AX172" s="21" t="str">
        <f t="shared" si="63"/>
        <v/>
      </c>
      <c r="AY172" s="21" t="str">
        <f t="shared" si="64"/>
        <v/>
      </c>
      <c r="AZ172" s="21" t="str">
        <f t="shared" si="65"/>
        <v/>
      </c>
      <c r="BA172" s="21" t="str">
        <f t="shared" si="66"/>
        <v/>
      </c>
      <c r="BB172" s="21" t="str">
        <f t="shared" si="67"/>
        <v/>
      </c>
      <c r="BC172" s="21" t="str">
        <f t="shared" si="68"/>
        <v/>
      </c>
    </row>
    <row r="173" spans="1:55" ht="15">
      <c r="A173" s="21" t="str">
        <f>IF(Base!B171="","",Base!B171)</f>
        <v>08.634.737-7</v>
      </c>
      <c r="B173" s="21" t="str">
        <f>IF(Base!F171="","",Base!F171)</f>
        <v>RAFAEL  RODRIGUEZ  CISTERNA</v>
      </c>
      <c r="C173" s="21" t="str">
        <f>IF(Base!I171="","",Base!I171)</f>
        <v>Linea 2</v>
      </c>
      <c r="D173" s="22" t="str">
        <f>IF(Base!J171="","",Base!J171)</f>
        <v>Despalletizador</v>
      </c>
      <c r="E173" s="21">
        <f>IF(Base!H171="","",Base!H171)</f>
        <v>1050553</v>
      </c>
      <c r="J173" s="28">
        <v>163</v>
      </c>
      <c r="K173" s="5"/>
      <c r="L173" s="58" t="str">
        <f t="shared" si="50"/>
        <v/>
      </c>
      <c r="M173" s="58" t="str">
        <f t="shared" si="51"/>
        <v/>
      </c>
      <c r="N173" s="59" t="str">
        <f t="shared" si="52"/>
        <v/>
      </c>
      <c r="O173" s="59" t="str">
        <f t="shared" si="53"/>
        <v/>
      </c>
      <c r="P173" s="30"/>
      <c r="Q173" s="35"/>
      <c r="R173" s="63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2">
        <f t="shared" si="69"/>
        <v>0</v>
      </c>
      <c r="AF173" s="32">
        <f t="shared" si="70"/>
        <v>0</v>
      </c>
      <c r="AG173" s="33"/>
      <c r="AL173" s="21" t="str">
        <f t="shared" si="71"/>
        <v/>
      </c>
      <c r="AM173" s="21">
        <v>164</v>
      </c>
      <c r="AN173" s="21">
        <f t="shared" si="54"/>
        <v>0</v>
      </c>
      <c r="AO173" s="21">
        <f t="shared" si="55"/>
        <v>0</v>
      </c>
      <c r="AP173" s="21">
        <f t="shared" si="56"/>
        <v>0</v>
      </c>
      <c r="AQ173" s="21">
        <f t="shared" si="57"/>
        <v>0</v>
      </c>
      <c r="AR173" s="21">
        <f t="shared" si="58"/>
        <v>0</v>
      </c>
      <c r="AS173" s="21">
        <f t="shared" si="59"/>
        <v>0</v>
      </c>
      <c r="AT173" s="21">
        <f t="shared" si="60"/>
        <v>0</v>
      </c>
      <c r="AU173" s="34">
        <f t="shared" si="61"/>
        <v>0</v>
      </c>
      <c r="AW173" s="21" t="str">
        <f t="shared" si="62"/>
        <v/>
      </c>
      <c r="AX173" s="21" t="str">
        <f t="shared" si="63"/>
        <v/>
      </c>
      <c r="AY173" s="21" t="str">
        <f t="shared" si="64"/>
        <v/>
      </c>
      <c r="AZ173" s="21" t="str">
        <f t="shared" si="65"/>
        <v/>
      </c>
      <c r="BA173" s="21" t="str">
        <f t="shared" si="66"/>
        <v/>
      </c>
      <c r="BB173" s="21" t="str">
        <f t="shared" si="67"/>
        <v/>
      </c>
      <c r="BC173" s="21" t="str">
        <f t="shared" si="68"/>
        <v/>
      </c>
    </row>
    <row r="174" spans="1:55" ht="15">
      <c r="A174" s="21" t="str">
        <f>IF(Base!B172="","",Base!B172)</f>
        <v>09.485.526-8</v>
      </c>
      <c r="B174" s="21" t="str">
        <f>IF(Base!F172="","",Base!F172)</f>
        <v>LUIS ALBERTO  ROJAS  GONZALEZ</v>
      </c>
      <c r="C174" s="21" t="str">
        <f>IF(Base!I172="","",Base!I172)</f>
        <v>Abastecimiento</v>
      </c>
      <c r="D174" s="22" t="str">
        <f>IF(Base!J172="","",Base!J172)</f>
        <v>Preparación de Insum</v>
      </c>
      <c r="E174" s="21">
        <f>IF(Base!H172="","",Base!H172)</f>
        <v>1050127</v>
      </c>
      <c r="J174" s="28">
        <v>164</v>
      </c>
      <c r="K174" s="5"/>
      <c r="L174" s="58" t="str">
        <f t="shared" si="50"/>
        <v/>
      </c>
      <c r="M174" s="58" t="str">
        <f t="shared" si="51"/>
        <v/>
      </c>
      <c r="N174" s="59" t="str">
        <f t="shared" si="52"/>
        <v/>
      </c>
      <c r="O174" s="59" t="str">
        <f t="shared" si="53"/>
        <v/>
      </c>
      <c r="P174" s="30"/>
      <c r="Q174" s="35"/>
      <c r="R174" s="63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2">
        <f t="shared" si="69"/>
        <v>0</v>
      </c>
      <c r="AF174" s="32">
        <f t="shared" si="70"/>
        <v>0</v>
      </c>
      <c r="AG174" s="33"/>
      <c r="AL174" s="21" t="str">
        <f t="shared" si="71"/>
        <v/>
      </c>
      <c r="AM174" s="21">
        <v>165</v>
      </c>
      <c r="AN174" s="21">
        <f t="shared" si="54"/>
        <v>0</v>
      </c>
      <c r="AO174" s="21">
        <f t="shared" si="55"/>
        <v>0</v>
      </c>
      <c r="AP174" s="21">
        <f t="shared" si="56"/>
        <v>0</v>
      </c>
      <c r="AQ174" s="21">
        <f t="shared" si="57"/>
        <v>0</v>
      </c>
      <c r="AR174" s="21">
        <f t="shared" si="58"/>
        <v>0</v>
      </c>
      <c r="AS174" s="21">
        <f t="shared" si="59"/>
        <v>0</v>
      </c>
      <c r="AT174" s="21">
        <f t="shared" si="60"/>
        <v>0</v>
      </c>
      <c r="AU174" s="34">
        <f t="shared" si="61"/>
        <v>0</v>
      </c>
      <c r="AW174" s="21" t="str">
        <f t="shared" si="62"/>
        <v/>
      </c>
      <c r="AX174" s="21" t="str">
        <f t="shared" si="63"/>
        <v/>
      </c>
      <c r="AY174" s="21" t="str">
        <f t="shared" si="64"/>
        <v/>
      </c>
      <c r="AZ174" s="21" t="str">
        <f t="shared" si="65"/>
        <v/>
      </c>
      <c r="BA174" s="21" t="str">
        <f t="shared" si="66"/>
        <v/>
      </c>
      <c r="BB174" s="21" t="str">
        <f t="shared" si="67"/>
        <v/>
      </c>
      <c r="BC174" s="21" t="str">
        <f t="shared" si="68"/>
        <v/>
      </c>
    </row>
    <row r="175" spans="1:55" ht="15">
      <c r="A175" s="21" t="str">
        <f>IF(Base!B173="","",Base!B173)</f>
        <v>17.245.009-1</v>
      </c>
      <c r="B175" s="21" t="str">
        <f>IF(Base!F173="","",Base!F173)</f>
        <v>RODRIGO ALEJANDRO  ROJAS  SALAMANCA</v>
      </c>
      <c r="C175" s="21" t="str">
        <f>IF(Base!I173="","",Base!I173)</f>
        <v>Abastecimiento</v>
      </c>
      <c r="D175" s="22" t="str">
        <f>IF(Base!J173="","",Base!J173)</f>
        <v>Almacen Insumos Pque</v>
      </c>
      <c r="E175" s="21">
        <f>IF(Base!H173="","",Base!H173)</f>
        <v>1050581</v>
      </c>
      <c r="J175" s="28">
        <v>165</v>
      </c>
      <c r="K175" s="5"/>
      <c r="L175" s="58" t="str">
        <f t="shared" si="50"/>
        <v/>
      </c>
      <c r="M175" s="58" t="str">
        <f t="shared" si="51"/>
        <v/>
      </c>
      <c r="N175" s="59" t="str">
        <f t="shared" si="52"/>
        <v/>
      </c>
      <c r="O175" s="59" t="str">
        <f t="shared" si="53"/>
        <v/>
      </c>
      <c r="P175" s="30"/>
      <c r="Q175" s="35"/>
      <c r="R175" s="63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2">
        <f t="shared" si="69"/>
        <v>0</v>
      </c>
      <c r="AF175" s="32">
        <f t="shared" si="70"/>
        <v>0</v>
      </c>
      <c r="AG175" s="33"/>
      <c r="AL175" s="21" t="str">
        <f t="shared" si="71"/>
        <v/>
      </c>
      <c r="AM175" s="21">
        <v>166</v>
      </c>
      <c r="AN175" s="21">
        <f t="shared" si="54"/>
        <v>0</v>
      </c>
      <c r="AO175" s="21">
        <f t="shared" si="55"/>
        <v>0</v>
      </c>
      <c r="AP175" s="21">
        <f t="shared" si="56"/>
        <v>0</v>
      </c>
      <c r="AQ175" s="21">
        <f t="shared" si="57"/>
        <v>0</v>
      </c>
      <c r="AR175" s="21">
        <f t="shared" si="58"/>
        <v>0</v>
      </c>
      <c r="AS175" s="21">
        <f t="shared" si="59"/>
        <v>0</v>
      </c>
      <c r="AT175" s="21">
        <f t="shared" si="60"/>
        <v>0</v>
      </c>
      <c r="AU175" s="34">
        <f t="shared" si="61"/>
        <v>0</v>
      </c>
      <c r="AW175" s="21" t="str">
        <f t="shared" si="62"/>
        <v/>
      </c>
      <c r="AX175" s="21" t="str">
        <f t="shared" si="63"/>
        <v/>
      </c>
      <c r="AY175" s="21" t="str">
        <f t="shared" si="64"/>
        <v/>
      </c>
      <c r="AZ175" s="21" t="str">
        <f t="shared" si="65"/>
        <v/>
      </c>
      <c r="BA175" s="21" t="str">
        <f t="shared" si="66"/>
        <v/>
      </c>
      <c r="BB175" s="21" t="str">
        <f t="shared" si="67"/>
        <v/>
      </c>
      <c r="BC175" s="21" t="str">
        <f t="shared" si="68"/>
        <v/>
      </c>
    </row>
    <row r="176" spans="1:55" ht="15">
      <c r="A176" s="21" t="str">
        <f>IF(Base!B174="","",Base!B174)</f>
        <v>09.839.411-7</v>
      </c>
      <c r="B176" s="21" t="str">
        <f>IF(Base!F174="","",Base!F174)</f>
        <v>VICTOR MANUEL  RUBIO  AYALA</v>
      </c>
      <c r="C176" s="21" t="str">
        <f>IF(Base!I174="","",Base!I174)</f>
        <v>Supervisor</v>
      </c>
      <c r="D176" s="22" t="str">
        <f>IF(Base!J174="","",Base!J174)</f>
        <v>Supervisor</v>
      </c>
      <c r="E176" s="21">
        <f>IF(Base!H174="","",Base!H174)</f>
        <v>1050603</v>
      </c>
      <c r="J176" s="28">
        <v>166</v>
      </c>
      <c r="K176" s="5"/>
      <c r="L176" s="58" t="str">
        <f t="shared" si="50"/>
        <v/>
      </c>
      <c r="M176" s="58" t="str">
        <f t="shared" si="51"/>
        <v/>
      </c>
      <c r="N176" s="59" t="str">
        <f t="shared" si="52"/>
        <v/>
      </c>
      <c r="O176" s="59" t="str">
        <f t="shared" si="53"/>
        <v/>
      </c>
      <c r="P176" s="30"/>
      <c r="Q176" s="35"/>
      <c r="R176" s="63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2">
        <f t="shared" si="69"/>
        <v>0</v>
      </c>
      <c r="AF176" s="32">
        <f t="shared" si="70"/>
        <v>0</v>
      </c>
      <c r="AG176" s="33"/>
      <c r="AL176" s="21" t="str">
        <f t="shared" si="71"/>
        <v/>
      </c>
      <c r="AM176" s="21">
        <v>167</v>
      </c>
      <c r="AN176" s="21">
        <f t="shared" si="54"/>
        <v>0</v>
      </c>
      <c r="AO176" s="21">
        <f t="shared" si="55"/>
        <v>0</v>
      </c>
      <c r="AP176" s="21">
        <f t="shared" si="56"/>
        <v>0</v>
      </c>
      <c r="AQ176" s="21">
        <f t="shared" si="57"/>
        <v>0</v>
      </c>
      <c r="AR176" s="21">
        <f t="shared" si="58"/>
        <v>0</v>
      </c>
      <c r="AS176" s="21">
        <f t="shared" si="59"/>
        <v>0</v>
      </c>
      <c r="AT176" s="21">
        <f t="shared" si="60"/>
        <v>0</v>
      </c>
      <c r="AU176" s="34">
        <f t="shared" si="61"/>
        <v>0</v>
      </c>
      <c r="AW176" s="21" t="str">
        <f t="shared" si="62"/>
        <v/>
      </c>
      <c r="AX176" s="21" t="str">
        <f t="shared" si="63"/>
        <v/>
      </c>
      <c r="AY176" s="21" t="str">
        <f t="shared" si="64"/>
        <v/>
      </c>
      <c r="AZ176" s="21" t="str">
        <f t="shared" si="65"/>
        <v/>
      </c>
      <c r="BA176" s="21" t="str">
        <f t="shared" si="66"/>
        <v/>
      </c>
      <c r="BB176" s="21" t="str">
        <f t="shared" si="67"/>
        <v/>
      </c>
      <c r="BC176" s="21" t="str">
        <f t="shared" si="68"/>
        <v/>
      </c>
    </row>
    <row r="177" spans="1:55" ht="15">
      <c r="A177" s="21" t="str">
        <f>IF(Base!B175="","",Base!B175)</f>
        <v>07.916.907-2</v>
      </c>
      <c r="B177" s="21" t="str">
        <f>IF(Base!F175="","",Base!F175)</f>
        <v>MARCOS A  RUBIO  CASTRO</v>
      </c>
      <c r="C177" s="21" t="str">
        <f>IF(Base!I175="","",Base!I175)</f>
        <v>Monitor Llenado</v>
      </c>
      <c r="D177" s="22" t="str">
        <f>IF(Base!J175="","",Base!J175)</f>
        <v>Monitor Llenado</v>
      </c>
      <c r="E177" s="21">
        <f>IF(Base!H175="","",Base!H175)</f>
        <v>1050604</v>
      </c>
      <c r="J177" s="28">
        <v>167</v>
      </c>
      <c r="K177" s="5"/>
      <c r="L177" s="58" t="str">
        <f t="shared" si="50"/>
        <v/>
      </c>
      <c r="M177" s="58" t="str">
        <f t="shared" si="51"/>
        <v/>
      </c>
      <c r="N177" s="59" t="str">
        <f t="shared" si="52"/>
        <v/>
      </c>
      <c r="O177" s="59" t="str">
        <f t="shared" si="53"/>
        <v/>
      </c>
      <c r="P177" s="30"/>
      <c r="Q177" s="35"/>
      <c r="R177" s="63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2">
        <f t="shared" si="69"/>
        <v>0</v>
      </c>
      <c r="AF177" s="32">
        <f t="shared" si="70"/>
        <v>0</v>
      </c>
      <c r="AG177" s="33"/>
      <c r="AL177" s="21" t="str">
        <f t="shared" si="71"/>
        <v/>
      </c>
      <c r="AM177" s="21">
        <v>168</v>
      </c>
      <c r="AN177" s="21">
        <f t="shared" si="54"/>
        <v>0</v>
      </c>
      <c r="AO177" s="21">
        <f t="shared" si="55"/>
        <v>0</v>
      </c>
      <c r="AP177" s="21">
        <f t="shared" si="56"/>
        <v>0</v>
      </c>
      <c r="AQ177" s="21">
        <f t="shared" si="57"/>
        <v>0</v>
      </c>
      <c r="AR177" s="21">
        <f t="shared" si="58"/>
        <v>0</v>
      </c>
      <c r="AS177" s="21">
        <f t="shared" si="59"/>
        <v>0</v>
      </c>
      <c r="AT177" s="21">
        <f t="shared" si="60"/>
        <v>0</v>
      </c>
      <c r="AU177" s="34">
        <f t="shared" si="61"/>
        <v>0</v>
      </c>
      <c r="AW177" s="21" t="str">
        <f t="shared" si="62"/>
        <v/>
      </c>
      <c r="AX177" s="21" t="str">
        <f t="shared" si="63"/>
        <v/>
      </c>
      <c r="AY177" s="21" t="str">
        <f t="shared" si="64"/>
        <v/>
      </c>
      <c r="AZ177" s="21" t="str">
        <f t="shared" si="65"/>
        <v/>
      </c>
      <c r="BA177" s="21" t="str">
        <f t="shared" si="66"/>
        <v/>
      </c>
      <c r="BB177" s="21" t="str">
        <f t="shared" si="67"/>
        <v/>
      </c>
      <c r="BC177" s="21" t="str">
        <f t="shared" si="68"/>
        <v/>
      </c>
    </row>
    <row r="178" spans="1:55" ht="15">
      <c r="A178" s="21" t="str">
        <f>IF(Base!B176="","",Base!B176)</f>
        <v>14.383.969-9</v>
      </c>
      <c r="B178" s="21" t="str">
        <f>IF(Base!F176="","",Base!F176)</f>
        <v>AMERICO ANDRES  RUBIO  GUZMAN</v>
      </c>
      <c r="C178" s="21" t="str">
        <f>IF(Base!I176="","",Base!I176)</f>
        <v xml:space="preserve">Setup </v>
      </c>
      <c r="D178" s="22" t="str">
        <f>IF(Base!J176="","",Base!J176)</f>
        <v xml:space="preserve">Setup </v>
      </c>
      <c r="E178" s="21">
        <f>IF(Base!H176="","",Base!H176)</f>
        <v>1050529</v>
      </c>
      <c r="J178" s="28">
        <v>168</v>
      </c>
      <c r="K178" s="5"/>
      <c r="L178" s="58" t="str">
        <f t="shared" si="50"/>
        <v/>
      </c>
      <c r="M178" s="58" t="str">
        <f t="shared" si="51"/>
        <v/>
      </c>
      <c r="N178" s="59" t="str">
        <f t="shared" si="52"/>
        <v/>
      </c>
      <c r="O178" s="59" t="str">
        <f t="shared" si="53"/>
        <v/>
      </c>
      <c r="P178" s="30"/>
      <c r="Q178" s="35"/>
      <c r="R178" s="63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2">
        <f t="shared" si="69"/>
        <v>0</v>
      </c>
      <c r="AF178" s="32">
        <f t="shared" si="70"/>
        <v>0</v>
      </c>
      <c r="AG178" s="33"/>
      <c r="AL178" s="21" t="str">
        <f t="shared" si="71"/>
        <v/>
      </c>
      <c r="AM178" s="21">
        <v>169</v>
      </c>
      <c r="AN178" s="21">
        <f t="shared" si="54"/>
        <v>0</v>
      </c>
      <c r="AO178" s="21">
        <f t="shared" si="55"/>
        <v>0</v>
      </c>
      <c r="AP178" s="21">
        <f t="shared" si="56"/>
        <v>0</v>
      </c>
      <c r="AQ178" s="21">
        <f t="shared" si="57"/>
        <v>0</v>
      </c>
      <c r="AR178" s="21">
        <f t="shared" si="58"/>
        <v>0</v>
      </c>
      <c r="AS178" s="21">
        <f t="shared" si="59"/>
        <v>0</v>
      </c>
      <c r="AT178" s="21">
        <f t="shared" si="60"/>
        <v>0</v>
      </c>
      <c r="AU178" s="34">
        <f t="shared" si="61"/>
        <v>0</v>
      </c>
      <c r="AW178" s="21" t="str">
        <f t="shared" si="62"/>
        <v/>
      </c>
      <c r="AX178" s="21" t="str">
        <f t="shared" si="63"/>
        <v/>
      </c>
      <c r="AY178" s="21" t="str">
        <f t="shared" si="64"/>
        <v/>
      </c>
      <c r="AZ178" s="21" t="str">
        <f t="shared" si="65"/>
        <v/>
      </c>
      <c r="BA178" s="21" t="str">
        <f t="shared" si="66"/>
        <v/>
      </c>
      <c r="BB178" s="21" t="str">
        <f t="shared" si="67"/>
        <v/>
      </c>
      <c r="BC178" s="21" t="str">
        <f t="shared" si="68"/>
        <v/>
      </c>
    </row>
    <row r="179" spans="1:55" ht="15">
      <c r="A179" s="21" t="str">
        <f>IF(Base!B177="","",Base!B177)</f>
        <v>11.657.838-7</v>
      </c>
      <c r="B179" s="21" t="str">
        <f>IF(Base!F177="","",Base!F177)</f>
        <v>JUAN RAMON  SALAMANCA  VIDAL</v>
      </c>
      <c r="C179" s="21" t="str">
        <f>IF(Base!I177="","",Base!I177)</f>
        <v>Abastecimiento</v>
      </c>
      <c r="D179" s="22" t="str">
        <f>IF(Base!J177="","",Base!J177)</f>
        <v>Preparación de Insum</v>
      </c>
      <c r="E179" s="21">
        <f>IF(Base!H177="","",Base!H177)</f>
        <v>1050127</v>
      </c>
      <c r="J179" s="28">
        <v>169</v>
      </c>
      <c r="K179" s="5"/>
      <c r="L179" s="58" t="str">
        <f t="shared" si="50"/>
        <v/>
      </c>
      <c r="M179" s="58" t="str">
        <f t="shared" si="51"/>
        <v/>
      </c>
      <c r="N179" s="59" t="str">
        <f t="shared" si="52"/>
        <v/>
      </c>
      <c r="O179" s="59" t="str">
        <f t="shared" si="53"/>
        <v/>
      </c>
      <c r="P179" s="30"/>
      <c r="Q179" s="35"/>
      <c r="R179" s="63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2">
        <f t="shared" si="69"/>
        <v>0</v>
      </c>
      <c r="AF179" s="32">
        <f t="shared" si="70"/>
        <v>0</v>
      </c>
      <c r="AG179" s="33"/>
      <c r="AL179" s="21" t="str">
        <f t="shared" si="71"/>
        <v/>
      </c>
      <c r="AM179" s="21">
        <v>170</v>
      </c>
      <c r="AN179" s="21">
        <f t="shared" si="54"/>
        <v>0</v>
      </c>
      <c r="AO179" s="21">
        <f t="shared" si="55"/>
        <v>0</v>
      </c>
      <c r="AP179" s="21">
        <f t="shared" si="56"/>
        <v>0</v>
      </c>
      <c r="AQ179" s="21">
        <f t="shared" si="57"/>
        <v>0</v>
      </c>
      <c r="AR179" s="21">
        <f t="shared" si="58"/>
        <v>0</v>
      </c>
      <c r="AS179" s="21">
        <f t="shared" si="59"/>
        <v>0</v>
      </c>
      <c r="AT179" s="21">
        <f t="shared" si="60"/>
        <v>0</v>
      </c>
      <c r="AU179" s="34">
        <f t="shared" si="61"/>
        <v>0</v>
      </c>
      <c r="AW179" s="21" t="str">
        <f t="shared" si="62"/>
        <v/>
      </c>
      <c r="AX179" s="21" t="str">
        <f t="shared" si="63"/>
        <v/>
      </c>
      <c r="AY179" s="21" t="str">
        <f t="shared" si="64"/>
        <v/>
      </c>
      <c r="AZ179" s="21" t="str">
        <f t="shared" si="65"/>
        <v/>
      </c>
      <c r="BA179" s="21" t="str">
        <f t="shared" si="66"/>
        <v/>
      </c>
      <c r="BB179" s="21" t="str">
        <f t="shared" si="67"/>
        <v/>
      </c>
      <c r="BC179" s="21" t="str">
        <f t="shared" si="68"/>
        <v/>
      </c>
    </row>
    <row r="180" spans="1:55" ht="15">
      <c r="A180" s="21" t="str">
        <f>IF(Base!B178="","",Base!B178)</f>
        <v>07.832.770-7</v>
      </c>
      <c r="B180" s="21" t="str">
        <f>IF(Base!F178="","",Base!F178)</f>
        <v>MIGUEL  SALAS  VALENZUELA</v>
      </c>
      <c r="C180" s="21" t="str">
        <f>IF(Base!I178="","",Base!I178)</f>
        <v>Linea 7</v>
      </c>
      <c r="D180" s="22" t="str">
        <f>IF(Base!J178="","",Base!J178)</f>
        <v>Embalador</v>
      </c>
      <c r="E180" s="21">
        <f>IF(Base!H178="","",Base!H178)</f>
        <v>1050616</v>
      </c>
      <c r="J180" s="28">
        <v>170</v>
      </c>
      <c r="K180" s="5"/>
      <c r="L180" s="58" t="str">
        <f t="shared" si="50"/>
        <v/>
      </c>
      <c r="M180" s="58" t="str">
        <f t="shared" si="51"/>
        <v/>
      </c>
      <c r="N180" s="59" t="str">
        <f t="shared" si="52"/>
        <v/>
      </c>
      <c r="O180" s="59" t="str">
        <f t="shared" si="53"/>
        <v/>
      </c>
      <c r="P180" s="30"/>
      <c r="Q180" s="35"/>
      <c r="R180" s="63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2">
        <f t="shared" si="69"/>
        <v>0</v>
      </c>
      <c r="AF180" s="32">
        <f t="shared" si="70"/>
        <v>0</v>
      </c>
      <c r="AG180" s="33"/>
      <c r="AL180" s="21" t="str">
        <f t="shared" si="71"/>
        <v/>
      </c>
      <c r="AM180" s="21">
        <v>171</v>
      </c>
      <c r="AN180" s="21">
        <f t="shared" si="54"/>
        <v>0</v>
      </c>
      <c r="AO180" s="21">
        <f t="shared" si="55"/>
        <v>0</v>
      </c>
      <c r="AP180" s="21">
        <f t="shared" si="56"/>
        <v>0</v>
      </c>
      <c r="AQ180" s="21">
        <f t="shared" si="57"/>
        <v>0</v>
      </c>
      <c r="AR180" s="21">
        <f t="shared" si="58"/>
        <v>0</v>
      </c>
      <c r="AS180" s="21">
        <f t="shared" si="59"/>
        <v>0</v>
      </c>
      <c r="AT180" s="21">
        <f t="shared" si="60"/>
        <v>0</v>
      </c>
      <c r="AU180" s="34">
        <f t="shared" si="61"/>
        <v>0</v>
      </c>
      <c r="AW180" s="21" t="str">
        <f t="shared" si="62"/>
        <v/>
      </c>
      <c r="AX180" s="21" t="str">
        <f t="shared" si="63"/>
        <v/>
      </c>
      <c r="AY180" s="21" t="str">
        <f t="shared" si="64"/>
        <v/>
      </c>
      <c r="AZ180" s="21" t="str">
        <f t="shared" si="65"/>
        <v/>
      </c>
      <c r="BA180" s="21" t="str">
        <f t="shared" si="66"/>
        <v/>
      </c>
      <c r="BB180" s="21" t="str">
        <f t="shared" si="67"/>
        <v/>
      </c>
      <c r="BC180" s="21" t="str">
        <f t="shared" si="68"/>
        <v/>
      </c>
    </row>
    <row r="181" spans="1:55" ht="15">
      <c r="A181" s="21" t="str">
        <f>IF(Base!B179="","",Base!B179)</f>
        <v>12.647.009-6</v>
      </c>
      <c r="B181" s="21" t="str">
        <f>IF(Base!F179="","",Base!F179)</f>
        <v>PAULO  SALAZAR  FREYHOFER</v>
      </c>
      <c r="C181" s="21" t="str">
        <f>IF(Base!I179="","",Base!I179)</f>
        <v>Abastecimiento</v>
      </c>
      <c r="D181" s="22" t="str">
        <f>IF(Base!J179="","",Base!J179)</f>
        <v>Supervisor Almacen Insumos</v>
      </c>
      <c r="E181" s="21">
        <f>IF(Base!H179="","",Base!H179)</f>
        <v>1050581</v>
      </c>
      <c r="J181" s="28">
        <v>171</v>
      </c>
      <c r="K181" s="5"/>
      <c r="L181" s="58" t="str">
        <f t="shared" si="50"/>
        <v/>
      </c>
      <c r="M181" s="58" t="str">
        <f t="shared" si="51"/>
        <v/>
      </c>
      <c r="N181" s="59" t="str">
        <f t="shared" si="52"/>
        <v/>
      </c>
      <c r="O181" s="59" t="str">
        <f t="shared" si="53"/>
        <v/>
      </c>
      <c r="P181" s="30"/>
      <c r="Q181" s="35"/>
      <c r="R181" s="63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2">
        <f t="shared" si="69"/>
        <v>0</v>
      </c>
      <c r="AF181" s="32">
        <f t="shared" si="70"/>
        <v>0</v>
      </c>
      <c r="AG181" s="33"/>
      <c r="AL181" s="21" t="str">
        <f t="shared" si="71"/>
        <v/>
      </c>
      <c r="AM181" s="21">
        <v>172</v>
      </c>
      <c r="AN181" s="21">
        <f t="shared" si="54"/>
        <v>0</v>
      </c>
      <c r="AO181" s="21">
        <f t="shared" si="55"/>
        <v>0</v>
      </c>
      <c r="AP181" s="21">
        <f t="shared" si="56"/>
        <v>0</v>
      </c>
      <c r="AQ181" s="21">
        <f t="shared" si="57"/>
        <v>0</v>
      </c>
      <c r="AR181" s="21">
        <f t="shared" si="58"/>
        <v>0</v>
      </c>
      <c r="AS181" s="21">
        <f t="shared" si="59"/>
        <v>0</v>
      </c>
      <c r="AT181" s="21">
        <f t="shared" si="60"/>
        <v>0</v>
      </c>
      <c r="AU181" s="34">
        <f t="shared" si="61"/>
        <v>0</v>
      </c>
      <c r="AW181" s="21" t="str">
        <f t="shared" si="62"/>
        <v/>
      </c>
      <c r="AX181" s="21" t="str">
        <f t="shared" si="63"/>
        <v/>
      </c>
      <c r="AY181" s="21" t="str">
        <f t="shared" si="64"/>
        <v/>
      </c>
      <c r="AZ181" s="21" t="str">
        <f t="shared" si="65"/>
        <v/>
      </c>
      <c r="BA181" s="21" t="str">
        <f t="shared" si="66"/>
        <v/>
      </c>
      <c r="BB181" s="21" t="str">
        <f t="shared" si="67"/>
        <v/>
      </c>
      <c r="BC181" s="21" t="str">
        <f t="shared" si="68"/>
        <v/>
      </c>
    </row>
    <row r="182" spans="1:55" ht="15">
      <c r="A182" s="21" t="str">
        <f>IF(Base!B180="","",Base!B180)</f>
        <v>07.009.784-2</v>
      </c>
      <c r="B182" s="21" t="str">
        <f>IF(Base!F180="","",Base!F180)</f>
        <v>HECTOR ENRIQUE  SALAZAR  VIDELA</v>
      </c>
      <c r="C182" s="21" t="str">
        <f>IF(Base!I180="","",Base!I180)</f>
        <v>Abastecimiento</v>
      </c>
      <c r="D182" s="22" t="str">
        <f>IF(Base!J180="","",Base!J180)</f>
        <v>Control Ingresos Cen</v>
      </c>
      <c r="E182" s="21">
        <f>IF(Base!H180="","",Base!H180)</f>
        <v>1050126</v>
      </c>
      <c r="J182" s="28">
        <v>172</v>
      </c>
      <c r="K182" s="5"/>
      <c r="L182" s="58" t="str">
        <f t="shared" si="50"/>
        <v/>
      </c>
      <c r="M182" s="58" t="str">
        <f t="shared" si="51"/>
        <v/>
      </c>
      <c r="N182" s="59" t="str">
        <f t="shared" si="52"/>
        <v/>
      </c>
      <c r="O182" s="59" t="str">
        <f t="shared" si="53"/>
        <v/>
      </c>
      <c r="P182" s="30"/>
      <c r="Q182" s="35"/>
      <c r="R182" s="63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2">
        <f t="shared" si="69"/>
        <v>0</v>
      </c>
      <c r="AF182" s="32">
        <f t="shared" si="70"/>
        <v>0</v>
      </c>
      <c r="AG182" s="33"/>
      <c r="AL182" s="21" t="str">
        <f t="shared" si="71"/>
        <v/>
      </c>
      <c r="AM182" s="21">
        <v>173</v>
      </c>
      <c r="AN182" s="21">
        <f t="shared" si="54"/>
        <v>0</v>
      </c>
      <c r="AO182" s="21">
        <f t="shared" si="55"/>
        <v>0</v>
      </c>
      <c r="AP182" s="21">
        <f t="shared" si="56"/>
        <v>0</v>
      </c>
      <c r="AQ182" s="21">
        <f t="shared" si="57"/>
        <v>0</v>
      </c>
      <c r="AR182" s="21">
        <f t="shared" si="58"/>
        <v>0</v>
      </c>
      <c r="AS182" s="21">
        <f t="shared" si="59"/>
        <v>0</v>
      </c>
      <c r="AT182" s="21">
        <f t="shared" si="60"/>
        <v>0</v>
      </c>
      <c r="AU182" s="34">
        <f t="shared" si="61"/>
        <v>0</v>
      </c>
      <c r="AW182" s="21" t="str">
        <f t="shared" si="62"/>
        <v/>
      </c>
      <c r="AX182" s="21" t="str">
        <f t="shared" si="63"/>
        <v/>
      </c>
      <c r="AY182" s="21" t="str">
        <f t="shared" si="64"/>
        <v/>
      </c>
      <c r="AZ182" s="21" t="str">
        <f t="shared" si="65"/>
        <v/>
      </c>
      <c r="BA182" s="21" t="str">
        <f t="shared" si="66"/>
        <v/>
      </c>
      <c r="BB182" s="21" t="str">
        <f t="shared" si="67"/>
        <v/>
      </c>
      <c r="BC182" s="21" t="str">
        <f t="shared" si="68"/>
        <v/>
      </c>
    </row>
    <row r="183" spans="1:55" ht="15">
      <c r="A183" s="21" t="str">
        <f>IF(Base!B181="","",Base!B181)</f>
        <v>08.245.727-5</v>
      </c>
      <c r="B183" s="21" t="str">
        <f>IF(Base!F181="","",Base!F181)</f>
        <v>JUAN  SALINAS  CUEVAS</v>
      </c>
      <c r="C183" s="21" t="str">
        <f>IF(Base!I181="","",Base!I181)</f>
        <v>Abastecimiento</v>
      </c>
      <c r="D183" s="22" t="str">
        <f>IF(Base!J181="","",Base!J181)</f>
        <v>Suministro de Líneas</v>
      </c>
      <c r="E183" s="21">
        <f>IF(Base!H181="","",Base!H181)</f>
        <v>1050633</v>
      </c>
      <c r="J183" s="28">
        <v>173</v>
      </c>
      <c r="K183" s="5"/>
      <c r="L183" s="58" t="str">
        <f t="shared" si="50"/>
        <v/>
      </c>
      <c r="M183" s="58" t="str">
        <f t="shared" si="51"/>
        <v/>
      </c>
      <c r="N183" s="59" t="str">
        <f t="shared" si="52"/>
        <v/>
      </c>
      <c r="O183" s="59" t="str">
        <f t="shared" si="53"/>
        <v/>
      </c>
      <c r="P183" s="30"/>
      <c r="Q183" s="35"/>
      <c r="R183" s="63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2">
        <f t="shared" si="69"/>
        <v>0</v>
      </c>
      <c r="AF183" s="32">
        <f t="shared" si="70"/>
        <v>0</v>
      </c>
      <c r="AG183" s="33"/>
      <c r="AL183" s="21" t="str">
        <f t="shared" si="71"/>
        <v/>
      </c>
      <c r="AM183" s="21">
        <v>174</v>
      </c>
      <c r="AN183" s="21">
        <f t="shared" si="54"/>
        <v>0</v>
      </c>
      <c r="AO183" s="21">
        <f t="shared" si="55"/>
        <v>0</v>
      </c>
      <c r="AP183" s="21">
        <f t="shared" si="56"/>
        <v>0</v>
      </c>
      <c r="AQ183" s="21">
        <f t="shared" si="57"/>
        <v>0</v>
      </c>
      <c r="AR183" s="21">
        <f t="shared" si="58"/>
        <v>0</v>
      </c>
      <c r="AS183" s="21">
        <f t="shared" si="59"/>
        <v>0</v>
      </c>
      <c r="AT183" s="21">
        <f t="shared" si="60"/>
        <v>0</v>
      </c>
      <c r="AU183" s="34">
        <f t="shared" si="61"/>
        <v>0</v>
      </c>
      <c r="AW183" s="21" t="str">
        <f t="shared" si="62"/>
        <v/>
      </c>
      <c r="AX183" s="21" t="str">
        <f t="shared" si="63"/>
        <v/>
      </c>
      <c r="AY183" s="21" t="str">
        <f t="shared" si="64"/>
        <v/>
      </c>
      <c r="AZ183" s="21" t="str">
        <f t="shared" si="65"/>
        <v/>
      </c>
      <c r="BA183" s="21" t="str">
        <f t="shared" si="66"/>
        <v/>
      </c>
      <c r="BB183" s="21" t="str">
        <f t="shared" si="67"/>
        <v/>
      </c>
      <c r="BC183" s="21" t="str">
        <f t="shared" si="68"/>
        <v/>
      </c>
    </row>
    <row r="184" spans="1:55" ht="15">
      <c r="A184" s="21" t="str">
        <f>IF(Base!B182="","",Base!B182)</f>
        <v>13.638.571-2</v>
      </c>
      <c r="B184" s="21" t="str">
        <f>IF(Base!F182="","",Base!F182)</f>
        <v>EDUARDO  SALINAS  MARIN</v>
      </c>
      <c r="C184" s="21" t="str">
        <f>IF(Base!I182="","",Base!I182)</f>
        <v>Linea 7</v>
      </c>
      <c r="D184" s="22" t="str">
        <f>IF(Base!J182="","",Base!J182)</f>
        <v>Etiquetador</v>
      </c>
      <c r="E184" s="21">
        <f>IF(Base!H182="","",Base!H182)</f>
        <v>1050616</v>
      </c>
      <c r="J184" s="28">
        <v>174</v>
      </c>
      <c r="K184" s="5"/>
      <c r="L184" s="58" t="str">
        <f t="shared" si="50"/>
        <v/>
      </c>
      <c r="M184" s="58" t="str">
        <f t="shared" si="51"/>
        <v/>
      </c>
      <c r="N184" s="59" t="str">
        <f t="shared" si="52"/>
        <v/>
      </c>
      <c r="O184" s="59" t="str">
        <f t="shared" si="53"/>
        <v/>
      </c>
      <c r="P184" s="30"/>
      <c r="Q184" s="35"/>
      <c r="R184" s="63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2">
        <f t="shared" si="69"/>
        <v>0</v>
      </c>
      <c r="AF184" s="32">
        <f t="shared" si="70"/>
        <v>0</v>
      </c>
      <c r="AG184" s="33"/>
      <c r="AL184" s="21" t="str">
        <f t="shared" si="71"/>
        <v/>
      </c>
      <c r="AM184" s="21">
        <v>175</v>
      </c>
      <c r="AN184" s="21">
        <f t="shared" si="54"/>
        <v>0</v>
      </c>
      <c r="AO184" s="21">
        <f t="shared" si="55"/>
        <v>0</v>
      </c>
      <c r="AP184" s="21">
        <f t="shared" si="56"/>
        <v>0</v>
      </c>
      <c r="AQ184" s="21">
        <f t="shared" si="57"/>
        <v>0</v>
      </c>
      <c r="AR184" s="21">
        <f t="shared" si="58"/>
        <v>0</v>
      </c>
      <c r="AS184" s="21">
        <f t="shared" si="59"/>
        <v>0</v>
      </c>
      <c r="AT184" s="21">
        <f t="shared" si="60"/>
        <v>0</v>
      </c>
      <c r="AU184" s="34">
        <f t="shared" si="61"/>
        <v>0</v>
      </c>
      <c r="AW184" s="21" t="str">
        <f t="shared" si="62"/>
        <v/>
      </c>
      <c r="AX184" s="21" t="str">
        <f t="shared" si="63"/>
        <v/>
      </c>
      <c r="AY184" s="21" t="str">
        <f t="shared" si="64"/>
        <v/>
      </c>
      <c r="AZ184" s="21" t="str">
        <f t="shared" si="65"/>
        <v/>
      </c>
      <c r="BA184" s="21" t="str">
        <f t="shared" si="66"/>
        <v/>
      </c>
      <c r="BB184" s="21" t="str">
        <f t="shared" si="67"/>
        <v/>
      </c>
      <c r="BC184" s="21" t="str">
        <f t="shared" si="68"/>
        <v/>
      </c>
    </row>
    <row r="185" spans="1:55" ht="15">
      <c r="A185" s="21" t="str">
        <f>IF(Base!B183="","",Base!B183)</f>
        <v>15.891.790-4</v>
      </c>
      <c r="B185" s="21" t="str">
        <f>IF(Base!F183="","",Base!F183)</f>
        <v>LUIS ALBERTO  SALINAS  SALDIAS</v>
      </c>
      <c r="C185" s="21" t="str">
        <f>IF(Base!I183="","",Base!I183)</f>
        <v>Reprocesos</v>
      </c>
      <c r="D185" s="22" t="str">
        <f>IF(Base!J183="","",Base!J183)</f>
        <v>Encargado</v>
      </c>
      <c r="E185" s="21">
        <f>IF(Base!H183="","",Base!H183)</f>
        <v>1050565</v>
      </c>
      <c r="J185" s="28">
        <v>175</v>
      </c>
      <c r="K185" s="5"/>
      <c r="L185" s="58" t="str">
        <f t="shared" si="50"/>
        <v/>
      </c>
      <c r="M185" s="58" t="str">
        <f t="shared" si="51"/>
        <v/>
      </c>
      <c r="N185" s="59" t="str">
        <f t="shared" si="52"/>
        <v/>
      </c>
      <c r="O185" s="59" t="str">
        <f t="shared" si="53"/>
        <v/>
      </c>
      <c r="P185" s="30"/>
      <c r="Q185" s="35"/>
      <c r="R185" s="63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2">
        <f t="shared" si="69"/>
        <v>0</v>
      </c>
      <c r="AF185" s="32">
        <f t="shared" si="70"/>
        <v>0</v>
      </c>
      <c r="AG185" s="33"/>
      <c r="AL185" s="21" t="str">
        <f t="shared" si="71"/>
        <v/>
      </c>
      <c r="AM185" s="21">
        <v>176</v>
      </c>
      <c r="AN185" s="21">
        <f t="shared" si="54"/>
        <v>0</v>
      </c>
      <c r="AO185" s="21">
        <f t="shared" si="55"/>
        <v>0</v>
      </c>
      <c r="AP185" s="21">
        <f t="shared" si="56"/>
        <v>0</v>
      </c>
      <c r="AQ185" s="21">
        <f t="shared" si="57"/>
        <v>0</v>
      </c>
      <c r="AR185" s="21">
        <f t="shared" si="58"/>
        <v>0</v>
      </c>
      <c r="AS185" s="21">
        <f t="shared" si="59"/>
        <v>0</v>
      </c>
      <c r="AT185" s="21">
        <f t="shared" si="60"/>
        <v>0</v>
      </c>
      <c r="AU185" s="34">
        <f t="shared" si="61"/>
        <v>0</v>
      </c>
      <c r="AW185" s="21" t="str">
        <f t="shared" si="62"/>
        <v/>
      </c>
      <c r="AX185" s="21" t="str">
        <f t="shared" si="63"/>
        <v/>
      </c>
      <c r="AY185" s="21" t="str">
        <f t="shared" si="64"/>
        <v/>
      </c>
      <c r="AZ185" s="21" t="str">
        <f t="shared" si="65"/>
        <v/>
      </c>
      <c r="BA185" s="21" t="str">
        <f t="shared" si="66"/>
        <v/>
      </c>
      <c r="BB185" s="21" t="str">
        <f t="shared" si="67"/>
        <v/>
      </c>
      <c r="BC185" s="21" t="str">
        <f t="shared" si="68"/>
        <v/>
      </c>
    </row>
    <row r="186" spans="1:55" ht="15">
      <c r="A186" s="21" t="str">
        <f>IF(Base!B184="","",Base!B184)</f>
        <v>12.500.119-K</v>
      </c>
      <c r="B186" s="21" t="str">
        <f>IF(Base!F184="","",Base!F184)</f>
        <v>FREDDY  SANCHEZ  TORRES</v>
      </c>
      <c r="C186" s="21" t="str">
        <f>IF(Base!I184="","",Base!I184)</f>
        <v>Abastecimiento</v>
      </c>
      <c r="D186" s="22" t="str">
        <f>IF(Base!J184="","",Base!J184)</f>
        <v>Control Inventario I</v>
      </c>
      <c r="E186" s="21">
        <f>IF(Base!H184="","",Base!H184)</f>
        <v>1050161</v>
      </c>
      <c r="J186" s="28">
        <v>176</v>
      </c>
      <c r="K186" s="5"/>
      <c r="L186" s="58" t="str">
        <f t="shared" si="50"/>
        <v/>
      </c>
      <c r="M186" s="58" t="str">
        <f t="shared" si="51"/>
        <v/>
      </c>
      <c r="N186" s="59" t="str">
        <f t="shared" si="52"/>
        <v/>
      </c>
      <c r="O186" s="59" t="str">
        <f t="shared" si="53"/>
        <v/>
      </c>
      <c r="P186" s="30"/>
      <c r="Q186" s="35"/>
      <c r="R186" s="63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2">
        <f t="shared" si="69"/>
        <v>0</v>
      </c>
      <c r="AF186" s="32">
        <f t="shared" si="70"/>
        <v>0</v>
      </c>
      <c r="AG186" s="33"/>
      <c r="AL186" s="21" t="str">
        <f t="shared" si="71"/>
        <v/>
      </c>
      <c r="AM186" s="21">
        <v>177</v>
      </c>
      <c r="AN186" s="21">
        <f t="shared" si="54"/>
        <v>0</v>
      </c>
      <c r="AO186" s="21">
        <f t="shared" si="55"/>
        <v>0</v>
      </c>
      <c r="AP186" s="21">
        <f t="shared" si="56"/>
        <v>0</v>
      </c>
      <c r="AQ186" s="21">
        <f t="shared" si="57"/>
        <v>0</v>
      </c>
      <c r="AR186" s="21">
        <f t="shared" si="58"/>
        <v>0</v>
      </c>
      <c r="AS186" s="21">
        <f t="shared" si="59"/>
        <v>0</v>
      </c>
      <c r="AT186" s="21">
        <f t="shared" si="60"/>
        <v>0</v>
      </c>
      <c r="AU186" s="34">
        <f t="shared" si="61"/>
        <v>0</v>
      </c>
      <c r="AW186" s="21" t="str">
        <f t="shared" si="62"/>
        <v/>
      </c>
      <c r="AX186" s="21" t="str">
        <f t="shared" si="63"/>
        <v/>
      </c>
      <c r="AY186" s="21" t="str">
        <f t="shared" si="64"/>
        <v/>
      </c>
      <c r="AZ186" s="21" t="str">
        <f t="shared" si="65"/>
        <v/>
      </c>
      <c r="BA186" s="21" t="str">
        <f t="shared" si="66"/>
        <v/>
      </c>
      <c r="BB186" s="21" t="str">
        <f t="shared" si="67"/>
        <v/>
      </c>
      <c r="BC186" s="21" t="str">
        <f t="shared" si="68"/>
        <v/>
      </c>
    </row>
    <row r="187" spans="1:55" ht="15">
      <c r="A187" s="21" t="str">
        <f>IF(Base!B185="","",Base!B185)</f>
        <v>13.701.209-K</v>
      </c>
      <c r="B187" s="21" t="str">
        <f>IF(Base!F185="","",Base!F185)</f>
        <v>MARCELINO JHONATTAN  SANCHEZ  TORRES</v>
      </c>
      <c r="C187" s="21" t="str">
        <f>IF(Base!I185="","",Base!I185)</f>
        <v>Abastecimiento</v>
      </c>
      <c r="D187" s="22" t="str">
        <f>IF(Base!J185="","",Base!J185)</f>
        <v>Control Ingresos Cen</v>
      </c>
      <c r="E187" s="21">
        <f>IF(Base!H185="","",Base!H185)</f>
        <v>1050126</v>
      </c>
      <c r="J187" s="28">
        <v>177</v>
      </c>
      <c r="K187" s="5"/>
      <c r="L187" s="58" t="str">
        <f t="shared" si="50"/>
        <v/>
      </c>
      <c r="M187" s="58" t="str">
        <f t="shared" si="51"/>
        <v/>
      </c>
      <c r="N187" s="59" t="str">
        <f t="shared" si="52"/>
        <v/>
      </c>
      <c r="O187" s="59" t="str">
        <f t="shared" si="53"/>
        <v/>
      </c>
      <c r="P187" s="30"/>
      <c r="Q187" s="35"/>
      <c r="R187" s="63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2">
        <f t="shared" si="69"/>
        <v>0</v>
      </c>
      <c r="AF187" s="32">
        <f t="shared" si="70"/>
        <v>0</v>
      </c>
      <c r="AG187" s="33"/>
      <c r="AL187" s="21" t="str">
        <f t="shared" si="71"/>
        <v/>
      </c>
      <c r="AM187" s="21">
        <v>178</v>
      </c>
      <c r="AN187" s="21">
        <f t="shared" si="54"/>
        <v>0</v>
      </c>
      <c r="AO187" s="21">
        <f t="shared" si="55"/>
        <v>0</v>
      </c>
      <c r="AP187" s="21">
        <f t="shared" si="56"/>
        <v>0</v>
      </c>
      <c r="AQ187" s="21">
        <f t="shared" si="57"/>
        <v>0</v>
      </c>
      <c r="AR187" s="21">
        <f t="shared" si="58"/>
        <v>0</v>
      </c>
      <c r="AS187" s="21">
        <f t="shared" si="59"/>
        <v>0</v>
      </c>
      <c r="AT187" s="21">
        <f t="shared" si="60"/>
        <v>0</v>
      </c>
      <c r="AU187" s="34">
        <f t="shared" si="61"/>
        <v>0</v>
      </c>
      <c r="AW187" s="21" t="str">
        <f t="shared" si="62"/>
        <v/>
      </c>
      <c r="AX187" s="21" t="str">
        <f t="shared" si="63"/>
        <v/>
      </c>
      <c r="AY187" s="21" t="str">
        <f t="shared" si="64"/>
        <v/>
      </c>
      <c r="AZ187" s="21" t="str">
        <f t="shared" si="65"/>
        <v/>
      </c>
      <c r="BA187" s="21" t="str">
        <f t="shared" si="66"/>
        <v/>
      </c>
      <c r="BB187" s="21" t="str">
        <f t="shared" si="67"/>
        <v/>
      </c>
      <c r="BC187" s="21" t="str">
        <f t="shared" si="68"/>
        <v/>
      </c>
    </row>
    <row r="188" spans="1:55" ht="15">
      <c r="A188" s="21" t="str">
        <f>IF(Base!B186="","",Base!B186)</f>
        <v>10.835.391-0</v>
      </c>
      <c r="B188" s="21" t="str">
        <f>IF(Base!F186="","",Base!F186)</f>
        <v>DANIEL PATRICIO  SANCHEZ  VASQUEZ</v>
      </c>
      <c r="C188" s="21" t="str">
        <f>IF(Base!I186="","",Base!I186)</f>
        <v>Abastecimiento</v>
      </c>
      <c r="D188" s="22" t="str">
        <f>IF(Base!J186="","",Base!J186)</f>
        <v>Almacen Insumos Pque</v>
      </c>
      <c r="E188" s="21">
        <f>IF(Base!H186="","",Base!H186)</f>
        <v>1050581</v>
      </c>
      <c r="J188" s="28">
        <v>178</v>
      </c>
      <c r="K188" s="5"/>
      <c r="L188" s="58" t="str">
        <f t="shared" si="50"/>
        <v/>
      </c>
      <c r="M188" s="58" t="str">
        <f t="shared" si="51"/>
        <v/>
      </c>
      <c r="N188" s="59" t="str">
        <f t="shared" si="52"/>
        <v/>
      </c>
      <c r="O188" s="59" t="str">
        <f t="shared" si="53"/>
        <v/>
      </c>
      <c r="P188" s="30"/>
      <c r="Q188" s="35"/>
      <c r="R188" s="63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2">
        <f t="shared" si="69"/>
        <v>0</v>
      </c>
      <c r="AF188" s="32">
        <f t="shared" si="70"/>
        <v>0</v>
      </c>
      <c r="AG188" s="33"/>
      <c r="AL188" s="21" t="str">
        <f t="shared" si="71"/>
        <v/>
      </c>
      <c r="AM188" s="21">
        <v>179</v>
      </c>
      <c r="AN188" s="21">
        <f t="shared" si="54"/>
        <v>0</v>
      </c>
      <c r="AO188" s="21">
        <f t="shared" si="55"/>
        <v>0</v>
      </c>
      <c r="AP188" s="21">
        <f t="shared" si="56"/>
        <v>0</v>
      </c>
      <c r="AQ188" s="21">
        <f t="shared" si="57"/>
        <v>0</v>
      </c>
      <c r="AR188" s="21">
        <f t="shared" si="58"/>
        <v>0</v>
      </c>
      <c r="AS188" s="21">
        <f t="shared" si="59"/>
        <v>0</v>
      </c>
      <c r="AT188" s="21">
        <f t="shared" si="60"/>
        <v>0</v>
      </c>
      <c r="AU188" s="34">
        <f t="shared" si="61"/>
        <v>0</v>
      </c>
      <c r="AW188" s="21" t="str">
        <f t="shared" si="62"/>
        <v/>
      </c>
      <c r="AX188" s="21" t="str">
        <f t="shared" si="63"/>
        <v/>
      </c>
      <c r="AY188" s="21" t="str">
        <f t="shared" si="64"/>
        <v/>
      </c>
      <c r="AZ188" s="21" t="str">
        <f t="shared" si="65"/>
        <v/>
      </c>
      <c r="BA188" s="21" t="str">
        <f t="shared" si="66"/>
        <v/>
      </c>
      <c r="BB188" s="21" t="str">
        <f t="shared" si="67"/>
        <v/>
      </c>
      <c r="BC188" s="21" t="str">
        <f t="shared" si="68"/>
        <v/>
      </c>
    </row>
    <row r="189" spans="1:55" ht="15">
      <c r="A189" s="21" t="str">
        <f>IF(Base!B187="","",Base!B187)</f>
        <v>08.618.882-1</v>
      </c>
      <c r="B189" s="21" t="str">
        <f>IF(Base!F187="","",Base!F187)</f>
        <v>VICTOR H.  SANDOVAL  ACUÑA</v>
      </c>
      <c r="C189" s="21" t="str">
        <f>IF(Base!I187="","",Base!I187)</f>
        <v>Abastecimiento</v>
      </c>
      <c r="D189" s="22" t="str">
        <f>IF(Base!J187="","",Base!J187)</f>
        <v>Suministro de Líneas</v>
      </c>
      <c r="E189" s="21">
        <f>IF(Base!H187="","",Base!H187)</f>
        <v>1050633</v>
      </c>
      <c r="J189" s="28">
        <v>179</v>
      </c>
      <c r="K189" s="5"/>
      <c r="L189" s="58" t="str">
        <f t="shared" si="50"/>
        <v/>
      </c>
      <c r="M189" s="58" t="str">
        <f t="shared" si="51"/>
        <v/>
      </c>
      <c r="N189" s="59" t="str">
        <f t="shared" si="52"/>
        <v/>
      </c>
      <c r="O189" s="59" t="str">
        <f t="shared" si="53"/>
        <v/>
      </c>
      <c r="P189" s="30"/>
      <c r="Q189" s="35"/>
      <c r="R189" s="63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2">
        <f t="shared" si="69"/>
        <v>0</v>
      </c>
      <c r="AF189" s="32">
        <f t="shared" si="70"/>
        <v>0</v>
      </c>
      <c r="AG189" s="33"/>
      <c r="AL189" s="21" t="str">
        <f t="shared" si="71"/>
        <v/>
      </c>
      <c r="AM189" s="21">
        <v>180</v>
      </c>
      <c r="AN189" s="21">
        <f t="shared" si="54"/>
        <v>0</v>
      </c>
      <c r="AO189" s="21">
        <f t="shared" si="55"/>
        <v>0</v>
      </c>
      <c r="AP189" s="21">
        <f t="shared" si="56"/>
        <v>0</v>
      </c>
      <c r="AQ189" s="21">
        <f t="shared" si="57"/>
        <v>0</v>
      </c>
      <c r="AR189" s="21">
        <f t="shared" si="58"/>
        <v>0</v>
      </c>
      <c r="AS189" s="21">
        <f t="shared" si="59"/>
        <v>0</v>
      </c>
      <c r="AT189" s="21">
        <f t="shared" si="60"/>
        <v>0</v>
      </c>
      <c r="AU189" s="34">
        <f t="shared" si="61"/>
        <v>0</v>
      </c>
      <c r="AW189" s="21" t="str">
        <f t="shared" si="62"/>
        <v/>
      </c>
      <c r="AX189" s="21" t="str">
        <f t="shared" si="63"/>
        <v/>
      </c>
      <c r="AY189" s="21" t="str">
        <f t="shared" si="64"/>
        <v/>
      </c>
      <c r="AZ189" s="21" t="str">
        <f t="shared" si="65"/>
        <v/>
      </c>
      <c r="BA189" s="21" t="str">
        <f t="shared" si="66"/>
        <v/>
      </c>
      <c r="BB189" s="21" t="str">
        <f t="shared" si="67"/>
        <v/>
      </c>
      <c r="BC189" s="21" t="str">
        <f t="shared" si="68"/>
        <v/>
      </c>
    </row>
    <row r="190" spans="1:55" ht="15">
      <c r="A190" s="21" t="str">
        <f>IF(Base!B188="","",Base!B188)</f>
        <v>16.691.386-1</v>
      </c>
      <c r="B190" s="21" t="str">
        <f>IF(Base!F188="","",Base!F188)</f>
        <v>LORENZO ARTURO  SANDOVAL  ALTAMIRANO</v>
      </c>
      <c r="C190" s="21" t="str">
        <f>IF(Base!I188="","",Base!I188)</f>
        <v>Abastecimiento</v>
      </c>
      <c r="D190" s="22" t="str">
        <f>IF(Base!J188="","",Base!J188)</f>
        <v>Almacen Insumos Pque</v>
      </c>
      <c r="E190" s="21">
        <f>IF(Base!H188="","",Base!H188)</f>
        <v>1050581</v>
      </c>
      <c r="J190" s="28">
        <v>180</v>
      </c>
      <c r="K190" s="5"/>
      <c r="L190" s="58" t="str">
        <f t="shared" si="50"/>
        <v/>
      </c>
      <c r="M190" s="58" t="str">
        <f t="shared" si="51"/>
        <v/>
      </c>
      <c r="N190" s="59" t="str">
        <f t="shared" si="52"/>
        <v/>
      </c>
      <c r="O190" s="59" t="str">
        <f t="shared" si="53"/>
        <v/>
      </c>
      <c r="P190" s="30"/>
      <c r="Q190" s="35"/>
      <c r="R190" s="63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2">
        <f t="shared" si="69"/>
        <v>0</v>
      </c>
      <c r="AF190" s="32">
        <f t="shared" si="70"/>
        <v>0</v>
      </c>
      <c r="AG190" s="33"/>
      <c r="AL190" s="21" t="str">
        <f t="shared" si="71"/>
        <v/>
      </c>
      <c r="AM190" s="21">
        <v>181</v>
      </c>
      <c r="AN190" s="21">
        <f t="shared" si="54"/>
        <v>0</v>
      </c>
      <c r="AO190" s="21">
        <f t="shared" si="55"/>
        <v>0</v>
      </c>
      <c r="AP190" s="21">
        <f t="shared" si="56"/>
        <v>0</v>
      </c>
      <c r="AQ190" s="21">
        <f t="shared" si="57"/>
        <v>0</v>
      </c>
      <c r="AR190" s="21">
        <f t="shared" si="58"/>
        <v>0</v>
      </c>
      <c r="AS190" s="21">
        <f t="shared" si="59"/>
        <v>0</v>
      </c>
      <c r="AT190" s="21">
        <f t="shared" si="60"/>
        <v>0</v>
      </c>
      <c r="AU190" s="34">
        <f t="shared" si="61"/>
        <v>0</v>
      </c>
      <c r="AW190" s="21" t="str">
        <f t="shared" si="62"/>
        <v/>
      </c>
      <c r="AX190" s="21" t="str">
        <f t="shared" si="63"/>
        <v/>
      </c>
      <c r="AY190" s="21" t="str">
        <f t="shared" si="64"/>
        <v/>
      </c>
      <c r="AZ190" s="21" t="str">
        <f t="shared" si="65"/>
        <v/>
      </c>
      <c r="BA190" s="21" t="str">
        <f t="shared" si="66"/>
        <v/>
      </c>
      <c r="BB190" s="21" t="str">
        <f t="shared" si="67"/>
        <v/>
      </c>
      <c r="BC190" s="21" t="str">
        <f t="shared" si="68"/>
        <v/>
      </c>
    </row>
    <row r="191" spans="1:55" ht="15">
      <c r="A191" s="21" t="str">
        <f>IF(Base!B189="","",Base!B189)</f>
        <v>08.085.825-6</v>
      </c>
      <c r="B191" s="21" t="str">
        <f>IF(Base!F189="","",Base!F189)</f>
        <v>ACISCLO ANTONIO  SANHUEZA  CUBILLOS</v>
      </c>
      <c r="C191" s="21" t="str">
        <f>IF(Base!I189="","",Base!I189)</f>
        <v>Linea 6</v>
      </c>
      <c r="D191" s="22" t="str">
        <f>IF(Base!J189="","",Base!J189)</f>
        <v>Llenador</v>
      </c>
      <c r="E191" s="21">
        <f>IF(Base!H189="","",Base!H189)</f>
        <v>1050609</v>
      </c>
      <c r="J191" s="28">
        <v>181</v>
      </c>
      <c r="K191" s="5"/>
      <c r="L191" s="58" t="str">
        <f t="shared" si="50"/>
        <v/>
      </c>
      <c r="M191" s="58" t="str">
        <f t="shared" si="51"/>
        <v/>
      </c>
      <c r="N191" s="59" t="str">
        <f t="shared" si="52"/>
        <v/>
      </c>
      <c r="O191" s="59" t="str">
        <f t="shared" si="53"/>
        <v/>
      </c>
      <c r="P191" s="30"/>
      <c r="Q191" s="35"/>
      <c r="R191" s="63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2">
        <f t="shared" si="69"/>
        <v>0</v>
      </c>
      <c r="AF191" s="32">
        <f t="shared" si="70"/>
        <v>0</v>
      </c>
      <c r="AG191" s="33"/>
      <c r="AL191" s="21" t="str">
        <f t="shared" si="71"/>
        <v/>
      </c>
      <c r="AM191" s="21">
        <v>182</v>
      </c>
      <c r="AN191" s="21">
        <f t="shared" si="54"/>
        <v>0</v>
      </c>
      <c r="AO191" s="21">
        <f t="shared" si="55"/>
        <v>0</v>
      </c>
      <c r="AP191" s="21">
        <f t="shared" si="56"/>
        <v>0</v>
      </c>
      <c r="AQ191" s="21">
        <f t="shared" si="57"/>
        <v>0</v>
      </c>
      <c r="AR191" s="21">
        <f t="shared" si="58"/>
        <v>0</v>
      </c>
      <c r="AS191" s="21">
        <f t="shared" si="59"/>
        <v>0</v>
      </c>
      <c r="AT191" s="21">
        <f t="shared" si="60"/>
        <v>0</v>
      </c>
      <c r="AU191" s="34">
        <f t="shared" si="61"/>
        <v>0</v>
      </c>
      <c r="AW191" s="21" t="str">
        <f t="shared" si="62"/>
        <v/>
      </c>
      <c r="AX191" s="21" t="str">
        <f t="shared" si="63"/>
        <v/>
      </c>
      <c r="AY191" s="21" t="str">
        <f t="shared" si="64"/>
        <v/>
      </c>
      <c r="AZ191" s="21" t="str">
        <f t="shared" si="65"/>
        <v/>
      </c>
      <c r="BA191" s="21" t="str">
        <f t="shared" si="66"/>
        <v/>
      </c>
      <c r="BB191" s="21" t="str">
        <f t="shared" si="67"/>
        <v/>
      </c>
      <c r="BC191" s="21" t="str">
        <f t="shared" si="68"/>
        <v/>
      </c>
    </row>
    <row r="192" spans="1:55" ht="15">
      <c r="A192" s="21" t="str">
        <f>IF(Base!B190="","",Base!B190)</f>
        <v>10.849.076-4</v>
      </c>
      <c r="B192" s="21" t="str">
        <f>IF(Base!F190="","",Base!F190)</f>
        <v>RICARDO  SANTANA  PEREZ</v>
      </c>
      <c r="C192" s="21" t="str">
        <f>IF(Base!I190="","",Base!I190)</f>
        <v>Linea 3</v>
      </c>
      <c r="D192" s="22" t="str">
        <f>IF(Base!J190="","",Base!J190)</f>
        <v>Llenador</v>
      </c>
      <c r="E192" s="21">
        <f>IF(Base!H190="","",Base!H190)</f>
        <v>1050555</v>
      </c>
      <c r="J192" s="28">
        <v>182</v>
      </c>
      <c r="K192" s="5"/>
      <c r="L192" s="58" t="str">
        <f t="shared" si="50"/>
        <v/>
      </c>
      <c r="M192" s="58" t="str">
        <f t="shared" si="51"/>
        <v/>
      </c>
      <c r="N192" s="59" t="str">
        <f t="shared" si="52"/>
        <v/>
      </c>
      <c r="O192" s="59" t="str">
        <f t="shared" si="53"/>
        <v/>
      </c>
      <c r="P192" s="30"/>
      <c r="Q192" s="35"/>
      <c r="R192" s="63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2">
        <f t="shared" si="69"/>
        <v>0</v>
      </c>
      <c r="AF192" s="32">
        <f t="shared" si="70"/>
        <v>0</v>
      </c>
      <c r="AG192" s="33"/>
      <c r="AL192" s="21" t="str">
        <f t="shared" si="71"/>
        <v/>
      </c>
      <c r="AM192" s="21">
        <v>183</v>
      </c>
      <c r="AN192" s="21">
        <f t="shared" si="54"/>
        <v>0</v>
      </c>
      <c r="AO192" s="21">
        <f t="shared" si="55"/>
        <v>0</v>
      </c>
      <c r="AP192" s="21">
        <f t="shared" si="56"/>
        <v>0</v>
      </c>
      <c r="AQ192" s="21">
        <f t="shared" si="57"/>
        <v>0</v>
      </c>
      <c r="AR192" s="21">
        <f t="shared" si="58"/>
        <v>0</v>
      </c>
      <c r="AS192" s="21">
        <f t="shared" si="59"/>
        <v>0</v>
      </c>
      <c r="AT192" s="21">
        <f t="shared" si="60"/>
        <v>0</v>
      </c>
      <c r="AU192" s="34">
        <f t="shared" si="61"/>
        <v>0</v>
      </c>
      <c r="AW192" s="21" t="str">
        <f t="shared" si="62"/>
        <v/>
      </c>
      <c r="AX192" s="21" t="str">
        <f t="shared" si="63"/>
        <v/>
      </c>
      <c r="AY192" s="21" t="str">
        <f t="shared" si="64"/>
        <v/>
      </c>
      <c r="AZ192" s="21" t="str">
        <f t="shared" si="65"/>
        <v/>
      </c>
      <c r="BA192" s="21" t="str">
        <f t="shared" si="66"/>
        <v/>
      </c>
      <c r="BB192" s="21" t="str">
        <f t="shared" si="67"/>
        <v/>
      </c>
      <c r="BC192" s="21" t="str">
        <f t="shared" si="68"/>
        <v/>
      </c>
    </row>
    <row r="193" spans="1:55" ht="15">
      <c r="A193" s="21" t="str">
        <f>IF(Base!B191="","",Base!B191)</f>
        <v>13.079.999-K</v>
      </c>
      <c r="B193" s="21" t="str">
        <f>IF(Base!F191="","",Base!F191)</f>
        <v>MAGALY ANDREA  SEPULVEDA  ARAVENA</v>
      </c>
      <c r="C193" s="21" t="str">
        <f>IF(Base!I191="","",Base!I191)</f>
        <v>Abastecimiento</v>
      </c>
      <c r="D193" s="22" t="str">
        <f>IF(Base!J191="","",Base!J191)</f>
        <v>Preparación de Insum</v>
      </c>
      <c r="E193" s="21">
        <f>IF(Base!H191="","",Base!H191)</f>
        <v>1050127</v>
      </c>
      <c r="J193" s="28">
        <v>183</v>
      </c>
      <c r="K193" s="5"/>
      <c r="L193" s="58" t="str">
        <f t="shared" si="50"/>
        <v/>
      </c>
      <c r="M193" s="58" t="str">
        <f t="shared" si="51"/>
        <v/>
      </c>
      <c r="N193" s="59" t="str">
        <f t="shared" si="52"/>
        <v/>
      </c>
      <c r="O193" s="59" t="str">
        <f t="shared" si="53"/>
        <v/>
      </c>
      <c r="P193" s="30"/>
      <c r="Q193" s="35"/>
      <c r="R193" s="63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2">
        <f t="shared" si="69"/>
        <v>0</v>
      </c>
      <c r="AF193" s="32">
        <f t="shared" si="70"/>
        <v>0</v>
      </c>
      <c r="AG193" s="33"/>
      <c r="AL193" s="21" t="str">
        <f t="shared" si="71"/>
        <v/>
      </c>
      <c r="AM193" s="21">
        <v>184</v>
      </c>
      <c r="AN193" s="21">
        <f t="shared" si="54"/>
        <v>0</v>
      </c>
      <c r="AO193" s="21">
        <f t="shared" si="55"/>
        <v>0</v>
      </c>
      <c r="AP193" s="21">
        <f t="shared" si="56"/>
        <v>0</v>
      </c>
      <c r="AQ193" s="21">
        <f t="shared" si="57"/>
        <v>0</v>
      </c>
      <c r="AR193" s="21">
        <f t="shared" si="58"/>
        <v>0</v>
      </c>
      <c r="AS193" s="21">
        <f t="shared" si="59"/>
        <v>0</v>
      </c>
      <c r="AT193" s="21">
        <f t="shared" si="60"/>
        <v>0</v>
      </c>
      <c r="AU193" s="34">
        <f t="shared" si="61"/>
        <v>0</v>
      </c>
      <c r="AW193" s="21" t="str">
        <f t="shared" si="62"/>
        <v/>
      </c>
      <c r="AX193" s="21" t="str">
        <f t="shared" si="63"/>
        <v/>
      </c>
      <c r="AY193" s="21" t="str">
        <f t="shared" si="64"/>
        <v/>
      </c>
      <c r="AZ193" s="21" t="str">
        <f t="shared" si="65"/>
        <v/>
      </c>
      <c r="BA193" s="21" t="str">
        <f t="shared" si="66"/>
        <v/>
      </c>
      <c r="BB193" s="21" t="str">
        <f t="shared" si="67"/>
        <v/>
      </c>
      <c r="BC193" s="21" t="str">
        <f t="shared" si="68"/>
        <v/>
      </c>
    </row>
    <row r="194" spans="1:55" ht="15">
      <c r="A194" s="21" t="str">
        <f>IF(Base!B192="","",Base!B192)</f>
        <v>12.896.000-7</v>
      </c>
      <c r="B194" s="21" t="str">
        <f>IF(Base!F192="","",Base!F192)</f>
        <v>IGNACIO ANDRES  SERRANO  VEGA</v>
      </c>
      <c r="C194" s="21" t="str">
        <f>IF(Base!I192="","",Base!I192)</f>
        <v>Linea 7</v>
      </c>
      <c r="D194" s="22" t="str">
        <f>IF(Base!J192="","",Base!J192)</f>
        <v>Etiquetador</v>
      </c>
      <c r="E194" s="21">
        <f>IF(Base!H192="","",Base!H192)</f>
        <v>10505616</v>
      </c>
      <c r="J194" s="28">
        <v>184</v>
      </c>
      <c r="K194" s="5"/>
      <c r="L194" s="58" t="str">
        <f t="shared" si="50"/>
        <v/>
      </c>
      <c r="M194" s="58" t="str">
        <f t="shared" si="51"/>
        <v/>
      </c>
      <c r="N194" s="59" t="str">
        <f t="shared" si="52"/>
        <v/>
      </c>
      <c r="O194" s="59" t="str">
        <f t="shared" si="53"/>
        <v/>
      </c>
      <c r="P194" s="30"/>
      <c r="Q194" s="35"/>
      <c r="R194" s="63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2">
        <f t="shared" si="69"/>
        <v>0</v>
      </c>
      <c r="AF194" s="32">
        <f t="shared" si="70"/>
        <v>0</v>
      </c>
      <c r="AG194" s="33"/>
      <c r="AL194" s="21" t="str">
        <f t="shared" si="71"/>
        <v/>
      </c>
      <c r="AM194" s="21">
        <v>185</v>
      </c>
      <c r="AN194" s="21">
        <f t="shared" si="54"/>
        <v>0</v>
      </c>
      <c r="AO194" s="21">
        <f t="shared" si="55"/>
        <v>0</v>
      </c>
      <c r="AP194" s="21">
        <f t="shared" si="56"/>
        <v>0</v>
      </c>
      <c r="AQ194" s="21">
        <f t="shared" si="57"/>
        <v>0</v>
      </c>
      <c r="AR194" s="21">
        <f t="shared" si="58"/>
        <v>0</v>
      </c>
      <c r="AS194" s="21">
        <f t="shared" si="59"/>
        <v>0</v>
      </c>
      <c r="AT194" s="21">
        <f t="shared" si="60"/>
        <v>0</v>
      </c>
      <c r="AU194" s="34">
        <f t="shared" si="61"/>
        <v>0</v>
      </c>
      <c r="AW194" s="21" t="str">
        <f t="shared" si="62"/>
        <v/>
      </c>
      <c r="AX194" s="21" t="str">
        <f t="shared" si="63"/>
        <v/>
      </c>
      <c r="AY194" s="21" t="str">
        <f t="shared" si="64"/>
        <v/>
      </c>
      <c r="AZ194" s="21" t="str">
        <f t="shared" si="65"/>
        <v/>
      </c>
      <c r="BA194" s="21" t="str">
        <f t="shared" si="66"/>
        <v/>
      </c>
      <c r="BB194" s="21" t="str">
        <f t="shared" si="67"/>
        <v/>
      </c>
      <c r="BC194" s="21" t="str">
        <f t="shared" si="68"/>
        <v/>
      </c>
    </row>
    <row r="195" spans="1:55" ht="15">
      <c r="A195" s="21" t="str">
        <f>IF(Base!B193="","",Base!B193)</f>
        <v>12.896.866-0</v>
      </c>
      <c r="B195" s="21" t="str">
        <f>IF(Base!F193="","",Base!F193)</f>
        <v>EDDIE LUIS  SOTO  SOTO</v>
      </c>
      <c r="C195" s="21" t="str">
        <f>IF(Base!I193="","",Base!I193)</f>
        <v>BIB</v>
      </c>
      <c r="D195" s="22" t="str">
        <f>IF(Base!J193="","",Base!J193)</f>
        <v>BIB</v>
      </c>
      <c r="E195" s="21">
        <f>IF(Base!H193="","",Base!H193)</f>
        <v>1050595</v>
      </c>
      <c r="J195" s="28">
        <v>185</v>
      </c>
      <c r="K195" s="5"/>
      <c r="L195" s="58" t="str">
        <f t="shared" si="50"/>
        <v/>
      </c>
      <c r="M195" s="58" t="str">
        <f t="shared" si="51"/>
        <v/>
      </c>
      <c r="N195" s="59" t="str">
        <f t="shared" si="52"/>
        <v/>
      </c>
      <c r="O195" s="59" t="str">
        <f t="shared" si="53"/>
        <v/>
      </c>
      <c r="P195" s="30"/>
      <c r="Q195" s="35"/>
      <c r="R195" s="63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2">
        <f t="shared" si="69"/>
        <v>0</v>
      </c>
      <c r="AF195" s="32">
        <f t="shared" si="70"/>
        <v>0</v>
      </c>
      <c r="AG195" s="33"/>
      <c r="AL195" s="21" t="str">
        <f t="shared" si="71"/>
        <v/>
      </c>
      <c r="AM195" s="21">
        <v>186</v>
      </c>
      <c r="AN195" s="21">
        <f t="shared" si="54"/>
        <v>0</v>
      </c>
      <c r="AO195" s="21">
        <f t="shared" si="55"/>
        <v>0</v>
      </c>
      <c r="AP195" s="21">
        <f t="shared" si="56"/>
        <v>0</v>
      </c>
      <c r="AQ195" s="21">
        <f t="shared" si="57"/>
        <v>0</v>
      </c>
      <c r="AR195" s="21">
        <f t="shared" si="58"/>
        <v>0</v>
      </c>
      <c r="AS195" s="21">
        <f t="shared" si="59"/>
        <v>0</v>
      </c>
      <c r="AT195" s="21">
        <f t="shared" si="60"/>
        <v>0</v>
      </c>
      <c r="AU195" s="34">
        <f t="shared" si="61"/>
        <v>0</v>
      </c>
      <c r="AW195" s="21" t="str">
        <f t="shared" si="62"/>
        <v/>
      </c>
      <c r="AX195" s="21" t="str">
        <f t="shared" si="63"/>
        <v/>
      </c>
      <c r="AY195" s="21" t="str">
        <f t="shared" si="64"/>
        <v/>
      </c>
      <c r="AZ195" s="21" t="str">
        <f t="shared" si="65"/>
        <v/>
      </c>
      <c r="BA195" s="21" t="str">
        <f t="shared" si="66"/>
        <v/>
      </c>
      <c r="BB195" s="21" t="str">
        <f t="shared" si="67"/>
        <v/>
      </c>
      <c r="BC195" s="21" t="str">
        <f t="shared" si="68"/>
        <v/>
      </c>
    </row>
    <row r="196" spans="1:55" ht="15">
      <c r="A196" s="21" t="str">
        <f>IF(Base!B194="","",Base!B194)</f>
        <v>12.392.999-3</v>
      </c>
      <c r="B196" s="21" t="str">
        <f>IF(Base!F194="","",Base!F194)</f>
        <v>CARLOS  TAPIA  CANTILLANA</v>
      </c>
      <c r="C196" s="21" t="str">
        <f>IF(Base!I194="","",Base!I194)</f>
        <v>Linea 6</v>
      </c>
      <c r="D196" s="22" t="str">
        <f>IF(Base!J194="","",Base!J194)</f>
        <v>Etiquetador</v>
      </c>
      <c r="E196" s="21">
        <f>IF(Base!H194="","",Base!H194)</f>
        <v>1050610</v>
      </c>
      <c r="J196" s="28">
        <v>186</v>
      </c>
      <c r="K196" s="5"/>
      <c r="L196" s="58" t="str">
        <f t="shared" si="50"/>
        <v/>
      </c>
      <c r="M196" s="58" t="str">
        <f t="shared" si="51"/>
        <v/>
      </c>
      <c r="N196" s="59" t="str">
        <f t="shared" si="52"/>
        <v/>
      </c>
      <c r="O196" s="59" t="str">
        <f t="shared" si="53"/>
        <v/>
      </c>
      <c r="P196" s="30"/>
      <c r="Q196" s="35"/>
      <c r="R196" s="63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2">
        <f t="shared" si="69"/>
        <v>0</v>
      </c>
      <c r="AF196" s="32">
        <f t="shared" si="70"/>
        <v>0</v>
      </c>
      <c r="AG196" s="33"/>
      <c r="AL196" s="21" t="str">
        <f t="shared" si="71"/>
        <v/>
      </c>
      <c r="AM196" s="21">
        <v>187</v>
      </c>
      <c r="AN196" s="21">
        <f t="shared" si="54"/>
        <v>0</v>
      </c>
      <c r="AO196" s="21">
        <f t="shared" si="55"/>
        <v>0</v>
      </c>
      <c r="AP196" s="21">
        <f t="shared" si="56"/>
        <v>0</v>
      </c>
      <c r="AQ196" s="21">
        <f t="shared" si="57"/>
        <v>0</v>
      </c>
      <c r="AR196" s="21">
        <f t="shared" si="58"/>
        <v>0</v>
      </c>
      <c r="AS196" s="21">
        <f t="shared" si="59"/>
        <v>0</v>
      </c>
      <c r="AT196" s="21">
        <f t="shared" si="60"/>
        <v>0</v>
      </c>
      <c r="AU196" s="34">
        <f t="shared" si="61"/>
        <v>0</v>
      </c>
      <c r="AW196" s="21" t="str">
        <f t="shared" si="62"/>
        <v/>
      </c>
      <c r="AX196" s="21" t="str">
        <f t="shared" si="63"/>
        <v/>
      </c>
      <c r="AY196" s="21" t="str">
        <f t="shared" si="64"/>
        <v/>
      </c>
      <c r="AZ196" s="21" t="str">
        <f t="shared" si="65"/>
        <v/>
      </c>
      <c r="BA196" s="21" t="str">
        <f t="shared" si="66"/>
        <v/>
      </c>
      <c r="BB196" s="21" t="str">
        <f t="shared" si="67"/>
        <v/>
      </c>
      <c r="BC196" s="21" t="str">
        <f t="shared" si="68"/>
        <v/>
      </c>
    </row>
    <row r="197" spans="1:55" ht="15">
      <c r="A197" s="21" t="str">
        <f>IF(Base!B195="","",Base!B195)</f>
        <v>14.193.049-4</v>
      </c>
      <c r="B197" s="21" t="str">
        <f>IF(Base!F195="","",Base!F195)</f>
        <v>CESAR  TAPIA  IBARRA</v>
      </c>
      <c r="C197" s="21" t="str">
        <f>IF(Base!I195="","",Base!I195)</f>
        <v>Linea 6</v>
      </c>
      <c r="D197" s="22" t="str">
        <f>IF(Base!J195="","",Base!J195)</f>
        <v>Despalletizador</v>
      </c>
      <c r="E197" s="21">
        <f>IF(Base!H195="","",Base!H195)</f>
        <v>1050609</v>
      </c>
      <c r="J197" s="28">
        <v>187</v>
      </c>
      <c r="K197" s="5"/>
      <c r="L197" s="58" t="str">
        <f t="shared" si="50"/>
        <v/>
      </c>
      <c r="M197" s="58" t="str">
        <f t="shared" si="51"/>
        <v/>
      </c>
      <c r="N197" s="59" t="str">
        <f t="shared" si="52"/>
        <v/>
      </c>
      <c r="O197" s="59" t="str">
        <f t="shared" si="53"/>
        <v/>
      </c>
      <c r="P197" s="30"/>
      <c r="Q197" s="35"/>
      <c r="R197" s="63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2">
        <f t="shared" si="69"/>
        <v>0</v>
      </c>
      <c r="AF197" s="32">
        <f t="shared" si="70"/>
        <v>0</v>
      </c>
      <c r="AG197" s="33"/>
      <c r="AL197" s="21" t="str">
        <f t="shared" si="71"/>
        <v/>
      </c>
      <c r="AM197" s="21">
        <v>188</v>
      </c>
      <c r="AN197" s="21">
        <f t="shared" si="54"/>
        <v>0</v>
      </c>
      <c r="AO197" s="21">
        <f t="shared" si="55"/>
        <v>0</v>
      </c>
      <c r="AP197" s="21">
        <f t="shared" si="56"/>
        <v>0</v>
      </c>
      <c r="AQ197" s="21">
        <f t="shared" si="57"/>
        <v>0</v>
      </c>
      <c r="AR197" s="21">
        <f t="shared" si="58"/>
        <v>0</v>
      </c>
      <c r="AS197" s="21">
        <f t="shared" si="59"/>
        <v>0</v>
      </c>
      <c r="AT197" s="21">
        <f t="shared" si="60"/>
        <v>0</v>
      </c>
      <c r="AU197" s="34">
        <f t="shared" si="61"/>
        <v>0</v>
      </c>
      <c r="AW197" s="21" t="str">
        <f t="shared" si="62"/>
        <v/>
      </c>
      <c r="AX197" s="21" t="str">
        <f t="shared" si="63"/>
        <v/>
      </c>
      <c r="AY197" s="21" t="str">
        <f t="shared" si="64"/>
        <v/>
      </c>
      <c r="AZ197" s="21" t="str">
        <f t="shared" si="65"/>
        <v/>
      </c>
      <c r="BA197" s="21" t="str">
        <f t="shared" si="66"/>
        <v/>
      </c>
      <c r="BB197" s="21" t="str">
        <f t="shared" si="67"/>
        <v/>
      </c>
      <c r="BC197" s="21" t="str">
        <f t="shared" si="68"/>
        <v/>
      </c>
    </row>
    <row r="198" spans="1:55" ht="15">
      <c r="A198" s="21" t="str">
        <f>IF(Base!B196="","",Base!B196)</f>
        <v>06.467.952-K</v>
      </c>
      <c r="B198" s="21" t="str">
        <f>IF(Base!F196="","",Base!F196)</f>
        <v>ORLANDINO GUMERCINDO  TAPIA  OLIVARES</v>
      </c>
      <c r="C198" s="21" t="str">
        <f>IF(Base!I196="","",Base!I196)</f>
        <v>Abastecimiento</v>
      </c>
      <c r="D198" s="22" t="str">
        <f>IF(Base!J196="","",Base!J196)</f>
        <v>Suministro de Líneas</v>
      </c>
      <c r="E198" s="21">
        <f>IF(Base!H196="","",Base!H196)</f>
        <v>1050633</v>
      </c>
      <c r="J198" s="28">
        <v>188</v>
      </c>
      <c r="K198" s="5"/>
      <c r="L198" s="58" t="str">
        <f t="shared" si="50"/>
        <v/>
      </c>
      <c r="M198" s="58" t="str">
        <f t="shared" si="51"/>
        <v/>
      </c>
      <c r="N198" s="59" t="str">
        <f t="shared" si="52"/>
        <v/>
      </c>
      <c r="O198" s="59" t="str">
        <f t="shared" si="53"/>
        <v/>
      </c>
      <c r="P198" s="30"/>
      <c r="Q198" s="35"/>
      <c r="R198" s="63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2">
        <f t="shared" si="69"/>
        <v>0</v>
      </c>
      <c r="AF198" s="32">
        <f t="shared" si="70"/>
        <v>0</v>
      </c>
      <c r="AG198" s="33"/>
      <c r="AL198" s="21" t="str">
        <f t="shared" si="71"/>
        <v/>
      </c>
      <c r="AM198" s="21">
        <v>189</v>
      </c>
      <c r="AN198" s="21">
        <f t="shared" si="54"/>
        <v>0</v>
      </c>
      <c r="AO198" s="21">
        <f t="shared" si="55"/>
        <v>0</v>
      </c>
      <c r="AP198" s="21">
        <f t="shared" si="56"/>
        <v>0</v>
      </c>
      <c r="AQ198" s="21">
        <f t="shared" si="57"/>
        <v>0</v>
      </c>
      <c r="AR198" s="21">
        <f t="shared" si="58"/>
        <v>0</v>
      </c>
      <c r="AS198" s="21">
        <f t="shared" si="59"/>
        <v>0</v>
      </c>
      <c r="AT198" s="21">
        <f t="shared" si="60"/>
        <v>0</v>
      </c>
      <c r="AU198" s="34">
        <f t="shared" si="61"/>
        <v>0</v>
      </c>
      <c r="AW198" s="21" t="str">
        <f t="shared" si="62"/>
        <v/>
      </c>
      <c r="AX198" s="21" t="str">
        <f t="shared" si="63"/>
        <v/>
      </c>
      <c r="AY198" s="21" t="str">
        <f t="shared" si="64"/>
        <v/>
      </c>
      <c r="AZ198" s="21" t="str">
        <f t="shared" si="65"/>
        <v/>
      </c>
      <c r="BA198" s="21" t="str">
        <f t="shared" si="66"/>
        <v/>
      </c>
      <c r="BB198" s="21" t="str">
        <f t="shared" si="67"/>
        <v/>
      </c>
      <c r="BC198" s="21" t="str">
        <f t="shared" si="68"/>
        <v/>
      </c>
    </row>
    <row r="199" spans="1:55" ht="15">
      <c r="A199" s="21" t="str">
        <f>IF(Base!B197="","",Base!B197)</f>
        <v>11.840.491-2</v>
      </c>
      <c r="B199" s="21" t="str">
        <f>IF(Base!F197="","",Base!F197)</f>
        <v>CESAR OMAR  TORRES  FARIAS</v>
      </c>
      <c r="C199" s="21" t="str">
        <f>IF(Base!I197="","",Base!I197)</f>
        <v>Linea 7</v>
      </c>
      <c r="D199" s="22" t="str">
        <f>IF(Base!J197="","",Base!J197)</f>
        <v>Palletizador</v>
      </c>
      <c r="E199" s="21">
        <f>IF(Base!H197="","",Base!H197)</f>
        <v>1050616</v>
      </c>
      <c r="J199" s="28">
        <v>189</v>
      </c>
      <c r="K199" s="5"/>
      <c r="L199" s="58" t="str">
        <f t="shared" si="50"/>
        <v/>
      </c>
      <c r="M199" s="58" t="str">
        <f t="shared" si="51"/>
        <v/>
      </c>
      <c r="N199" s="59" t="str">
        <f t="shared" si="52"/>
        <v/>
      </c>
      <c r="O199" s="59" t="str">
        <f t="shared" si="53"/>
        <v/>
      </c>
      <c r="P199" s="30"/>
      <c r="Q199" s="35"/>
      <c r="R199" s="63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2">
        <f t="shared" si="69"/>
        <v>0</v>
      </c>
      <c r="AF199" s="32">
        <f t="shared" si="70"/>
        <v>0</v>
      </c>
      <c r="AG199" s="33"/>
      <c r="AL199" s="21" t="str">
        <f t="shared" si="71"/>
        <v/>
      </c>
      <c r="AM199" s="21">
        <v>190</v>
      </c>
      <c r="AN199" s="21">
        <f t="shared" si="54"/>
        <v>0</v>
      </c>
      <c r="AO199" s="21">
        <f t="shared" si="55"/>
        <v>0</v>
      </c>
      <c r="AP199" s="21">
        <f t="shared" si="56"/>
        <v>0</v>
      </c>
      <c r="AQ199" s="21">
        <f t="shared" si="57"/>
        <v>0</v>
      </c>
      <c r="AR199" s="21">
        <f t="shared" si="58"/>
        <v>0</v>
      </c>
      <c r="AS199" s="21">
        <f t="shared" si="59"/>
        <v>0</v>
      </c>
      <c r="AT199" s="21">
        <f t="shared" si="60"/>
        <v>0</v>
      </c>
      <c r="AU199" s="34">
        <f t="shared" si="61"/>
        <v>0</v>
      </c>
      <c r="AW199" s="21" t="str">
        <f t="shared" si="62"/>
        <v/>
      </c>
      <c r="AX199" s="21" t="str">
        <f t="shared" si="63"/>
        <v/>
      </c>
      <c r="AY199" s="21" t="str">
        <f t="shared" si="64"/>
        <v/>
      </c>
      <c r="AZ199" s="21" t="str">
        <f t="shared" si="65"/>
        <v/>
      </c>
      <c r="BA199" s="21" t="str">
        <f t="shared" si="66"/>
        <v/>
      </c>
      <c r="BB199" s="21" t="str">
        <f t="shared" si="67"/>
        <v/>
      </c>
      <c r="BC199" s="21" t="str">
        <f t="shared" si="68"/>
        <v/>
      </c>
    </row>
    <row r="200" spans="1:55" ht="15">
      <c r="A200" s="21" t="str">
        <f>IF(Base!B198="","",Base!B198)</f>
        <v>13.839.512-K</v>
      </c>
      <c r="B200" s="21" t="str">
        <f>IF(Base!F198="","",Base!F198)</f>
        <v>EMILIO  URETA  PAREDES</v>
      </c>
      <c r="C200" s="21" t="str">
        <f>IF(Base!I198="","",Base!I198)</f>
        <v>Linea 2</v>
      </c>
      <c r="D200" s="22" t="str">
        <f>IF(Base!J198="","",Base!J198)</f>
        <v>Etiquetador</v>
      </c>
      <c r="E200" s="21">
        <f>IF(Base!H198="","",Base!H198)</f>
        <v>1050554</v>
      </c>
      <c r="J200" s="28">
        <v>190</v>
      </c>
      <c r="K200" s="5"/>
      <c r="L200" s="58" t="str">
        <f t="shared" si="50"/>
        <v/>
      </c>
      <c r="M200" s="58" t="str">
        <f t="shared" si="51"/>
        <v/>
      </c>
      <c r="N200" s="59" t="str">
        <f t="shared" si="52"/>
        <v/>
      </c>
      <c r="O200" s="59" t="str">
        <f t="shared" si="53"/>
        <v/>
      </c>
      <c r="P200" s="30"/>
      <c r="Q200" s="35"/>
      <c r="R200" s="63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2">
        <f t="shared" si="69"/>
        <v>0</v>
      </c>
      <c r="AF200" s="32">
        <f t="shared" si="70"/>
        <v>0</v>
      </c>
      <c r="AG200" s="33"/>
      <c r="AL200" s="21" t="str">
        <f t="shared" si="71"/>
        <v/>
      </c>
      <c r="AM200" s="21">
        <v>191</v>
      </c>
      <c r="AN200" s="21">
        <f t="shared" si="54"/>
        <v>0</v>
      </c>
      <c r="AO200" s="21">
        <f t="shared" si="55"/>
        <v>0</v>
      </c>
      <c r="AP200" s="21">
        <f t="shared" si="56"/>
        <v>0</v>
      </c>
      <c r="AQ200" s="21">
        <f t="shared" si="57"/>
        <v>0</v>
      </c>
      <c r="AR200" s="21">
        <f t="shared" si="58"/>
        <v>0</v>
      </c>
      <c r="AS200" s="21">
        <f t="shared" si="59"/>
        <v>0</v>
      </c>
      <c r="AT200" s="21">
        <f t="shared" si="60"/>
        <v>0</v>
      </c>
      <c r="AU200" s="34">
        <f t="shared" si="61"/>
        <v>0</v>
      </c>
      <c r="AW200" s="21" t="str">
        <f t="shared" si="62"/>
        <v/>
      </c>
      <c r="AX200" s="21" t="str">
        <f t="shared" si="63"/>
        <v/>
      </c>
      <c r="AY200" s="21" t="str">
        <f t="shared" si="64"/>
        <v/>
      </c>
      <c r="AZ200" s="21" t="str">
        <f t="shared" si="65"/>
        <v/>
      </c>
      <c r="BA200" s="21" t="str">
        <f t="shared" si="66"/>
        <v/>
      </c>
      <c r="BB200" s="21" t="str">
        <f t="shared" si="67"/>
        <v/>
      </c>
      <c r="BC200" s="21" t="str">
        <f t="shared" si="68"/>
        <v/>
      </c>
    </row>
    <row r="201" spans="1:55" ht="15">
      <c r="A201" s="21" t="str">
        <f>IF(Base!B199="","",Base!B199)</f>
        <v>21.516.766-6</v>
      </c>
      <c r="B201" s="21" t="str">
        <f>IF(Base!F199="","",Base!F199)</f>
        <v>LUIS  VALDEZ  WERNLI</v>
      </c>
      <c r="C201" s="21" t="str">
        <f>IF(Base!I199="","",Base!I199)</f>
        <v>Linea 3</v>
      </c>
      <c r="D201" s="22" t="str">
        <f>IF(Base!J199="","",Base!J199)</f>
        <v>Etiquetador</v>
      </c>
      <c r="E201" s="21">
        <f>IF(Base!H199="","",Base!H199)</f>
        <v>1050556</v>
      </c>
      <c r="J201" s="28">
        <v>191</v>
      </c>
      <c r="K201" s="5"/>
      <c r="L201" s="58" t="str">
        <f t="shared" si="50"/>
        <v/>
      </c>
      <c r="M201" s="58" t="str">
        <f t="shared" si="51"/>
        <v/>
      </c>
      <c r="N201" s="59" t="str">
        <f t="shared" si="52"/>
        <v/>
      </c>
      <c r="O201" s="59" t="str">
        <f t="shared" si="53"/>
        <v/>
      </c>
      <c r="P201" s="30"/>
      <c r="Q201" s="35"/>
      <c r="R201" s="63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2">
        <f t="shared" si="69"/>
        <v>0</v>
      </c>
      <c r="AF201" s="32">
        <f t="shared" si="70"/>
        <v>0</v>
      </c>
      <c r="AG201" s="33"/>
      <c r="AL201" s="21" t="str">
        <f t="shared" si="71"/>
        <v/>
      </c>
      <c r="AM201" s="21">
        <v>192</v>
      </c>
      <c r="AN201" s="21">
        <f t="shared" si="54"/>
        <v>0</v>
      </c>
      <c r="AO201" s="21">
        <f t="shared" si="55"/>
        <v>0</v>
      </c>
      <c r="AP201" s="21">
        <f t="shared" si="56"/>
        <v>0</v>
      </c>
      <c r="AQ201" s="21">
        <f t="shared" si="57"/>
        <v>0</v>
      </c>
      <c r="AR201" s="21">
        <f t="shared" si="58"/>
        <v>0</v>
      </c>
      <c r="AS201" s="21">
        <f t="shared" si="59"/>
        <v>0</v>
      </c>
      <c r="AT201" s="21">
        <f t="shared" si="60"/>
        <v>0</v>
      </c>
      <c r="AU201" s="34">
        <f t="shared" si="61"/>
        <v>0</v>
      </c>
      <c r="AW201" s="21" t="str">
        <f t="shared" si="62"/>
        <v/>
      </c>
      <c r="AX201" s="21" t="str">
        <f t="shared" si="63"/>
        <v/>
      </c>
      <c r="AY201" s="21" t="str">
        <f t="shared" si="64"/>
        <v/>
      </c>
      <c r="AZ201" s="21" t="str">
        <f t="shared" si="65"/>
        <v/>
      </c>
      <c r="BA201" s="21" t="str">
        <f t="shared" si="66"/>
        <v/>
      </c>
      <c r="BB201" s="21" t="str">
        <f t="shared" si="67"/>
        <v/>
      </c>
      <c r="BC201" s="21" t="str">
        <f t="shared" si="68"/>
        <v/>
      </c>
    </row>
    <row r="202" spans="1:55" ht="15">
      <c r="A202" s="21" t="str">
        <f>IF(Base!B200="","",Base!B200)</f>
        <v>15.436.097-2</v>
      </c>
      <c r="B202" s="21" t="str">
        <f>IF(Base!F200="","",Base!F200)</f>
        <v>LUIS  VALENZUELA  DIAZ</v>
      </c>
      <c r="C202" s="21" t="str">
        <f>IF(Base!I200="","",Base!I200)</f>
        <v>Linea 1</v>
      </c>
      <c r="D202" s="22" t="str">
        <f>IF(Base!J200="","",Base!J200)</f>
        <v>Embalador</v>
      </c>
      <c r="E202" s="21">
        <f>IF(Base!H200="","",Base!H200)</f>
        <v>1050552</v>
      </c>
      <c r="J202" s="28">
        <v>192</v>
      </c>
      <c r="K202" s="5"/>
      <c r="L202" s="58" t="str">
        <f t="shared" si="50"/>
        <v/>
      </c>
      <c r="M202" s="58" t="str">
        <f t="shared" si="51"/>
        <v/>
      </c>
      <c r="N202" s="59" t="str">
        <f t="shared" si="52"/>
        <v/>
      </c>
      <c r="O202" s="59" t="str">
        <f t="shared" si="53"/>
        <v/>
      </c>
      <c r="P202" s="30"/>
      <c r="Q202" s="35"/>
      <c r="R202" s="63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2">
        <f t="shared" si="69"/>
        <v>0</v>
      </c>
      <c r="AF202" s="32">
        <f t="shared" si="70"/>
        <v>0</v>
      </c>
      <c r="AG202" s="33"/>
      <c r="AL202" s="21" t="str">
        <f t="shared" si="71"/>
        <v/>
      </c>
      <c r="AM202" s="21">
        <v>193</v>
      </c>
      <c r="AN202" s="21">
        <f t="shared" si="54"/>
        <v>0</v>
      </c>
      <c r="AO202" s="21">
        <f t="shared" si="55"/>
        <v>0</v>
      </c>
      <c r="AP202" s="21">
        <f t="shared" si="56"/>
        <v>0</v>
      </c>
      <c r="AQ202" s="21">
        <f t="shared" si="57"/>
        <v>0</v>
      </c>
      <c r="AR202" s="21">
        <f t="shared" si="58"/>
        <v>0</v>
      </c>
      <c r="AS202" s="21">
        <f t="shared" si="59"/>
        <v>0</v>
      </c>
      <c r="AT202" s="21">
        <f t="shared" si="60"/>
        <v>0</v>
      </c>
      <c r="AU202" s="34">
        <f t="shared" si="61"/>
        <v>0</v>
      </c>
      <c r="AW202" s="21" t="str">
        <f t="shared" si="62"/>
        <v/>
      </c>
      <c r="AX202" s="21" t="str">
        <f t="shared" si="63"/>
        <v/>
      </c>
      <c r="AY202" s="21" t="str">
        <f t="shared" si="64"/>
        <v/>
      </c>
      <c r="AZ202" s="21" t="str">
        <f t="shared" si="65"/>
        <v/>
      </c>
      <c r="BA202" s="21" t="str">
        <f t="shared" si="66"/>
        <v/>
      </c>
      <c r="BB202" s="21" t="str">
        <f t="shared" si="67"/>
        <v/>
      </c>
      <c r="BC202" s="21" t="str">
        <f t="shared" si="68"/>
        <v/>
      </c>
    </row>
    <row r="203" spans="1:55" ht="15">
      <c r="A203" s="21" t="str">
        <f>IF(Base!B201="","",Base!B201)</f>
        <v>10.737.908-8</v>
      </c>
      <c r="B203" s="21" t="str">
        <f>IF(Base!F201="","",Base!F201)</f>
        <v>DANIEL  VALENZUELA   AREVALO</v>
      </c>
      <c r="C203" s="21" t="str">
        <f>IF(Base!I201="","",Base!I201)</f>
        <v>Abastecimiento</v>
      </c>
      <c r="D203" s="22" t="str">
        <f>IF(Base!J201="","",Base!J201)</f>
        <v>Jefe Centro Insumos</v>
      </c>
      <c r="E203" s="21">
        <f>IF(Base!H201="","",Base!H201)</f>
        <v>1050581</v>
      </c>
      <c r="J203" s="28">
        <v>193</v>
      </c>
      <c r="K203" s="5"/>
      <c r="L203" s="58" t="str">
        <f t="shared" si="50"/>
        <v/>
      </c>
      <c r="M203" s="58" t="str">
        <f t="shared" si="51"/>
        <v/>
      </c>
      <c r="N203" s="59" t="str">
        <f t="shared" si="52"/>
        <v/>
      </c>
      <c r="O203" s="59" t="str">
        <f t="shared" si="53"/>
        <v/>
      </c>
      <c r="P203" s="30"/>
      <c r="Q203" s="35"/>
      <c r="R203" s="63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2">
        <f t="shared" si="69"/>
        <v>0</v>
      </c>
      <c r="AF203" s="32">
        <f t="shared" si="70"/>
        <v>0</v>
      </c>
      <c r="AG203" s="33"/>
      <c r="AL203" s="21" t="str">
        <f t="shared" si="71"/>
        <v/>
      </c>
      <c r="AM203" s="21">
        <v>194</v>
      </c>
      <c r="AN203" s="21">
        <f t="shared" si="54"/>
        <v>0</v>
      </c>
      <c r="AO203" s="21">
        <f t="shared" si="55"/>
        <v>0</v>
      </c>
      <c r="AP203" s="21">
        <f t="shared" si="56"/>
        <v>0</v>
      </c>
      <c r="AQ203" s="21">
        <f t="shared" si="57"/>
        <v>0</v>
      </c>
      <c r="AR203" s="21">
        <f t="shared" si="58"/>
        <v>0</v>
      </c>
      <c r="AS203" s="21">
        <f t="shared" si="59"/>
        <v>0</v>
      </c>
      <c r="AT203" s="21">
        <f t="shared" si="60"/>
        <v>0</v>
      </c>
      <c r="AU203" s="34">
        <f t="shared" si="61"/>
        <v>0</v>
      </c>
      <c r="AW203" s="21" t="str">
        <f t="shared" si="62"/>
        <v/>
      </c>
      <c r="AX203" s="21" t="str">
        <f t="shared" si="63"/>
        <v/>
      </c>
      <c r="AY203" s="21" t="str">
        <f t="shared" si="64"/>
        <v/>
      </c>
      <c r="AZ203" s="21" t="str">
        <f t="shared" si="65"/>
        <v/>
      </c>
      <c r="BA203" s="21" t="str">
        <f t="shared" si="66"/>
        <v/>
      </c>
      <c r="BB203" s="21" t="str">
        <f t="shared" si="67"/>
        <v/>
      </c>
      <c r="BC203" s="21" t="str">
        <f t="shared" si="68"/>
        <v/>
      </c>
    </row>
    <row r="204" spans="1:55" ht="15">
      <c r="A204" s="21" t="str">
        <f>IF(Base!B202="","",Base!B202)</f>
        <v>11.123.851-0</v>
      </c>
      <c r="B204" s="21" t="str">
        <f>IF(Base!F202="","",Base!F202)</f>
        <v>MAURICIO  VALLE  GONZALEZ</v>
      </c>
      <c r="C204" s="21" t="str">
        <f>IF(Base!I202="","",Base!I202)</f>
        <v>BIB</v>
      </c>
      <c r="D204" s="22" t="str">
        <f>IF(Base!J202="","",Base!J202)</f>
        <v>BIB</v>
      </c>
      <c r="E204" s="21">
        <f>IF(Base!H202="","",Base!H202)</f>
        <v>1050595</v>
      </c>
      <c r="J204" s="28">
        <v>194</v>
      </c>
      <c r="K204" s="5"/>
      <c r="L204" s="58" t="str">
        <f t="shared" ref="L204:L260" si="72">IF(K204="","",VLOOKUP($K204,A:D,2,FALSE))</f>
        <v/>
      </c>
      <c r="M204" s="58" t="str">
        <f t="shared" ref="M204:M260" si="73">IF(K204="","",VLOOKUP(K204,A:E,5,FALSE))</f>
        <v/>
      </c>
      <c r="N204" s="59" t="str">
        <f t="shared" ref="N204:N260" si="74">IF(K204="","",VLOOKUP(K204,A:C,3,FALSE))</f>
        <v/>
      </c>
      <c r="O204" s="59" t="str">
        <f t="shared" ref="O204:O260" si="75">IF(K204="","",VLOOKUP(K204,A:D,4,FALSE))</f>
        <v/>
      </c>
      <c r="P204" s="30"/>
      <c r="Q204" s="35"/>
      <c r="R204" s="63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2">
        <f t="shared" si="69"/>
        <v>0</v>
      </c>
      <c r="AF204" s="32">
        <f t="shared" si="70"/>
        <v>0</v>
      </c>
      <c r="AG204" s="33"/>
      <c r="AL204" s="21" t="str">
        <f t="shared" si="71"/>
        <v/>
      </c>
      <c r="AM204" s="21">
        <v>195</v>
      </c>
      <c r="AN204" s="21">
        <f t="shared" ref="AN204:AN260" si="76">Q204+R204</f>
        <v>0</v>
      </c>
      <c r="AO204" s="21">
        <f t="shared" ref="AO204:AO260" si="77">S204+T204</f>
        <v>0</v>
      </c>
      <c r="AP204" s="21">
        <f t="shared" ref="AP204:AP260" si="78">U204+V204</f>
        <v>0</v>
      </c>
      <c r="AQ204" s="21">
        <f t="shared" ref="AQ204:AQ260" si="79">W204+X204</f>
        <v>0</v>
      </c>
      <c r="AR204" s="21">
        <f t="shared" ref="AR204:AR260" si="80">Y204+Z204</f>
        <v>0</v>
      </c>
      <c r="AS204" s="21">
        <f t="shared" ref="AS204:AS260" si="81">AA204+AB204</f>
        <v>0</v>
      </c>
      <c r="AT204" s="21">
        <f t="shared" ref="AT204:AT260" si="82">AC204+AD204</f>
        <v>0</v>
      </c>
      <c r="AU204" s="34">
        <f t="shared" ref="AU204:AU260" si="83">IF(SUM(AN204:AT204)=0,0,SUM(AN204:AT204))</f>
        <v>0</v>
      </c>
      <c r="AW204" s="21" t="str">
        <f t="shared" ref="AW204:AW260" si="84">IF(Q204&lt;&gt;"",0.5,IF(R204&lt;&gt;"",1,""))</f>
        <v/>
      </c>
      <c r="AX204" s="21" t="str">
        <f t="shared" ref="AX204:AX260" si="85">IF(S204&lt;&gt;"",0.5,IF(T204&lt;&gt;"",1,""))</f>
        <v/>
      </c>
      <c r="AY204" s="21" t="str">
        <f t="shared" ref="AY204:AY260" si="86">IF(U204&lt;&gt;"",0.5,IF(V204&lt;&gt;"",1,""))</f>
        <v/>
      </c>
      <c r="AZ204" s="21" t="str">
        <f t="shared" ref="AZ204:AZ260" si="87">IF(W204&lt;&gt;"",0.5,IF(X204&lt;&gt;"",1,""))</f>
        <v/>
      </c>
      <c r="BA204" s="21" t="str">
        <f t="shared" ref="BA204:BA260" si="88">IF(Y204&lt;&gt;"",0.5,IF(Z204&lt;&gt;"",1,""))</f>
        <v/>
      </c>
      <c r="BB204" s="21" t="str">
        <f t="shared" ref="BB204:BB260" si="89">IF(AA204&lt;&gt;"",0.5,IF(AB204&lt;&gt;"",1,""))</f>
        <v/>
      </c>
      <c r="BC204" s="21" t="str">
        <f t="shared" ref="BC204:BC260" si="90">IF(AC204&lt;&gt;"",0.5,IF(AD204&lt;&gt;"",1,""))</f>
        <v/>
      </c>
    </row>
    <row r="205" spans="1:55" ht="15">
      <c r="A205" s="21" t="str">
        <f>IF(Base!B203="","",Base!B203)</f>
        <v>10.572.816-6</v>
      </c>
      <c r="B205" s="21" t="str">
        <f>IF(Base!F203="","",Base!F203)</f>
        <v>MARCO ANTONIO  VARGAS  MORENO</v>
      </c>
      <c r="C205" s="21" t="str">
        <f>IF(Base!I203="","",Base!I203)</f>
        <v>Abastecimiento</v>
      </c>
      <c r="D205" s="22" t="str">
        <f>IF(Base!J203="","",Base!J203)</f>
        <v>Suministro de Líneas</v>
      </c>
      <c r="E205" s="21">
        <f>IF(Base!H203="","",Base!H203)</f>
        <v>1050633</v>
      </c>
      <c r="J205" s="28">
        <v>195</v>
      </c>
      <c r="K205" s="5"/>
      <c r="L205" s="58" t="str">
        <f t="shared" si="72"/>
        <v/>
      </c>
      <c r="M205" s="58" t="str">
        <f t="shared" si="73"/>
        <v/>
      </c>
      <c r="N205" s="59" t="str">
        <f t="shared" si="74"/>
        <v/>
      </c>
      <c r="O205" s="59" t="str">
        <f t="shared" si="75"/>
        <v/>
      </c>
      <c r="P205" s="30"/>
      <c r="Q205" s="35"/>
      <c r="R205" s="63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2">
        <f t="shared" si="69"/>
        <v>0</v>
      </c>
      <c r="AF205" s="32">
        <f t="shared" si="70"/>
        <v>0</v>
      </c>
      <c r="AG205" s="33"/>
      <c r="AL205" s="21" t="str">
        <f t="shared" si="71"/>
        <v/>
      </c>
      <c r="AM205" s="21">
        <v>196</v>
      </c>
      <c r="AN205" s="21">
        <f t="shared" si="76"/>
        <v>0</v>
      </c>
      <c r="AO205" s="21">
        <f t="shared" si="77"/>
        <v>0</v>
      </c>
      <c r="AP205" s="21">
        <f t="shared" si="78"/>
        <v>0</v>
      </c>
      <c r="AQ205" s="21">
        <f t="shared" si="79"/>
        <v>0</v>
      </c>
      <c r="AR205" s="21">
        <f t="shared" si="80"/>
        <v>0</v>
      </c>
      <c r="AS205" s="21">
        <f t="shared" si="81"/>
        <v>0</v>
      </c>
      <c r="AT205" s="21">
        <f t="shared" si="82"/>
        <v>0</v>
      </c>
      <c r="AU205" s="34">
        <f t="shared" si="83"/>
        <v>0</v>
      </c>
      <c r="AW205" s="21" t="str">
        <f t="shared" si="84"/>
        <v/>
      </c>
      <c r="AX205" s="21" t="str">
        <f t="shared" si="85"/>
        <v/>
      </c>
      <c r="AY205" s="21" t="str">
        <f t="shared" si="86"/>
        <v/>
      </c>
      <c r="AZ205" s="21" t="str">
        <f t="shared" si="87"/>
        <v/>
      </c>
      <c r="BA205" s="21" t="str">
        <f t="shared" si="88"/>
        <v/>
      </c>
      <c r="BB205" s="21" t="str">
        <f t="shared" si="89"/>
        <v/>
      </c>
      <c r="BC205" s="21" t="str">
        <f t="shared" si="90"/>
        <v/>
      </c>
    </row>
    <row r="206" spans="1:55" ht="15">
      <c r="A206" s="21" t="str">
        <f>IF(Base!B204="","",Base!B204)</f>
        <v>15.327.501-7</v>
      </c>
      <c r="B206" s="21" t="str">
        <f>IF(Base!F204="","",Base!F204)</f>
        <v>LEONARDO  VASQUEZ  MONTECINO</v>
      </c>
      <c r="C206" s="21" t="str">
        <f>IF(Base!I204="","",Base!I204)</f>
        <v>Control y Gestión</v>
      </c>
      <c r="D206" s="22" t="str">
        <f>IF(Base!J204="","",Base!J204)</f>
        <v>Inspector tiempo</v>
      </c>
      <c r="E206" s="21">
        <f>IF(Base!H204="","",Base!H204)</f>
        <v>1050632</v>
      </c>
      <c r="J206" s="28">
        <v>196</v>
      </c>
      <c r="K206" s="5"/>
      <c r="L206" s="58" t="str">
        <f t="shared" si="72"/>
        <v/>
      </c>
      <c r="M206" s="58" t="str">
        <f t="shared" si="73"/>
        <v/>
      </c>
      <c r="N206" s="59" t="str">
        <f t="shared" si="74"/>
        <v/>
      </c>
      <c r="O206" s="59" t="str">
        <f t="shared" si="75"/>
        <v/>
      </c>
      <c r="P206" s="30"/>
      <c r="Q206" s="35"/>
      <c r="R206" s="63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2">
        <f t="shared" si="69"/>
        <v>0</v>
      </c>
      <c r="AF206" s="32">
        <f t="shared" si="70"/>
        <v>0</v>
      </c>
      <c r="AG206" s="33"/>
      <c r="AL206" s="21" t="str">
        <f t="shared" si="71"/>
        <v/>
      </c>
      <c r="AM206" s="21">
        <v>197</v>
      </c>
      <c r="AN206" s="21">
        <f t="shared" si="76"/>
        <v>0</v>
      </c>
      <c r="AO206" s="21">
        <f t="shared" si="77"/>
        <v>0</v>
      </c>
      <c r="AP206" s="21">
        <f t="shared" si="78"/>
        <v>0</v>
      </c>
      <c r="AQ206" s="21">
        <f t="shared" si="79"/>
        <v>0</v>
      </c>
      <c r="AR206" s="21">
        <f t="shared" si="80"/>
        <v>0</v>
      </c>
      <c r="AS206" s="21">
        <f t="shared" si="81"/>
        <v>0</v>
      </c>
      <c r="AT206" s="21">
        <f t="shared" si="82"/>
        <v>0</v>
      </c>
      <c r="AU206" s="34">
        <f t="shared" si="83"/>
        <v>0</v>
      </c>
      <c r="AW206" s="21" t="str">
        <f t="shared" si="84"/>
        <v/>
      </c>
      <c r="AX206" s="21" t="str">
        <f t="shared" si="85"/>
        <v/>
      </c>
      <c r="AY206" s="21" t="str">
        <f t="shared" si="86"/>
        <v/>
      </c>
      <c r="AZ206" s="21" t="str">
        <f t="shared" si="87"/>
        <v/>
      </c>
      <c r="BA206" s="21" t="str">
        <f t="shared" si="88"/>
        <v/>
      </c>
      <c r="BB206" s="21" t="str">
        <f t="shared" si="89"/>
        <v/>
      </c>
      <c r="BC206" s="21" t="str">
        <f t="shared" si="90"/>
        <v/>
      </c>
    </row>
    <row r="207" spans="1:55" ht="15">
      <c r="A207" s="21" t="str">
        <f>IF(Base!B205="","",Base!B205)</f>
        <v>08.881.760-5</v>
      </c>
      <c r="B207" s="21" t="str">
        <f>IF(Base!F205="","",Base!F205)</f>
        <v>MANUEL ORLANDO  VEGA  LEYTON</v>
      </c>
      <c r="C207" s="21" t="str">
        <f>IF(Base!I205="","",Base!I205)</f>
        <v>Sala filtros</v>
      </c>
      <c r="D207" s="22" t="str">
        <f>IF(Base!J205="","",Base!J205)</f>
        <v>Operador sala de filtros</v>
      </c>
      <c r="E207" s="21">
        <f>IF(Base!H205="","",Base!H205)</f>
        <v>1050574</v>
      </c>
      <c r="J207" s="28">
        <v>197</v>
      </c>
      <c r="K207" s="5"/>
      <c r="L207" s="58" t="str">
        <f t="shared" si="72"/>
        <v/>
      </c>
      <c r="M207" s="58" t="str">
        <f t="shared" si="73"/>
        <v/>
      </c>
      <c r="N207" s="59" t="str">
        <f t="shared" si="74"/>
        <v/>
      </c>
      <c r="O207" s="59" t="str">
        <f t="shared" si="75"/>
        <v/>
      </c>
      <c r="P207" s="30"/>
      <c r="Q207" s="35"/>
      <c r="R207" s="63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2">
        <f t="shared" si="69"/>
        <v>0</v>
      </c>
      <c r="AF207" s="32">
        <f t="shared" si="70"/>
        <v>0</v>
      </c>
      <c r="AG207" s="33"/>
      <c r="AL207" s="21" t="str">
        <f t="shared" si="71"/>
        <v/>
      </c>
      <c r="AM207" s="21">
        <v>198</v>
      </c>
      <c r="AN207" s="21">
        <f t="shared" si="76"/>
        <v>0</v>
      </c>
      <c r="AO207" s="21">
        <f t="shared" si="77"/>
        <v>0</v>
      </c>
      <c r="AP207" s="21">
        <f t="shared" si="78"/>
        <v>0</v>
      </c>
      <c r="AQ207" s="21">
        <f t="shared" si="79"/>
        <v>0</v>
      </c>
      <c r="AR207" s="21">
        <f t="shared" si="80"/>
        <v>0</v>
      </c>
      <c r="AS207" s="21">
        <f t="shared" si="81"/>
        <v>0</v>
      </c>
      <c r="AT207" s="21">
        <f t="shared" si="82"/>
        <v>0</v>
      </c>
      <c r="AU207" s="34">
        <f t="shared" si="83"/>
        <v>0</v>
      </c>
      <c r="AW207" s="21" t="str">
        <f t="shared" si="84"/>
        <v/>
      </c>
      <c r="AX207" s="21" t="str">
        <f t="shared" si="85"/>
        <v/>
      </c>
      <c r="AY207" s="21" t="str">
        <f t="shared" si="86"/>
        <v/>
      </c>
      <c r="AZ207" s="21" t="str">
        <f t="shared" si="87"/>
        <v/>
      </c>
      <c r="BA207" s="21" t="str">
        <f t="shared" si="88"/>
        <v/>
      </c>
      <c r="BB207" s="21" t="str">
        <f t="shared" si="89"/>
        <v/>
      </c>
      <c r="BC207" s="21" t="str">
        <f t="shared" si="90"/>
        <v/>
      </c>
    </row>
    <row r="208" spans="1:55" ht="15">
      <c r="A208" s="21" t="str">
        <f>IF(Base!B206="","",Base!B206)</f>
        <v>09.959.939-1</v>
      </c>
      <c r="B208" s="21" t="str">
        <f>IF(Base!F206="","",Base!F206)</f>
        <v>LEONOR VARINIA  VENEGAS  SANCHEZ</v>
      </c>
      <c r="C208" s="21" t="str">
        <f>IF(Base!I206="","",Base!I206)</f>
        <v>Linea 3</v>
      </c>
      <c r="D208" s="22" t="str">
        <f>IF(Base!J206="","",Base!J206)</f>
        <v>Inspector etiqueta</v>
      </c>
      <c r="E208" s="21">
        <f>IF(Base!H206="","",Base!H206)</f>
        <v>1050556</v>
      </c>
      <c r="J208" s="28">
        <v>198</v>
      </c>
      <c r="K208" s="5"/>
      <c r="L208" s="58" t="str">
        <f t="shared" si="72"/>
        <v/>
      </c>
      <c r="M208" s="58" t="str">
        <f t="shared" si="73"/>
        <v/>
      </c>
      <c r="N208" s="59" t="str">
        <f t="shared" si="74"/>
        <v/>
      </c>
      <c r="O208" s="59" t="str">
        <f t="shared" si="75"/>
        <v/>
      </c>
      <c r="P208" s="30"/>
      <c r="Q208" s="35"/>
      <c r="R208" s="63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2">
        <f t="shared" si="69"/>
        <v>0</v>
      </c>
      <c r="AF208" s="32">
        <f t="shared" si="70"/>
        <v>0</v>
      </c>
      <c r="AG208" s="33"/>
      <c r="AL208" s="21" t="str">
        <f t="shared" si="71"/>
        <v/>
      </c>
      <c r="AM208" s="21">
        <v>199</v>
      </c>
      <c r="AN208" s="21">
        <f t="shared" si="76"/>
        <v>0</v>
      </c>
      <c r="AO208" s="21">
        <f t="shared" si="77"/>
        <v>0</v>
      </c>
      <c r="AP208" s="21">
        <f t="shared" si="78"/>
        <v>0</v>
      </c>
      <c r="AQ208" s="21">
        <f t="shared" si="79"/>
        <v>0</v>
      </c>
      <c r="AR208" s="21">
        <f t="shared" si="80"/>
        <v>0</v>
      </c>
      <c r="AS208" s="21">
        <f t="shared" si="81"/>
        <v>0</v>
      </c>
      <c r="AT208" s="21">
        <f t="shared" si="82"/>
        <v>0</v>
      </c>
      <c r="AU208" s="34">
        <f t="shared" si="83"/>
        <v>0</v>
      </c>
      <c r="AW208" s="21" t="str">
        <f t="shared" si="84"/>
        <v/>
      </c>
      <c r="AX208" s="21" t="str">
        <f t="shared" si="85"/>
        <v/>
      </c>
      <c r="AY208" s="21" t="str">
        <f t="shared" si="86"/>
        <v/>
      </c>
      <c r="AZ208" s="21" t="str">
        <f t="shared" si="87"/>
        <v/>
      </c>
      <c r="BA208" s="21" t="str">
        <f t="shared" si="88"/>
        <v/>
      </c>
      <c r="BB208" s="21" t="str">
        <f t="shared" si="89"/>
        <v/>
      </c>
      <c r="BC208" s="21" t="str">
        <f t="shared" si="90"/>
        <v/>
      </c>
    </row>
    <row r="209" spans="1:55" ht="15">
      <c r="A209" s="21" t="str">
        <f>IF(Base!B207="","",Base!B207)</f>
        <v>14.182.371-K</v>
      </c>
      <c r="B209" s="21" t="str">
        <f>IF(Base!F207="","",Base!F207)</f>
        <v>OSCAR EDUARDO  VERA  PALAVECINO</v>
      </c>
      <c r="C209" s="21" t="str">
        <f>IF(Base!I207="","",Base!I207)</f>
        <v>Control y Gestión</v>
      </c>
      <c r="D209" s="22" t="str">
        <f>IF(Base!J207="","",Base!J207)</f>
        <v>Inspector tiempo</v>
      </c>
      <c r="E209" s="21">
        <f>IF(Base!H207="","",Base!H207)</f>
        <v>1050632</v>
      </c>
      <c r="J209" s="28">
        <v>199</v>
      </c>
      <c r="K209" s="5"/>
      <c r="L209" s="58" t="str">
        <f t="shared" si="72"/>
        <v/>
      </c>
      <c r="M209" s="58" t="str">
        <f t="shared" si="73"/>
        <v/>
      </c>
      <c r="N209" s="59" t="str">
        <f t="shared" si="74"/>
        <v/>
      </c>
      <c r="O209" s="59" t="str">
        <f t="shared" si="75"/>
        <v/>
      </c>
      <c r="P209" s="30"/>
      <c r="Q209" s="35"/>
      <c r="R209" s="63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2">
        <f t="shared" si="69"/>
        <v>0</v>
      </c>
      <c r="AF209" s="32">
        <f t="shared" si="70"/>
        <v>0</v>
      </c>
      <c r="AG209" s="33"/>
      <c r="AL209" s="21" t="str">
        <f t="shared" si="71"/>
        <v/>
      </c>
      <c r="AM209" s="21">
        <v>200</v>
      </c>
      <c r="AN209" s="21">
        <f t="shared" si="76"/>
        <v>0</v>
      </c>
      <c r="AO209" s="21">
        <f t="shared" si="77"/>
        <v>0</v>
      </c>
      <c r="AP209" s="21">
        <f t="shared" si="78"/>
        <v>0</v>
      </c>
      <c r="AQ209" s="21">
        <f t="shared" si="79"/>
        <v>0</v>
      </c>
      <c r="AR209" s="21">
        <f t="shared" si="80"/>
        <v>0</v>
      </c>
      <c r="AS209" s="21">
        <f t="shared" si="81"/>
        <v>0</v>
      </c>
      <c r="AT209" s="21">
        <f t="shared" si="82"/>
        <v>0</v>
      </c>
      <c r="AU209" s="34">
        <f t="shared" si="83"/>
        <v>0</v>
      </c>
      <c r="AW209" s="21" t="str">
        <f t="shared" si="84"/>
        <v/>
      </c>
      <c r="AX209" s="21" t="str">
        <f t="shared" si="85"/>
        <v/>
      </c>
      <c r="AY209" s="21" t="str">
        <f t="shared" si="86"/>
        <v/>
      </c>
      <c r="AZ209" s="21" t="str">
        <f t="shared" si="87"/>
        <v/>
      </c>
      <c r="BA209" s="21" t="str">
        <f t="shared" si="88"/>
        <v/>
      </c>
      <c r="BB209" s="21" t="str">
        <f t="shared" si="89"/>
        <v/>
      </c>
      <c r="BC209" s="21" t="str">
        <f t="shared" si="90"/>
        <v/>
      </c>
    </row>
    <row r="210" spans="1:55" ht="15">
      <c r="A210" s="21" t="str">
        <f>IF(Base!B208="","",Base!B208)</f>
        <v>16.267.560-5</v>
      </c>
      <c r="B210" s="21" t="str">
        <f>IF(Base!F208="","",Base!F208)</f>
        <v>BRAULIO SEBASTIAN  VICENCIO  ALVEAR</v>
      </c>
      <c r="C210" s="21" t="str">
        <f>IF(Base!I208="","",Base!I208)</f>
        <v>Linea 2</v>
      </c>
      <c r="D210" s="22" t="str">
        <f>IF(Base!J208="","",Base!J208)</f>
        <v>Embalador</v>
      </c>
      <c r="E210" s="21">
        <f>IF(Base!H208="","",Base!H208)</f>
        <v>1050554</v>
      </c>
      <c r="J210" s="28">
        <v>200</v>
      </c>
      <c r="K210" s="5"/>
      <c r="L210" s="58" t="str">
        <f t="shared" si="72"/>
        <v/>
      </c>
      <c r="M210" s="58" t="str">
        <f t="shared" si="73"/>
        <v/>
      </c>
      <c r="N210" s="59" t="str">
        <f t="shared" si="74"/>
        <v/>
      </c>
      <c r="O210" s="59" t="str">
        <f t="shared" si="75"/>
        <v/>
      </c>
      <c r="P210" s="30"/>
      <c r="Q210" s="35"/>
      <c r="R210" s="63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2">
        <f t="shared" si="69"/>
        <v>0</v>
      </c>
      <c r="AF210" s="32">
        <f t="shared" si="70"/>
        <v>0</v>
      </c>
      <c r="AG210" s="33"/>
      <c r="AL210" s="21" t="str">
        <f t="shared" si="71"/>
        <v/>
      </c>
      <c r="AM210" s="21">
        <v>201</v>
      </c>
      <c r="AN210" s="21">
        <f t="shared" si="76"/>
        <v>0</v>
      </c>
      <c r="AO210" s="21">
        <f t="shared" si="77"/>
        <v>0</v>
      </c>
      <c r="AP210" s="21">
        <f t="shared" si="78"/>
        <v>0</v>
      </c>
      <c r="AQ210" s="21">
        <f t="shared" si="79"/>
        <v>0</v>
      </c>
      <c r="AR210" s="21">
        <f t="shared" si="80"/>
        <v>0</v>
      </c>
      <c r="AS210" s="21">
        <f t="shared" si="81"/>
        <v>0</v>
      </c>
      <c r="AT210" s="21">
        <f t="shared" si="82"/>
        <v>0</v>
      </c>
      <c r="AU210" s="34">
        <f t="shared" si="83"/>
        <v>0</v>
      </c>
      <c r="AW210" s="21" t="str">
        <f t="shared" si="84"/>
        <v/>
      </c>
      <c r="AX210" s="21" t="str">
        <f t="shared" si="85"/>
        <v/>
      </c>
      <c r="AY210" s="21" t="str">
        <f t="shared" si="86"/>
        <v/>
      </c>
      <c r="AZ210" s="21" t="str">
        <f t="shared" si="87"/>
        <v/>
      </c>
      <c r="BA210" s="21" t="str">
        <f t="shared" si="88"/>
        <v/>
      </c>
      <c r="BB210" s="21" t="str">
        <f t="shared" si="89"/>
        <v/>
      </c>
      <c r="BC210" s="21" t="str">
        <f t="shared" si="90"/>
        <v/>
      </c>
    </row>
    <row r="211" spans="1:55" ht="15">
      <c r="A211" s="21" t="str">
        <f>IF(Base!B209="","",Base!B209)</f>
        <v>10.311.290-7</v>
      </c>
      <c r="B211" s="21" t="str">
        <f>IF(Base!F209="","",Base!F209)</f>
        <v>RICARDO V.  VIDAL  ATENAS</v>
      </c>
      <c r="C211" s="21" t="str">
        <f>IF(Base!I209="","",Base!I209)</f>
        <v>Sala filtros</v>
      </c>
      <c r="D211" s="22" t="str">
        <f>IF(Base!J209="","",Base!J209)</f>
        <v>Operador sala de filtros</v>
      </c>
      <c r="E211" s="21">
        <f>IF(Base!H209="","",Base!H209)</f>
        <v>1050574</v>
      </c>
      <c r="J211" s="28">
        <v>201</v>
      </c>
      <c r="K211" s="5"/>
      <c r="L211" s="58" t="str">
        <f t="shared" si="72"/>
        <v/>
      </c>
      <c r="M211" s="58" t="str">
        <f t="shared" si="73"/>
        <v/>
      </c>
      <c r="N211" s="59" t="str">
        <f t="shared" si="74"/>
        <v/>
      </c>
      <c r="O211" s="59" t="str">
        <f t="shared" si="75"/>
        <v/>
      </c>
      <c r="P211" s="30"/>
      <c r="Q211" s="35"/>
      <c r="R211" s="63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2">
        <f t="shared" si="69"/>
        <v>0</v>
      </c>
      <c r="AF211" s="32">
        <f t="shared" si="70"/>
        <v>0</v>
      </c>
      <c r="AG211" s="33"/>
      <c r="AL211" s="21" t="str">
        <f t="shared" si="71"/>
        <v/>
      </c>
      <c r="AM211" s="21">
        <v>202</v>
      </c>
      <c r="AN211" s="21">
        <f t="shared" si="76"/>
        <v>0</v>
      </c>
      <c r="AO211" s="21">
        <f t="shared" si="77"/>
        <v>0</v>
      </c>
      <c r="AP211" s="21">
        <f t="shared" si="78"/>
        <v>0</v>
      </c>
      <c r="AQ211" s="21">
        <f t="shared" si="79"/>
        <v>0</v>
      </c>
      <c r="AR211" s="21">
        <f t="shared" si="80"/>
        <v>0</v>
      </c>
      <c r="AS211" s="21">
        <f t="shared" si="81"/>
        <v>0</v>
      </c>
      <c r="AT211" s="21">
        <f t="shared" si="82"/>
        <v>0</v>
      </c>
      <c r="AU211" s="34">
        <f t="shared" si="83"/>
        <v>0</v>
      </c>
      <c r="AW211" s="21" t="str">
        <f t="shared" si="84"/>
        <v/>
      </c>
      <c r="AX211" s="21" t="str">
        <f t="shared" si="85"/>
        <v/>
      </c>
      <c r="AY211" s="21" t="str">
        <f t="shared" si="86"/>
        <v/>
      </c>
      <c r="AZ211" s="21" t="str">
        <f t="shared" si="87"/>
        <v/>
      </c>
      <c r="BA211" s="21" t="str">
        <f t="shared" si="88"/>
        <v/>
      </c>
      <c r="BB211" s="21" t="str">
        <f t="shared" si="89"/>
        <v/>
      </c>
      <c r="BC211" s="21" t="str">
        <f t="shared" si="90"/>
        <v/>
      </c>
    </row>
    <row r="212" spans="1:55" ht="13.5">
      <c r="A212" s="21" t="str">
        <f>IF(Base!B210="","",Base!B210)</f>
        <v>07.807.741-7</v>
      </c>
      <c r="B212" s="21" t="str">
        <f>IF(Base!F210="","",Base!F210)</f>
        <v>RUBEN A  VIDAL  ORMAZABAL</v>
      </c>
      <c r="C212" s="21" t="str">
        <f>IF(Base!I210="","",Base!I210)</f>
        <v>BIB</v>
      </c>
      <c r="D212" s="22" t="str">
        <f>IF(Base!J210="","",Base!J210)</f>
        <v>BIB</v>
      </c>
      <c r="E212" s="21">
        <f>IF(Base!H210="","",Base!H210)</f>
        <v>1050595</v>
      </c>
      <c r="J212" s="28">
        <v>202</v>
      </c>
      <c r="K212" s="61"/>
      <c r="L212" s="58" t="str">
        <f t="shared" si="72"/>
        <v/>
      </c>
      <c r="M212" s="58" t="str">
        <f t="shared" si="73"/>
        <v/>
      </c>
      <c r="N212" s="59" t="str">
        <f t="shared" si="74"/>
        <v/>
      </c>
      <c r="O212" s="59" t="str">
        <f t="shared" si="75"/>
        <v/>
      </c>
      <c r="P212" s="30"/>
      <c r="Q212" s="35"/>
      <c r="R212" s="63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2">
        <f t="shared" si="69"/>
        <v>0</v>
      </c>
      <c r="AF212" s="32">
        <f t="shared" si="70"/>
        <v>0</v>
      </c>
      <c r="AG212" s="33"/>
      <c r="AL212" s="21" t="str">
        <f t="shared" si="71"/>
        <v/>
      </c>
      <c r="AM212" s="21">
        <v>203</v>
      </c>
      <c r="AN212" s="21">
        <f t="shared" si="76"/>
        <v>0</v>
      </c>
      <c r="AO212" s="21">
        <f t="shared" si="77"/>
        <v>0</v>
      </c>
      <c r="AP212" s="21">
        <f t="shared" si="78"/>
        <v>0</v>
      </c>
      <c r="AQ212" s="21">
        <f t="shared" si="79"/>
        <v>0</v>
      </c>
      <c r="AR212" s="21">
        <f t="shared" si="80"/>
        <v>0</v>
      </c>
      <c r="AS212" s="21">
        <f t="shared" si="81"/>
        <v>0</v>
      </c>
      <c r="AT212" s="21">
        <f t="shared" si="82"/>
        <v>0</v>
      </c>
      <c r="AU212" s="34">
        <f t="shared" si="83"/>
        <v>0</v>
      </c>
      <c r="AW212" s="21" t="str">
        <f t="shared" si="84"/>
        <v/>
      </c>
      <c r="AX212" s="21" t="str">
        <f t="shared" si="85"/>
        <v/>
      </c>
      <c r="AY212" s="21" t="str">
        <f t="shared" si="86"/>
        <v/>
      </c>
      <c r="AZ212" s="21" t="str">
        <f t="shared" si="87"/>
        <v/>
      </c>
      <c r="BA212" s="21" t="str">
        <f t="shared" si="88"/>
        <v/>
      </c>
      <c r="BB212" s="21" t="str">
        <f t="shared" si="89"/>
        <v/>
      </c>
      <c r="BC212" s="21" t="str">
        <f t="shared" si="90"/>
        <v/>
      </c>
    </row>
    <row r="213" spans="1:55" ht="13.5">
      <c r="A213" s="21" t="str">
        <f>IF(Base!B211="","",Base!B211)</f>
        <v>13.835.927-1</v>
      </c>
      <c r="B213" s="21" t="str">
        <f>IF(Base!F211="","",Base!F211)</f>
        <v>FELIPE  ZAVALA  ARAVENA</v>
      </c>
      <c r="C213" s="21" t="str">
        <f>IF(Base!I211="","",Base!I211)</f>
        <v>Linea 3</v>
      </c>
      <c r="D213" s="22" t="str">
        <f>IF(Base!J211="","",Base!J211)</f>
        <v>Lavador externo</v>
      </c>
      <c r="E213" s="21">
        <f>IF(Base!H211="","",Base!H211)</f>
        <v>1050556</v>
      </c>
      <c r="J213" s="28">
        <v>203</v>
      </c>
      <c r="K213" s="61"/>
      <c r="L213" s="58" t="str">
        <f t="shared" si="72"/>
        <v/>
      </c>
      <c r="M213" s="58" t="str">
        <f t="shared" si="73"/>
        <v/>
      </c>
      <c r="N213" s="59" t="str">
        <f t="shared" si="74"/>
        <v/>
      </c>
      <c r="O213" s="59" t="str">
        <f t="shared" si="75"/>
        <v/>
      </c>
      <c r="P213" s="30"/>
      <c r="Q213" s="35"/>
      <c r="R213" s="63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2">
        <f t="shared" ref="AE213:AE260" si="91">SUM(Q213,S213,U213,W213,Y213,AA213,AC213)</f>
        <v>0</v>
      </c>
      <c r="AF213" s="32">
        <f t="shared" ref="AF213:AF260" si="92">SUM(R213,T213,V213,X213,Z213,AB213,AD213)</f>
        <v>0</v>
      </c>
      <c r="AG213" s="33"/>
      <c r="AL213" s="21" t="str">
        <f t="shared" si="71"/>
        <v/>
      </c>
      <c r="AM213" s="21">
        <v>204</v>
      </c>
      <c r="AN213" s="21">
        <f t="shared" si="76"/>
        <v>0</v>
      </c>
      <c r="AO213" s="21">
        <f t="shared" si="77"/>
        <v>0</v>
      </c>
      <c r="AP213" s="21">
        <f t="shared" si="78"/>
        <v>0</v>
      </c>
      <c r="AQ213" s="21">
        <f t="shared" si="79"/>
        <v>0</v>
      </c>
      <c r="AR213" s="21">
        <f t="shared" si="80"/>
        <v>0</v>
      </c>
      <c r="AS213" s="21">
        <f t="shared" si="81"/>
        <v>0</v>
      </c>
      <c r="AT213" s="21">
        <f t="shared" si="82"/>
        <v>0</v>
      </c>
      <c r="AU213" s="34">
        <f t="shared" si="83"/>
        <v>0</v>
      </c>
      <c r="AW213" s="21" t="str">
        <f t="shared" si="84"/>
        <v/>
      </c>
      <c r="AX213" s="21" t="str">
        <f t="shared" si="85"/>
        <v/>
      </c>
      <c r="AY213" s="21" t="str">
        <f t="shared" si="86"/>
        <v/>
      </c>
      <c r="AZ213" s="21" t="str">
        <f t="shared" si="87"/>
        <v/>
      </c>
      <c r="BA213" s="21" t="str">
        <f t="shared" si="88"/>
        <v/>
      </c>
      <c r="BB213" s="21" t="str">
        <f t="shared" si="89"/>
        <v/>
      </c>
      <c r="BC213" s="21" t="str">
        <f t="shared" si="90"/>
        <v/>
      </c>
    </row>
    <row r="214" spans="1:55" ht="13.5">
      <c r="A214" s="21" t="str">
        <f>IF(Base!B212="","",Base!B212)</f>
        <v>12719073-9</v>
      </c>
      <c r="B214" s="21" t="str">
        <f>IF(Base!F212="","",Base!F212)</f>
        <v>ALEX  EYZAGUIRRE  LARA</v>
      </c>
      <c r="C214" s="21" t="str">
        <f>IF(Base!I212="","",Base!I212)</f>
        <v>Supervisor</v>
      </c>
      <c r="D214" s="22" t="str">
        <f>IF(Base!J212="","",Base!J212)</f>
        <v>Supervisor</v>
      </c>
      <c r="E214" s="21">
        <f>IF(Base!H212="","",Base!H212)</f>
        <v>1050603</v>
      </c>
      <c r="J214" s="28">
        <v>204</v>
      </c>
      <c r="K214" s="61"/>
      <c r="L214" s="58" t="str">
        <f t="shared" si="72"/>
        <v/>
      </c>
      <c r="M214" s="58" t="str">
        <f t="shared" si="73"/>
        <v/>
      </c>
      <c r="N214" s="59" t="str">
        <f t="shared" si="74"/>
        <v/>
      </c>
      <c r="O214" s="59" t="str">
        <f t="shared" si="75"/>
        <v/>
      </c>
      <c r="P214" s="30"/>
      <c r="Q214" s="35"/>
      <c r="R214" s="63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2">
        <f t="shared" si="91"/>
        <v>0</v>
      </c>
      <c r="AF214" s="32">
        <f t="shared" si="92"/>
        <v>0</v>
      </c>
      <c r="AG214" s="33"/>
      <c r="AL214" s="21" t="str">
        <f t="shared" si="71"/>
        <v/>
      </c>
      <c r="AM214" s="21">
        <v>205</v>
      </c>
      <c r="AN214" s="21">
        <f t="shared" si="76"/>
        <v>0</v>
      </c>
      <c r="AO214" s="21">
        <f t="shared" si="77"/>
        <v>0</v>
      </c>
      <c r="AP214" s="21">
        <f t="shared" si="78"/>
        <v>0</v>
      </c>
      <c r="AQ214" s="21">
        <f t="shared" si="79"/>
        <v>0</v>
      </c>
      <c r="AR214" s="21">
        <f t="shared" si="80"/>
        <v>0</v>
      </c>
      <c r="AS214" s="21">
        <f t="shared" si="81"/>
        <v>0</v>
      </c>
      <c r="AT214" s="21">
        <f t="shared" si="82"/>
        <v>0</v>
      </c>
      <c r="AU214" s="34">
        <f t="shared" si="83"/>
        <v>0</v>
      </c>
      <c r="AW214" s="21" t="str">
        <f t="shared" si="84"/>
        <v/>
      </c>
      <c r="AX214" s="21" t="str">
        <f t="shared" si="85"/>
        <v/>
      </c>
      <c r="AY214" s="21" t="str">
        <f t="shared" si="86"/>
        <v/>
      </c>
      <c r="AZ214" s="21" t="str">
        <f t="shared" si="87"/>
        <v/>
      </c>
      <c r="BA214" s="21" t="str">
        <f t="shared" si="88"/>
        <v/>
      </c>
      <c r="BB214" s="21" t="str">
        <f t="shared" si="89"/>
        <v/>
      </c>
      <c r="BC214" s="21" t="str">
        <f t="shared" si="90"/>
        <v/>
      </c>
    </row>
    <row r="215" spans="1:55" ht="13.5">
      <c r="A215" s="21" t="str">
        <f>IF(Base!B213="","",Base!B213)</f>
        <v>12.175.753-2</v>
      </c>
      <c r="B215" s="21" t="str">
        <f>IF(Base!F213="","",Base!F213)</f>
        <v>MARIO  MESIAS  PALMA</v>
      </c>
      <c r="C215" s="21" t="str">
        <f>IF(Base!I213="","",Base!I213)</f>
        <v>Jefe control y gestión</v>
      </c>
      <c r="D215" s="22" t="str">
        <f>IF(Base!J213="","",Base!J213)</f>
        <v>Jefe control y gestión</v>
      </c>
      <c r="E215" s="21">
        <f>IF(Base!H213="","",Base!H213)</f>
        <v>1050632</v>
      </c>
      <c r="J215" s="28">
        <v>205</v>
      </c>
      <c r="K215" s="61"/>
      <c r="L215" s="58" t="str">
        <f t="shared" si="72"/>
        <v/>
      </c>
      <c r="M215" s="58" t="str">
        <f t="shared" si="73"/>
        <v/>
      </c>
      <c r="N215" s="59" t="str">
        <f t="shared" si="74"/>
        <v/>
      </c>
      <c r="O215" s="59" t="str">
        <f t="shared" si="75"/>
        <v/>
      </c>
      <c r="P215" s="30"/>
      <c r="Q215" s="35"/>
      <c r="R215" s="63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2">
        <f t="shared" si="91"/>
        <v>0</v>
      </c>
      <c r="AF215" s="32">
        <f t="shared" si="92"/>
        <v>0</v>
      </c>
      <c r="AG215" s="33"/>
      <c r="AL215" s="21" t="str">
        <f t="shared" si="71"/>
        <v/>
      </c>
      <c r="AM215" s="21">
        <v>206</v>
      </c>
      <c r="AN215" s="21">
        <f t="shared" si="76"/>
        <v>0</v>
      </c>
      <c r="AO215" s="21">
        <f t="shared" si="77"/>
        <v>0</v>
      </c>
      <c r="AP215" s="21">
        <f t="shared" si="78"/>
        <v>0</v>
      </c>
      <c r="AQ215" s="21">
        <f t="shared" si="79"/>
        <v>0</v>
      </c>
      <c r="AR215" s="21">
        <f t="shared" si="80"/>
        <v>0</v>
      </c>
      <c r="AS215" s="21">
        <f t="shared" si="81"/>
        <v>0</v>
      </c>
      <c r="AT215" s="21">
        <f t="shared" si="82"/>
        <v>0</v>
      </c>
      <c r="AU215" s="34">
        <f t="shared" si="83"/>
        <v>0</v>
      </c>
      <c r="AW215" s="21" t="str">
        <f t="shared" si="84"/>
        <v/>
      </c>
      <c r="AX215" s="21" t="str">
        <f t="shared" si="85"/>
        <v/>
      </c>
      <c r="AY215" s="21" t="str">
        <f t="shared" si="86"/>
        <v/>
      </c>
      <c r="AZ215" s="21" t="str">
        <f t="shared" si="87"/>
        <v/>
      </c>
      <c r="BA215" s="21" t="str">
        <f t="shared" si="88"/>
        <v/>
      </c>
      <c r="BB215" s="21" t="str">
        <f t="shared" si="89"/>
        <v/>
      </c>
      <c r="BC215" s="21" t="str">
        <f t="shared" si="90"/>
        <v/>
      </c>
    </row>
    <row r="216" spans="1:55" ht="13.5">
      <c r="A216" s="21" t="str">
        <f>IF(Base!B214="","",Base!B214)</f>
        <v>13.045.231-0</v>
      </c>
      <c r="B216" s="21" t="str">
        <f>IF(Base!F214="","",Base!F214)</f>
        <v>FELIPE  ARANCIBIA  SILVA</v>
      </c>
      <c r="C216" s="21" t="str">
        <f>IF(Base!I214="","",Base!I214)</f>
        <v xml:space="preserve">Setup </v>
      </c>
      <c r="D216" s="22" t="str">
        <f>IF(Base!J214="","",Base!J214)</f>
        <v xml:space="preserve">Setup </v>
      </c>
      <c r="E216" s="21">
        <f>IF(Base!H214="","",Base!H214)</f>
        <v>1050529</v>
      </c>
      <c r="J216" s="28">
        <v>206</v>
      </c>
      <c r="K216" s="61"/>
      <c r="L216" s="58" t="str">
        <f t="shared" si="72"/>
        <v/>
      </c>
      <c r="M216" s="58" t="str">
        <f t="shared" si="73"/>
        <v/>
      </c>
      <c r="N216" s="59" t="str">
        <f t="shared" si="74"/>
        <v/>
      </c>
      <c r="O216" s="59" t="str">
        <f t="shared" si="75"/>
        <v/>
      </c>
      <c r="P216" s="30"/>
      <c r="Q216" s="35"/>
      <c r="R216" s="63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2">
        <f t="shared" si="91"/>
        <v>0</v>
      </c>
      <c r="AF216" s="32">
        <f t="shared" si="92"/>
        <v>0</v>
      </c>
      <c r="AG216" s="33"/>
      <c r="AL216" s="21" t="str">
        <f t="shared" si="71"/>
        <v/>
      </c>
      <c r="AM216" s="21">
        <v>207</v>
      </c>
      <c r="AN216" s="21">
        <f t="shared" si="76"/>
        <v>0</v>
      </c>
      <c r="AO216" s="21">
        <f t="shared" si="77"/>
        <v>0</v>
      </c>
      <c r="AP216" s="21">
        <f t="shared" si="78"/>
        <v>0</v>
      </c>
      <c r="AQ216" s="21">
        <f t="shared" si="79"/>
        <v>0</v>
      </c>
      <c r="AR216" s="21">
        <f t="shared" si="80"/>
        <v>0</v>
      </c>
      <c r="AS216" s="21">
        <f t="shared" si="81"/>
        <v>0</v>
      </c>
      <c r="AT216" s="21">
        <f t="shared" si="82"/>
        <v>0</v>
      </c>
      <c r="AU216" s="34">
        <f t="shared" si="83"/>
        <v>0</v>
      </c>
      <c r="AW216" s="21" t="str">
        <f t="shared" si="84"/>
        <v/>
      </c>
      <c r="AX216" s="21" t="str">
        <f t="shared" si="85"/>
        <v/>
      </c>
      <c r="AY216" s="21" t="str">
        <f t="shared" si="86"/>
        <v/>
      </c>
      <c r="AZ216" s="21" t="str">
        <f t="shared" si="87"/>
        <v/>
      </c>
      <c r="BA216" s="21" t="str">
        <f t="shared" si="88"/>
        <v/>
      </c>
      <c r="BB216" s="21" t="str">
        <f t="shared" si="89"/>
        <v/>
      </c>
      <c r="BC216" s="21" t="str">
        <f t="shared" si="90"/>
        <v/>
      </c>
    </row>
    <row r="217" spans="1:55" ht="13.5">
      <c r="A217" s="21" t="str">
        <f>IF(Base!B215="","",Base!B215)</f>
        <v>14.307.619-9</v>
      </c>
      <c r="B217" s="21" t="str">
        <f>IF(Base!F215="","",Base!F215)</f>
        <v>LUIS ROBERTO  BERRIOS  LOPEZ</v>
      </c>
      <c r="C217" s="21" t="str">
        <f>IF(Base!I215="","",Base!I215)</f>
        <v xml:space="preserve">Setup </v>
      </c>
      <c r="D217" s="22" t="str">
        <f>IF(Base!J215="","",Base!J215)</f>
        <v xml:space="preserve">Setup </v>
      </c>
      <c r="E217" s="21">
        <f>IF(Base!H215="","",Base!H215)</f>
        <v>1050529</v>
      </c>
      <c r="J217" s="28">
        <v>207</v>
      </c>
      <c r="K217" s="61"/>
      <c r="L217" s="58" t="str">
        <f t="shared" si="72"/>
        <v/>
      </c>
      <c r="M217" s="58" t="str">
        <f t="shared" si="73"/>
        <v/>
      </c>
      <c r="N217" s="59" t="str">
        <f t="shared" si="74"/>
        <v/>
      </c>
      <c r="O217" s="59" t="str">
        <f t="shared" si="75"/>
        <v/>
      </c>
      <c r="P217" s="30"/>
      <c r="Q217" s="35"/>
      <c r="R217" s="63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2">
        <f t="shared" si="91"/>
        <v>0</v>
      </c>
      <c r="AF217" s="32">
        <f t="shared" si="92"/>
        <v>0</v>
      </c>
      <c r="AG217" s="33"/>
      <c r="AL217" s="21" t="str">
        <f t="shared" ref="AL217:AL260" si="93">IF(K217="","",K217)</f>
        <v/>
      </c>
      <c r="AM217" s="21">
        <v>208</v>
      </c>
      <c r="AN217" s="21">
        <f t="shared" si="76"/>
        <v>0</v>
      </c>
      <c r="AO217" s="21">
        <f t="shared" si="77"/>
        <v>0</v>
      </c>
      <c r="AP217" s="21">
        <f t="shared" si="78"/>
        <v>0</v>
      </c>
      <c r="AQ217" s="21">
        <f t="shared" si="79"/>
        <v>0</v>
      </c>
      <c r="AR217" s="21">
        <f t="shared" si="80"/>
        <v>0</v>
      </c>
      <c r="AS217" s="21">
        <f t="shared" si="81"/>
        <v>0</v>
      </c>
      <c r="AT217" s="21">
        <f t="shared" si="82"/>
        <v>0</v>
      </c>
      <c r="AU217" s="34">
        <f t="shared" si="83"/>
        <v>0</v>
      </c>
      <c r="AW217" s="21" t="str">
        <f t="shared" si="84"/>
        <v/>
      </c>
      <c r="AX217" s="21" t="str">
        <f t="shared" si="85"/>
        <v/>
      </c>
      <c r="AY217" s="21" t="str">
        <f t="shared" si="86"/>
        <v/>
      </c>
      <c r="AZ217" s="21" t="str">
        <f t="shared" si="87"/>
        <v/>
      </c>
      <c r="BA217" s="21" t="str">
        <f t="shared" si="88"/>
        <v/>
      </c>
      <c r="BB217" s="21" t="str">
        <f t="shared" si="89"/>
        <v/>
      </c>
      <c r="BC217" s="21" t="str">
        <f t="shared" si="90"/>
        <v/>
      </c>
    </row>
    <row r="218" spans="1:55" ht="13.5">
      <c r="A218" s="21" t="str">
        <f>IF(Base!B216="","",Base!B216)</f>
        <v>15.439.409-5</v>
      </c>
      <c r="B218" s="21" t="str">
        <f>IF(Base!F216="","",Base!F216)</f>
        <v>MARICEL ANDREA  BRAVO  SALAMANCA</v>
      </c>
      <c r="C218" s="21" t="str">
        <f>IF(Base!I216="","",Base!I216)</f>
        <v xml:space="preserve">Setup </v>
      </c>
      <c r="D218" s="22" t="str">
        <f>IF(Base!J216="","",Base!J216)</f>
        <v xml:space="preserve">Setup </v>
      </c>
      <c r="E218" s="21">
        <f>IF(Base!H216="","",Base!H216)</f>
        <v>1050529</v>
      </c>
      <c r="J218" s="28">
        <v>208</v>
      </c>
      <c r="K218" s="61"/>
      <c r="L218" s="58" t="str">
        <f t="shared" si="72"/>
        <v/>
      </c>
      <c r="M218" s="58" t="str">
        <f t="shared" si="73"/>
        <v/>
      </c>
      <c r="N218" s="59" t="str">
        <f t="shared" si="74"/>
        <v/>
      </c>
      <c r="O218" s="59" t="str">
        <f t="shared" si="75"/>
        <v/>
      </c>
      <c r="P218" s="30"/>
      <c r="Q218" s="35"/>
      <c r="R218" s="63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2">
        <f t="shared" si="91"/>
        <v>0</v>
      </c>
      <c r="AF218" s="32">
        <f t="shared" si="92"/>
        <v>0</v>
      </c>
      <c r="AG218" s="33"/>
      <c r="AL218" s="21" t="str">
        <f t="shared" si="93"/>
        <v/>
      </c>
      <c r="AM218" s="21">
        <v>209</v>
      </c>
      <c r="AN218" s="21">
        <f t="shared" si="76"/>
        <v>0</v>
      </c>
      <c r="AO218" s="21">
        <f t="shared" si="77"/>
        <v>0</v>
      </c>
      <c r="AP218" s="21">
        <f t="shared" si="78"/>
        <v>0</v>
      </c>
      <c r="AQ218" s="21">
        <f t="shared" si="79"/>
        <v>0</v>
      </c>
      <c r="AR218" s="21">
        <f t="shared" si="80"/>
        <v>0</v>
      </c>
      <c r="AS218" s="21">
        <f t="shared" si="81"/>
        <v>0</v>
      </c>
      <c r="AT218" s="21">
        <f t="shared" si="82"/>
        <v>0</v>
      </c>
      <c r="AU218" s="34">
        <f t="shared" si="83"/>
        <v>0</v>
      </c>
      <c r="AW218" s="21" t="str">
        <f t="shared" si="84"/>
        <v/>
      </c>
      <c r="AX218" s="21" t="str">
        <f t="shared" si="85"/>
        <v/>
      </c>
      <c r="AY218" s="21" t="str">
        <f t="shared" si="86"/>
        <v/>
      </c>
      <c r="AZ218" s="21" t="str">
        <f t="shared" si="87"/>
        <v/>
      </c>
      <c r="BA218" s="21" t="str">
        <f t="shared" si="88"/>
        <v/>
      </c>
      <c r="BB218" s="21" t="str">
        <f t="shared" si="89"/>
        <v/>
      </c>
      <c r="BC218" s="21" t="str">
        <f t="shared" si="90"/>
        <v/>
      </c>
    </row>
    <row r="219" spans="1:55" ht="13.5">
      <c r="A219" s="21" t="str">
        <f>IF(Base!B217="","",Base!B217)</f>
        <v>09.774.031-3</v>
      </c>
      <c r="B219" s="21" t="str">
        <f>IF(Base!F217="","",Base!F217)</f>
        <v>VICTOR  CACERES  VASQUEZ</v>
      </c>
      <c r="C219" s="21" t="str">
        <f>IF(Base!I217="","",Base!I217)</f>
        <v>Setup</v>
      </c>
      <c r="D219" s="22" t="str">
        <f>IF(Base!J217="","",Base!J217)</f>
        <v>Setup</v>
      </c>
      <c r="E219" s="21">
        <f>IF(Base!H217="","",Base!H217)</f>
        <v>1050529</v>
      </c>
      <c r="J219" s="28">
        <v>209</v>
      </c>
      <c r="K219" s="61"/>
      <c r="L219" s="58" t="str">
        <f t="shared" si="72"/>
        <v/>
      </c>
      <c r="M219" s="58" t="str">
        <f t="shared" si="73"/>
        <v/>
      </c>
      <c r="N219" s="59" t="str">
        <f t="shared" si="74"/>
        <v/>
      </c>
      <c r="O219" s="59" t="str">
        <f t="shared" si="75"/>
        <v/>
      </c>
      <c r="P219" s="30"/>
      <c r="Q219" s="35"/>
      <c r="R219" s="63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2">
        <f t="shared" si="91"/>
        <v>0</v>
      </c>
      <c r="AF219" s="32">
        <f t="shared" si="92"/>
        <v>0</v>
      </c>
      <c r="AG219" s="33"/>
      <c r="AL219" s="21" t="str">
        <f t="shared" si="93"/>
        <v/>
      </c>
      <c r="AM219" s="21">
        <v>210</v>
      </c>
      <c r="AN219" s="21">
        <f t="shared" si="76"/>
        <v>0</v>
      </c>
      <c r="AO219" s="21">
        <f t="shared" si="77"/>
        <v>0</v>
      </c>
      <c r="AP219" s="21">
        <f t="shared" si="78"/>
        <v>0</v>
      </c>
      <c r="AQ219" s="21">
        <f t="shared" si="79"/>
        <v>0</v>
      </c>
      <c r="AR219" s="21">
        <f t="shared" si="80"/>
        <v>0</v>
      </c>
      <c r="AS219" s="21">
        <f t="shared" si="81"/>
        <v>0</v>
      </c>
      <c r="AT219" s="21">
        <f t="shared" si="82"/>
        <v>0</v>
      </c>
      <c r="AU219" s="34">
        <f t="shared" si="83"/>
        <v>0</v>
      </c>
      <c r="AW219" s="21" t="str">
        <f t="shared" si="84"/>
        <v/>
      </c>
      <c r="AX219" s="21" t="str">
        <f t="shared" si="85"/>
        <v/>
      </c>
      <c r="AY219" s="21" t="str">
        <f t="shared" si="86"/>
        <v/>
      </c>
      <c r="AZ219" s="21" t="str">
        <f t="shared" si="87"/>
        <v/>
      </c>
      <c r="BA219" s="21" t="str">
        <f t="shared" si="88"/>
        <v/>
      </c>
      <c r="BB219" s="21" t="str">
        <f t="shared" si="89"/>
        <v/>
      </c>
      <c r="BC219" s="21" t="str">
        <f t="shared" si="90"/>
        <v/>
      </c>
    </row>
    <row r="220" spans="1:55" ht="13.5">
      <c r="A220" s="21" t="str">
        <f>IF(Base!B218="","",Base!B218)</f>
        <v>08.406.841-1</v>
      </c>
      <c r="B220" s="21" t="str">
        <f>IF(Base!F218="","",Base!F218)</f>
        <v>BRAULIO GUILLERMO  CASANOVA  SALINAS</v>
      </c>
      <c r="C220" s="21" t="str">
        <f>IF(Base!I218="","",Base!I218)</f>
        <v xml:space="preserve">Setup </v>
      </c>
      <c r="D220" s="22" t="str">
        <f>IF(Base!J218="","",Base!J218)</f>
        <v xml:space="preserve">Setup </v>
      </c>
      <c r="E220" s="21">
        <f>IF(Base!H218="","",Base!H218)</f>
        <v>1050529</v>
      </c>
      <c r="J220" s="28">
        <v>210</v>
      </c>
      <c r="K220" s="61"/>
      <c r="L220" s="58" t="str">
        <f t="shared" si="72"/>
        <v/>
      </c>
      <c r="M220" s="58" t="str">
        <f t="shared" si="73"/>
        <v/>
      </c>
      <c r="N220" s="59" t="str">
        <f t="shared" si="74"/>
        <v/>
      </c>
      <c r="O220" s="59" t="str">
        <f t="shared" si="75"/>
        <v/>
      </c>
      <c r="P220" s="30"/>
      <c r="Q220" s="35"/>
      <c r="R220" s="63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2">
        <f t="shared" si="91"/>
        <v>0</v>
      </c>
      <c r="AF220" s="32">
        <f t="shared" si="92"/>
        <v>0</v>
      </c>
      <c r="AG220" s="33"/>
      <c r="AL220" s="21" t="str">
        <f t="shared" si="93"/>
        <v/>
      </c>
      <c r="AM220" s="21">
        <v>211</v>
      </c>
      <c r="AN220" s="21">
        <f t="shared" si="76"/>
        <v>0</v>
      </c>
      <c r="AO220" s="21">
        <f t="shared" si="77"/>
        <v>0</v>
      </c>
      <c r="AP220" s="21">
        <f t="shared" si="78"/>
        <v>0</v>
      </c>
      <c r="AQ220" s="21">
        <f t="shared" si="79"/>
        <v>0</v>
      </c>
      <c r="AR220" s="21">
        <f t="shared" si="80"/>
        <v>0</v>
      </c>
      <c r="AS220" s="21">
        <f t="shared" si="81"/>
        <v>0</v>
      </c>
      <c r="AT220" s="21">
        <f t="shared" si="82"/>
        <v>0</v>
      </c>
      <c r="AU220" s="34">
        <f t="shared" si="83"/>
        <v>0</v>
      </c>
      <c r="AW220" s="21" t="str">
        <f t="shared" si="84"/>
        <v/>
      </c>
      <c r="AX220" s="21" t="str">
        <f t="shared" si="85"/>
        <v/>
      </c>
      <c r="AY220" s="21" t="str">
        <f t="shared" si="86"/>
        <v/>
      </c>
      <c r="AZ220" s="21" t="str">
        <f t="shared" si="87"/>
        <v/>
      </c>
      <c r="BA220" s="21" t="str">
        <f t="shared" si="88"/>
        <v/>
      </c>
      <c r="BB220" s="21" t="str">
        <f t="shared" si="89"/>
        <v/>
      </c>
      <c r="BC220" s="21" t="str">
        <f t="shared" si="90"/>
        <v/>
      </c>
    </row>
    <row r="221" spans="1:55" ht="13.5">
      <c r="A221" s="21" t="str">
        <f>IF(Base!B219="","",Base!B219)</f>
        <v>10.042.994-2</v>
      </c>
      <c r="B221" s="21" t="str">
        <f>IF(Base!F219="","",Base!F219)</f>
        <v>ELIZABETH  CONCHA  VALDEBENITO</v>
      </c>
      <c r="C221" s="21" t="str">
        <f>IF(Base!I219="","",Base!I219)</f>
        <v xml:space="preserve">Setup </v>
      </c>
      <c r="D221" s="22" t="str">
        <f>IF(Base!J219="","",Base!J219)</f>
        <v xml:space="preserve">Setup </v>
      </c>
      <c r="E221" s="21">
        <f>IF(Base!H219="","",Base!H219)</f>
        <v>1050529</v>
      </c>
      <c r="J221" s="28">
        <v>211</v>
      </c>
      <c r="K221" s="61"/>
      <c r="L221" s="58" t="str">
        <f t="shared" si="72"/>
        <v/>
      </c>
      <c r="M221" s="58" t="str">
        <f t="shared" si="73"/>
        <v/>
      </c>
      <c r="N221" s="59" t="str">
        <f t="shared" si="74"/>
        <v/>
      </c>
      <c r="O221" s="59" t="str">
        <f t="shared" si="75"/>
        <v/>
      </c>
      <c r="P221" s="30"/>
      <c r="Q221" s="35"/>
      <c r="R221" s="63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2">
        <f t="shared" si="91"/>
        <v>0</v>
      </c>
      <c r="AF221" s="32">
        <f t="shared" si="92"/>
        <v>0</v>
      </c>
      <c r="AG221" s="33"/>
      <c r="AL221" s="21" t="str">
        <f t="shared" si="93"/>
        <v/>
      </c>
      <c r="AM221" s="21">
        <v>212</v>
      </c>
      <c r="AN221" s="21">
        <f t="shared" si="76"/>
        <v>0</v>
      </c>
      <c r="AO221" s="21">
        <f t="shared" si="77"/>
        <v>0</v>
      </c>
      <c r="AP221" s="21">
        <f t="shared" si="78"/>
        <v>0</v>
      </c>
      <c r="AQ221" s="21">
        <f t="shared" si="79"/>
        <v>0</v>
      </c>
      <c r="AR221" s="21">
        <f t="shared" si="80"/>
        <v>0</v>
      </c>
      <c r="AS221" s="21">
        <f t="shared" si="81"/>
        <v>0</v>
      </c>
      <c r="AT221" s="21">
        <f t="shared" si="82"/>
        <v>0</v>
      </c>
      <c r="AU221" s="34">
        <f t="shared" si="83"/>
        <v>0</v>
      </c>
      <c r="AW221" s="21" t="str">
        <f t="shared" si="84"/>
        <v/>
      </c>
      <c r="AX221" s="21" t="str">
        <f t="shared" si="85"/>
        <v/>
      </c>
      <c r="AY221" s="21" t="str">
        <f t="shared" si="86"/>
        <v/>
      </c>
      <c r="AZ221" s="21" t="str">
        <f t="shared" si="87"/>
        <v/>
      </c>
      <c r="BA221" s="21" t="str">
        <f t="shared" si="88"/>
        <v/>
      </c>
      <c r="BB221" s="21" t="str">
        <f t="shared" si="89"/>
        <v/>
      </c>
      <c r="BC221" s="21" t="str">
        <f t="shared" si="90"/>
        <v/>
      </c>
    </row>
    <row r="222" spans="1:55" ht="13.5">
      <c r="A222" s="21" t="str">
        <f>IF(Base!B220="","",Base!B220)</f>
        <v>12.093.149-0</v>
      </c>
      <c r="B222" s="21" t="str">
        <f>IF(Base!F220="","",Base!F220)</f>
        <v>ANGEL GUILLERMO  CONTRERAS  CORTES</v>
      </c>
      <c r="C222" s="21" t="str">
        <f>IF(Base!I220="","",Base!I220)</f>
        <v xml:space="preserve">Setup </v>
      </c>
      <c r="D222" s="22" t="str">
        <f>IF(Base!J220="","",Base!J220)</f>
        <v xml:space="preserve">Setup </v>
      </c>
      <c r="E222" s="21">
        <f>IF(Base!H220="","",Base!H220)</f>
        <v>1050529</v>
      </c>
      <c r="J222" s="28">
        <v>212</v>
      </c>
      <c r="K222" s="61"/>
      <c r="L222" s="58" t="str">
        <f t="shared" si="72"/>
        <v/>
      </c>
      <c r="M222" s="58" t="str">
        <f t="shared" si="73"/>
        <v/>
      </c>
      <c r="N222" s="59" t="str">
        <f t="shared" si="74"/>
        <v/>
      </c>
      <c r="O222" s="59" t="str">
        <f t="shared" si="75"/>
        <v/>
      </c>
      <c r="P222" s="30"/>
      <c r="Q222" s="35"/>
      <c r="R222" s="63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2">
        <f t="shared" si="91"/>
        <v>0</v>
      </c>
      <c r="AF222" s="32">
        <f t="shared" si="92"/>
        <v>0</v>
      </c>
      <c r="AG222" s="33"/>
      <c r="AL222" s="21" t="str">
        <f t="shared" si="93"/>
        <v/>
      </c>
      <c r="AM222" s="21">
        <v>213</v>
      </c>
      <c r="AN222" s="21">
        <f t="shared" si="76"/>
        <v>0</v>
      </c>
      <c r="AO222" s="21">
        <f t="shared" si="77"/>
        <v>0</v>
      </c>
      <c r="AP222" s="21">
        <f t="shared" si="78"/>
        <v>0</v>
      </c>
      <c r="AQ222" s="21">
        <f t="shared" si="79"/>
        <v>0</v>
      </c>
      <c r="AR222" s="21">
        <f t="shared" si="80"/>
        <v>0</v>
      </c>
      <c r="AS222" s="21">
        <f t="shared" si="81"/>
        <v>0</v>
      </c>
      <c r="AT222" s="21">
        <f t="shared" si="82"/>
        <v>0</v>
      </c>
      <c r="AU222" s="34">
        <f t="shared" si="83"/>
        <v>0</v>
      </c>
      <c r="AW222" s="21" t="str">
        <f t="shared" si="84"/>
        <v/>
      </c>
      <c r="AX222" s="21" t="str">
        <f t="shared" si="85"/>
        <v/>
      </c>
      <c r="AY222" s="21" t="str">
        <f t="shared" si="86"/>
        <v/>
      </c>
      <c r="AZ222" s="21" t="str">
        <f t="shared" si="87"/>
        <v/>
      </c>
      <c r="BA222" s="21" t="str">
        <f t="shared" si="88"/>
        <v/>
      </c>
      <c r="BB222" s="21" t="str">
        <f t="shared" si="89"/>
        <v/>
      </c>
      <c r="BC222" s="21" t="str">
        <f t="shared" si="90"/>
        <v/>
      </c>
    </row>
    <row r="223" spans="1:55" ht="13.5">
      <c r="A223" s="21" t="str">
        <f>IF(Base!B221="","",Base!B221)</f>
        <v>21.318.186-6</v>
      </c>
      <c r="B223" s="21" t="str">
        <f>IF(Base!F221="","",Base!F221)</f>
        <v>CLAUDIO ALBERTO  DONOSO  ROSAS</v>
      </c>
      <c r="C223" s="21" t="str">
        <f>IF(Base!I221="","",Base!I221)</f>
        <v>Linea 1</v>
      </c>
      <c r="D223" s="22" t="str">
        <f>IF(Base!J221="","",Base!J221)</f>
        <v>Etiquetador</v>
      </c>
      <c r="E223" s="21">
        <f>IF(Base!H221="","",Base!H221)</f>
        <v>1050552</v>
      </c>
      <c r="J223" s="28">
        <v>213</v>
      </c>
      <c r="K223" s="61"/>
      <c r="L223" s="58" t="str">
        <f t="shared" si="72"/>
        <v/>
      </c>
      <c r="M223" s="58" t="str">
        <f t="shared" si="73"/>
        <v/>
      </c>
      <c r="N223" s="59" t="str">
        <f t="shared" si="74"/>
        <v/>
      </c>
      <c r="O223" s="59" t="str">
        <f t="shared" si="75"/>
        <v/>
      </c>
      <c r="P223" s="30"/>
      <c r="Q223" s="35"/>
      <c r="R223" s="63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2">
        <f t="shared" si="91"/>
        <v>0</v>
      </c>
      <c r="AF223" s="32">
        <f t="shared" si="92"/>
        <v>0</v>
      </c>
      <c r="AG223" s="33"/>
      <c r="AL223" s="21" t="str">
        <f t="shared" si="93"/>
        <v/>
      </c>
      <c r="AM223" s="21">
        <v>214</v>
      </c>
      <c r="AN223" s="21">
        <f t="shared" si="76"/>
        <v>0</v>
      </c>
      <c r="AO223" s="21">
        <f t="shared" si="77"/>
        <v>0</v>
      </c>
      <c r="AP223" s="21">
        <f t="shared" si="78"/>
        <v>0</v>
      </c>
      <c r="AQ223" s="21">
        <f t="shared" si="79"/>
        <v>0</v>
      </c>
      <c r="AR223" s="21">
        <f t="shared" si="80"/>
        <v>0</v>
      </c>
      <c r="AS223" s="21">
        <f t="shared" si="81"/>
        <v>0</v>
      </c>
      <c r="AT223" s="21">
        <f t="shared" si="82"/>
        <v>0</v>
      </c>
      <c r="AU223" s="34">
        <f t="shared" si="83"/>
        <v>0</v>
      </c>
      <c r="AW223" s="21" t="str">
        <f t="shared" si="84"/>
        <v/>
      </c>
      <c r="AX223" s="21" t="str">
        <f t="shared" si="85"/>
        <v/>
      </c>
      <c r="AY223" s="21" t="str">
        <f t="shared" si="86"/>
        <v/>
      </c>
      <c r="AZ223" s="21" t="str">
        <f t="shared" si="87"/>
        <v/>
      </c>
      <c r="BA223" s="21" t="str">
        <f t="shared" si="88"/>
        <v/>
      </c>
      <c r="BB223" s="21" t="str">
        <f t="shared" si="89"/>
        <v/>
      </c>
      <c r="BC223" s="21" t="str">
        <f t="shared" si="90"/>
        <v/>
      </c>
    </row>
    <row r="224" spans="1:55" ht="13.5">
      <c r="A224" s="21" t="str">
        <f>IF(Base!B222="","",Base!B222)</f>
        <v>15.533.689-7</v>
      </c>
      <c r="B224" s="21" t="str">
        <f>IF(Base!F222="","",Base!F222)</f>
        <v>ROBERTO  DURAN  BRAVO</v>
      </c>
      <c r="C224" s="21" t="str">
        <f>IF(Base!I222="","",Base!I222)</f>
        <v xml:space="preserve">Setup </v>
      </c>
      <c r="D224" s="22" t="str">
        <f>IF(Base!J222="","",Base!J222)</f>
        <v xml:space="preserve">Setup </v>
      </c>
      <c r="E224" s="21">
        <f>IF(Base!H222="","",Base!H222)</f>
        <v>1050529</v>
      </c>
      <c r="J224" s="28">
        <v>214</v>
      </c>
      <c r="K224" s="61"/>
      <c r="L224" s="58" t="str">
        <f t="shared" si="72"/>
        <v/>
      </c>
      <c r="M224" s="58" t="str">
        <f t="shared" si="73"/>
        <v/>
      </c>
      <c r="N224" s="59" t="str">
        <f t="shared" si="74"/>
        <v/>
      </c>
      <c r="O224" s="59" t="str">
        <f t="shared" si="75"/>
        <v/>
      </c>
      <c r="P224" s="30"/>
      <c r="Q224" s="35"/>
      <c r="R224" s="63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2">
        <f t="shared" si="91"/>
        <v>0</v>
      </c>
      <c r="AF224" s="32">
        <f t="shared" si="92"/>
        <v>0</v>
      </c>
      <c r="AG224" s="33"/>
      <c r="AL224" s="21" t="str">
        <f t="shared" si="93"/>
        <v/>
      </c>
      <c r="AM224" s="21">
        <v>215</v>
      </c>
      <c r="AN224" s="21">
        <f t="shared" si="76"/>
        <v>0</v>
      </c>
      <c r="AO224" s="21">
        <f t="shared" si="77"/>
        <v>0</v>
      </c>
      <c r="AP224" s="21">
        <f t="shared" si="78"/>
        <v>0</v>
      </c>
      <c r="AQ224" s="21">
        <f t="shared" si="79"/>
        <v>0</v>
      </c>
      <c r="AR224" s="21">
        <f t="shared" si="80"/>
        <v>0</v>
      </c>
      <c r="AS224" s="21">
        <f t="shared" si="81"/>
        <v>0</v>
      </c>
      <c r="AT224" s="21">
        <f t="shared" si="82"/>
        <v>0</v>
      </c>
      <c r="AU224" s="34">
        <f t="shared" si="83"/>
        <v>0</v>
      </c>
      <c r="AW224" s="21" t="str">
        <f t="shared" si="84"/>
        <v/>
      </c>
      <c r="AX224" s="21" t="str">
        <f t="shared" si="85"/>
        <v/>
      </c>
      <c r="AY224" s="21" t="str">
        <f t="shared" si="86"/>
        <v/>
      </c>
      <c r="AZ224" s="21" t="str">
        <f t="shared" si="87"/>
        <v/>
      </c>
      <c r="BA224" s="21" t="str">
        <f t="shared" si="88"/>
        <v/>
      </c>
      <c r="BB224" s="21" t="str">
        <f t="shared" si="89"/>
        <v/>
      </c>
      <c r="BC224" s="21" t="str">
        <f t="shared" si="90"/>
        <v/>
      </c>
    </row>
    <row r="225" spans="1:55" ht="13.5">
      <c r="A225" s="21" t="str">
        <f>IF(Base!B223="","",Base!B223)</f>
        <v>15.449.281-K</v>
      </c>
      <c r="B225" s="21" t="str">
        <f>IF(Base!F223="","",Base!F223)</f>
        <v>ROBERTO FABIAN  DURAN  MIRANDA</v>
      </c>
      <c r="C225" s="21" t="str">
        <f>IF(Base!I223="","",Base!I223)</f>
        <v xml:space="preserve">Setup </v>
      </c>
      <c r="D225" s="22" t="str">
        <f>IF(Base!J223="","",Base!J223)</f>
        <v xml:space="preserve">Setup </v>
      </c>
      <c r="E225" s="21">
        <f>IF(Base!H223="","",Base!H223)</f>
        <v>1050529</v>
      </c>
      <c r="J225" s="28">
        <v>215</v>
      </c>
      <c r="K225" s="61"/>
      <c r="L225" s="58" t="str">
        <f t="shared" si="72"/>
        <v/>
      </c>
      <c r="M225" s="58" t="str">
        <f t="shared" si="73"/>
        <v/>
      </c>
      <c r="N225" s="59" t="str">
        <f t="shared" si="74"/>
        <v/>
      </c>
      <c r="O225" s="59" t="str">
        <f t="shared" si="75"/>
        <v/>
      </c>
      <c r="P225" s="30"/>
      <c r="Q225" s="35"/>
      <c r="R225" s="63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2">
        <f t="shared" si="91"/>
        <v>0</v>
      </c>
      <c r="AF225" s="32">
        <f t="shared" si="92"/>
        <v>0</v>
      </c>
      <c r="AG225" s="33"/>
      <c r="AL225" s="21" t="str">
        <f t="shared" si="93"/>
        <v/>
      </c>
      <c r="AM225" s="21">
        <v>216</v>
      </c>
      <c r="AN225" s="21">
        <f t="shared" si="76"/>
        <v>0</v>
      </c>
      <c r="AO225" s="21">
        <f t="shared" si="77"/>
        <v>0</v>
      </c>
      <c r="AP225" s="21">
        <f t="shared" si="78"/>
        <v>0</v>
      </c>
      <c r="AQ225" s="21">
        <f t="shared" si="79"/>
        <v>0</v>
      </c>
      <c r="AR225" s="21">
        <f t="shared" si="80"/>
        <v>0</v>
      </c>
      <c r="AS225" s="21">
        <f t="shared" si="81"/>
        <v>0</v>
      </c>
      <c r="AT225" s="21">
        <f t="shared" si="82"/>
        <v>0</v>
      </c>
      <c r="AU225" s="34">
        <f t="shared" si="83"/>
        <v>0</v>
      </c>
      <c r="AW225" s="21" t="str">
        <f t="shared" si="84"/>
        <v/>
      </c>
      <c r="AX225" s="21" t="str">
        <f t="shared" si="85"/>
        <v/>
      </c>
      <c r="AY225" s="21" t="str">
        <f t="shared" si="86"/>
        <v/>
      </c>
      <c r="AZ225" s="21" t="str">
        <f t="shared" si="87"/>
        <v/>
      </c>
      <c r="BA225" s="21" t="str">
        <f t="shared" si="88"/>
        <v/>
      </c>
      <c r="BB225" s="21" t="str">
        <f t="shared" si="89"/>
        <v/>
      </c>
      <c r="BC225" s="21" t="str">
        <f t="shared" si="90"/>
        <v/>
      </c>
    </row>
    <row r="226" spans="1:55" ht="13.5">
      <c r="A226" s="21" t="str">
        <f>IF(Base!B224="","",Base!B224)</f>
        <v>08.247.677-6</v>
      </c>
      <c r="B226" s="21" t="str">
        <f>IF(Base!F224="","",Base!F224)</f>
        <v>HUMBERTO GERMAN  ESCOBAR  GUTIERREZ</v>
      </c>
      <c r="C226" s="21" t="str">
        <f>IF(Base!I224="","",Base!I224)</f>
        <v xml:space="preserve">Setup </v>
      </c>
      <c r="D226" s="22" t="str">
        <f>IF(Base!J224="","",Base!J224)</f>
        <v xml:space="preserve">Setup </v>
      </c>
      <c r="E226" s="21">
        <f>IF(Base!H224="","",Base!H224)</f>
        <v>1050529</v>
      </c>
      <c r="J226" s="28">
        <v>216</v>
      </c>
      <c r="K226" s="61"/>
      <c r="L226" s="58" t="str">
        <f t="shared" si="72"/>
        <v/>
      </c>
      <c r="M226" s="58" t="str">
        <f t="shared" si="73"/>
        <v/>
      </c>
      <c r="N226" s="59" t="str">
        <f t="shared" si="74"/>
        <v/>
      </c>
      <c r="O226" s="59" t="str">
        <f t="shared" si="75"/>
        <v/>
      </c>
      <c r="P226" s="30"/>
      <c r="Q226" s="35"/>
      <c r="R226" s="63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2">
        <f t="shared" si="91"/>
        <v>0</v>
      </c>
      <c r="AF226" s="32">
        <f t="shared" si="92"/>
        <v>0</v>
      </c>
      <c r="AG226" s="33"/>
      <c r="AL226" s="21" t="str">
        <f t="shared" si="93"/>
        <v/>
      </c>
      <c r="AM226" s="21">
        <v>217</v>
      </c>
      <c r="AN226" s="21">
        <f t="shared" si="76"/>
        <v>0</v>
      </c>
      <c r="AO226" s="21">
        <f t="shared" si="77"/>
        <v>0</v>
      </c>
      <c r="AP226" s="21">
        <f t="shared" si="78"/>
        <v>0</v>
      </c>
      <c r="AQ226" s="21">
        <f t="shared" si="79"/>
        <v>0</v>
      </c>
      <c r="AR226" s="21">
        <f t="shared" si="80"/>
        <v>0</v>
      </c>
      <c r="AS226" s="21">
        <f t="shared" si="81"/>
        <v>0</v>
      </c>
      <c r="AT226" s="21">
        <f t="shared" si="82"/>
        <v>0</v>
      </c>
      <c r="AU226" s="34">
        <f t="shared" si="83"/>
        <v>0</v>
      </c>
      <c r="AW226" s="21" t="str">
        <f t="shared" si="84"/>
        <v/>
      </c>
      <c r="AX226" s="21" t="str">
        <f t="shared" si="85"/>
        <v/>
      </c>
      <c r="AY226" s="21" t="str">
        <f t="shared" si="86"/>
        <v/>
      </c>
      <c r="AZ226" s="21" t="str">
        <f t="shared" si="87"/>
        <v/>
      </c>
      <c r="BA226" s="21" t="str">
        <f t="shared" si="88"/>
        <v/>
      </c>
      <c r="BB226" s="21" t="str">
        <f t="shared" si="89"/>
        <v/>
      </c>
      <c r="BC226" s="21" t="str">
        <f t="shared" si="90"/>
        <v/>
      </c>
    </row>
    <row r="227" spans="1:55" ht="13.5">
      <c r="A227" s="21" t="str">
        <f>IF(Base!B225="","",Base!B225)</f>
        <v>16.413.939-5</v>
      </c>
      <c r="B227" s="21" t="str">
        <f>IF(Base!F225="","",Base!F225)</f>
        <v>FABIAN  ESPINOZA  MATURANA</v>
      </c>
      <c r="C227" s="21" t="str">
        <f>IF(Base!I225="","",Base!I225)</f>
        <v>Linea 7</v>
      </c>
      <c r="D227" s="22" t="str">
        <f>IF(Base!J225="","",Base!J225)</f>
        <v>Etiquetador</v>
      </c>
      <c r="E227" s="21">
        <f>IF(Base!H225="","",Base!H225)</f>
        <v>1050616</v>
      </c>
      <c r="J227" s="28">
        <v>217</v>
      </c>
      <c r="K227" s="61"/>
      <c r="L227" s="58" t="str">
        <f t="shared" si="72"/>
        <v/>
      </c>
      <c r="M227" s="58" t="str">
        <f t="shared" si="73"/>
        <v/>
      </c>
      <c r="N227" s="59" t="str">
        <f t="shared" si="74"/>
        <v/>
      </c>
      <c r="O227" s="59" t="str">
        <f t="shared" si="75"/>
        <v/>
      </c>
      <c r="P227" s="30"/>
      <c r="Q227" s="35"/>
      <c r="R227" s="63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2">
        <f t="shared" si="91"/>
        <v>0</v>
      </c>
      <c r="AF227" s="32">
        <f t="shared" si="92"/>
        <v>0</v>
      </c>
      <c r="AG227" s="33"/>
      <c r="AL227" s="21" t="str">
        <f t="shared" si="93"/>
        <v/>
      </c>
      <c r="AM227" s="21">
        <v>218</v>
      </c>
      <c r="AN227" s="21">
        <f t="shared" si="76"/>
        <v>0</v>
      </c>
      <c r="AO227" s="21">
        <f t="shared" si="77"/>
        <v>0</v>
      </c>
      <c r="AP227" s="21">
        <f t="shared" si="78"/>
        <v>0</v>
      </c>
      <c r="AQ227" s="21">
        <f t="shared" si="79"/>
        <v>0</v>
      </c>
      <c r="AR227" s="21">
        <f t="shared" si="80"/>
        <v>0</v>
      </c>
      <c r="AS227" s="21">
        <f t="shared" si="81"/>
        <v>0</v>
      </c>
      <c r="AT227" s="21">
        <f t="shared" si="82"/>
        <v>0</v>
      </c>
      <c r="AU227" s="34">
        <f t="shared" si="83"/>
        <v>0</v>
      </c>
      <c r="AW227" s="21" t="str">
        <f t="shared" si="84"/>
        <v/>
      </c>
      <c r="AX227" s="21" t="str">
        <f t="shared" si="85"/>
        <v/>
      </c>
      <c r="AY227" s="21" t="str">
        <f t="shared" si="86"/>
        <v/>
      </c>
      <c r="AZ227" s="21" t="str">
        <f t="shared" si="87"/>
        <v/>
      </c>
      <c r="BA227" s="21" t="str">
        <f t="shared" si="88"/>
        <v/>
      </c>
      <c r="BB227" s="21" t="str">
        <f t="shared" si="89"/>
        <v/>
      </c>
      <c r="BC227" s="21" t="str">
        <f t="shared" si="90"/>
        <v/>
      </c>
    </row>
    <row r="228" spans="1:55" ht="13.5">
      <c r="A228" s="21" t="str">
        <f>IF(Base!B226="","",Base!B226)</f>
        <v>07.974.375-5</v>
      </c>
      <c r="B228" s="21" t="str">
        <f>IF(Base!F226="","",Base!F226)</f>
        <v>WILSON  GARRIDO  ACEVEDO</v>
      </c>
      <c r="C228" s="21" t="str">
        <f>IF(Base!I226="","",Base!I226)</f>
        <v xml:space="preserve">Setup </v>
      </c>
      <c r="D228" s="22" t="str">
        <f>IF(Base!J226="","",Base!J226)</f>
        <v xml:space="preserve">Setup </v>
      </c>
      <c r="E228" s="21">
        <f>IF(Base!H226="","",Base!H226)</f>
        <v>1050529</v>
      </c>
      <c r="J228" s="28">
        <v>218</v>
      </c>
      <c r="K228" s="60"/>
      <c r="L228" s="58" t="str">
        <f t="shared" si="72"/>
        <v/>
      </c>
      <c r="M228" s="58" t="str">
        <f t="shared" si="73"/>
        <v/>
      </c>
      <c r="N228" s="59" t="str">
        <f t="shared" si="74"/>
        <v/>
      </c>
      <c r="O228" s="59" t="str">
        <f t="shared" si="75"/>
        <v/>
      </c>
      <c r="P228" s="30"/>
      <c r="Q228" s="35"/>
      <c r="R228" s="63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2">
        <f t="shared" si="91"/>
        <v>0</v>
      </c>
      <c r="AF228" s="32">
        <f t="shared" si="92"/>
        <v>0</v>
      </c>
      <c r="AG228" s="33"/>
      <c r="AL228" s="21" t="str">
        <f t="shared" si="93"/>
        <v/>
      </c>
      <c r="AM228" s="21">
        <v>219</v>
      </c>
      <c r="AN228" s="21">
        <f t="shared" si="76"/>
        <v>0</v>
      </c>
      <c r="AO228" s="21">
        <f t="shared" si="77"/>
        <v>0</v>
      </c>
      <c r="AP228" s="21">
        <f t="shared" si="78"/>
        <v>0</v>
      </c>
      <c r="AQ228" s="21">
        <f t="shared" si="79"/>
        <v>0</v>
      </c>
      <c r="AR228" s="21">
        <f t="shared" si="80"/>
        <v>0</v>
      </c>
      <c r="AS228" s="21">
        <f t="shared" si="81"/>
        <v>0</v>
      </c>
      <c r="AT228" s="21">
        <f t="shared" si="82"/>
        <v>0</v>
      </c>
      <c r="AU228" s="34">
        <f t="shared" si="83"/>
        <v>0</v>
      </c>
      <c r="AW228" s="21" t="str">
        <f t="shared" si="84"/>
        <v/>
      </c>
      <c r="AX228" s="21" t="str">
        <f t="shared" si="85"/>
        <v/>
      </c>
      <c r="AY228" s="21" t="str">
        <f t="shared" si="86"/>
        <v/>
      </c>
      <c r="AZ228" s="21" t="str">
        <f t="shared" si="87"/>
        <v/>
      </c>
      <c r="BA228" s="21" t="str">
        <f t="shared" si="88"/>
        <v/>
      </c>
      <c r="BB228" s="21" t="str">
        <f t="shared" si="89"/>
        <v/>
      </c>
      <c r="BC228" s="21" t="str">
        <f t="shared" si="90"/>
        <v/>
      </c>
    </row>
    <row r="229" spans="1:55" ht="13.5">
      <c r="A229" s="21" t="str">
        <f>IF(Base!B227="","",Base!B227)</f>
        <v>07.815.068-8</v>
      </c>
      <c r="B229" s="21" t="str">
        <f>IF(Base!F227="","",Base!F227)</f>
        <v>ANA MARITZA  JORQUERA  DURAN</v>
      </c>
      <c r="C229" s="21" t="str">
        <f>IF(Base!I227="","",Base!I227)</f>
        <v xml:space="preserve">Setup </v>
      </c>
      <c r="D229" s="22" t="str">
        <f>IF(Base!J227="","",Base!J227)</f>
        <v xml:space="preserve">Setup </v>
      </c>
      <c r="E229" s="21">
        <f>IF(Base!H227="","",Base!H227)</f>
        <v>1050529</v>
      </c>
      <c r="J229" s="28">
        <v>219</v>
      </c>
      <c r="K229" s="60"/>
      <c r="L229" s="58" t="str">
        <f t="shared" si="72"/>
        <v/>
      </c>
      <c r="M229" s="58" t="str">
        <f t="shared" si="73"/>
        <v/>
      </c>
      <c r="N229" s="59" t="str">
        <f t="shared" si="74"/>
        <v/>
      </c>
      <c r="O229" s="59" t="str">
        <f t="shared" si="75"/>
        <v/>
      </c>
      <c r="P229" s="30"/>
      <c r="Q229" s="35"/>
      <c r="R229" s="63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2">
        <f t="shared" si="91"/>
        <v>0</v>
      </c>
      <c r="AF229" s="32">
        <f t="shared" si="92"/>
        <v>0</v>
      </c>
      <c r="AG229" s="33"/>
      <c r="AL229" s="21" t="str">
        <f t="shared" si="93"/>
        <v/>
      </c>
      <c r="AM229" s="21">
        <v>220</v>
      </c>
      <c r="AN229" s="21">
        <f t="shared" si="76"/>
        <v>0</v>
      </c>
      <c r="AO229" s="21">
        <f t="shared" si="77"/>
        <v>0</v>
      </c>
      <c r="AP229" s="21">
        <f t="shared" si="78"/>
        <v>0</v>
      </c>
      <c r="AQ229" s="21">
        <f t="shared" si="79"/>
        <v>0</v>
      </c>
      <c r="AR229" s="21">
        <f t="shared" si="80"/>
        <v>0</v>
      </c>
      <c r="AS229" s="21">
        <f t="shared" si="81"/>
        <v>0</v>
      </c>
      <c r="AT229" s="21">
        <f t="shared" si="82"/>
        <v>0</v>
      </c>
      <c r="AU229" s="34">
        <f t="shared" si="83"/>
        <v>0</v>
      </c>
      <c r="AW229" s="21" t="str">
        <f t="shared" si="84"/>
        <v/>
      </c>
      <c r="AX229" s="21" t="str">
        <f t="shared" si="85"/>
        <v/>
      </c>
      <c r="AY229" s="21" t="str">
        <f t="shared" si="86"/>
        <v/>
      </c>
      <c r="AZ229" s="21" t="str">
        <f t="shared" si="87"/>
        <v/>
      </c>
      <c r="BA229" s="21" t="str">
        <f t="shared" si="88"/>
        <v/>
      </c>
      <c r="BB229" s="21" t="str">
        <f t="shared" si="89"/>
        <v/>
      </c>
      <c r="BC229" s="21" t="str">
        <f t="shared" si="90"/>
        <v/>
      </c>
    </row>
    <row r="230" spans="1:55" ht="13.5">
      <c r="A230" s="21" t="str">
        <f>IF(Base!B228="","",Base!B228)</f>
        <v>15.445.100-5</v>
      </c>
      <c r="B230" s="21" t="str">
        <f>IF(Base!F228="","",Base!F228)</f>
        <v>FELIPE ANDRES  MACAYA  MOSCOSO</v>
      </c>
      <c r="C230" s="21" t="str">
        <f>IF(Base!I228="","",Base!I228)</f>
        <v xml:space="preserve">Setup </v>
      </c>
      <c r="D230" s="22" t="str">
        <f>IF(Base!J228="","",Base!J228)</f>
        <v xml:space="preserve">Setup </v>
      </c>
      <c r="E230" s="21">
        <f>IF(Base!H228="","",Base!H228)</f>
        <v>1050529</v>
      </c>
      <c r="J230" s="28">
        <v>220</v>
      </c>
      <c r="K230" s="60"/>
      <c r="L230" s="58" t="str">
        <f t="shared" si="72"/>
        <v/>
      </c>
      <c r="M230" s="58" t="str">
        <f t="shared" si="73"/>
        <v/>
      </c>
      <c r="N230" s="59" t="str">
        <f t="shared" si="74"/>
        <v/>
      </c>
      <c r="O230" s="59" t="str">
        <f t="shared" si="75"/>
        <v/>
      </c>
      <c r="P230" s="30"/>
      <c r="Q230" s="35"/>
      <c r="R230" s="63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2">
        <f t="shared" si="91"/>
        <v>0</v>
      </c>
      <c r="AF230" s="32">
        <f t="shared" si="92"/>
        <v>0</v>
      </c>
      <c r="AG230" s="33"/>
      <c r="AL230" s="21" t="str">
        <f t="shared" si="93"/>
        <v/>
      </c>
      <c r="AM230" s="21">
        <v>221</v>
      </c>
      <c r="AN230" s="21">
        <f t="shared" si="76"/>
        <v>0</v>
      </c>
      <c r="AO230" s="21">
        <f t="shared" si="77"/>
        <v>0</v>
      </c>
      <c r="AP230" s="21">
        <f t="shared" si="78"/>
        <v>0</v>
      </c>
      <c r="AQ230" s="21">
        <f t="shared" si="79"/>
        <v>0</v>
      </c>
      <c r="AR230" s="21">
        <f t="shared" si="80"/>
        <v>0</v>
      </c>
      <c r="AS230" s="21">
        <f t="shared" si="81"/>
        <v>0</v>
      </c>
      <c r="AT230" s="21">
        <f t="shared" si="82"/>
        <v>0</v>
      </c>
      <c r="AU230" s="34">
        <f t="shared" si="83"/>
        <v>0</v>
      </c>
      <c r="AW230" s="21" t="str">
        <f t="shared" si="84"/>
        <v/>
      </c>
      <c r="AX230" s="21" t="str">
        <f t="shared" si="85"/>
        <v/>
      </c>
      <c r="AY230" s="21" t="str">
        <f t="shared" si="86"/>
        <v/>
      </c>
      <c r="AZ230" s="21" t="str">
        <f t="shared" si="87"/>
        <v/>
      </c>
      <c r="BA230" s="21" t="str">
        <f t="shared" si="88"/>
        <v/>
      </c>
      <c r="BB230" s="21" t="str">
        <f t="shared" si="89"/>
        <v/>
      </c>
      <c r="BC230" s="21" t="str">
        <f t="shared" si="90"/>
        <v/>
      </c>
    </row>
    <row r="231" spans="1:55" ht="13.5">
      <c r="A231" s="21" t="str">
        <f>IF(Base!B229="","",Base!B229)</f>
        <v>15.102.640-0</v>
      </c>
      <c r="B231" s="21" t="str">
        <f>IF(Base!F229="","",Base!F229)</f>
        <v>LUIS  MARDONES  ROJAS</v>
      </c>
      <c r="C231" s="21" t="str">
        <f>IF(Base!I229="","",Base!I229)</f>
        <v xml:space="preserve">Setup </v>
      </c>
      <c r="D231" s="22" t="str">
        <f>IF(Base!J229="","",Base!J229)</f>
        <v xml:space="preserve">Setup </v>
      </c>
      <c r="E231" s="21">
        <f>IF(Base!H229="","",Base!H229)</f>
        <v>1050529</v>
      </c>
      <c r="J231" s="28">
        <v>221</v>
      </c>
      <c r="K231" s="60"/>
      <c r="L231" s="58" t="str">
        <f t="shared" si="72"/>
        <v/>
      </c>
      <c r="M231" s="58" t="str">
        <f t="shared" si="73"/>
        <v/>
      </c>
      <c r="N231" s="59" t="str">
        <f t="shared" si="74"/>
        <v/>
      </c>
      <c r="O231" s="59" t="str">
        <f t="shared" si="75"/>
        <v/>
      </c>
      <c r="P231" s="30"/>
      <c r="Q231" s="35"/>
      <c r="R231" s="63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2">
        <f t="shared" si="91"/>
        <v>0</v>
      </c>
      <c r="AF231" s="32">
        <f t="shared" si="92"/>
        <v>0</v>
      </c>
      <c r="AG231" s="33"/>
      <c r="AL231" s="21" t="str">
        <f t="shared" si="93"/>
        <v/>
      </c>
      <c r="AM231" s="21">
        <v>222</v>
      </c>
      <c r="AN231" s="21">
        <f t="shared" si="76"/>
        <v>0</v>
      </c>
      <c r="AO231" s="21">
        <f t="shared" si="77"/>
        <v>0</v>
      </c>
      <c r="AP231" s="21">
        <f t="shared" si="78"/>
        <v>0</v>
      </c>
      <c r="AQ231" s="21">
        <f t="shared" si="79"/>
        <v>0</v>
      </c>
      <c r="AR231" s="21">
        <f t="shared" si="80"/>
        <v>0</v>
      </c>
      <c r="AS231" s="21">
        <f t="shared" si="81"/>
        <v>0</v>
      </c>
      <c r="AT231" s="21">
        <f t="shared" si="82"/>
        <v>0</v>
      </c>
      <c r="AU231" s="34">
        <f t="shared" si="83"/>
        <v>0</v>
      </c>
      <c r="AW231" s="21" t="str">
        <f t="shared" si="84"/>
        <v/>
      </c>
      <c r="AX231" s="21" t="str">
        <f t="shared" si="85"/>
        <v/>
      </c>
      <c r="AY231" s="21" t="str">
        <f t="shared" si="86"/>
        <v/>
      </c>
      <c r="AZ231" s="21" t="str">
        <f t="shared" si="87"/>
        <v/>
      </c>
      <c r="BA231" s="21" t="str">
        <f t="shared" si="88"/>
        <v/>
      </c>
      <c r="BB231" s="21" t="str">
        <f t="shared" si="89"/>
        <v/>
      </c>
      <c r="BC231" s="21" t="str">
        <f t="shared" si="90"/>
        <v/>
      </c>
    </row>
    <row r="232" spans="1:55" ht="13.5">
      <c r="A232" s="21" t="str">
        <f>IF(Base!B230="","",Base!B230)</f>
        <v>16.649.200-9</v>
      </c>
      <c r="B232" s="21" t="str">
        <f>IF(Base!F230="","",Base!F230)</f>
        <v>VICTOR ALFONSO  MARTINEZ  RIVERA</v>
      </c>
      <c r="C232" s="21" t="str">
        <f>IF(Base!I230="","",Base!I230)</f>
        <v xml:space="preserve">Setup </v>
      </c>
      <c r="D232" s="22" t="str">
        <f>IF(Base!J230="","",Base!J230)</f>
        <v xml:space="preserve">Setup </v>
      </c>
      <c r="E232" s="21">
        <f>IF(Base!H230="","",Base!H230)</f>
        <v>1050529</v>
      </c>
      <c r="J232" s="28">
        <v>222</v>
      </c>
      <c r="K232" s="60"/>
      <c r="L232" s="58" t="str">
        <f t="shared" si="72"/>
        <v/>
      </c>
      <c r="M232" s="58" t="str">
        <f t="shared" si="73"/>
        <v/>
      </c>
      <c r="N232" s="59" t="str">
        <f t="shared" si="74"/>
        <v/>
      </c>
      <c r="O232" s="59" t="str">
        <f t="shared" si="75"/>
        <v/>
      </c>
      <c r="P232" s="30"/>
      <c r="Q232" s="35"/>
      <c r="R232" s="63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2">
        <f t="shared" si="91"/>
        <v>0</v>
      </c>
      <c r="AF232" s="32">
        <f t="shared" si="92"/>
        <v>0</v>
      </c>
      <c r="AG232" s="33"/>
      <c r="AL232" s="21" t="str">
        <f t="shared" si="93"/>
        <v/>
      </c>
      <c r="AM232" s="21">
        <v>223</v>
      </c>
      <c r="AN232" s="21">
        <f t="shared" si="76"/>
        <v>0</v>
      </c>
      <c r="AO232" s="21">
        <f t="shared" si="77"/>
        <v>0</v>
      </c>
      <c r="AP232" s="21">
        <f t="shared" si="78"/>
        <v>0</v>
      </c>
      <c r="AQ232" s="21">
        <f t="shared" si="79"/>
        <v>0</v>
      </c>
      <c r="AR232" s="21">
        <f t="shared" si="80"/>
        <v>0</v>
      </c>
      <c r="AS232" s="21">
        <f t="shared" si="81"/>
        <v>0</v>
      </c>
      <c r="AT232" s="21">
        <f t="shared" si="82"/>
        <v>0</v>
      </c>
      <c r="AU232" s="34">
        <f t="shared" si="83"/>
        <v>0</v>
      </c>
      <c r="AW232" s="21" t="str">
        <f t="shared" si="84"/>
        <v/>
      </c>
      <c r="AX232" s="21" t="str">
        <f t="shared" si="85"/>
        <v/>
      </c>
      <c r="AY232" s="21" t="str">
        <f t="shared" si="86"/>
        <v/>
      </c>
      <c r="AZ232" s="21" t="str">
        <f t="shared" si="87"/>
        <v/>
      </c>
      <c r="BA232" s="21" t="str">
        <f t="shared" si="88"/>
        <v/>
      </c>
      <c r="BB232" s="21" t="str">
        <f t="shared" si="89"/>
        <v/>
      </c>
      <c r="BC232" s="21" t="str">
        <f t="shared" si="90"/>
        <v/>
      </c>
    </row>
    <row r="233" spans="1:55" ht="13.5">
      <c r="A233" s="21" t="str">
        <f>IF(Base!B231="","",Base!B231)</f>
        <v>10.033.627-8</v>
      </c>
      <c r="B233" s="21" t="str">
        <f>IF(Base!F231="","",Base!F231)</f>
        <v>MARCO  MOLINA  FERNANDEZ</v>
      </c>
      <c r="C233" s="21" t="str">
        <f>IF(Base!I231="","",Base!I231)</f>
        <v xml:space="preserve">Setup </v>
      </c>
      <c r="D233" s="22" t="str">
        <f>IF(Base!J231="","",Base!J231)</f>
        <v xml:space="preserve">Setup </v>
      </c>
      <c r="E233" s="21">
        <f>IF(Base!H231="","",Base!H231)</f>
        <v>1050529</v>
      </c>
      <c r="J233" s="28">
        <v>223</v>
      </c>
      <c r="K233" s="60"/>
      <c r="L233" s="58" t="str">
        <f t="shared" si="72"/>
        <v/>
      </c>
      <c r="M233" s="58" t="str">
        <f t="shared" si="73"/>
        <v/>
      </c>
      <c r="N233" s="59" t="str">
        <f t="shared" si="74"/>
        <v/>
      </c>
      <c r="O233" s="59" t="str">
        <f t="shared" si="75"/>
        <v/>
      </c>
      <c r="P233" s="30"/>
      <c r="Q233" s="35"/>
      <c r="R233" s="63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2">
        <f t="shared" si="91"/>
        <v>0</v>
      </c>
      <c r="AF233" s="32">
        <f t="shared" si="92"/>
        <v>0</v>
      </c>
      <c r="AG233" s="33"/>
      <c r="AL233" s="21" t="str">
        <f t="shared" si="93"/>
        <v/>
      </c>
      <c r="AM233" s="21">
        <v>224</v>
      </c>
      <c r="AN233" s="21">
        <f t="shared" si="76"/>
        <v>0</v>
      </c>
      <c r="AO233" s="21">
        <f t="shared" si="77"/>
        <v>0</v>
      </c>
      <c r="AP233" s="21">
        <f t="shared" si="78"/>
        <v>0</v>
      </c>
      <c r="AQ233" s="21">
        <f t="shared" si="79"/>
        <v>0</v>
      </c>
      <c r="AR233" s="21">
        <f t="shared" si="80"/>
        <v>0</v>
      </c>
      <c r="AS233" s="21">
        <f t="shared" si="81"/>
        <v>0</v>
      </c>
      <c r="AT233" s="21">
        <f t="shared" si="82"/>
        <v>0</v>
      </c>
      <c r="AU233" s="34">
        <f t="shared" si="83"/>
        <v>0</v>
      </c>
      <c r="AW233" s="21" t="str">
        <f t="shared" si="84"/>
        <v/>
      </c>
      <c r="AX233" s="21" t="str">
        <f t="shared" si="85"/>
        <v/>
      </c>
      <c r="AY233" s="21" t="str">
        <f t="shared" si="86"/>
        <v/>
      </c>
      <c r="AZ233" s="21" t="str">
        <f t="shared" si="87"/>
        <v/>
      </c>
      <c r="BA233" s="21" t="str">
        <f t="shared" si="88"/>
        <v/>
      </c>
      <c r="BB233" s="21" t="str">
        <f t="shared" si="89"/>
        <v/>
      </c>
      <c r="BC233" s="21" t="str">
        <f t="shared" si="90"/>
        <v/>
      </c>
    </row>
    <row r="234" spans="1:55" ht="13.5">
      <c r="A234" s="21" t="str">
        <f>IF(Base!B232="","",Base!B232)</f>
        <v>13.835.073-8</v>
      </c>
      <c r="B234" s="21" t="str">
        <f>IF(Base!F232="","",Base!F232)</f>
        <v>AMERICO  NORESE  GUAJARDO</v>
      </c>
      <c r="C234" s="21" t="str">
        <f>IF(Base!I232="","",Base!I232)</f>
        <v xml:space="preserve">Setup </v>
      </c>
      <c r="D234" s="22" t="str">
        <f>IF(Base!J232="","",Base!J232)</f>
        <v xml:space="preserve">Setup </v>
      </c>
      <c r="E234" s="21">
        <f>IF(Base!H232="","",Base!H232)</f>
        <v>1050529</v>
      </c>
      <c r="J234" s="28">
        <v>224</v>
      </c>
      <c r="K234" s="60"/>
      <c r="L234" s="58" t="str">
        <f t="shared" si="72"/>
        <v/>
      </c>
      <c r="M234" s="58" t="str">
        <f t="shared" si="73"/>
        <v/>
      </c>
      <c r="N234" s="59" t="str">
        <f t="shared" si="74"/>
        <v/>
      </c>
      <c r="O234" s="59" t="str">
        <f t="shared" si="75"/>
        <v/>
      </c>
      <c r="P234" s="30"/>
      <c r="Q234" s="35"/>
      <c r="R234" s="63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2">
        <f t="shared" si="91"/>
        <v>0</v>
      </c>
      <c r="AF234" s="32">
        <f t="shared" si="92"/>
        <v>0</v>
      </c>
      <c r="AG234" s="33"/>
      <c r="AL234" s="21" t="str">
        <f t="shared" si="93"/>
        <v/>
      </c>
      <c r="AM234" s="21">
        <v>225</v>
      </c>
      <c r="AN234" s="21">
        <f t="shared" si="76"/>
        <v>0</v>
      </c>
      <c r="AO234" s="21">
        <f t="shared" si="77"/>
        <v>0</v>
      </c>
      <c r="AP234" s="21">
        <f t="shared" si="78"/>
        <v>0</v>
      </c>
      <c r="AQ234" s="21">
        <f t="shared" si="79"/>
        <v>0</v>
      </c>
      <c r="AR234" s="21">
        <f t="shared" si="80"/>
        <v>0</v>
      </c>
      <c r="AS234" s="21">
        <f t="shared" si="81"/>
        <v>0</v>
      </c>
      <c r="AT234" s="21">
        <f t="shared" si="82"/>
        <v>0</v>
      </c>
      <c r="AU234" s="34">
        <f t="shared" si="83"/>
        <v>0</v>
      </c>
      <c r="AW234" s="21" t="str">
        <f t="shared" si="84"/>
        <v/>
      </c>
      <c r="AX234" s="21" t="str">
        <f t="shared" si="85"/>
        <v/>
      </c>
      <c r="AY234" s="21" t="str">
        <f t="shared" si="86"/>
        <v/>
      </c>
      <c r="AZ234" s="21" t="str">
        <f t="shared" si="87"/>
        <v/>
      </c>
      <c r="BA234" s="21" t="str">
        <f t="shared" si="88"/>
        <v/>
      </c>
      <c r="BB234" s="21" t="str">
        <f t="shared" si="89"/>
        <v/>
      </c>
      <c r="BC234" s="21" t="str">
        <f t="shared" si="90"/>
        <v/>
      </c>
    </row>
    <row r="235" spans="1:55" ht="13.5">
      <c r="A235" s="21" t="str">
        <f>IF(Base!B233="","",Base!B233)</f>
        <v>16.169.301-4</v>
      </c>
      <c r="B235" s="21" t="str">
        <f>IF(Base!F233="","",Base!F233)</f>
        <v>JOSE MAURICIO  ÑANCUCHEO  MARIQUEO</v>
      </c>
      <c r="C235" s="21" t="str">
        <f>IF(Base!I233="","",Base!I233)</f>
        <v xml:space="preserve">Setup </v>
      </c>
      <c r="D235" s="22" t="str">
        <f>IF(Base!J233="","",Base!J233)</f>
        <v xml:space="preserve">Setup </v>
      </c>
      <c r="E235" s="21">
        <f>IF(Base!H233="","",Base!H233)</f>
        <v>1050529</v>
      </c>
      <c r="J235" s="28">
        <v>225</v>
      </c>
      <c r="K235" s="60"/>
      <c r="L235" s="58" t="str">
        <f t="shared" si="72"/>
        <v/>
      </c>
      <c r="M235" s="58" t="str">
        <f t="shared" si="73"/>
        <v/>
      </c>
      <c r="N235" s="59" t="str">
        <f t="shared" si="74"/>
        <v/>
      </c>
      <c r="O235" s="59" t="str">
        <f t="shared" si="75"/>
        <v/>
      </c>
      <c r="P235" s="30"/>
      <c r="Q235" s="35"/>
      <c r="R235" s="63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2">
        <f t="shared" si="91"/>
        <v>0</v>
      </c>
      <c r="AF235" s="32">
        <f t="shared" si="92"/>
        <v>0</v>
      </c>
      <c r="AG235" s="33"/>
      <c r="AL235" s="21" t="str">
        <f t="shared" si="93"/>
        <v/>
      </c>
      <c r="AM235" s="21">
        <v>226</v>
      </c>
      <c r="AN235" s="21">
        <f t="shared" si="76"/>
        <v>0</v>
      </c>
      <c r="AO235" s="21">
        <f t="shared" si="77"/>
        <v>0</v>
      </c>
      <c r="AP235" s="21">
        <f t="shared" si="78"/>
        <v>0</v>
      </c>
      <c r="AQ235" s="21">
        <f t="shared" si="79"/>
        <v>0</v>
      </c>
      <c r="AR235" s="21">
        <f t="shared" si="80"/>
        <v>0</v>
      </c>
      <c r="AS235" s="21">
        <f t="shared" si="81"/>
        <v>0</v>
      </c>
      <c r="AT235" s="21">
        <f t="shared" si="82"/>
        <v>0</v>
      </c>
      <c r="AU235" s="34">
        <f t="shared" si="83"/>
        <v>0</v>
      </c>
      <c r="AW235" s="21" t="str">
        <f t="shared" si="84"/>
        <v/>
      </c>
      <c r="AX235" s="21" t="str">
        <f t="shared" si="85"/>
        <v/>
      </c>
      <c r="AY235" s="21" t="str">
        <f t="shared" si="86"/>
        <v/>
      </c>
      <c r="AZ235" s="21" t="str">
        <f t="shared" si="87"/>
        <v/>
      </c>
      <c r="BA235" s="21" t="str">
        <f t="shared" si="88"/>
        <v/>
      </c>
      <c r="BB235" s="21" t="str">
        <f t="shared" si="89"/>
        <v/>
      </c>
      <c r="BC235" s="21" t="str">
        <f t="shared" si="90"/>
        <v/>
      </c>
    </row>
    <row r="236" spans="1:55" ht="13.5">
      <c r="A236" s="21" t="str">
        <f>IF(Base!B234="","",Base!B234)</f>
        <v>13.284.475-5</v>
      </c>
      <c r="B236" s="21" t="str">
        <f>IF(Base!F234="","",Base!F234)</f>
        <v>ESTEBAN  OSORIO  LUCERO</v>
      </c>
      <c r="C236" s="21" t="str">
        <f>IF(Base!I234="","",Base!I234)</f>
        <v>Linea 1</v>
      </c>
      <c r="D236" s="22" t="str">
        <f>IF(Base!J234="","",Base!J234)</f>
        <v>Llenador</v>
      </c>
      <c r="E236" s="21">
        <f>IF(Base!H234="","",Base!H234)</f>
        <v>1050551</v>
      </c>
      <c r="J236" s="28">
        <v>226</v>
      </c>
      <c r="K236" s="60"/>
      <c r="L236" s="58" t="str">
        <f t="shared" si="72"/>
        <v/>
      </c>
      <c r="M236" s="58" t="str">
        <f t="shared" si="73"/>
        <v/>
      </c>
      <c r="N236" s="59" t="str">
        <f t="shared" si="74"/>
        <v/>
      </c>
      <c r="O236" s="59" t="str">
        <f t="shared" si="75"/>
        <v/>
      </c>
      <c r="P236" s="30"/>
      <c r="Q236" s="35"/>
      <c r="R236" s="63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2">
        <f t="shared" si="91"/>
        <v>0</v>
      </c>
      <c r="AF236" s="32">
        <f t="shared" si="92"/>
        <v>0</v>
      </c>
      <c r="AG236" s="33"/>
      <c r="AL236" s="21" t="str">
        <f t="shared" si="93"/>
        <v/>
      </c>
      <c r="AM236" s="21">
        <v>227</v>
      </c>
      <c r="AN236" s="21">
        <f t="shared" si="76"/>
        <v>0</v>
      </c>
      <c r="AO236" s="21">
        <f t="shared" si="77"/>
        <v>0</v>
      </c>
      <c r="AP236" s="21">
        <f t="shared" si="78"/>
        <v>0</v>
      </c>
      <c r="AQ236" s="21">
        <f t="shared" si="79"/>
        <v>0</v>
      </c>
      <c r="AR236" s="21">
        <f t="shared" si="80"/>
        <v>0</v>
      </c>
      <c r="AS236" s="21">
        <f t="shared" si="81"/>
        <v>0</v>
      </c>
      <c r="AT236" s="21">
        <f t="shared" si="82"/>
        <v>0</v>
      </c>
      <c r="AU236" s="34">
        <f t="shared" si="83"/>
        <v>0</v>
      </c>
      <c r="AW236" s="21" t="str">
        <f t="shared" si="84"/>
        <v/>
      </c>
      <c r="AX236" s="21" t="str">
        <f t="shared" si="85"/>
        <v/>
      </c>
      <c r="AY236" s="21" t="str">
        <f t="shared" si="86"/>
        <v/>
      </c>
      <c r="AZ236" s="21" t="str">
        <f t="shared" si="87"/>
        <v/>
      </c>
      <c r="BA236" s="21" t="str">
        <f t="shared" si="88"/>
        <v/>
      </c>
      <c r="BB236" s="21" t="str">
        <f t="shared" si="89"/>
        <v/>
      </c>
      <c r="BC236" s="21" t="str">
        <f t="shared" si="90"/>
        <v/>
      </c>
    </row>
    <row r="237" spans="1:55" ht="13.5">
      <c r="A237" s="21" t="str">
        <f>IF(Base!B235="","",Base!B235)</f>
        <v>07.816.805-6</v>
      </c>
      <c r="B237" s="21" t="str">
        <f>IF(Base!F235="","",Base!F235)</f>
        <v>JULIO CESAR  PINTO  FLORES</v>
      </c>
      <c r="C237" s="21" t="str">
        <f>IF(Base!I235="","",Base!I235)</f>
        <v xml:space="preserve">Setup </v>
      </c>
      <c r="D237" s="22" t="str">
        <f>IF(Base!J235="","",Base!J235)</f>
        <v xml:space="preserve">Setup </v>
      </c>
      <c r="E237" s="21">
        <f>IF(Base!H235="","",Base!H235)</f>
        <v>1050529</v>
      </c>
      <c r="J237" s="28">
        <v>227</v>
      </c>
      <c r="K237" s="60"/>
      <c r="L237" s="58" t="str">
        <f t="shared" si="72"/>
        <v/>
      </c>
      <c r="M237" s="58" t="str">
        <f t="shared" si="73"/>
        <v/>
      </c>
      <c r="N237" s="59" t="str">
        <f t="shared" si="74"/>
        <v/>
      </c>
      <c r="O237" s="59" t="str">
        <f t="shared" si="75"/>
        <v/>
      </c>
      <c r="P237" s="30"/>
      <c r="Q237" s="35"/>
      <c r="R237" s="63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2">
        <f t="shared" si="91"/>
        <v>0</v>
      </c>
      <c r="AF237" s="32">
        <f t="shared" si="92"/>
        <v>0</v>
      </c>
      <c r="AG237" s="33"/>
      <c r="AL237" s="21" t="str">
        <f t="shared" si="93"/>
        <v/>
      </c>
      <c r="AM237" s="21">
        <v>228</v>
      </c>
      <c r="AN237" s="21">
        <f t="shared" si="76"/>
        <v>0</v>
      </c>
      <c r="AO237" s="21">
        <f t="shared" si="77"/>
        <v>0</v>
      </c>
      <c r="AP237" s="21">
        <f t="shared" si="78"/>
        <v>0</v>
      </c>
      <c r="AQ237" s="21">
        <f t="shared" si="79"/>
        <v>0</v>
      </c>
      <c r="AR237" s="21">
        <f t="shared" si="80"/>
        <v>0</v>
      </c>
      <c r="AS237" s="21">
        <f t="shared" si="81"/>
        <v>0</v>
      </c>
      <c r="AT237" s="21">
        <f t="shared" si="82"/>
        <v>0</v>
      </c>
      <c r="AU237" s="34">
        <f t="shared" si="83"/>
        <v>0</v>
      </c>
      <c r="AW237" s="21" t="str">
        <f t="shared" si="84"/>
        <v/>
      </c>
      <c r="AX237" s="21" t="str">
        <f t="shared" si="85"/>
        <v/>
      </c>
      <c r="AY237" s="21" t="str">
        <f t="shared" si="86"/>
        <v/>
      </c>
      <c r="AZ237" s="21" t="str">
        <f t="shared" si="87"/>
        <v/>
      </c>
      <c r="BA237" s="21" t="str">
        <f t="shared" si="88"/>
        <v/>
      </c>
      <c r="BB237" s="21" t="str">
        <f t="shared" si="89"/>
        <v/>
      </c>
      <c r="BC237" s="21" t="str">
        <f t="shared" si="90"/>
        <v/>
      </c>
    </row>
    <row r="238" spans="1:55" ht="13.5">
      <c r="A238" s="21" t="str">
        <f>IF(Base!B236="","",Base!B236)</f>
        <v>10.042.860-1</v>
      </c>
      <c r="B238" s="21" t="str">
        <f>IF(Base!F236="","",Base!F236)</f>
        <v>LUIS ABRAHAM  QUIROGA  GARCIA</v>
      </c>
      <c r="C238" s="21" t="str">
        <f>IF(Base!I236="","",Base!I236)</f>
        <v xml:space="preserve">Setup </v>
      </c>
      <c r="D238" s="22" t="str">
        <f>IF(Base!J236="","",Base!J236)</f>
        <v xml:space="preserve">Setup </v>
      </c>
      <c r="E238" s="21">
        <f>IF(Base!H236="","",Base!H236)</f>
        <v>1050529</v>
      </c>
      <c r="J238" s="28">
        <v>228</v>
      </c>
      <c r="K238" s="60"/>
      <c r="L238" s="58" t="str">
        <f t="shared" si="72"/>
        <v/>
      </c>
      <c r="M238" s="58" t="str">
        <f t="shared" si="73"/>
        <v/>
      </c>
      <c r="N238" s="59" t="str">
        <f t="shared" si="74"/>
        <v/>
      </c>
      <c r="O238" s="59" t="str">
        <f t="shared" si="75"/>
        <v/>
      </c>
      <c r="P238" s="30"/>
      <c r="Q238" s="35"/>
      <c r="R238" s="63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2">
        <f t="shared" si="91"/>
        <v>0</v>
      </c>
      <c r="AF238" s="32">
        <f t="shared" si="92"/>
        <v>0</v>
      </c>
      <c r="AG238" s="33"/>
      <c r="AL238" s="21" t="str">
        <f t="shared" si="93"/>
        <v/>
      </c>
      <c r="AM238" s="21">
        <v>229</v>
      </c>
      <c r="AN238" s="21">
        <f t="shared" si="76"/>
        <v>0</v>
      </c>
      <c r="AO238" s="21">
        <f t="shared" si="77"/>
        <v>0</v>
      </c>
      <c r="AP238" s="21">
        <f t="shared" si="78"/>
        <v>0</v>
      </c>
      <c r="AQ238" s="21">
        <f t="shared" si="79"/>
        <v>0</v>
      </c>
      <c r="AR238" s="21">
        <f t="shared" si="80"/>
        <v>0</v>
      </c>
      <c r="AS238" s="21">
        <f t="shared" si="81"/>
        <v>0</v>
      </c>
      <c r="AT238" s="21">
        <f t="shared" si="82"/>
        <v>0</v>
      </c>
      <c r="AU238" s="34">
        <f t="shared" si="83"/>
        <v>0</v>
      </c>
      <c r="AW238" s="21" t="str">
        <f t="shared" si="84"/>
        <v/>
      </c>
      <c r="AX238" s="21" t="str">
        <f t="shared" si="85"/>
        <v/>
      </c>
      <c r="AY238" s="21" t="str">
        <f t="shared" si="86"/>
        <v/>
      </c>
      <c r="AZ238" s="21" t="str">
        <f t="shared" si="87"/>
        <v/>
      </c>
      <c r="BA238" s="21" t="str">
        <f t="shared" si="88"/>
        <v/>
      </c>
      <c r="BB238" s="21" t="str">
        <f t="shared" si="89"/>
        <v/>
      </c>
      <c r="BC238" s="21" t="str">
        <f t="shared" si="90"/>
        <v/>
      </c>
    </row>
    <row r="239" spans="1:55" ht="13.5">
      <c r="A239" s="21" t="str">
        <f>IF(Base!B237="","",Base!B237)</f>
        <v>14.005.587-5</v>
      </c>
      <c r="B239" s="21" t="str">
        <f>IF(Base!F237="","",Base!F237)</f>
        <v>GERARDO ALBERTO  RODRIGUEZ  TORO</v>
      </c>
      <c r="C239" s="21" t="str">
        <f>IF(Base!I237="","",Base!I237)</f>
        <v xml:space="preserve">Setup </v>
      </c>
      <c r="D239" s="22" t="str">
        <f>IF(Base!J237="","",Base!J237)</f>
        <v xml:space="preserve">Setup </v>
      </c>
      <c r="E239" s="21">
        <f>IF(Base!H237="","",Base!H237)</f>
        <v>1050529</v>
      </c>
      <c r="J239" s="28">
        <v>229</v>
      </c>
      <c r="K239" s="60"/>
      <c r="L239" s="58" t="str">
        <f t="shared" si="72"/>
        <v/>
      </c>
      <c r="M239" s="58" t="str">
        <f t="shared" si="73"/>
        <v/>
      </c>
      <c r="N239" s="59" t="str">
        <f t="shared" si="74"/>
        <v/>
      </c>
      <c r="O239" s="59" t="str">
        <f t="shared" si="75"/>
        <v/>
      </c>
      <c r="P239" s="30"/>
      <c r="Q239" s="35"/>
      <c r="R239" s="63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2">
        <f t="shared" si="91"/>
        <v>0</v>
      </c>
      <c r="AF239" s="32">
        <f t="shared" si="92"/>
        <v>0</v>
      </c>
      <c r="AG239" s="33"/>
      <c r="AL239" s="21" t="str">
        <f t="shared" si="93"/>
        <v/>
      </c>
      <c r="AM239" s="21">
        <v>230</v>
      </c>
      <c r="AN239" s="21">
        <f t="shared" si="76"/>
        <v>0</v>
      </c>
      <c r="AO239" s="21">
        <f t="shared" si="77"/>
        <v>0</v>
      </c>
      <c r="AP239" s="21">
        <f t="shared" si="78"/>
        <v>0</v>
      </c>
      <c r="AQ239" s="21">
        <f t="shared" si="79"/>
        <v>0</v>
      </c>
      <c r="AR239" s="21">
        <f t="shared" si="80"/>
        <v>0</v>
      </c>
      <c r="AS239" s="21">
        <f t="shared" si="81"/>
        <v>0</v>
      </c>
      <c r="AT239" s="21">
        <f t="shared" si="82"/>
        <v>0</v>
      </c>
      <c r="AU239" s="34">
        <f t="shared" si="83"/>
        <v>0</v>
      </c>
      <c r="AW239" s="21" t="str">
        <f t="shared" si="84"/>
        <v/>
      </c>
      <c r="AX239" s="21" t="str">
        <f t="shared" si="85"/>
        <v/>
      </c>
      <c r="AY239" s="21" t="str">
        <f t="shared" si="86"/>
        <v/>
      </c>
      <c r="AZ239" s="21" t="str">
        <f t="shared" si="87"/>
        <v/>
      </c>
      <c r="BA239" s="21" t="str">
        <f t="shared" si="88"/>
        <v/>
      </c>
      <c r="BB239" s="21" t="str">
        <f t="shared" si="89"/>
        <v/>
      </c>
      <c r="BC239" s="21" t="str">
        <f t="shared" si="90"/>
        <v/>
      </c>
    </row>
    <row r="240" spans="1:55" ht="13.5">
      <c r="A240" s="21" t="str">
        <f>IF(Base!B238="","",Base!B238)</f>
        <v>13.836.182-9</v>
      </c>
      <c r="B240" s="21" t="str">
        <f>IF(Base!F238="","",Base!F238)</f>
        <v>JOSE LUIS  SEPULVEDA  ANTILEO</v>
      </c>
      <c r="C240" s="21" t="str">
        <f>IF(Base!I238="","",Base!I238)</f>
        <v xml:space="preserve">Setup </v>
      </c>
      <c r="D240" s="22" t="str">
        <f>IF(Base!J238="","",Base!J238)</f>
        <v xml:space="preserve">Setup </v>
      </c>
      <c r="E240" s="21">
        <f>IF(Base!H238="","",Base!H238)</f>
        <v>1050529</v>
      </c>
      <c r="J240" s="28">
        <v>230</v>
      </c>
      <c r="K240" s="60"/>
      <c r="L240" s="58" t="str">
        <f t="shared" si="72"/>
        <v/>
      </c>
      <c r="M240" s="58" t="str">
        <f t="shared" si="73"/>
        <v/>
      </c>
      <c r="N240" s="59" t="str">
        <f t="shared" si="74"/>
        <v/>
      </c>
      <c r="O240" s="59" t="str">
        <f t="shared" si="75"/>
        <v/>
      </c>
      <c r="P240" s="30"/>
      <c r="Q240" s="35"/>
      <c r="R240" s="63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2">
        <f t="shared" si="91"/>
        <v>0</v>
      </c>
      <c r="AF240" s="32">
        <f t="shared" si="92"/>
        <v>0</v>
      </c>
      <c r="AG240" s="33"/>
      <c r="AL240" s="21" t="str">
        <f t="shared" si="93"/>
        <v/>
      </c>
      <c r="AM240" s="21">
        <v>231</v>
      </c>
      <c r="AN240" s="21">
        <f t="shared" si="76"/>
        <v>0</v>
      </c>
      <c r="AO240" s="21">
        <f t="shared" si="77"/>
        <v>0</v>
      </c>
      <c r="AP240" s="21">
        <f t="shared" si="78"/>
        <v>0</v>
      </c>
      <c r="AQ240" s="21">
        <f t="shared" si="79"/>
        <v>0</v>
      </c>
      <c r="AR240" s="21">
        <f t="shared" si="80"/>
        <v>0</v>
      </c>
      <c r="AS240" s="21">
        <f t="shared" si="81"/>
        <v>0</v>
      </c>
      <c r="AT240" s="21">
        <f t="shared" si="82"/>
        <v>0</v>
      </c>
      <c r="AU240" s="34">
        <f t="shared" si="83"/>
        <v>0</v>
      </c>
      <c r="AW240" s="21" t="str">
        <f t="shared" si="84"/>
        <v/>
      </c>
      <c r="AX240" s="21" t="str">
        <f t="shared" si="85"/>
        <v/>
      </c>
      <c r="AY240" s="21" t="str">
        <f t="shared" si="86"/>
        <v/>
      </c>
      <c r="AZ240" s="21" t="str">
        <f t="shared" si="87"/>
        <v/>
      </c>
      <c r="BA240" s="21" t="str">
        <f t="shared" si="88"/>
        <v/>
      </c>
      <c r="BB240" s="21" t="str">
        <f t="shared" si="89"/>
        <v/>
      </c>
      <c r="BC240" s="21" t="str">
        <f t="shared" si="90"/>
        <v/>
      </c>
    </row>
    <row r="241" spans="1:55" ht="13.5">
      <c r="A241" s="21" t="str">
        <f>IF(Base!B239="","",Base!B239)</f>
        <v>13.295.279-5</v>
      </c>
      <c r="B241" s="21" t="str">
        <f>IF(Base!F239="","",Base!F239)</f>
        <v>JUAN OSVALDO  TOLEDO  YEVENES</v>
      </c>
      <c r="C241" s="21" t="str">
        <f>IF(Base!I239="","",Base!I239)</f>
        <v xml:space="preserve">Setup </v>
      </c>
      <c r="D241" s="22" t="str">
        <f>IF(Base!J239="","",Base!J239)</f>
        <v xml:space="preserve">Setup </v>
      </c>
      <c r="E241" s="21">
        <f>IF(Base!H239="","",Base!H239)</f>
        <v>1050529</v>
      </c>
      <c r="J241" s="28">
        <v>231</v>
      </c>
      <c r="K241" s="60"/>
      <c r="L241" s="58" t="str">
        <f t="shared" si="72"/>
        <v/>
      </c>
      <c r="M241" s="58" t="str">
        <f t="shared" si="73"/>
        <v/>
      </c>
      <c r="N241" s="59" t="str">
        <f t="shared" si="74"/>
        <v/>
      </c>
      <c r="O241" s="59" t="str">
        <f t="shared" si="75"/>
        <v/>
      </c>
      <c r="P241" s="30"/>
      <c r="Q241" s="35"/>
      <c r="R241" s="63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2">
        <f t="shared" si="91"/>
        <v>0</v>
      </c>
      <c r="AF241" s="32">
        <f t="shared" si="92"/>
        <v>0</v>
      </c>
      <c r="AG241" s="33"/>
      <c r="AL241" s="21" t="str">
        <f t="shared" si="93"/>
        <v/>
      </c>
      <c r="AM241" s="21">
        <v>232</v>
      </c>
      <c r="AN241" s="21">
        <f t="shared" si="76"/>
        <v>0</v>
      </c>
      <c r="AO241" s="21">
        <f t="shared" si="77"/>
        <v>0</v>
      </c>
      <c r="AP241" s="21">
        <f t="shared" si="78"/>
        <v>0</v>
      </c>
      <c r="AQ241" s="21">
        <f t="shared" si="79"/>
        <v>0</v>
      </c>
      <c r="AR241" s="21">
        <f t="shared" si="80"/>
        <v>0</v>
      </c>
      <c r="AS241" s="21">
        <f t="shared" si="81"/>
        <v>0</v>
      </c>
      <c r="AT241" s="21">
        <f t="shared" si="82"/>
        <v>0</v>
      </c>
      <c r="AU241" s="34">
        <f t="shared" si="83"/>
        <v>0</v>
      </c>
      <c r="AW241" s="21" t="str">
        <f t="shared" si="84"/>
        <v/>
      </c>
      <c r="AX241" s="21" t="str">
        <f t="shared" si="85"/>
        <v/>
      </c>
      <c r="AY241" s="21" t="str">
        <f t="shared" si="86"/>
        <v/>
      </c>
      <c r="AZ241" s="21" t="str">
        <f t="shared" si="87"/>
        <v/>
      </c>
      <c r="BA241" s="21" t="str">
        <f t="shared" si="88"/>
        <v/>
      </c>
      <c r="BB241" s="21" t="str">
        <f t="shared" si="89"/>
        <v/>
      </c>
      <c r="BC241" s="21" t="str">
        <f t="shared" si="90"/>
        <v/>
      </c>
    </row>
    <row r="242" spans="1:55" ht="13.5">
      <c r="A242" s="21" t="str">
        <f>IF(Base!B240="","",Base!B240)</f>
        <v>10.849.486-7</v>
      </c>
      <c r="B242" s="21" t="str">
        <f>IF(Base!F240="","",Base!F240)</f>
        <v>ELVIO  VALDENEGRO  GARRIDO</v>
      </c>
      <c r="C242" s="21" t="str">
        <f>IF(Base!I240="","",Base!I240)</f>
        <v xml:space="preserve">Setup </v>
      </c>
      <c r="D242" s="22" t="str">
        <f>IF(Base!J240="","",Base!J240)</f>
        <v xml:space="preserve">Setup </v>
      </c>
      <c r="E242" s="21">
        <f>IF(Base!H240="","",Base!H240)</f>
        <v>1050529</v>
      </c>
      <c r="J242" s="28">
        <v>232</v>
      </c>
      <c r="K242" s="60"/>
      <c r="L242" s="58" t="str">
        <f t="shared" si="72"/>
        <v/>
      </c>
      <c r="M242" s="58" t="str">
        <f t="shared" si="73"/>
        <v/>
      </c>
      <c r="N242" s="59" t="str">
        <f t="shared" si="74"/>
        <v/>
      </c>
      <c r="O242" s="59" t="str">
        <f t="shared" si="75"/>
        <v/>
      </c>
      <c r="P242" s="30"/>
      <c r="Q242" s="35"/>
      <c r="R242" s="63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2">
        <f t="shared" si="91"/>
        <v>0</v>
      </c>
      <c r="AF242" s="32">
        <f t="shared" si="92"/>
        <v>0</v>
      </c>
      <c r="AG242" s="33"/>
      <c r="AL242" s="21" t="str">
        <f t="shared" si="93"/>
        <v/>
      </c>
      <c r="AM242" s="21">
        <v>233</v>
      </c>
      <c r="AN242" s="21">
        <f t="shared" si="76"/>
        <v>0</v>
      </c>
      <c r="AO242" s="21">
        <f t="shared" si="77"/>
        <v>0</v>
      </c>
      <c r="AP242" s="21">
        <f t="shared" si="78"/>
        <v>0</v>
      </c>
      <c r="AQ242" s="21">
        <f t="shared" si="79"/>
        <v>0</v>
      </c>
      <c r="AR242" s="21">
        <f t="shared" si="80"/>
        <v>0</v>
      </c>
      <c r="AS242" s="21">
        <f t="shared" si="81"/>
        <v>0</v>
      </c>
      <c r="AT242" s="21">
        <f t="shared" si="82"/>
        <v>0</v>
      </c>
      <c r="AU242" s="34">
        <f t="shared" si="83"/>
        <v>0</v>
      </c>
      <c r="AW242" s="21" t="str">
        <f t="shared" si="84"/>
        <v/>
      </c>
      <c r="AX242" s="21" t="str">
        <f t="shared" si="85"/>
        <v/>
      </c>
      <c r="AY242" s="21" t="str">
        <f t="shared" si="86"/>
        <v/>
      </c>
      <c r="AZ242" s="21" t="str">
        <f t="shared" si="87"/>
        <v/>
      </c>
      <c r="BA242" s="21" t="str">
        <f t="shared" si="88"/>
        <v/>
      </c>
      <c r="BB242" s="21" t="str">
        <f t="shared" si="89"/>
        <v/>
      </c>
      <c r="BC242" s="21" t="str">
        <f t="shared" si="90"/>
        <v/>
      </c>
    </row>
    <row r="243" spans="1:55" ht="13.5">
      <c r="A243" s="21" t="str">
        <f>IF(Base!B241="","",Base!B241)</f>
        <v>15.441.831-8</v>
      </c>
      <c r="B243" s="21" t="str">
        <f>IF(Base!F241="","",Base!F241)</f>
        <v>ROBERTO MARIO  VALDERRAMA  CAÑAS</v>
      </c>
      <c r="C243" s="21" t="str">
        <f>IF(Base!I241="","",Base!I241)</f>
        <v xml:space="preserve">Setup </v>
      </c>
      <c r="D243" s="22" t="str">
        <f>IF(Base!J241="","",Base!J241)</f>
        <v xml:space="preserve">Setup </v>
      </c>
      <c r="E243" s="21">
        <f>IF(Base!H241="","",Base!H241)</f>
        <v>1050529</v>
      </c>
      <c r="J243" s="28">
        <v>233</v>
      </c>
      <c r="K243" s="60"/>
      <c r="L243" s="58" t="str">
        <f t="shared" si="72"/>
        <v/>
      </c>
      <c r="M243" s="58" t="str">
        <f t="shared" si="73"/>
        <v/>
      </c>
      <c r="N243" s="59" t="str">
        <f t="shared" si="74"/>
        <v/>
      </c>
      <c r="O243" s="59" t="str">
        <f t="shared" si="75"/>
        <v/>
      </c>
      <c r="P243" s="30"/>
      <c r="Q243" s="35"/>
      <c r="R243" s="63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2">
        <f t="shared" si="91"/>
        <v>0</v>
      </c>
      <c r="AF243" s="32">
        <f t="shared" si="92"/>
        <v>0</v>
      </c>
      <c r="AG243" s="33"/>
      <c r="AL243" s="21" t="str">
        <f t="shared" si="93"/>
        <v/>
      </c>
      <c r="AM243" s="21">
        <v>234</v>
      </c>
      <c r="AN243" s="21">
        <f t="shared" si="76"/>
        <v>0</v>
      </c>
      <c r="AO243" s="21">
        <f t="shared" si="77"/>
        <v>0</v>
      </c>
      <c r="AP243" s="21">
        <f t="shared" si="78"/>
        <v>0</v>
      </c>
      <c r="AQ243" s="21">
        <f t="shared" si="79"/>
        <v>0</v>
      </c>
      <c r="AR243" s="21">
        <f t="shared" si="80"/>
        <v>0</v>
      </c>
      <c r="AS243" s="21">
        <f t="shared" si="81"/>
        <v>0</v>
      </c>
      <c r="AT243" s="21">
        <f t="shared" si="82"/>
        <v>0</v>
      </c>
      <c r="AU243" s="34">
        <f t="shared" si="83"/>
        <v>0</v>
      </c>
      <c r="AW243" s="21" t="str">
        <f t="shared" si="84"/>
        <v/>
      </c>
      <c r="AX243" s="21" t="str">
        <f t="shared" si="85"/>
        <v/>
      </c>
      <c r="AY243" s="21" t="str">
        <f t="shared" si="86"/>
        <v/>
      </c>
      <c r="AZ243" s="21" t="str">
        <f t="shared" si="87"/>
        <v/>
      </c>
      <c r="BA243" s="21" t="str">
        <f t="shared" si="88"/>
        <v/>
      </c>
      <c r="BB243" s="21" t="str">
        <f t="shared" si="89"/>
        <v/>
      </c>
      <c r="BC243" s="21" t="str">
        <f t="shared" si="90"/>
        <v/>
      </c>
    </row>
    <row r="244" spans="1:55" ht="13.5">
      <c r="A244" s="21" t="str">
        <f>IF(Base!B242="","",Base!B242)</f>
        <v>13.688.839-0</v>
      </c>
      <c r="B244" s="21" t="str">
        <f>IF(Base!F242="","",Base!F242)</f>
        <v>NOLBERTO  VILLAFAÑA  IBAÑEZ</v>
      </c>
      <c r="C244" s="21" t="str">
        <f>IF(Base!I242="","",Base!I242)</f>
        <v>Linea 6</v>
      </c>
      <c r="D244" s="22" t="str">
        <f>IF(Base!J242="","",Base!J242)</f>
        <v>Llenador</v>
      </c>
      <c r="E244" s="21">
        <f>IF(Base!H242="","",Base!H242)</f>
        <v>1050616</v>
      </c>
      <c r="J244" s="28">
        <v>234</v>
      </c>
      <c r="K244" s="60"/>
      <c r="L244" s="58" t="str">
        <f t="shared" si="72"/>
        <v/>
      </c>
      <c r="M244" s="58" t="str">
        <f t="shared" si="73"/>
        <v/>
      </c>
      <c r="N244" s="59" t="str">
        <f t="shared" si="74"/>
        <v/>
      </c>
      <c r="O244" s="59" t="str">
        <f t="shared" si="75"/>
        <v/>
      </c>
      <c r="P244" s="30"/>
      <c r="Q244" s="35"/>
      <c r="R244" s="63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2">
        <f t="shared" si="91"/>
        <v>0</v>
      </c>
      <c r="AF244" s="32">
        <f t="shared" si="92"/>
        <v>0</v>
      </c>
      <c r="AG244" s="33"/>
      <c r="AL244" s="21" t="str">
        <f t="shared" si="93"/>
        <v/>
      </c>
      <c r="AM244" s="21">
        <v>235</v>
      </c>
      <c r="AN244" s="21">
        <f t="shared" si="76"/>
        <v>0</v>
      </c>
      <c r="AO244" s="21">
        <f t="shared" si="77"/>
        <v>0</v>
      </c>
      <c r="AP244" s="21">
        <f t="shared" si="78"/>
        <v>0</v>
      </c>
      <c r="AQ244" s="21">
        <f t="shared" si="79"/>
        <v>0</v>
      </c>
      <c r="AR244" s="21">
        <f t="shared" si="80"/>
        <v>0</v>
      </c>
      <c r="AS244" s="21">
        <f t="shared" si="81"/>
        <v>0</v>
      </c>
      <c r="AT244" s="21">
        <f t="shared" si="82"/>
        <v>0</v>
      </c>
      <c r="AU244" s="34">
        <f t="shared" si="83"/>
        <v>0</v>
      </c>
      <c r="AW244" s="21" t="str">
        <f t="shared" si="84"/>
        <v/>
      </c>
      <c r="AX244" s="21" t="str">
        <f t="shared" si="85"/>
        <v/>
      </c>
      <c r="AY244" s="21" t="str">
        <f t="shared" si="86"/>
        <v/>
      </c>
      <c r="AZ244" s="21" t="str">
        <f t="shared" si="87"/>
        <v/>
      </c>
      <c r="BA244" s="21" t="str">
        <f t="shared" si="88"/>
        <v/>
      </c>
      <c r="BB244" s="21" t="str">
        <f t="shared" si="89"/>
        <v/>
      </c>
      <c r="BC244" s="21" t="str">
        <f t="shared" si="90"/>
        <v/>
      </c>
    </row>
    <row r="245" spans="1:55" ht="13.5">
      <c r="A245" s="21" t="str">
        <f>IF(Base!B243="","",Base!B243)</f>
        <v>08.110.698-3</v>
      </c>
      <c r="B245" s="21" t="str">
        <f>IF(Base!F243="","",Base!F243)</f>
        <v>XIMENA DEL ROSARIO  GUZMAN  CASTAÑEDA</v>
      </c>
      <c r="C245" s="21" t="str">
        <f>IF(Base!I243="","",Base!I243)</f>
        <v>Control y Gestión</v>
      </c>
      <c r="D245" s="22" t="str">
        <f>IF(Base!J243="","",Base!J243)</f>
        <v>Inspector tiempo</v>
      </c>
      <c r="E245" s="21">
        <f>IF(Base!H243="","",Base!H243)</f>
        <v>1050632</v>
      </c>
      <c r="J245" s="28">
        <v>235</v>
      </c>
      <c r="K245" s="60"/>
      <c r="L245" s="58" t="str">
        <f t="shared" si="72"/>
        <v/>
      </c>
      <c r="M245" s="58" t="str">
        <f t="shared" si="73"/>
        <v/>
      </c>
      <c r="N245" s="59" t="str">
        <f t="shared" si="74"/>
        <v/>
      </c>
      <c r="O245" s="59" t="str">
        <f t="shared" si="75"/>
        <v/>
      </c>
      <c r="P245" s="30"/>
      <c r="Q245" s="35"/>
      <c r="R245" s="63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2">
        <f t="shared" si="91"/>
        <v>0</v>
      </c>
      <c r="AF245" s="32">
        <f t="shared" si="92"/>
        <v>0</v>
      </c>
      <c r="AG245" s="33"/>
      <c r="AL245" s="21" t="str">
        <f t="shared" si="93"/>
        <v/>
      </c>
      <c r="AM245" s="21">
        <v>236</v>
      </c>
      <c r="AN245" s="21">
        <f t="shared" si="76"/>
        <v>0</v>
      </c>
      <c r="AO245" s="21">
        <f t="shared" si="77"/>
        <v>0</v>
      </c>
      <c r="AP245" s="21">
        <f t="shared" si="78"/>
        <v>0</v>
      </c>
      <c r="AQ245" s="21">
        <f t="shared" si="79"/>
        <v>0</v>
      </c>
      <c r="AR245" s="21">
        <f t="shared" si="80"/>
        <v>0</v>
      </c>
      <c r="AS245" s="21">
        <f t="shared" si="81"/>
        <v>0</v>
      </c>
      <c r="AT245" s="21">
        <f t="shared" si="82"/>
        <v>0</v>
      </c>
      <c r="AU245" s="34">
        <f t="shared" si="83"/>
        <v>0</v>
      </c>
      <c r="AW245" s="21" t="str">
        <f t="shared" si="84"/>
        <v/>
      </c>
      <c r="AX245" s="21" t="str">
        <f t="shared" si="85"/>
        <v/>
      </c>
      <c r="AY245" s="21" t="str">
        <f t="shared" si="86"/>
        <v/>
      </c>
      <c r="AZ245" s="21" t="str">
        <f t="shared" si="87"/>
        <v/>
      </c>
      <c r="BA245" s="21" t="str">
        <f t="shared" si="88"/>
        <v/>
      </c>
      <c r="BB245" s="21" t="str">
        <f t="shared" si="89"/>
        <v/>
      </c>
      <c r="BC245" s="21" t="str">
        <f t="shared" si="90"/>
        <v/>
      </c>
    </row>
    <row r="246" spans="1:55" ht="13.5">
      <c r="A246" s="21" t="str">
        <f>IF(Base!B244="","",Base!B244)</f>
        <v>15444116-6</v>
      </c>
      <c r="B246" s="21" t="str">
        <f>IF(Base!F244="","",Base!F244)</f>
        <v>MANUEL  MAULEN   GUTIERREZ</v>
      </c>
      <c r="C246" s="21" t="str">
        <f>IF(Base!I244="","",Base!I244)</f>
        <v>Linea 2</v>
      </c>
      <c r="D246" s="22" t="str">
        <f>IF(Base!J244="","",Base!J244)</f>
        <v>Embalador</v>
      </c>
      <c r="E246" s="21">
        <f>IF(Base!H244="","",Base!H244)</f>
        <v>1050554</v>
      </c>
      <c r="J246" s="28">
        <v>236</v>
      </c>
      <c r="K246" s="60"/>
      <c r="L246" s="58" t="str">
        <f t="shared" si="72"/>
        <v/>
      </c>
      <c r="M246" s="58" t="str">
        <f t="shared" si="73"/>
        <v/>
      </c>
      <c r="N246" s="59" t="str">
        <f t="shared" si="74"/>
        <v/>
      </c>
      <c r="O246" s="59" t="str">
        <f t="shared" si="75"/>
        <v/>
      </c>
      <c r="P246" s="30"/>
      <c r="Q246" s="35"/>
      <c r="R246" s="63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2">
        <f t="shared" si="91"/>
        <v>0</v>
      </c>
      <c r="AF246" s="32">
        <f t="shared" si="92"/>
        <v>0</v>
      </c>
      <c r="AG246" s="33"/>
      <c r="AL246" s="21" t="str">
        <f t="shared" si="93"/>
        <v/>
      </c>
      <c r="AM246" s="21">
        <v>237</v>
      </c>
      <c r="AN246" s="21">
        <f t="shared" si="76"/>
        <v>0</v>
      </c>
      <c r="AO246" s="21">
        <f t="shared" si="77"/>
        <v>0</v>
      </c>
      <c r="AP246" s="21">
        <f t="shared" si="78"/>
        <v>0</v>
      </c>
      <c r="AQ246" s="21">
        <f t="shared" si="79"/>
        <v>0</v>
      </c>
      <c r="AR246" s="21">
        <f t="shared" si="80"/>
        <v>0</v>
      </c>
      <c r="AS246" s="21">
        <f t="shared" si="81"/>
        <v>0</v>
      </c>
      <c r="AT246" s="21">
        <f t="shared" si="82"/>
        <v>0</v>
      </c>
      <c r="AU246" s="34">
        <f t="shared" si="83"/>
        <v>0</v>
      </c>
      <c r="AW246" s="21" t="str">
        <f t="shared" si="84"/>
        <v/>
      </c>
      <c r="AX246" s="21" t="str">
        <f t="shared" si="85"/>
        <v/>
      </c>
      <c r="AY246" s="21" t="str">
        <f t="shared" si="86"/>
        <v/>
      </c>
      <c r="AZ246" s="21" t="str">
        <f t="shared" si="87"/>
        <v/>
      </c>
      <c r="BA246" s="21" t="str">
        <f t="shared" si="88"/>
        <v/>
      </c>
      <c r="BB246" s="21" t="str">
        <f t="shared" si="89"/>
        <v/>
      </c>
      <c r="BC246" s="21" t="str">
        <f t="shared" si="90"/>
        <v/>
      </c>
    </row>
    <row r="247" spans="1:55" ht="13.5">
      <c r="A247" s="21" t="str">
        <f>IF(Base!B245="","",Base!B245)</f>
        <v>16.441.596-1</v>
      </c>
      <c r="B247" s="21" t="str">
        <f>IF(Base!F245="","",Base!F245)</f>
        <v>DAYANA PAULETTE  VIDAL  OTAROLA</v>
      </c>
      <c r="C247" s="21" t="str">
        <f>IF(Base!I245="","",Base!I245)</f>
        <v>TPM</v>
      </c>
      <c r="D247" s="22" t="str">
        <f>IF(Base!J245="","",Base!J245)</f>
        <v>Secretaria TPM</v>
      </c>
      <c r="E247" s="21">
        <f>IF(Base!H245="","",Base!H245)</f>
        <v>1050604</v>
      </c>
      <c r="J247" s="28">
        <v>237</v>
      </c>
      <c r="K247" s="60"/>
      <c r="L247" s="58" t="str">
        <f t="shared" si="72"/>
        <v/>
      </c>
      <c r="M247" s="58" t="str">
        <f t="shared" si="73"/>
        <v/>
      </c>
      <c r="N247" s="59" t="str">
        <f t="shared" si="74"/>
        <v/>
      </c>
      <c r="O247" s="59" t="str">
        <f t="shared" si="75"/>
        <v/>
      </c>
      <c r="P247" s="30"/>
      <c r="Q247" s="35"/>
      <c r="R247" s="63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2">
        <f t="shared" si="91"/>
        <v>0</v>
      </c>
      <c r="AF247" s="32">
        <f t="shared" si="92"/>
        <v>0</v>
      </c>
      <c r="AG247" s="33"/>
      <c r="AL247" s="21" t="str">
        <f t="shared" si="93"/>
        <v/>
      </c>
      <c r="AM247" s="21">
        <v>238</v>
      </c>
      <c r="AN247" s="21">
        <f t="shared" si="76"/>
        <v>0</v>
      </c>
      <c r="AO247" s="21">
        <f t="shared" si="77"/>
        <v>0</v>
      </c>
      <c r="AP247" s="21">
        <f t="shared" si="78"/>
        <v>0</v>
      </c>
      <c r="AQ247" s="21">
        <f t="shared" si="79"/>
        <v>0</v>
      </c>
      <c r="AR247" s="21">
        <f t="shared" si="80"/>
        <v>0</v>
      </c>
      <c r="AS247" s="21">
        <f t="shared" si="81"/>
        <v>0</v>
      </c>
      <c r="AT247" s="21">
        <f t="shared" si="82"/>
        <v>0</v>
      </c>
      <c r="AU247" s="34">
        <f t="shared" si="83"/>
        <v>0</v>
      </c>
      <c r="AW247" s="21" t="str">
        <f t="shared" si="84"/>
        <v/>
      </c>
      <c r="AX247" s="21" t="str">
        <f t="shared" si="85"/>
        <v/>
      </c>
      <c r="AY247" s="21" t="str">
        <f t="shared" si="86"/>
        <v/>
      </c>
      <c r="AZ247" s="21" t="str">
        <f t="shared" si="87"/>
        <v/>
      </c>
      <c r="BA247" s="21" t="str">
        <f t="shared" si="88"/>
        <v/>
      </c>
      <c r="BB247" s="21" t="str">
        <f t="shared" si="89"/>
        <v/>
      </c>
      <c r="BC247" s="21" t="str">
        <f t="shared" si="90"/>
        <v/>
      </c>
    </row>
    <row r="248" spans="1:55" ht="13.5">
      <c r="A248" s="21" t="str">
        <f>IF(Base!B246="","",Base!B246)</f>
        <v>12.210.109-0</v>
      </c>
      <c r="B248" s="21" t="str">
        <f>IF(Base!F246="","",Base!F246)</f>
        <v>ROBERTO FERNANDO  ESCOBAR  RIVERA</v>
      </c>
      <c r="C248" s="21" t="str">
        <f>IF(Base!I246="","",Base!I246)</f>
        <v>Setup</v>
      </c>
      <c r="D248" s="22" t="str">
        <f>IF(Base!J246="","",Base!J246)</f>
        <v>Setup</v>
      </c>
      <c r="E248" s="21">
        <f>IF(Base!H246="","",Base!H246)</f>
        <v>1050529</v>
      </c>
      <c r="J248" s="28">
        <v>238</v>
      </c>
      <c r="K248" s="60"/>
      <c r="L248" s="58" t="str">
        <f t="shared" si="72"/>
        <v/>
      </c>
      <c r="M248" s="58" t="str">
        <f t="shared" si="73"/>
        <v/>
      </c>
      <c r="N248" s="59" t="str">
        <f t="shared" si="74"/>
        <v/>
      </c>
      <c r="O248" s="59" t="str">
        <f t="shared" si="75"/>
        <v/>
      </c>
      <c r="P248" s="30"/>
      <c r="Q248" s="35"/>
      <c r="R248" s="63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2">
        <f t="shared" si="91"/>
        <v>0</v>
      </c>
      <c r="AF248" s="32">
        <f t="shared" si="92"/>
        <v>0</v>
      </c>
      <c r="AG248" s="33"/>
      <c r="AL248" s="21" t="str">
        <f t="shared" si="93"/>
        <v/>
      </c>
      <c r="AM248" s="21">
        <v>239</v>
      </c>
      <c r="AN248" s="21">
        <f t="shared" si="76"/>
        <v>0</v>
      </c>
      <c r="AO248" s="21">
        <f t="shared" si="77"/>
        <v>0</v>
      </c>
      <c r="AP248" s="21">
        <f t="shared" si="78"/>
        <v>0</v>
      </c>
      <c r="AQ248" s="21">
        <f t="shared" si="79"/>
        <v>0</v>
      </c>
      <c r="AR248" s="21">
        <f t="shared" si="80"/>
        <v>0</v>
      </c>
      <c r="AS248" s="21">
        <f t="shared" si="81"/>
        <v>0</v>
      </c>
      <c r="AT248" s="21">
        <f t="shared" si="82"/>
        <v>0</v>
      </c>
      <c r="AU248" s="34">
        <f t="shared" si="83"/>
        <v>0</v>
      </c>
      <c r="AW248" s="21" t="str">
        <f t="shared" si="84"/>
        <v/>
      </c>
      <c r="AX248" s="21" t="str">
        <f t="shared" si="85"/>
        <v/>
      </c>
      <c r="AY248" s="21" t="str">
        <f t="shared" si="86"/>
        <v/>
      </c>
      <c r="AZ248" s="21" t="str">
        <f t="shared" si="87"/>
        <v/>
      </c>
      <c r="BA248" s="21" t="str">
        <f t="shared" si="88"/>
        <v/>
      </c>
      <c r="BB248" s="21" t="str">
        <f t="shared" si="89"/>
        <v/>
      </c>
      <c r="BC248" s="21" t="str">
        <f t="shared" si="90"/>
        <v/>
      </c>
    </row>
    <row r="249" spans="1:55" ht="13.5">
      <c r="A249" s="21" t="str">
        <f>IF(Base!B247="","",Base!B247)</f>
        <v>9.004.326-9</v>
      </c>
      <c r="B249" s="21" t="str">
        <f>IF(Base!F247="","",Base!F247)</f>
        <v>ANDRES EDUARDO  LORCA  FARIAS</v>
      </c>
      <c r="C249" s="21" t="str">
        <f>IF(Base!I247="","",Base!I247)</f>
        <v>TPM</v>
      </c>
      <c r="D249" s="22" t="str">
        <f>IF(Base!J247="","",Base!J247)</f>
        <v>Encargado TPM</v>
      </c>
      <c r="E249" s="21">
        <f>IF(Base!H247="","",Base!H247)</f>
        <v>1050604</v>
      </c>
      <c r="J249" s="28">
        <v>239</v>
      </c>
      <c r="K249" s="60"/>
      <c r="L249" s="58" t="str">
        <f t="shared" si="72"/>
        <v/>
      </c>
      <c r="M249" s="58" t="str">
        <f t="shared" si="73"/>
        <v/>
      </c>
      <c r="N249" s="59" t="str">
        <f t="shared" si="74"/>
        <v/>
      </c>
      <c r="O249" s="59" t="str">
        <f t="shared" si="75"/>
        <v/>
      </c>
      <c r="P249" s="30"/>
      <c r="Q249" s="35"/>
      <c r="R249" s="63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2">
        <f t="shared" si="91"/>
        <v>0</v>
      </c>
      <c r="AF249" s="32">
        <f t="shared" si="92"/>
        <v>0</v>
      </c>
      <c r="AG249" s="33"/>
      <c r="AL249" s="21" t="str">
        <f t="shared" si="93"/>
        <v/>
      </c>
      <c r="AM249" s="21">
        <v>240</v>
      </c>
      <c r="AN249" s="21">
        <f t="shared" si="76"/>
        <v>0</v>
      </c>
      <c r="AO249" s="21">
        <f t="shared" si="77"/>
        <v>0</v>
      </c>
      <c r="AP249" s="21">
        <f t="shared" si="78"/>
        <v>0</v>
      </c>
      <c r="AQ249" s="21">
        <f t="shared" si="79"/>
        <v>0</v>
      </c>
      <c r="AR249" s="21">
        <f t="shared" si="80"/>
        <v>0</v>
      </c>
      <c r="AS249" s="21">
        <f t="shared" si="81"/>
        <v>0</v>
      </c>
      <c r="AT249" s="21">
        <f t="shared" si="82"/>
        <v>0</v>
      </c>
      <c r="AU249" s="34">
        <f t="shared" si="83"/>
        <v>0</v>
      </c>
      <c r="AW249" s="21" t="str">
        <f t="shared" si="84"/>
        <v/>
      </c>
      <c r="AX249" s="21" t="str">
        <f t="shared" si="85"/>
        <v/>
      </c>
      <c r="AY249" s="21" t="str">
        <f t="shared" si="86"/>
        <v/>
      </c>
      <c r="AZ249" s="21" t="str">
        <f t="shared" si="87"/>
        <v/>
      </c>
      <c r="BA249" s="21" t="str">
        <f t="shared" si="88"/>
        <v/>
      </c>
      <c r="BB249" s="21" t="str">
        <f t="shared" si="89"/>
        <v/>
      </c>
      <c r="BC249" s="21" t="str">
        <f t="shared" si="90"/>
        <v/>
      </c>
    </row>
    <row r="250" spans="1:55" ht="13.5">
      <c r="A250" s="21" t="str">
        <f>IF(Base!B248="","",Base!B248)</f>
        <v>14.277.186-1</v>
      </c>
      <c r="B250" s="21" t="str">
        <f>IF(Base!F248="","",Base!F248)</f>
        <v>ALEJANDRO  SANHUEZA  SOTO</v>
      </c>
      <c r="C250" s="21" t="str">
        <f>IF(Base!I248="","",Base!I248)</f>
        <v>Control y Gestión</v>
      </c>
      <c r="D250" s="22" t="str">
        <f>IF(Base!J248="","",Base!J248)</f>
        <v>Inspector tiempo</v>
      </c>
      <c r="E250" s="21">
        <f>IF(Base!H248="","",Base!H248)</f>
        <v>1050632</v>
      </c>
      <c r="J250" s="28">
        <v>240</v>
      </c>
      <c r="K250" s="60"/>
      <c r="L250" s="58" t="str">
        <f t="shared" si="72"/>
        <v/>
      </c>
      <c r="M250" s="58" t="str">
        <f t="shared" si="73"/>
        <v/>
      </c>
      <c r="N250" s="59" t="str">
        <f t="shared" si="74"/>
        <v/>
      </c>
      <c r="O250" s="59" t="str">
        <f t="shared" si="75"/>
        <v/>
      </c>
      <c r="P250" s="30"/>
      <c r="Q250" s="35"/>
      <c r="R250" s="63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2">
        <f t="shared" si="91"/>
        <v>0</v>
      </c>
      <c r="AF250" s="32">
        <f t="shared" si="92"/>
        <v>0</v>
      </c>
      <c r="AG250" s="33"/>
      <c r="AL250" s="21" t="str">
        <f t="shared" si="93"/>
        <v/>
      </c>
      <c r="AM250" s="21">
        <v>241</v>
      </c>
      <c r="AN250" s="21">
        <f t="shared" si="76"/>
        <v>0</v>
      </c>
      <c r="AO250" s="21">
        <f t="shared" si="77"/>
        <v>0</v>
      </c>
      <c r="AP250" s="21">
        <f t="shared" si="78"/>
        <v>0</v>
      </c>
      <c r="AQ250" s="21">
        <f t="shared" si="79"/>
        <v>0</v>
      </c>
      <c r="AR250" s="21">
        <f t="shared" si="80"/>
        <v>0</v>
      </c>
      <c r="AS250" s="21">
        <f t="shared" si="81"/>
        <v>0</v>
      </c>
      <c r="AT250" s="21">
        <f t="shared" si="82"/>
        <v>0</v>
      </c>
      <c r="AU250" s="34">
        <f t="shared" si="83"/>
        <v>0</v>
      </c>
      <c r="AW250" s="21" t="str">
        <f t="shared" si="84"/>
        <v/>
      </c>
      <c r="AX250" s="21" t="str">
        <f t="shared" si="85"/>
        <v/>
      </c>
      <c r="AY250" s="21" t="str">
        <f t="shared" si="86"/>
        <v/>
      </c>
      <c r="AZ250" s="21" t="str">
        <f t="shared" si="87"/>
        <v/>
      </c>
      <c r="BA250" s="21" t="str">
        <f t="shared" si="88"/>
        <v/>
      </c>
      <c r="BB250" s="21" t="str">
        <f t="shared" si="89"/>
        <v/>
      </c>
      <c r="BC250" s="21" t="str">
        <f t="shared" si="90"/>
        <v/>
      </c>
    </row>
    <row r="251" spans="1:55" ht="13.5">
      <c r="A251" s="21" t="str">
        <f>IF(Base!B249="","",Base!B249)</f>
        <v>12.896.236-0</v>
      </c>
      <c r="B251" s="21" t="str">
        <f>IF(Base!F249="","",Base!F249)</f>
        <v>GABRIEL   CANDIA   MUÑOZ</v>
      </c>
      <c r="C251" s="21" t="str">
        <f>IF(Base!I249="","",Base!I249)</f>
        <v>Control y Gestión</v>
      </c>
      <c r="D251" s="22" t="str">
        <f>IF(Base!J249="","",Base!J249)</f>
        <v>Inspector tiempo</v>
      </c>
      <c r="E251" s="21">
        <f>IF(Base!H249="","",Base!H249)</f>
        <v>1050632</v>
      </c>
      <c r="J251" s="28">
        <v>241</v>
      </c>
      <c r="K251" s="60"/>
      <c r="L251" s="58" t="str">
        <f t="shared" si="72"/>
        <v/>
      </c>
      <c r="M251" s="58" t="str">
        <f t="shared" si="73"/>
        <v/>
      </c>
      <c r="N251" s="59" t="str">
        <f t="shared" si="74"/>
        <v/>
      </c>
      <c r="O251" s="59" t="str">
        <f t="shared" si="75"/>
        <v/>
      </c>
      <c r="P251" s="30"/>
      <c r="Q251" s="35"/>
      <c r="R251" s="63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2">
        <f t="shared" si="91"/>
        <v>0</v>
      </c>
      <c r="AF251" s="32">
        <f t="shared" si="92"/>
        <v>0</v>
      </c>
      <c r="AG251" s="33"/>
      <c r="AL251" s="21" t="str">
        <f t="shared" si="93"/>
        <v/>
      </c>
      <c r="AM251" s="21">
        <v>242</v>
      </c>
      <c r="AN251" s="21">
        <f t="shared" si="76"/>
        <v>0</v>
      </c>
      <c r="AO251" s="21">
        <f t="shared" si="77"/>
        <v>0</v>
      </c>
      <c r="AP251" s="21">
        <f t="shared" si="78"/>
        <v>0</v>
      </c>
      <c r="AQ251" s="21">
        <f t="shared" si="79"/>
        <v>0</v>
      </c>
      <c r="AR251" s="21">
        <f t="shared" si="80"/>
        <v>0</v>
      </c>
      <c r="AS251" s="21">
        <f t="shared" si="81"/>
        <v>0</v>
      </c>
      <c r="AT251" s="21">
        <f t="shared" si="82"/>
        <v>0</v>
      </c>
      <c r="AU251" s="34">
        <f t="shared" si="83"/>
        <v>0</v>
      </c>
      <c r="AW251" s="21" t="str">
        <f t="shared" si="84"/>
        <v/>
      </c>
      <c r="AX251" s="21" t="str">
        <f t="shared" si="85"/>
        <v/>
      </c>
      <c r="AY251" s="21" t="str">
        <f t="shared" si="86"/>
        <v/>
      </c>
      <c r="AZ251" s="21" t="str">
        <f t="shared" si="87"/>
        <v/>
      </c>
      <c r="BA251" s="21" t="str">
        <f t="shared" si="88"/>
        <v/>
      </c>
      <c r="BB251" s="21" t="str">
        <f t="shared" si="89"/>
        <v/>
      </c>
      <c r="BC251" s="21" t="str">
        <f t="shared" si="90"/>
        <v/>
      </c>
    </row>
    <row r="252" spans="1:55" ht="13.5">
      <c r="A252" s="21" t="str">
        <f>IF(Base!B250="","",Base!B250)</f>
        <v>15.391.242-4</v>
      </c>
      <c r="B252" s="21" t="str">
        <f>IF(Base!F250="","",Base!F250)</f>
        <v>JUAN  GUERRERO  MALIO</v>
      </c>
      <c r="C252" s="21" t="str">
        <f>IF(Base!I250="","",Base!I250)</f>
        <v>Control y Gestión</v>
      </c>
      <c r="D252" s="22" t="str">
        <f>IF(Base!J250="","",Base!J250)</f>
        <v>Inspector tiempo</v>
      </c>
      <c r="E252" s="21">
        <f>IF(Base!H250="","",Base!H250)</f>
        <v>1050632</v>
      </c>
      <c r="J252" s="28">
        <v>242</v>
      </c>
      <c r="K252" s="60"/>
      <c r="L252" s="58" t="str">
        <f t="shared" si="72"/>
        <v/>
      </c>
      <c r="M252" s="58" t="str">
        <f t="shared" si="73"/>
        <v/>
      </c>
      <c r="N252" s="59" t="str">
        <f t="shared" si="74"/>
        <v/>
      </c>
      <c r="O252" s="59" t="str">
        <f t="shared" si="75"/>
        <v/>
      </c>
      <c r="P252" s="30"/>
      <c r="Q252" s="35"/>
      <c r="R252" s="63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2">
        <f t="shared" si="91"/>
        <v>0</v>
      </c>
      <c r="AF252" s="32">
        <f t="shared" si="92"/>
        <v>0</v>
      </c>
      <c r="AG252" s="33"/>
      <c r="AL252" s="21" t="str">
        <f t="shared" si="93"/>
        <v/>
      </c>
      <c r="AM252" s="21">
        <v>243</v>
      </c>
      <c r="AN252" s="21">
        <f t="shared" si="76"/>
        <v>0</v>
      </c>
      <c r="AO252" s="21">
        <f t="shared" si="77"/>
        <v>0</v>
      </c>
      <c r="AP252" s="21">
        <f t="shared" si="78"/>
        <v>0</v>
      </c>
      <c r="AQ252" s="21">
        <f t="shared" si="79"/>
        <v>0</v>
      </c>
      <c r="AR252" s="21">
        <f t="shared" si="80"/>
        <v>0</v>
      </c>
      <c r="AS252" s="21">
        <f t="shared" si="81"/>
        <v>0</v>
      </c>
      <c r="AT252" s="21">
        <f t="shared" si="82"/>
        <v>0</v>
      </c>
      <c r="AU252" s="34">
        <f t="shared" si="83"/>
        <v>0</v>
      </c>
      <c r="AW252" s="21" t="str">
        <f t="shared" si="84"/>
        <v/>
      </c>
      <c r="AX252" s="21" t="str">
        <f t="shared" si="85"/>
        <v/>
      </c>
      <c r="AY252" s="21" t="str">
        <f t="shared" si="86"/>
        <v/>
      </c>
      <c r="AZ252" s="21" t="str">
        <f t="shared" si="87"/>
        <v/>
      </c>
      <c r="BA252" s="21" t="str">
        <f t="shared" si="88"/>
        <v/>
      </c>
      <c r="BB252" s="21" t="str">
        <f t="shared" si="89"/>
        <v/>
      </c>
      <c r="BC252" s="21" t="str">
        <f t="shared" si="90"/>
        <v/>
      </c>
    </row>
    <row r="253" spans="1:55" ht="13.5">
      <c r="A253" s="21" t="str">
        <f>IF(Base!B251="","",Base!B251)</f>
        <v>16.268.829-4</v>
      </c>
      <c r="B253" s="21" t="str">
        <f>IF(Base!F251="","",Base!F251)</f>
        <v>ALBERTO  MORALES  DIAZ</v>
      </c>
      <c r="C253" s="21" t="str">
        <f>IF(Base!I251="","",Base!I251)</f>
        <v>Linea 6</v>
      </c>
      <c r="D253" s="22" t="str">
        <f>IF(Base!J251="","",Base!J251)</f>
        <v>Etiquetador</v>
      </c>
      <c r="E253" s="21">
        <f>IF(Base!H251="","",Base!H251)</f>
        <v>1050610</v>
      </c>
      <c r="J253" s="28">
        <v>243</v>
      </c>
      <c r="K253" s="60"/>
      <c r="L253" s="58" t="str">
        <f t="shared" si="72"/>
        <v/>
      </c>
      <c r="M253" s="58" t="str">
        <f t="shared" si="73"/>
        <v/>
      </c>
      <c r="N253" s="59" t="str">
        <f t="shared" si="74"/>
        <v/>
      </c>
      <c r="O253" s="59" t="str">
        <f t="shared" si="75"/>
        <v/>
      </c>
      <c r="P253" s="30"/>
      <c r="Q253" s="35"/>
      <c r="R253" s="63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2">
        <f t="shared" si="91"/>
        <v>0</v>
      </c>
      <c r="AF253" s="32">
        <f t="shared" si="92"/>
        <v>0</v>
      </c>
      <c r="AG253" s="33"/>
      <c r="AL253" s="21" t="str">
        <f t="shared" si="93"/>
        <v/>
      </c>
      <c r="AM253" s="21">
        <v>244</v>
      </c>
      <c r="AN253" s="21">
        <f t="shared" si="76"/>
        <v>0</v>
      </c>
      <c r="AO253" s="21">
        <f t="shared" si="77"/>
        <v>0</v>
      </c>
      <c r="AP253" s="21">
        <f t="shared" si="78"/>
        <v>0</v>
      </c>
      <c r="AQ253" s="21">
        <f t="shared" si="79"/>
        <v>0</v>
      </c>
      <c r="AR253" s="21">
        <f t="shared" si="80"/>
        <v>0</v>
      </c>
      <c r="AS253" s="21">
        <f t="shared" si="81"/>
        <v>0</v>
      </c>
      <c r="AT253" s="21">
        <f t="shared" si="82"/>
        <v>0</v>
      </c>
      <c r="AU253" s="34">
        <f t="shared" si="83"/>
        <v>0</v>
      </c>
      <c r="AW253" s="21" t="str">
        <f t="shared" si="84"/>
        <v/>
      </c>
      <c r="AX253" s="21" t="str">
        <f t="shared" si="85"/>
        <v/>
      </c>
      <c r="AY253" s="21" t="str">
        <f t="shared" si="86"/>
        <v/>
      </c>
      <c r="AZ253" s="21" t="str">
        <f t="shared" si="87"/>
        <v/>
      </c>
      <c r="BA253" s="21" t="str">
        <f t="shared" si="88"/>
        <v/>
      </c>
      <c r="BB253" s="21" t="str">
        <f t="shared" si="89"/>
        <v/>
      </c>
      <c r="BC253" s="21" t="str">
        <f t="shared" si="90"/>
        <v/>
      </c>
    </row>
    <row r="254" spans="1:55" ht="13.5">
      <c r="A254" s="21" t="str">
        <f>IF(Base!B252="","",Base!B252)</f>
        <v>5.738.427-1</v>
      </c>
      <c r="B254" s="21" t="str">
        <f>IF(Base!F252="","",Base!F252)</f>
        <v>RAÚL   MARTINEZ  VASQUEZ</v>
      </c>
      <c r="C254" s="21" t="str">
        <f>IF(Base!I252="","",Base!I252)</f>
        <v>Aseo</v>
      </c>
      <c r="D254" s="22" t="str">
        <f>IF(Base!J252="","",Base!J252)</f>
        <v>Aseo</v>
      </c>
      <c r="E254" s="21">
        <f>IF(Base!H252="","",Base!H252)</f>
        <v>1050603</v>
      </c>
      <c r="J254" s="28">
        <v>244</v>
      </c>
      <c r="K254" s="60"/>
      <c r="L254" s="58" t="str">
        <f t="shared" si="72"/>
        <v/>
      </c>
      <c r="M254" s="58" t="str">
        <f t="shared" si="73"/>
        <v/>
      </c>
      <c r="N254" s="59" t="str">
        <f t="shared" si="74"/>
        <v/>
      </c>
      <c r="O254" s="59" t="str">
        <f t="shared" si="75"/>
        <v/>
      </c>
      <c r="P254" s="30"/>
      <c r="Q254" s="35"/>
      <c r="R254" s="63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2">
        <f t="shared" si="91"/>
        <v>0</v>
      </c>
      <c r="AF254" s="32">
        <f t="shared" si="92"/>
        <v>0</v>
      </c>
      <c r="AG254" s="33"/>
      <c r="AL254" s="21" t="str">
        <f t="shared" si="93"/>
        <v/>
      </c>
      <c r="AM254" s="21">
        <v>245</v>
      </c>
      <c r="AN254" s="21">
        <f t="shared" si="76"/>
        <v>0</v>
      </c>
      <c r="AO254" s="21">
        <f t="shared" si="77"/>
        <v>0</v>
      </c>
      <c r="AP254" s="21">
        <f t="shared" si="78"/>
        <v>0</v>
      </c>
      <c r="AQ254" s="21">
        <f t="shared" si="79"/>
        <v>0</v>
      </c>
      <c r="AR254" s="21">
        <f t="shared" si="80"/>
        <v>0</v>
      </c>
      <c r="AS254" s="21">
        <f t="shared" si="81"/>
        <v>0</v>
      </c>
      <c r="AT254" s="21">
        <f t="shared" si="82"/>
        <v>0</v>
      </c>
      <c r="AU254" s="34">
        <f t="shared" si="83"/>
        <v>0</v>
      </c>
      <c r="AW254" s="21" t="str">
        <f t="shared" si="84"/>
        <v/>
      </c>
      <c r="AX254" s="21" t="str">
        <f t="shared" si="85"/>
        <v/>
      </c>
      <c r="AY254" s="21" t="str">
        <f t="shared" si="86"/>
        <v/>
      </c>
      <c r="AZ254" s="21" t="str">
        <f t="shared" si="87"/>
        <v/>
      </c>
      <c r="BA254" s="21" t="str">
        <f t="shared" si="88"/>
        <v/>
      </c>
      <c r="BB254" s="21" t="str">
        <f t="shared" si="89"/>
        <v/>
      </c>
      <c r="BC254" s="21" t="str">
        <f t="shared" si="90"/>
        <v/>
      </c>
    </row>
    <row r="255" spans="1:55" ht="13.5">
      <c r="A255" s="21" t="str">
        <f>IF(Base!B253="","",Base!B253)</f>
        <v>18.364.293-6</v>
      </c>
      <c r="B255" s="21" t="str">
        <f>IF(Base!F253="","",Base!F253)</f>
        <v>CRISTOPHER ANDRES ZUÑIGA CACERES</v>
      </c>
      <c r="C255" s="21" t="str">
        <f>IF(Base!I253="","",Base!I253)</f>
        <v>TPM</v>
      </c>
      <c r="D255" s="22" t="str">
        <f>IF(Base!J253="","",Base!J253)</f>
        <v>Trainee</v>
      </c>
      <c r="E255" s="21">
        <f>IF(Base!H253="","",Base!H253)</f>
        <v>1050604</v>
      </c>
      <c r="J255" s="28">
        <v>245</v>
      </c>
      <c r="K255" s="60"/>
      <c r="L255" s="58" t="str">
        <f t="shared" si="72"/>
        <v/>
      </c>
      <c r="M255" s="58" t="str">
        <f t="shared" si="73"/>
        <v/>
      </c>
      <c r="N255" s="59" t="str">
        <f t="shared" si="74"/>
        <v/>
      </c>
      <c r="O255" s="59" t="str">
        <f t="shared" si="75"/>
        <v/>
      </c>
      <c r="P255" s="30"/>
      <c r="Q255" s="35"/>
      <c r="R255" s="63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2">
        <f t="shared" si="91"/>
        <v>0</v>
      </c>
      <c r="AF255" s="32">
        <f t="shared" si="92"/>
        <v>0</v>
      </c>
      <c r="AG255" s="33"/>
      <c r="AL255" s="21" t="str">
        <f t="shared" si="93"/>
        <v/>
      </c>
      <c r="AM255" s="21">
        <v>246</v>
      </c>
      <c r="AN255" s="21">
        <f t="shared" si="76"/>
        <v>0</v>
      </c>
      <c r="AO255" s="21">
        <f t="shared" si="77"/>
        <v>0</v>
      </c>
      <c r="AP255" s="21">
        <f t="shared" si="78"/>
        <v>0</v>
      </c>
      <c r="AQ255" s="21">
        <f t="shared" si="79"/>
        <v>0</v>
      </c>
      <c r="AR255" s="21">
        <f t="shared" si="80"/>
        <v>0</v>
      </c>
      <c r="AS255" s="21">
        <f t="shared" si="81"/>
        <v>0</v>
      </c>
      <c r="AT255" s="21">
        <f t="shared" si="82"/>
        <v>0</v>
      </c>
      <c r="AU255" s="34">
        <f t="shared" si="83"/>
        <v>0</v>
      </c>
      <c r="AW255" s="21" t="str">
        <f t="shared" si="84"/>
        <v/>
      </c>
      <c r="AX255" s="21" t="str">
        <f t="shared" si="85"/>
        <v/>
      </c>
      <c r="AY255" s="21" t="str">
        <f t="shared" si="86"/>
        <v/>
      </c>
      <c r="AZ255" s="21" t="str">
        <f t="shared" si="87"/>
        <v/>
      </c>
      <c r="BA255" s="21" t="str">
        <f t="shared" si="88"/>
        <v/>
      </c>
      <c r="BB255" s="21" t="str">
        <f t="shared" si="89"/>
        <v/>
      </c>
      <c r="BC255" s="21" t="str">
        <f t="shared" si="90"/>
        <v/>
      </c>
    </row>
    <row r="256" spans="1:55" ht="13.5">
      <c r="A256" s="21" t="str">
        <f>IF(Base!B254="","",Base!B254)</f>
        <v>18.045.411-k</v>
      </c>
      <c r="B256" s="21" t="str">
        <f>IF(Base!F254="","",Base!F254)</f>
        <v>RICARDO ANDRES GONZALES GONZALES</v>
      </c>
      <c r="C256" s="21" t="str">
        <f>IF(Base!I254="","",Base!I254)</f>
        <v>TPM</v>
      </c>
      <c r="D256" s="22" t="str">
        <f>IF(Base!J254="","",Base!J254)</f>
        <v>Trainee</v>
      </c>
      <c r="E256" s="21">
        <f>IF(Base!H254="","",Base!H254)</f>
        <v>1050604</v>
      </c>
      <c r="J256" s="28">
        <v>246</v>
      </c>
      <c r="K256" s="60"/>
      <c r="L256" s="58" t="str">
        <f t="shared" si="72"/>
        <v/>
      </c>
      <c r="M256" s="58" t="str">
        <f t="shared" si="73"/>
        <v/>
      </c>
      <c r="N256" s="59" t="str">
        <f t="shared" si="74"/>
        <v/>
      </c>
      <c r="O256" s="59" t="str">
        <f t="shared" si="75"/>
        <v/>
      </c>
      <c r="P256" s="30"/>
      <c r="Q256" s="35"/>
      <c r="R256" s="63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2">
        <f t="shared" si="91"/>
        <v>0</v>
      </c>
      <c r="AF256" s="32">
        <f t="shared" si="92"/>
        <v>0</v>
      </c>
      <c r="AG256" s="33"/>
      <c r="AL256" s="21" t="str">
        <f t="shared" si="93"/>
        <v/>
      </c>
      <c r="AM256" s="21">
        <v>247</v>
      </c>
      <c r="AN256" s="21">
        <f t="shared" si="76"/>
        <v>0</v>
      </c>
      <c r="AO256" s="21">
        <f t="shared" si="77"/>
        <v>0</v>
      </c>
      <c r="AP256" s="21">
        <f t="shared" si="78"/>
        <v>0</v>
      </c>
      <c r="AQ256" s="21">
        <f t="shared" si="79"/>
        <v>0</v>
      </c>
      <c r="AR256" s="21">
        <f t="shared" si="80"/>
        <v>0</v>
      </c>
      <c r="AS256" s="21">
        <f t="shared" si="81"/>
        <v>0</v>
      </c>
      <c r="AT256" s="21">
        <f t="shared" si="82"/>
        <v>0</v>
      </c>
      <c r="AU256" s="34">
        <f t="shared" si="83"/>
        <v>0</v>
      </c>
      <c r="AW256" s="21" t="str">
        <f t="shared" si="84"/>
        <v/>
      </c>
      <c r="AX256" s="21" t="str">
        <f t="shared" si="85"/>
        <v/>
      </c>
      <c r="AY256" s="21" t="str">
        <f t="shared" si="86"/>
        <v/>
      </c>
      <c r="AZ256" s="21" t="str">
        <f t="shared" si="87"/>
        <v/>
      </c>
      <c r="BA256" s="21" t="str">
        <f t="shared" si="88"/>
        <v/>
      </c>
      <c r="BB256" s="21" t="str">
        <f t="shared" si="89"/>
        <v/>
      </c>
      <c r="BC256" s="21" t="str">
        <f t="shared" si="90"/>
        <v/>
      </c>
    </row>
    <row r="257" spans="1:55" ht="13.5">
      <c r="A257" s="21" t="str">
        <f>IF(Base!B255="","",Base!B255)</f>
        <v>18.187.438-4</v>
      </c>
      <c r="B257" s="21" t="str">
        <f>IF(Base!F255="","",Base!F255)</f>
        <v>NICOLAS FRANCISCO GAVELO DEVIA</v>
      </c>
      <c r="C257" s="21" t="str">
        <f>IF(Base!I255="","",Base!I255)</f>
        <v>TPM</v>
      </c>
      <c r="D257" s="22" t="str">
        <f>IF(Base!J255="","",Base!J255)</f>
        <v>Trainee</v>
      </c>
      <c r="E257" s="21">
        <f>IF(Base!H255="","",Base!H255)</f>
        <v>1050604</v>
      </c>
      <c r="J257" s="28">
        <v>247</v>
      </c>
      <c r="K257" s="60"/>
      <c r="L257" s="58" t="str">
        <f t="shared" si="72"/>
        <v/>
      </c>
      <c r="M257" s="58" t="str">
        <f t="shared" si="73"/>
        <v/>
      </c>
      <c r="N257" s="59" t="str">
        <f t="shared" si="74"/>
        <v/>
      </c>
      <c r="O257" s="59" t="str">
        <f t="shared" si="75"/>
        <v/>
      </c>
      <c r="P257" s="30"/>
      <c r="Q257" s="35"/>
      <c r="R257" s="63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2">
        <f t="shared" si="91"/>
        <v>0</v>
      </c>
      <c r="AF257" s="32">
        <f t="shared" si="92"/>
        <v>0</v>
      </c>
      <c r="AG257" s="33"/>
      <c r="AL257" s="21" t="str">
        <f t="shared" si="93"/>
        <v/>
      </c>
      <c r="AM257" s="21">
        <v>248</v>
      </c>
      <c r="AN257" s="21">
        <f t="shared" si="76"/>
        <v>0</v>
      </c>
      <c r="AO257" s="21">
        <f t="shared" si="77"/>
        <v>0</v>
      </c>
      <c r="AP257" s="21">
        <f t="shared" si="78"/>
        <v>0</v>
      </c>
      <c r="AQ257" s="21">
        <f t="shared" si="79"/>
        <v>0</v>
      </c>
      <c r="AR257" s="21">
        <f t="shared" si="80"/>
        <v>0</v>
      </c>
      <c r="AS257" s="21">
        <f t="shared" si="81"/>
        <v>0</v>
      </c>
      <c r="AT257" s="21">
        <f t="shared" si="82"/>
        <v>0</v>
      </c>
      <c r="AU257" s="34">
        <f t="shared" si="83"/>
        <v>0</v>
      </c>
      <c r="AW257" s="21" t="str">
        <f t="shared" si="84"/>
        <v/>
      </c>
      <c r="AX257" s="21" t="str">
        <f t="shared" si="85"/>
        <v/>
      </c>
      <c r="AY257" s="21" t="str">
        <f t="shared" si="86"/>
        <v/>
      </c>
      <c r="AZ257" s="21" t="str">
        <f t="shared" si="87"/>
        <v/>
      </c>
      <c r="BA257" s="21" t="str">
        <f t="shared" si="88"/>
        <v/>
      </c>
      <c r="BB257" s="21" t="str">
        <f t="shared" si="89"/>
        <v/>
      </c>
      <c r="BC257" s="21" t="str">
        <f t="shared" si="90"/>
        <v/>
      </c>
    </row>
    <row r="258" spans="1:55" ht="13.5">
      <c r="A258" s="21" t="str">
        <f>IF(Base!B256="","",Base!B256)</f>
        <v>17.546.614-2</v>
      </c>
      <c r="B258" s="21" t="str">
        <f>IF(Base!F256="","",Base!F256)</f>
        <v>ISAAC MARTINEZ</v>
      </c>
      <c r="C258" s="21" t="str">
        <f>IF(Base!I256="","",Base!I256)</f>
        <v>Abastecimiento</v>
      </c>
      <c r="D258" s="22" t="str">
        <f>IF(Base!J256="","",Base!J256)</f>
        <v>Operario Almacenamiento</v>
      </c>
      <c r="E258" s="21">
        <f>IF(Base!H256="","",Base!H256)</f>
        <v>1050633</v>
      </c>
      <c r="J258" s="28">
        <v>248</v>
      </c>
      <c r="K258" s="60"/>
      <c r="L258" s="58" t="str">
        <f t="shared" si="72"/>
        <v/>
      </c>
      <c r="M258" s="58" t="str">
        <f t="shared" si="73"/>
        <v/>
      </c>
      <c r="N258" s="59" t="str">
        <f t="shared" si="74"/>
        <v/>
      </c>
      <c r="O258" s="59" t="str">
        <f t="shared" si="75"/>
        <v/>
      </c>
      <c r="P258" s="30"/>
      <c r="Q258" s="35"/>
      <c r="R258" s="63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2">
        <f t="shared" si="91"/>
        <v>0</v>
      </c>
      <c r="AF258" s="32">
        <f t="shared" si="92"/>
        <v>0</v>
      </c>
      <c r="AG258" s="33"/>
      <c r="AL258" s="21" t="str">
        <f t="shared" si="93"/>
        <v/>
      </c>
      <c r="AM258" s="21">
        <v>249</v>
      </c>
      <c r="AN258" s="21">
        <f t="shared" si="76"/>
        <v>0</v>
      </c>
      <c r="AO258" s="21">
        <f t="shared" si="77"/>
        <v>0</v>
      </c>
      <c r="AP258" s="21">
        <f t="shared" si="78"/>
        <v>0</v>
      </c>
      <c r="AQ258" s="21">
        <f t="shared" si="79"/>
        <v>0</v>
      </c>
      <c r="AR258" s="21">
        <f t="shared" si="80"/>
        <v>0</v>
      </c>
      <c r="AS258" s="21">
        <f t="shared" si="81"/>
        <v>0</v>
      </c>
      <c r="AT258" s="21">
        <f t="shared" si="82"/>
        <v>0</v>
      </c>
      <c r="AU258" s="34">
        <f t="shared" si="83"/>
        <v>0</v>
      </c>
      <c r="AW258" s="21" t="str">
        <f t="shared" si="84"/>
        <v/>
      </c>
      <c r="AX258" s="21" t="str">
        <f t="shared" si="85"/>
        <v/>
      </c>
      <c r="AY258" s="21" t="str">
        <f t="shared" si="86"/>
        <v/>
      </c>
      <c r="AZ258" s="21" t="str">
        <f t="shared" si="87"/>
        <v/>
      </c>
      <c r="BA258" s="21" t="str">
        <f t="shared" si="88"/>
        <v/>
      </c>
      <c r="BB258" s="21" t="str">
        <f t="shared" si="89"/>
        <v/>
      </c>
      <c r="BC258" s="21" t="str">
        <f t="shared" si="90"/>
        <v/>
      </c>
    </row>
    <row r="259" spans="1:55" ht="13.5">
      <c r="A259" s="21" t="str">
        <f>IF(Base!B257="","",Base!B257)</f>
        <v>14.005.685-7</v>
      </c>
      <c r="B259" s="21" t="str">
        <f>IF(Base!F257="","",Base!F257)</f>
        <v>NICOLAS NARVAI ZUBICUETA</v>
      </c>
      <c r="C259" s="21" t="str">
        <f>IF(Base!I257="","",Base!I257)</f>
        <v>Abastecimiento</v>
      </c>
      <c r="D259" s="22" t="str">
        <f>IF(Base!J257="","",Base!J257)</f>
        <v>Operario Almacenamiento</v>
      </c>
      <c r="E259" s="21">
        <f>IF(Base!H257="","",Base!H257)</f>
        <v>1050633</v>
      </c>
      <c r="J259" s="28">
        <v>249</v>
      </c>
      <c r="K259" s="60"/>
      <c r="L259" s="58" t="str">
        <f t="shared" si="72"/>
        <v/>
      </c>
      <c r="M259" s="58" t="str">
        <f t="shared" si="73"/>
        <v/>
      </c>
      <c r="N259" s="59" t="str">
        <f t="shared" si="74"/>
        <v/>
      </c>
      <c r="O259" s="59" t="str">
        <f t="shared" si="75"/>
        <v/>
      </c>
      <c r="P259" s="30"/>
      <c r="Q259" s="35"/>
      <c r="R259" s="63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2">
        <f t="shared" si="91"/>
        <v>0</v>
      </c>
      <c r="AF259" s="32">
        <f t="shared" si="92"/>
        <v>0</v>
      </c>
      <c r="AG259" s="33"/>
      <c r="AL259" s="21" t="str">
        <f t="shared" si="93"/>
        <v/>
      </c>
      <c r="AM259" s="21">
        <v>250</v>
      </c>
      <c r="AN259" s="21">
        <f t="shared" si="76"/>
        <v>0</v>
      </c>
      <c r="AO259" s="21">
        <f t="shared" si="77"/>
        <v>0</v>
      </c>
      <c r="AP259" s="21">
        <f t="shared" si="78"/>
        <v>0</v>
      </c>
      <c r="AQ259" s="21">
        <f t="shared" si="79"/>
        <v>0</v>
      </c>
      <c r="AR259" s="21">
        <f t="shared" si="80"/>
        <v>0</v>
      </c>
      <c r="AS259" s="21">
        <f t="shared" si="81"/>
        <v>0</v>
      </c>
      <c r="AT259" s="21">
        <f t="shared" si="82"/>
        <v>0</v>
      </c>
      <c r="AU259" s="34">
        <f t="shared" si="83"/>
        <v>0</v>
      </c>
      <c r="AW259" s="21" t="str">
        <f t="shared" si="84"/>
        <v/>
      </c>
      <c r="AX259" s="21" t="str">
        <f t="shared" si="85"/>
        <v/>
      </c>
      <c r="AY259" s="21" t="str">
        <f t="shared" si="86"/>
        <v/>
      </c>
      <c r="AZ259" s="21" t="str">
        <f t="shared" si="87"/>
        <v/>
      </c>
      <c r="BA259" s="21" t="str">
        <f t="shared" si="88"/>
        <v/>
      </c>
      <c r="BB259" s="21" t="str">
        <f t="shared" si="89"/>
        <v/>
      </c>
      <c r="BC259" s="21" t="str">
        <f t="shared" si="90"/>
        <v/>
      </c>
    </row>
    <row r="260" spans="1:55" ht="13.5">
      <c r="A260" s="21" t="str">
        <f>IF(Base!B258="","",Base!B258)</f>
        <v>23.040.236-1</v>
      </c>
      <c r="B260" s="21" t="str">
        <f>IF(Base!F258="","",Base!F258)</f>
        <v>SEBASTIAN PEREZ</v>
      </c>
      <c r="C260" s="21" t="str">
        <f>IF(Base!I258="","",Base!I258)</f>
        <v>Abastecimiento</v>
      </c>
      <c r="D260" s="22" t="str">
        <f>IF(Base!J258="","",Base!J258)</f>
        <v>Operario Almacenamiento</v>
      </c>
      <c r="E260" s="21">
        <f>IF(Base!H258="","",Base!H258)</f>
        <v>1050506</v>
      </c>
      <c r="J260" s="28">
        <v>250</v>
      </c>
      <c r="K260" s="60"/>
      <c r="L260" s="58" t="str">
        <f t="shared" si="72"/>
        <v/>
      </c>
      <c r="M260" s="58" t="str">
        <f t="shared" si="73"/>
        <v/>
      </c>
      <c r="N260" s="59" t="str">
        <f t="shared" si="74"/>
        <v/>
      </c>
      <c r="O260" s="59" t="str">
        <f t="shared" si="75"/>
        <v/>
      </c>
      <c r="P260" s="30"/>
      <c r="Q260" s="35"/>
      <c r="R260" s="63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2">
        <f t="shared" si="91"/>
        <v>0</v>
      </c>
      <c r="AF260" s="32">
        <f t="shared" si="92"/>
        <v>0</v>
      </c>
      <c r="AG260" s="33"/>
      <c r="AL260" s="21" t="str">
        <f t="shared" si="93"/>
        <v/>
      </c>
      <c r="AM260" s="21">
        <v>251</v>
      </c>
      <c r="AN260" s="21">
        <f t="shared" si="76"/>
        <v>0</v>
      </c>
      <c r="AO260" s="21">
        <f t="shared" si="77"/>
        <v>0</v>
      </c>
      <c r="AP260" s="21">
        <f t="shared" si="78"/>
        <v>0</v>
      </c>
      <c r="AQ260" s="21">
        <f t="shared" si="79"/>
        <v>0</v>
      </c>
      <c r="AR260" s="21">
        <f t="shared" si="80"/>
        <v>0</v>
      </c>
      <c r="AS260" s="21">
        <f t="shared" si="81"/>
        <v>0</v>
      </c>
      <c r="AT260" s="21">
        <f t="shared" si="82"/>
        <v>0</v>
      </c>
      <c r="AU260" s="34">
        <f t="shared" si="83"/>
        <v>0</v>
      </c>
      <c r="AW260" s="21" t="str">
        <f t="shared" si="84"/>
        <v/>
      </c>
      <c r="AX260" s="21" t="str">
        <f t="shared" si="85"/>
        <v/>
      </c>
      <c r="AY260" s="21" t="str">
        <f t="shared" si="86"/>
        <v/>
      </c>
      <c r="AZ260" s="21" t="str">
        <f t="shared" si="87"/>
        <v/>
      </c>
      <c r="BA260" s="21" t="str">
        <f t="shared" si="88"/>
        <v/>
      </c>
      <c r="BB260" s="21" t="str">
        <f t="shared" si="89"/>
        <v/>
      </c>
      <c r="BC260" s="21" t="str">
        <f t="shared" si="90"/>
        <v/>
      </c>
    </row>
    <row r="261" spans="1:55" ht="13.5">
      <c r="A261" s="21" t="str">
        <f>IF(Base!B259="","",Base!B259)</f>
        <v>11.267.622-8</v>
      </c>
      <c r="B261" s="21" t="str">
        <f>IF(Base!F259="","",Base!F259)</f>
        <v>JOSE MATURANA RIOS</v>
      </c>
      <c r="C261" s="21" t="str">
        <f>IF(Base!I259="","",Base!I259)</f>
        <v>Abastecimiento</v>
      </c>
      <c r="D261" s="22" t="str">
        <f>IF(Base!J259="","",Base!J259)</f>
        <v>Operario Almacenamiento</v>
      </c>
      <c r="E261" s="21">
        <f>IF(Base!H259="","",Base!H259)</f>
        <v>1050633</v>
      </c>
      <c r="L261" s="29"/>
    </row>
    <row r="262" spans="1:55">
      <c r="A262" s="21" t="str">
        <f>IF(Base!B260="","",Base!B260)</f>
        <v>16.558.908-4</v>
      </c>
      <c r="B262" s="21" t="str">
        <f>IF(Base!F260="","",Base!F260)</f>
        <v>MARCELO ROJAS MUÑOZ</v>
      </c>
      <c r="C262" s="21" t="str">
        <f>IF(Base!I260="","",Base!I260)</f>
        <v>Setup</v>
      </c>
      <c r="D262" s="22" t="str">
        <f>IF(Base!J260="","",Base!J260)</f>
        <v>Setup</v>
      </c>
      <c r="E262" s="21">
        <f>IF(Base!H260="","",Base!H260)</f>
        <v>1050529</v>
      </c>
    </row>
    <row r="263" spans="1:55">
      <c r="A263" s="21" t="str">
        <f>IF(Base!B261="","",Base!B261)</f>
        <v>17.926.694-6</v>
      </c>
      <c r="B263" s="21" t="str">
        <f>IF(Base!F261="","",Base!F261)</f>
        <v>JAEL DENNISSE DENIS ESCOBAR</v>
      </c>
      <c r="C263" s="21" t="str">
        <f>IF(Base!I261="","",Base!I261)</f>
        <v>Abastecimiento</v>
      </c>
      <c r="D263" s="22" t="str">
        <f>IF(Base!J261="","",Base!J261)</f>
        <v>Almacen Insumos Pque</v>
      </c>
      <c r="E263" s="21">
        <f>IF(Base!H261="","",Base!H261)</f>
        <v>1050581</v>
      </c>
    </row>
    <row r="264" spans="1:55">
      <c r="A264" s="21" t="str">
        <f>IF(Base!B262="","",Base!B262)</f>
        <v>16.478.330-8</v>
      </c>
      <c r="B264" s="21" t="str">
        <f>IF(Base!F262="","",Base!F262)</f>
        <v>DAVID ALEJANDRO ALVAREZ CATALAN</v>
      </c>
      <c r="C264" s="21" t="str">
        <f>IF(Base!I262="","",Base!I262)</f>
        <v>Abastecimiento</v>
      </c>
      <c r="D264" s="22" t="str">
        <f>IF(Base!J262="","",Base!J262)</f>
        <v>Almacen Insumos Pque</v>
      </c>
      <c r="E264" s="21">
        <f>IF(Base!H262="","",Base!H262)</f>
        <v>1050126</v>
      </c>
    </row>
    <row r="265" spans="1:55">
      <c r="A265" s="21" t="e">
        <f>IF(Base!#REF!="","",Base!#REF!)</f>
        <v>#REF!</v>
      </c>
      <c r="B265" s="21" t="e">
        <f>IF(Base!#REF!="","",Base!#REF!)</f>
        <v>#REF!</v>
      </c>
      <c r="C265" s="21" t="e">
        <f>IF(Base!#REF!="","",Base!#REF!)</f>
        <v>#REF!</v>
      </c>
      <c r="D265" s="22" t="e">
        <f>IF(Base!#REF!="","",Base!#REF!)</f>
        <v>#REF!</v>
      </c>
      <c r="E265" s="21" t="e">
        <f>IF(Base!#REF!="","",Base!#REF!)</f>
        <v>#REF!</v>
      </c>
    </row>
    <row r="266" spans="1:55">
      <c r="A266" s="21" t="e">
        <f>IF(Base!#REF!="","",Base!#REF!)</f>
        <v>#REF!</v>
      </c>
      <c r="B266" s="21" t="e">
        <f>IF(Base!#REF!="","",Base!#REF!)</f>
        <v>#REF!</v>
      </c>
      <c r="C266" s="21" t="e">
        <f>IF(Base!#REF!="","",Base!#REF!)</f>
        <v>#REF!</v>
      </c>
      <c r="D266" s="22" t="e">
        <f>IF(Base!#REF!="","",Base!#REF!)</f>
        <v>#REF!</v>
      </c>
      <c r="E266" s="21" t="e">
        <f>IF(Base!#REF!="","",Base!#REF!)</f>
        <v>#REF!</v>
      </c>
    </row>
    <row r="267" spans="1:55">
      <c r="A267" s="21" t="e">
        <f>IF(Base!#REF!="","",Base!#REF!)</f>
        <v>#REF!</v>
      </c>
      <c r="B267" s="21" t="e">
        <f>IF(Base!#REF!="","",Base!#REF!)</f>
        <v>#REF!</v>
      </c>
      <c r="C267" s="21" t="e">
        <f>IF(Base!#REF!="","",Base!#REF!)</f>
        <v>#REF!</v>
      </c>
      <c r="D267" s="22" t="e">
        <f>IF(Base!#REF!="","",Base!#REF!)</f>
        <v>#REF!</v>
      </c>
      <c r="E267" s="21" t="e">
        <f>IF(Base!#REF!="","",Base!#REF!)</f>
        <v>#REF!</v>
      </c>
    </row>
    <row r="268" spans="1:55">
      <c r="A268" s="21" t="e">
        <f>IF(Base!#REF!="","",Base!#REF!)</f>
        <v>#REF!</v>
      </c>
      <c r="B268" s="21" t="e">
        <f>IF(Base!#REF!="","",Base!#REF!)</f>
        <v>#REF!</v>
      </c>
      <c r="C268" s="21" t="e">
        <f>IF(Base!#REF!="","",Base!#REF!)</f>
        <v>#REF!</v>
      </c>
      <c r="D268" s="22" t="e">
        <f>IF(Base!#REF!="","",Base!#REF!)</f>
        <v>#REF!</v>
      </c>
      <c r="E268" s="21" t="e">
        <f>IF(Base!#REF!="","",Base!#REF!)</f>
        <v>#REF!</v>
      </c>
    </row>
    <row r="269" spans="1:55">
      <c r="A269" s="21" t="str">
        <f>IF(Base!B263="","",Base!B263)</f>
        <v>15.446.103-5</v>
      </c>
      <c r="B269" s="21" t="str">
        <f>IF(Base!F263="","",Base!F263)</f>
        <v>ERIKA PATRICIA ESPINOZA SERRANO</v>
      </c>
      <c r="C269" s="21" t="str">
        <f>IF(Base!I263="","",Base!I263)</f>
        <v>ADMINISTRATIVO</v>
      </c>
      <c r="D269" s="22" t="str">
        <f>IF(Base!J263="","",Base!J263)</f>
        <v>Almacen Insumos Pque</v>
      </c>
      <c r="E269" s="21">
        <f>IF(Base!H263="","",Base!H263)</f>
        <v>1050507</v>
      </c>
    </row>
    <row r="270" spans="1:55">
      <c r="A270" s="21" t="str">
        <f>IF(Base!B264="","",Base!B264)</f>
        <v>17.849.530-5</v>
      </c>
      <c r="B270" s="21" t="str">
        <f>IF(Base!F264="","",Base!F264)</f>
        <v>EDUARDO ANDRES ORELLANA VERA</v>
      </c>
      <c r="C270" s="21" t="str">
        <f>IF(Base!I264="","",Base!I264)</f>
        <v>Operario Almacenamiento</v>
      </c>
      <c r="D270" s="22" t="str">
        <f>IF(Base!J264="","",Base!J264)</f>
        <v>Almacen Insumos Pque</v>
      </c>
      <c r="E270" s="21">
        <f>IF(Base!H264="","",Base!H264)</f>
        <v>1050633</v>
      </c>
    </row>
    <row r="271" spans="1:55">
      <c r="A271" s="21" t="str">
        <f>IF(Base!B265="","",Base!B265)</f>
        <v>15.718.343-5</v>
      </c>
      <c r="B271" s="21" t="str">
        <f>IF(Base!F265="","",Base!F265)</f>
        <v>PAMELA BELEN SETIEN VERA</v>
      </c>
      <c r="C271" s="21" t="str">
        <f>IF(Base!I265="","",Base!I265)</f>
        <v>Operario Almacenamiento</v>
      </c>
      <c r="D271" s="22" t="str">
        <f>IF(Base!J265="","",Base!J265)</f>
        <v>Almacen Insumos Pque</v>
      </c>
      <c r="E271" s="21">
        <f>IF(Base!H265="","",Base!H265)</f>
        <v>1050633</v>
      </c>
    </row>
    <row r="272" spans="1:55">
      <c r="A272" s="21" t="str">
        <f>IF(Base!B266="","",Base!B266)</f>
        <v>16.724.323-1</v>
      </c>
      <c r="B272" s="21" t="str">
        <f>IF(Base!F266="","",Base!F266)</f>
        <v>DENISSE BEATRIZ UBILLA RODRIGUEZ</v>
      </c>
      <c r="C272" s="21" t="str">
        <f>IF(Base!I266="","",Base!I266)</f>
        <v>Operario Almacenamiento</v>
      </c>
      <c r="D272" s="22" t="str">
        <f>IF(Base!J266="","",Base!J266)</f>
        <v>Almacen Insumos Pque</v>
      </c>
      <c r="E272" s="21">
        <f>IF(Base!H266="","",Base!H266)</f>
        <v>1050127</v>
      </c>
    </row>
    <row r="273" spans="1:5">
      <c r="A273" s="21" t="str">
        <f>IF(Base!B267="","",Base!B267)</f>
        <v>17.669.014-3</v>
      </c>
      <c r="B273" s="21" t="str">
        <f>IF(Base!F267="","",Base!F267)</f>
        <v>GUIDO NARANJO</v>
      </c>
      <c r="C273" s="21" t="str">
        <f>IF(Base!I267="","",Base!I267)</f>
        <v>Setup</v>
      </c>
      <c r="D273" s="22" t="str">
        <f>IF(Base!J267="","",Base!J267)</f>
        <v>Setup</v>
      </c>
      <c r="E273" s="21">
        <f>IF(Base!H267="","",Base!H267)</f>
        <v>1050529</v>
      </c>
    </row>
    <row r="274" spans="1:5">
      <c r="A274" s="21" t="str">
        <f>IF(Base!B268="","",Base!B268)</f>
        <v/>
      </c>
      <c r="B274" s="21" t="str">
        <f>IF(Base!F268="","",Base!F268)</f>
        <v/>
      </c>
      <c r="C274" s="21" t="str">
        <f>IF(Base!I268="","",Base!I268)</f>
        <v/>
      </c>
      <c r="D274" s="22" t="str">
        <f>IF(Base!J268="","",Base!J268)</f>
        <v/>
      </c>
      <c r="E274" s="21" t="str">
        <f>IF(Base!H268="","",Base!H268)</f>
        <v/>
      </c>
    </row>
    <row r="275" spans="1:5">
      <c r="A275" s="21" t="str">
        <f>IF(Base!B269="","",Base!B269)</f>
        <v/>
      </c>
      <c r="B275" s="21" t="str">
        <f>IF(Base!F269="","",Base!F269)</f>
        <v/>
      </c>
      <c r="C275" s="21" t="str">
        <f>IF(Base!I269="","",Base!I269)</f>
        <v/>
      </c>
      <c r="D275" s="22" t="str">
        <f>IF(Base!J269="","",Base!J269)</f>
        <v/>
      </c>
      <c r="E275" s="21" t="str">
        <f>IF(Base!H269="","",Base!H269)</f>
        <v/>
      </c>
    </row>
    <row r="276" spans="1:5">
      <c r="A276" s="21" t="str">
        <f>IF(Base!B270="","",Base!B270)</f>
        <v/>
      </c>
      <c r="B276" s="21" t="str">
        <f>IF(Base!F270="","",Base!F270)</f>
        <v/>
      </c>
      <c r="C276" s="21" t="str">
        <f>IF(Base!I270="","",Base!I270)</f>
        <v/>
      </c>
      <c r="D276" s="22" t="str">
        <f>IF(Base!J270="","",Base!J270)</f>
        <v/>
      </c>
      <c r="E276" s="21" t="str">
        <f>IF(Base!H270="","",Base!H270)</f>
        <v/>
      </c>
    </row>
    <row r="277" spans="1:5">
      <c r="A277" s="21" t="str">
        <f>IF(Base!B271="","",Base!B271)</f>
        <v/>
      </c>
      <c r="B277" s="21" t="str">
        <f>IF(Base!F271="","",Base!F271)</f>
        <v/>
      </c>
      <c r="C277" s="21" t="str">
        <f>IF(Base!I271="","",Base!I271)</f>
        <v/>
      </c>
      <c r="D277" s="22" t="str">
        <f>IF(Base!J271="","",Base!J271)</f>
        <v/>
      </c>
      <c r="E277" s="21" t="str">
        <f>IF(Base!H271="","",Base!H271)</f>
        <v/>
      </c>
    </row>
    <row r="278" spans="1:5">
      <c r="A278" s="21" t="str">
        <f>IF(Base!B272="","",Base!B272)</f>
        <v/>
      </c>
      <c r="B278" s="21" t="str">
        <f>IF(Base!F272="","",Base!F272)</f>
        <v/>
      </c>
      <c r="C278" s="21" t="str">
        <f>IF(Base!I272="","",Base!I272)</f>
        <v/>
      </c>
      <c r="D278" s="22" t="str">
        <f>IF(Base!J272="","",Base!J272)</f>
        <v/>
      </c>
      <c r="E278" s="21" t="str">
        <f>IF(Base!H272="","",Base!H272)</f>
        <v/>
      </c>
    </row>
    <row r="279" spans="1:5">
      <c r="A279" s="21" t="str">
        <f>IF(Base!B273="","",Base!B273)</f>
        <v/>
      </c>
      <c r="B279" s="21" t="str">
        <f>IF(Base!F273="","",Base!F273)</f>
        <v/>
      </c>
      <c r="C279" s="21" t="str">
        <f>IF(Base!I273="","",Base!I273)</f>
        <v/>
      </c>
      <c r="D279" s="22" t="str">
        <f>IF(Base!J273="","",Base!J273)</f>
        <v/>
      </c>
      <c r="E279" s="21" t="str">
        <f>IF(Base!H273="","",Base!H273)</f>
        <v/>
      </c>
    </row>
    <row r="280" spans="1:5">
      <c r="A280" s="21" t="str">
        <f>IF(Base!B274="","",Base!B274)</f>
        <v/>
      </c>
      <c r="B280" s="21" t="str">
        <f>IF(Base!F274="","",Base!F274)</f>
        <v/>
      </c>
      <c r="C280" s="21" t="str">
        <f>IF(Base!I274="","",Base!I274)</f>
        <v/>
      </c>
      <c r="D280" s="22" t="str">
        <f>IF(Base!J274="","",Base!J274)</f>
        <v/>
      </c>
      <c r="E280" s="21" t="str">
        <f>IF(Base!H274="","",Base!H274)</f>
        <v/>
      </c>
    </row>
    <row r="281" spans="1:5">
      <c r="A281" s="21" t="str">
        <f>IF(Base!B275="","",Base!B275)</f>
        <v/>
      </c>
      <c r="B281" s="21" t="str">
        <f>IF(Base!F275="","",Base!F275)</f>
        <v/>
      </c>
      <c r="C281" s="21" t="str">
        <f>IF(Base!I275="","",Base!I275)</f>
        <v/>
      </c>
      <c r="D281" s="22" t="str">
        <f>IF(Base!J275="","",Base!J275)</f>
        <v/>
      </c>
      <c r="E281" s="21" t="str">
        <f>IF(Base!H275="","",Base!H275)</f>
        <v/>
      </c>
    </row>
    <row r="282" spans="1:5">
      <c r="A282" s="21" t="str">
        <f>IF(Base!B276="","",Base!B276)</f>
        <v/>
      </c>
      <c r="B282" s="21" t="str">
        <f>IF(Base!F276="","",Base!F276)</f>
        <v/>
      </c>
      <c r="C282" s="21" t="str">
        <f>IF(Base!I276="","",Base!I276)</f>
        <v/>
      </c>
      <c r="D282" s="22" t="str">
        <f>IF(Base!J276="","",Base!J276)</f>
        <v/>
      </c>
      <c r="E282" s="21" t="str">
        <f>IF(Base!H276="","",Base!H276)</f>
        <v/>
      </c>
    </row>
    <row r="283" spans="1:5">
      <c r="A283" s="21" t="str">
        <f>IF(Base!B277="","",Base!B277)</f>
        <v/>
      </c>
      <c r="B283" s="21" t="str">
        <f>IF(Base!F277="","",Base!F277)</f>
        <v/>
      </c>
      <c r="C283" s="21" t="str">
        <f>IF(Base!I277="","",Base!I277)</f>
        <v/>
      </c>
      <c r="D283" s="22" t="str">
        <f>IF(Base!J277="","",Base!J277)</f>
        <v/>
      </c>
      <c r="E283" s="21" t="str">
        <f>IF(Base!H277="","",Base!H277)</f>
        <v/>
      </c>
    </row>
    <row r="284" spans="1:5">
      <c r="A284" s="21" t="str">
        <f>IF(Base!B278="","",Base!B278)</f>
        <v/>
      </c>
      <c r="B284" s="21" t="str">
        <f>IF(Base!F278="","",Base!F278)</f>
        <v/>
      </c>
      <c r="C284" s="21" t="str">
        <f>IF(Base!I278="","",Base!I278)</f>
        <v/>
      </c>
      <c r="D284" s="22" t="str">
        <f>IF(Base!J278="","",Base!J278)</f>
        <v/>
      </c>
      <c r="E284" s="21" t="str">
        <f>IF(Base!H278="","",Base!H278)</f>
        <v/>
      </c>
    </row>
    <row r="285" spans="1:5">
      <c r="A285" s="21" t="str">
        <f>IF(Base!B279="","",Base!B279)</f>
        <v/>
      </c>
      <c r="B285" s="21" t="str">
        <f>IF(Base!F279="","",Base!F279)</f>
        <v/>
      </c>
      <c r="C285" s="21" t="str">
        <f>IF(Base!I279="","",Base!I279)</f>
        <v/>
      </c>
      <c r="D285" s="22" t="str">
        <f>IF(Base!J279="","",Base!J279)</f>
        <v/>
      </c>
      <c r="E285" s="21" t="str">
        <f>IF(Base!H279="","",Base!H279)</f>
        <v/>
      </c>
    </row>
    <row r="286" spans="1:5">
      <c r="A286" s="21" t="str">
        <f>IF(Base!B280="","",Base!B280)</f>
        <v/>
      </c>
      <c r="B286" s="21" t="str">
        <f>IF(Base!F280="","",Base!F280)</f>
        <v/>
      </c>
      <c r="C286" s="21" t="str">
        <f>IF(Base!I280="","",Base!I280)</f>
        <v/>
      </c>
      <c r="D286" s="22" t="str">
        <f>IF(Base!J280="","",Base!J280)</f>
        <v/>
      </c>
      <c r="E286" s="21" t="str">
        <f>IF(Base!H280="","",Base!H280)</f>
        <v/>
      </c>
    </row>
    <row r="287" spans="1:5">
      <c r="A287" s="21" t="str">
        <f>IF(Base!B281="","",Base!B281)</f>
        <v/>
      </c>
      <c r="B287" s="21" t="str">
        <f>IF(Base!F281="","",Base!F281)</f>
        <v/>
      </c>
      <c r="C287" s="21" t="str">
        <f>IF(Base!I281="","",Base!I281)</f>
        <v/>
      </c>
      <c r="D287" s="22" t="str">
        <f>IF(Base!J281="","",Base!J281)</f>
        <v/>
      </c>
      <c r="E287" s="21" t="str">
        <f>IF(Base!H281="","",Base!H281)</f>
        <v/>
      </c>
    </row>
    <row r="288" spans="1:5">
      <c r="A288" s="21" t="str">
        <f>IF(Base!B282="","",Base!B282)</f>
        <v/>
      </c>
      <c r="B288" s="21" t="str">
        <f>IF(Base!F282="","",Base!F282)</f>
        <v/>
      </c>
      <c r="C288" s="21" t="str">
        <f>IF(Base!I282="","",Base!I282)</f>
        <v/>
      </c>
      <c r="D288" s="22" t="str">
        <f>IF(Base!J282="","",Base!J282)</f>
        <v/>
      </c>
      <c r="E288" s="21" t="str">
        <f>IF(Base!H282="","",Base!H282)</f>
        <v/>
      </c>
    </row>
    <row r="289" spans="1:5">
      <c r="A289" s="21" t="str">
        <f>IF(Base!B283="","",Base!B283)</f>
        <v/>
      </c>
      <c r="B289" s="21" t="str">
        <f>IF(Base!F283="","",Base!F283)</f>
        <v/>
      </c>
      <c r="C289" s="21" t="str">
        <f>IF(Base!I283="","",Base!I283)</f>
        <v/>
      </c>
      <c r="D289" s="22" t="str">
        <f>IF(Base!J283="","",Base!J283)</f>
        <v/>
      </c>
      <c r="E289" s="21" t="str">
        <f>IF(Base!H283="","",Base!H283)</f>
        <v/>
      </c>
    </row>
    <row r="290" spans="1:5">
      <c r="A290" s="21" t="str">
        <f>IF(Base!B284="","",Base!B284)</f>
        <v/>
      </c>
      <c r="B290" s="21" t="str">
        <f>IF(Base!F284="","",Base!F284)</f>
        <v/>
      </c>
      <c r="C290" s="21" t="str">
        <f>IF(Base!I284="","",Base!I284)</f>
        <v/>
      </c>
      <c r="D290" s="22" t="str">
        <f>IF(Base!J284="","",Base!J284)</f>
        <v/>
      </c>
      <c r="E290" s="21" t="str">
        <f>IF(Base!H284="","",Base!H284)</f>
        <v/>
      </c>
    </row>
    <row r="291" spans="1:5">
      <c r="A291" s="21" t="str">
        <f>IF(Base!B285="","",Base!B285)</f>
        <v/>
      </c>
      <c r="B291" s="21" t="str">
        <f>IF(Base!F285="","",Base!F285)</f>
        <v/>
      </c>
      <c r="C291" s="21" t="str">
        <f>IF(Base!I285="","",Base!I285)</f>
        <v/>
      </c>
      <c r="D291" s="22" t="str">
        <f>IF(Base!J285="","",Base!J285)</f>
        <v/>
      </c>
      <c r="E291" s="21" t="str">
        <f>IF(Base!H285="","",Base!H285)</f>
        <v/>
      </c>
    </row>
    <row r="292" spans="1:5">
      <c r="A292" s="21" t="str">
        <f>IF(Base!B286="","",Base!B286)</f>
        <v/>
      </c>
      <c r="B292" s="21" t="str">
        <f>IF(Base!F286="","",Base!F286)</f>
        <v/>
      </c>
      <c r="C292" s="21" t="str">
        <f>IF(Base!I286="","",Base!I286)</f>
        <v/>
      </c>
      <c r="D292" s="22" t="str">
        <f>IF(Base!J286="","",Base!J286)</f>
        <v/>
      </c>
      <c r="E292" s="21" t="str">
        <f>IF(Base!H286="","",Base!H286)</f>
        <v/>
      </c>
    </row>
    <row r="293" spans="1:5">
      <c r="A293" s="21" t="str">
        <f>IF(Base!B287="","",Base!B287)</f>
        <v/>
      </c>
      <c r="B293" s="21" t="str">
        <f>IF(Base!F287="","",Base!F287)</f>
        <v/>
      </c>
      <c r="C293" s="21" t="str">
        <f>IF(Base!I287="","",Base!I287)</f>
        <v/>
      </c>
      <c r="D293" s="22" t="str">
        <f>IF(Base!J287="","",Base!J287)</f>
        <v/>
      </c>
      <c r="E293" s="21" t="str">
        <f>IF(Base!H287="","",Base!H287)</f>
        <v/>
      </c>
    </row>
    <row r="294" spans="1:5">
      <c r="A294" s="21" t="str">
        <f>IF(Base!B288="","",Base!B288)</f>
        <v/>
      </c>
      <c r="B294" s="21" t="str">
        <f>IF(Base!F288="","",Base!F288)</f>
        <v/>
      </c>
      <c r="C294" s="21" t="str">
        <f>IF(Base!I288="","",Base!I288)</f>
        <v/>
      </c>
      <c r="D294" s="22" t="str">
        <f>IF(Base!J288="","",Base!J288)</f>
        <v/>
      </c>
      <c r="E294" s="21" t="str">
        <f>IF(Base!H288="","",Base!H288)</f>
        <v/>
      </c>
    </row>
    <row r="295" spans="1:5">
      <c r="A295" s="21" t="str">
        <f>IF(Base!B289="","",Base!B289)</f>
        <v/>
      </c>
      <c r="B295" s="21" t="str">
        <f>IF(Base!F289="","",Base!F289)</f>
        <v/>
      </c>
      <c r="C295" s="21" t="str">
        <f>IF(Base!I289="","",Base!I289)</f>
        <v/>
      </c>
      <c r="D295" s="22" t="str">
        <f>IF(Base!J289="","",Base!J289)</f>
        <v/>
      </c>
      <c r="E295" s="21" t="str">
        <f>IF(Base!H289="","",Base!H289)</f>
        <v/>
      </c>
    </row>
    <row r="296" spans="1:5">
      <c r="A296" s="21" t="str">
        <f>IF(Base!B290="","",Base!B290)</f>
        <v/>
      </c>
      <c r="B296" s="21" t="str">
        <f>IF(Base!F290="","",Base!F290)</f>
        <v/>
      </c>
      <c r="C296" s="21" t="str">
        <f>IF(Base!I290="","",Base!I290)</f>
        <v/>
      </c>
      <c r="D296" s="22" t="str">
        <f>IF(Base!J290="","",Base!J290)</f>
        <v/>
      </c>
      <c r="E296" s="21" t="str">
        <f>IF(Base!H290="","",Base!H290)</f>
        <v/>
      </c>
    </row>
    <row r="297" spans="1:5">
      <c r="A297" s="21" t="str">
        <f>IF(Base!B291="","",Base!B291)</f>
        <v/>
      </c>
      <c r="B297" s="21" t="str">
        <f>IF(Base!F291="","",Base!F291)</f>
        <v/>
      </c>
      <c r="C297" s="21" t="str">
        <f>IF(Base!I291="","",Base!I291)</f>
        <v/>
      </c>
      <c r="D297" s="22" t="str">
        <f>IF(Base!J291="","",Base!J291)</f>
        <v/>
      </c>
      <c r="E297" s="21" t="str">
        <f>IF(Base!H291="","",Base!H291)</f>
        <v/>
      </c>
    </row>
    <row r="298" spans="1:5">
      <c r="A298" s="21" t="str">
        <f>IF(Base!B292="","",Base!B292)</f>
        <v/>
      </c>
      <c r="B298" s="21" t="str">
        <f>IF(Base!F292="","",Base!F292)</f>
        <v/>
      </c>
      <c r="C298" s="21" t="str">
        <f>IF(Base!I292="","",Base!I292)</f>
        <v/>
      </c>
      <c r="D298" s="22" t="str">
        <f>IF(Base!J292="","",Base!J292)</f>
        <v/>
      </c>
      <c r="E298" s="21" t="str">
        <f>IF(Base!H292="","",Base!H292)</f>
        <v/>
      </c>
    </row>
    <row r="299" spans="1:5">
      <c r="A299" s="21" t="str">
        <f>IF(Base!B293="","",Base!B293)</f>
        <v/>
      </c>
      <c r="B299" s="21" t="str">
        <f>IF(Base!F293="","",Base!F293)</f>
        <v/>
      </c>
      <c r="C299" s="21" t="str">
        <f>IF(Base!I293="","",Base!I293)</f>
        <v/>
      </c>
      <c r="D299" s="22" t="str">
        <f>IF(Base!J293="","",Base!J293)</f>
        <v/>
      </c>
      <c r="E299" s="21" t="str">
        <f>IF(Base!H293="","",Base!H293)</f>
        <v/>
      </c>
    </row>
    <row r="300" spans="1:5">
      <c r="A300" s="21" t="str">
        <f>IF(Base!B294="","",Base!B294)</f>
        <v/>
      </c>
      <c r="B300" s="21" t="str">
        <f>IF(Base!F294="","",Base!F294)</f>
        <v/>
      </c>
      <c r="C300" s="21" t="str">
        <f>IF(Base!I294="","",Base!I294)</f>
        <v/>
      </c>
      <c r="D300" s="22" t="str">
        <f>IF(Base!J294="","",Base!J294)</f>
        <v/>
      </c>
      <c r="E300" s="21" t="str">
        <f>IF(Base!H294="","",Base!H294)</f>
        <v/>
      </c>
    </row>
    <row r="301" spans="1:5">
      <c r="A301" s="21" t="str">
        <f>IF(Base!B295="","",Base!B295)</f>
        <v/>
      </c>
      <c r="B301" s="21" t="str">
        <f>IF(Base!F295="","",Base!F295)</f>
        <v/>
      </c>
      <c r="C301" s="21" t="str">
        <f>IF(Base!I295="","",Base!I295)</f>
        <v/>
      </c>
      <c r="D301" s="22" t="str">
        <f>IF(Base!J295="","",Base!J295)</f>
        <v/>
      </c>
      <c r="E301" s="21" t="str">
        <f>IF(Base!H295="","",Base!H295)</f>
        <v/>
      </c>
    </row>
    <row r="302" spans="1:5">
      <c r="A302" s="21" t="str">
        <f>IF(Base!B296="","",Base!B296)</f>
        <v/>
      </c>
      <c r="B302" s="21" t="str">
        <f>IF(Base!F296="","",Base!F296)</f>
        <v/>
      </c>
      <c r="C302" s="21" t="str">
        <f>IF(Base!I296="","",Base!I296)</f>
        <v/>
      </c>
      <c r="D302" s="22" t="str">
        <f>IF(Base!J296="","",Base!J296)</f>
        <v/>
      </c>
      <c r="E302" s="21" t="str">
        <f>IF(Base!H296="","",Base!H296)</f>
        <v/>
      </c>
    </row>
    <row r="303" spans="1:5">
      <c r="A303" s="21" t="str">
        <f>IF(Base!B297="","",Base!B297)</f>
        <v/>
      </c>
      <c r="B303" s="21" t="str">
        <f>IF(Base!F297="","",Base!F297)</f>
        <v/>
      </c>
      <c r="C303" s="21" t="str">
        <f>IF(Base!I297="","",Base!I297)</f>
        <v/>
      </c>
      <c r="D303" s="22" t="str">
        <f>IF(Base!J297="","",Base!J297)</f>
        <v/>
      </c>
      <c r="E303" s="21" t="str">
        <f>IF(Base!H297="","",Base!H297)</f>
        <v/>
      </c>
    </row>
    <row r="304" spans="1:5">
      <c r="A304" s="21" t="str">
        <f>IF(Base!B298="","",Base!B298)</f>
        <v/>
      </c>
      <c r="B304" s="21" t="str">
        <f>IF(Base!F298="","",Base!F298)</f>
        <v/>
      </c>
      <c r="C304" s="21" t="str">
        <f>IF(Base!I298="","",Base!I298)</f>
        <v/>
      </c>
      <c r="D304" s="22" t="str">
        <f>IF(Base!J298="","",Base!J298)</f>
        <v/>
      </c>
      <c r="E304" s="21" t="str">
        <f>IF(Base!H298="","",Base!H298)</f>
        <v/>
      </c>
    </row>
    <row r="305" spans="1:5">
      <c r="A305" s="21" t="str">
        <f>IF(Base!B299="","",Base!B299)</f>
        <v/>
      </c>
      <c r="B305" s="21" t="str">
        <f>IF(Base!F299="","",Base!F299)</f>
        <v/>
      </c>
      <c r="C305" s="21" t="str">
        <f>IF(Base!I299="","",Base!I299)</f>
        <v/>
      </c>
      <c r="D305" s="22" t="str">
        <f>IF(Base!J299="","",Base!J299)</f>
        <v/>
      </c>
      <c r="E305" s="21" t="str">
        <f>IF(Base!H299="","",Base!H299)</f>
        <v/>
      </c>
    </row>
    <row r="306" spans="1:5">
      <c r="A306" s="21" t="str">
        <f>IF(Base!B300="","",Base!B300)</f>
        <v/>
      </c>
      <c r="B306" s="21" t="str">
        <f>IF(Base!F300="","",Base!F300)</f>
        <v/>
      </c>
      <c r="C306" s="21" t="str">
        <f>IF(Base!I300="","",Base!I300)</f>
        <v/>
      </c>
      <c r="D306" s="22" t="str">
        <f>IF(Base!J300="","",Base!J300)</f>
        <v/>
      </c>
      <c r="E306" s="21" t="str">
        <f>IF(Base!H300="","",Base!H300)</f>
        <v/>
      </c>
    </row>
    <row r="307" spans="1:5">
      <c r="A307" s="21" t="str">
        <f>IF(Base!B301="","",Base!B301)</f>
        <v/>
      </c>
      <c r="B307" s="21" t="str">
        <f>IF(Base!F301="","",Base!F301)</f>
        <v/>
      </c>
      <c r="C307" s="21" t="str">
        <f>IF(Base!I301="","",Base!I301)</f>
        <v/>
      </c>
      <c r="D307" s="22" t="str">
        <f>IF(Base!J301="","",Base!J301)</f>
        <v/>
      </c>
      <c r="E307" s="21" t="str">
        <f>IF(Base!H301="","",Base!H301)</f>
        <v/>
      </c>
    </row>
    <row r="308" spans="1:5">
      <c r="A308" s="21" t="str">
        <f>IF(Base!B302="","",Base!B302)</f>
        <v/>
      </c>
      <c r="B308" s="21" t="str">
        <f>IF(Base!F302="","",Base!F302)</f>
        <v/>
      </c>
      <c r="C308" s="21" t="str">
        <f>IF(Base!I302="","",Base!I302)</f>
        <v/>
      </c>
      <c r="D308" s="22" t="str">
        <f>IF(Base!J302="","",Base!J302)</f>
        <v/>
      </c>
      <c r="E308" s="21" t="str">
        <f>IF(Base!H302="","",Base!H302)</f>
        <v/>
      </c>
    </row>
    <row r="309" spans="1:5">
      <c r="A309" s="21" t="str">
        <f>IF(Base!B303="","",Base!B303)</f>
        <v/>
      </c>
      <c r="B309" s="21" t="str">
        <f>IF(Base!F303="","",Base!F303)</f>
        <v/>
      </c>
      <c r="C309" s="21" t="str">
        <f>IF(Base!I303="","",Base!I303)</f>
        <v/>
      </c>
      <c r="D309" s="22" t="str">
        <f>IF(Base!J303="","",Base!J303)</f>
        <v/>
      </c>
      <c r="E309" s="21" t="str">
        <f>IF(Base!H303="","",Base!H303)</f>
        <v/>
      </c>
    </row>
    <row r="310" spans="1:5">
      <c r="A310" s="21" t="str">
        <f>IF(Base!B304="","",Base!B304)</f>
        <v/>
      </c>
      <c r="B310" s="21" t="str">
        <f>IF(Base!F304="","",Base!F304)</f>
        <v/>
      </c>
      <c r="C310" s="21" t="str">
        <f>IF(Base!I304="","",Base!I304)</f>
        <v/>
      </c>
      <c r="D310" s="22" t="str">
        <f>IF(Base!J304="","",Base!J304)</f>
        <v/>
      </c>
      <c r="E310" s="21" t="str">
        <f>IF(Base!H304="","",Base!H304)</f>
        <v/>
      </c>
    </row>
    <row r="311" spans="1:5">
      <c r="A311" s="21" t="str">
        <f>IF(Base!B305="","",Base!B305)</f>
        <v/>
      </c>
      <c r="B311" s="21" t="str">
        <f>IF(Base!F305="","",Base!F305)</f>
        <v/>
      </c>
      <c r="C311" s="21" t="str">
        <f>IF(Base!I305="","",Base!I305)</f>
        <v/>
      </c>
      <c r="D311" s="22" t="str">
        <f>IF(Base!J305="","",Base!J305)</f>
        <v/>
      </c>
      <c r="E311" s="21" t="str">
        <f>IF(Base!H305="","",Base!H305)</f>
        <v/>
      </c>
    </row>
    <row r="312" spans="1:5">
      <c r="A312" s="21" t="str">
        <f>IF(Base!B306="","",Base!B306)</f>
        <v/>
      </c>
      <c r="B312" s="21" t="str">
        <f>IF(Base!F306="","",Base!F306)</f>
        <v/>
      </c>
      <c r="C312" s="21" t="str">
        <f>IF(Base!I306="","",Base!I306)</f>
        <v/>
      </c>
      <c r="D312" s="22" t="str">
        <f>IF(Base!J306="","",Base!J306)</f>
        <v/>
      </c>
      <c r="E312" s="21" t="str">
        <f>IF(Base!H306="","",Base!H306)</f>
        <v/>
      </c>
    </row>
    <row r="313" spans="1:5">
      <c r="A313" s="21" t="str">
        <f>IF(Base!B307="","",Base!B307)</f>
        <v/>
      </c>
      <c r="B313" s="21" t="str">
        <f>IF(Base!F307="","",Base!F307)</f>
        <v/>
      </c>
      <c r="C313" s="21" t="str">
        <f>IF(Base!I307="","",Base!I307)</f>
        <v/>
      </c>
      <c r="D313" s="22" t="str">
        <f>IF(Base!J307="","",Base!J307)</f>
        <v/>
      </c>
      <c r="E313" s="21" t="str">
        <f>IF(Base!H307="","",Base!H307)</f>
        <v/>
      </c>
    </row>
    <row r="314" spans="1:5">
      <c r="A314" s="21" t="str">
        <f>IF(Base!B308="","",Base!B308)</f>
        <v/>
      </c>
      <c r="B314" s="21" t="str">
        <f>IF(Base!F308="","",Base!F308)</f>
        <v/>
      </c>
      <c r="C314" s="21" t="str">
        <f>IF(Base!I308="","",Base!I308)</f>
        <v/>
      </c>
      <c r="D314" s="22" t="str">
        <f>IF(Base!J308="","",Base!J308)</f>
        <v/>
      </c>
      <c r="E314" s="21" t="str">
        <f>IF(Base!H308="","",Base!H308)</f>
        <v/>
      </c>
    </row>
    <row r="315" spans="1:5">
      <c r="A315" s="21" t="str">
        <f>IF(Base!B309="","",Base!B309)</f>
        <v/>
      </c>
      <c r="B315" s="21" t="str">
        <f>IF(Base!F309="","",Base!F309)</f>
        <v/>
      </c>
      <c r="C315" s="21" t="str">
        <f>IF(Base!I309="","",Base!I309)</f>
        <v/>
      </c>
      <c r="D315" s="22" t="str">
        <f>IF(Base!J309="","",Base!J309)</f>
        <v/>
      </c>
      <c r="E315" s="21" t="str">
        <f>IF(Base!H309="","",Base!H309)</f>
        <v/>
      </c>
    </row>
    <row r="316" spans="1:5">
      <c r="A316" s="21" t="str">
        <f>IF(Base!B310="","",Base!B310)</f>
        <v/>
      </c>
      <c r="B316" s="21" t="str">
        <f>IF(Base!F310="","",Base!F310)</f>
        <v/>
      </c>
      <c r="C316" s="21" t="str">
        <f>IF(Base!I310="","",Base!I310)</f>
        <v/>
      </c>
      <c r="D316" s="22" t="str">
        <f>IF(Base!J310="","",Base!J310)</f>
        <v/>
      </c>
      <c r="E316" s="21" t="str">
        <f>IF(Base!H310="","",Base!H310)</f>
        <v/>
      </c>
    </row>
    <row r="317" spans="1:5">
      <c r="A317" s="21" t="str">
        <f>IF(Base!B311="","",Base!B311)</f>
        <v/>
      </c>
      <c r="B317" s="21" t="str">
        <f>IF(Base!F311="","",Base!F311)</f>
        <v/>
      </c>
      <c r="C317" s="21" t="str">
        <f>IF(Base!I311="","",Base!I311)</f>
        <v/>
      </c>
      <c r="D317" s="22" t="str">
        <f>IF(Base!J311="","",Base!J311)</f>
        <v/>
      </c>
      <c r="E317" s="21" t="str">
        <f>IF(Base!H311="","",Base!H311)</f>
        <v/>
      </c>
    </row>
    <row r="318" spans="1:5">
      <c r="A318" s="21" t="str">
        <f>IF(Base!B312="","",Base!B312)</f>
        <v/>
      </c>
      <c r="B318" s="21" t="str">
        <f>IF(Base!F312="","",Base!F312)</f>
        <v/>
      </c>
      <c r="C318" s="21" t="str">
        <f>IF(Base!I312="","",Base!I312)</f>
        <v/>
      </c>
      <c r="D318" s="22" t="str">
        <f>IF(Base!J312="","",Base!J312)</f>
        <v/>
      </c>
      <c r="E318" s="21" t="str">
        <f>IF(Base!H312="","",Base!H312)</f>
        <v/>
      </c>
    </row>
    <row r="319" spans="1:5">
      <c r="A319" s="21" t="str">
        <f>IF(Base!B313="","",Base!B313)</f>
        <v/>
      </c>
      <c r="B319" s="21" t="str">
        <f>IF(Base!F313="","",Base!F313)</f>
        <v/>
      </c>
      <c r="C319" s="21" t="str">
        <f>IF(Base!I313="","",Base!I313)</f>
        <v/>
      </c>
      <c r="D319" s="22" t="str">
        <f>IF(Base!J313="","",Base!J313)</f>
        <v/>
      </c>
      <c r="E319" s="21" t="str">
        <f>IF(Base!H313="","",Base!H313)</f>
        <v/>
      </c>
    </row>
    <row r="320" spans="1:5">
      <c r="A320" s="21" t="str">
        <f>IF(Base!B314="","",Base!B314)</f>
        <v/>
      </c>
      <c r="B320" s="21" t="str">
        <f>IF(Base!F314="","",Base!F314)</f>
        <v/>
      </c>
      <c r="C320" s="21" t="str">
        <f>IF(Base!I314="","",Base!I314)</f>
        <v/>
      </c>
      <c r="D320" s="22" t="str">
        <f>IF(Base!J314="","",Base!J314)</f>
        <v/>
      </c>
      <c r="E320" s="21" t="str">
        <f>IF(Base!H314="","",Base!H314)</f>
        <v/>
      </c>
    </row>
    <row r="321" spans="1:5">
      <c r="A321" s="21" t="str">
        <f>IF(Base!B315="","",Base!B315)</f>
        <v/>
      </c>
      <c r="B321" s="21" t="str">
        <f>IF(Base!F315="","",Base!F315)</f>
        <v/>
      </c>
      <c r="C321" s="21" t="str">
        <f>IF(Base!I315="","",Base!I315)</f>
        <v/>
      </c>
      <c r="D321" s="22" t="str">
        <f>IF(Base!J315="","",Base!J315)</f>
        <v/>
      </c>
      <c r="E321" s="21" t="str">
        <f>IF(Base!H315="","",Base!H315)</f>
        <v/>
      </c>
    </row>
    <row r="322" spans="1:5">
      <c r="A322" s="21" t="str">
        <f>IF(Base!B316="","",Base!B316)</f>
        <v/>
      </c>
      <c r="B322" s="21" t="str">
        <f>IF(Base!F316="","",Base!F316)</f>
        <v/>
      </c>
      <c r="C322" s="21" t="str">
        <f>IF(Base!I316="","",Base!I316)</f>
        <v/>
      </c>
      <c r="D322" s="22" t="str">
        <f>IF(Base!J316="","",Base!J316)</f>
        <v/>
      </c>
      <c r="E322" s="21" t="str">
        <f>IF(Base!H316="","",Base!H316)</f>
        <v/>
      </c>
    </row>
    <row r="323" spans="1:5">
      <c r="A323" s="21" t="str">
        <f>IF(Base!B317="","",Base!B317)</f>
        <v/>
      </c>
      <c r="B323" s="21" t="str">
        <f>IF(Base!F317="","",Base!F317)</f>
        <v/>
      </c>
      <c r="C323" s="21" t="str">
        <f>IF(Base!I317="","",Base!I317)</f>
        <v/>
      </c>
      <c r="D323" s="22" t="str">
        <f>IF(Base!J317="","",Base!J317)</f>
        <v/>
      </c>
      <c r="E323" s="21" t="str">
        <f>IF(Base!H317="","",Base!H317)</f>
        <v/>
      </c>
    </row>
    <row r="324" spans="1:5">
      <c r="A324" s="21" t="str">
        <f>IF(Base!B318="","",Base!B318)</f>
        <v/>
      </c>
      <c r="B324" s="21" t="str">
        <f>IF(Base!F318="","",Base!F318)</f>
        <v/>
      </c>
      <c r="C324" s="21" t="str">
        <f>IF(Base!I318="","",Base!I318)</f>
        <v/>
      </c>
      <c r="D324" s="22" t="str">
        <f>IF(Base!J318="","",Base!J318)</f>
        <v/>
      </c>
      <c r="E324" s="21" t="str">
        <f>IF(Base!H318="","",Base!H318)</f>
        <v/>
      </c>
    </row>
    <row r="325" spans="1:5">
      <c r="A325" s="21" t="str">
        <f>IF(Base!B319="","",Base!B319)</f>
        <v/>
      </c>
      <c r="B325" s="21" t="str">
        <f>IF(Base!F319="","",Base!F319)</f>
        <v/>
      </c>
      <c r="C325" s="21" t="str">
        <f>IF(Base!I319="","",Base!I319)</f>
        <v/>
      </c>
      <c r="D325" s="22" t="str">
        <f>IF(Base!J319="","",Base!J319)</f>
        <v/>
      </c>
      <c r="E325" s="21" t="str">
        <f>IF(Base!H319="","",Base!H319)</f>
        <v/>
      </c>
    </row>
    <row r="326" spans="1:5">
      <c r="A326" s="21" t="str">
        <f>IF(Base!B320="","",Base!B320)</f>
        <v/>
      </c>
      <c r="B326" s="21" t="str">
        <f>IF(Base!F320="","",Base!F320)</f>
        <v/>
      </c>
      <c r="C326" s="21" t="str">
        <f>IF(Base!I320="","",Base!I320)</f>
        <v/>
      </c>
      <c r="D326" s="22" t="str">
        <f>IF(Base!J320="","",Base!J320)</f>
        <v/>
      </c>
      <c r="E326" s="21" t="str">
        <f>IF(Base!H320="","",Base!H320)</f>
        <v/>
      </c>
    </row>
    <row r="327" spans="1:5">
      <c r="A327" s="21" t="str">
        <f>IF(Base!B321="","",Base!B321)</f>
        <v/>
      </c>
      <c r="B327" s="21" t="str">
        <f>IF(Base!F321="","",Base!F321)</f>
        <v/>
      </c>
      <c r="C327" s="21" t="str">
        <f>IF(Base!I321="","",Base!I321)</f>
        <v/>
      </c>
      <c r="D327" s="22" t="str">
        <f>IF(Base!J321="","",Base!J321)</f>
        <v/>
      </c>
      <c r="E327" s="21" t="str">
        <f>IF(Base!H321="","",Base!H321)</f>
        <v/>
      </c>
    </row>
    <row r="328" spans="1:5">
      <c r="A328" s="21" t="str">
        <f>IF(Base!B322="","",Base!B322)</f>
        <v/>
      </c>
      <c r="B328" s="21" t="str">
        <f>IF(Base!F322="","",Base!F322)</f>
        <v/>
      </c>
      <c r="C328" s="21" t="str">
        <f>IF(Base!I322="","",Base!I322)</f>
        <v/>
      </c>
      <c r="D328" s="22" t="str">
        <f>IF(Base!J322="","",Base!J322)</f>
        <v/>
      </c>
      <c r="E328" s="21" t="str">
        <f>IF(Base!H322="","",Base!H322)</f>
        <v/>
      </c>
    </row>
    <row r="329" spans="1:5">
      <c r="A329" s="21" t="str">
        <f>IF(Base!B323="","",Base!B323)</f>
        <v/>
      </c>
      <c r="B329" s="21" t="str">
        <f>IF(Base!F323="","",Base!F323)</f>
        <v/>
      </c>
      <c r="C329" s="21" t="str">
        <f>IF(Base!I323="","",Base!I323)</f>
        <v/>
      </c>
      <c r="D329" s="22" t="str">
        <f>IF(Base!J323="","",Base!J323)</f>
        <v/>
      </c>
      <c r="E329" s="21" t="str">
        <f>IF(Base!H323="","",Base!H323)</f>
        <v/>
      </c>
    </row>
    <row r="330" spans="1:5">
      <c r="A330" s="21" t="str">
        <f>IF(Base!B324="","",Base!B324)</f>
        <v/>
      </c>
      <c r="B330" s="21" t="str">
        <f>IF(Base!F324="","",Base!F324)</f>
        <v/>
      </c>
      <c r="C330" s="21" t="str">
        <f>IF(Base!I324="","",Base!I324)</f>
        <v/>
      </c>
      <c r="D330" s="22" t="str">
        <f>IF(Base!J324="","",Base!J324)</f>
        <v/>
      </c>
      <c r="E330" s="21" t="str">
        <f>IF(Base!H324="","",Base!H324)</f>
        <v/>
      </c>
    </row>
    <row r="331" spans="1:5">
      <c r="A331" s="21" t="str">
        <f>IF(Base!B325="","",Base!B325)</f>
        <v/>
      </c>
      <c r="B331" s="21" t="str">
        <f>IF(Base!F325="","",Base!F325)</f>
        <v/>
      </c>
      <c r="C331" s="21" t="str">
        <f>IF(Base!I325="","",Base!I325)</f>
        <v/>
      </c>
      <c r="D331" s="22" t="str">
        <f>IF(Base!J325="","",Base!J325)</f>
        <v/>
      </c>
      <c r="E331" s="21" t="str">
        <f>IF(Base!H325="","",Base!H325)</f>
        <v/>
      </c>
    </row>
    <row r="332" spans="1:5">
      <c r="A332" s="21" t="str">
        <f>IF(Base!B326="","",Base!B326)</f>
        <v/>
      </c>
      <c r="B332" s="21" t="str">
        <f>IF(Base!F326="","",Base!F326)</f>
        <v/>
      </c>
      <c r="C332" s="21" t="str">
        <f>IF(Base!I326="","",Base!I326)</f>
        <v/>
      </c>
      <c r="D332" s="22" t="str">
        <f>IF(Base!J326="","",Base!J326)</f>
        <v/>
      </c>
      <c r="E332" s="21" t="str">
        <f>IF(Base!H326="","",Base!H326)</f>
        <v/>
      </c>
    </row>
    <row r="333" spans="1:5">
      <c r="A333" s="21" t="str">
        <f>IF(Base!B327="","",Base!B327)</f>
        <v/>
      </c>
      <c r="B333" s="21" t="str">
        <f>IF(Base!F327="","",Base!F327)</f>
        <v/>
      </c>
      <c r="C333" s="21" t="str">
        <f>IF(Base!I327="","",Base!I327)</f>
        <v/>
      </c>
      <c r="D333" s="22" t="str">
        <f>IF(Base!J327="","",Base!J327)</f>
        <v/>
      </c>
      <c r="E333" s="21" t="str">
        <f>IF(Base!H327="","",Base!H327)</f>
        <v/>
      </c>
    </row>
    <row r="334" spans="1:5">
      <c r="A334" s="21" t="str">
        <f>IF(Base!B328="","",Base!B328)</f>
        <v/>
      </c>
      <c r="B334" s="21" t="str">
        <f>IF(Base!F328="","",Base!F328)</f>
        <v/>
      </c>
      <c r="C334" s="21" t="str">
        <f>IF(Base!I328="","",Base!I328)</f>
        <v/>
      </c>
      <c r="D334" s="22" t="str">
        <f>IF(Base!J328="","",Base!J328)</f>
        <v/>
      </c>
      <c r="E334" s="21" t="str">
        <f>IF(Base!H328="","",Base!H328)</f>
        <v/>
      </c>
    </row>
    <row r="335" spans="1:5">
      <c r="A335" s="21" t="str">
        <f>IF(Base!B329="","",Base!B329)</f>
        <v/>
      </c>
      <c r="B335" s="21" t="str">
        <f>IF(Base!F329="","",Base!F329)</f>
        <v/>
      </c>
      <c r="C335" s="21" t="str">
        <f>IF(Base!I329="","",Base!I329)</f>
        <v/>
      </c>
      <c r="D335" s="22" t="str">
        <f>IF(Base!J329="","",Base!J329)</f>
        <v/>
      </c>
      <c r="E335" s="21" t="str">
        <f>IF(Base!H329="","",Base!H329)</f>
        <v/>
      </c>
    </row>
    <row r="336" spans="1:5">
      <c r="A336" s="21" t="str">
        <f>IF(Base!B330="","",Base!B330)</f>
        <v/>
      </c>
      <c r="B336" s="21" t="str">
        <f>IF(Base!F330="","",Base!F330)</f>
        <v/>
      </c>
      <c r="C336" s="21" t="str">
        <f>IF(Base!I330="","",Base!I330)</f>
        <v/>
      </c>
      <c r="D336" s="22" t="str">
        <f>IF(Base!J330="","",Base!J330)</f>
        <v/>
      </c>
      <c r="E336" s="21" t="str">
        <f>IF(Base!H330="","",Base!H330)</f>
        <v/>
      </c>
    </row>
    <row r="337" spans="1:5">
      <c r="A337" s="21" t="str">
        <f>IF(Base!B331="","",Base!B331)</f>
        <v/>
      </c>
      <c r="B337" s="21" t="str">
        <f>IF(Base!F331="","",Base!F331)</f>
        <v/>
      </c>
      <c r="C337" s="21" t="str">
        <f>IF(Base!I331="","",Base!I331)</f>
        <v/>
      </c>
      <c r="D337" s="22" t="str">
        <f>IF(Base!J331="","",Base!J331)</f>
        <v/>
      </c>
      <c r="E337" s="21" t="str">
        <f>IF(Base!H331="","",Base!H331)</f>
        <v/>
      </c>
    </row>
    <row r="338" spans="1:5">
      <c r="A338" s="21" t="str">
        <f>IF(Base!B332="","",Base!B332)</f>
        <v/>
      </c>
      <c r="B338" s="21" t="str">
        <f>IF(Base!F332="","",Base!F332)</f>
        <v/>
      </c>
      <c r="C338" s="21" t="str">
        <f>IF(Base!I332="","",Base!I332)</f>
        <v/>
      </c>
      <c r="D338" s="22" t="str">
        <f>IF(Base!J332="","",Base!J332)</f>
        <v/>
      </c>
      <c r="E338" s="21" t="str">
        <f>IF(Base!H332="","",Base!H332)</f>
        <v/>
      </c>
    </row>
    <row r="339" spans="1:5">
      <c r="A339" s="21" t="str">
        <f>IF(Base!B333="","",Base!B333)</f>
        <v/>
      </c>
      <c r="B339" s="21" t="str">
        <f>IF(Base!F333="","",Base!F333)</f>
        <v/>
      </c>
      <c r="C339" s="21" t="str">
        <f>IF(Base!I333="","",Base!I333)</f>
        <v/>
      </c>
      <c r="D339" s="22" t="str">
        <f>IF(Base!J333="","",Base!J333)</f>
        <v/>
      </c>
      <c r="E339" s="21" t="str">
        <f>IF(Base!H333="","",Base!H333)</f>
        <v/>
      </c>
    </row>
    <row r="340" spans="1:5">
      <c r="A340" s="21" t="str">
        <f>IF(Base!B334="","",Base!B334)</f>
        <v/>
      </c>
      <c r="B340" s="21" t="str">
        <f>IF(Base!F334="","",Base!F334)</f>
        <v/>
      </c>
      <c r="C340" s="21" t="str">
        <f>IF(Base!I334="","",Base!I334)</f>
        <v/>
      </c>
      <c r="D340" s="22" t="str">
        <f>IF(Base!J334="","",Base!J334)</f>
        <v/>
      </c>
      <c r="E340" s="21" t="str">
        <f>IF(Base!H334="","",Base!H334)</f>
        <v/>
      </c>
    </row>
    <row r="341" spans="1:5">
      <c r="A341" s="21" t="str">
        <f>IF(Base!B335="","",Base!B335)</f>
        <v/>
      </c>
      <c r="B341" s="21" t="str">
        <f>IF(Base!F335="","",Base!F335)</f>
        <v/>
      </c>
      <c r="C341" s="21" t="str">
        <f>IF(Base!I335="","",Base!I335)</f>
        <v/>
      </c>
      <c r="D341" s="22" t="str">
        <f>IF(Base!J335="","",Base!J335)</f>
        <v/>
      </c>
      <c r="E341" s="21" t="str">
        <f>IF(Base!H335="","",Base!H335)</f>
        <v/>
      </c>
    </row>
    <row r="342" spans="1:5">
      <c r="A342" s="21" t="str">
        <f>IF(Base!B336="","",Base!B336)</f>
        <v/>
      </c>
      <c r="B342" s="21" t="str">
        <f>IF(Base!F336="","",Base!F336)</f>
        <v/>
      </c>
      <c r="C342" s="21" t="str">
        <f>IF(Base!I336="","",Base!I336)</f>
        <v/>
      </c>
      <c r="D342" s="22" t="str">
        <f>IF(Base!J336="","",Base!J336)</f>
        <v/>
      </c>
      <c r="E342" s="21" t="str">
        <f>IF(Base!H336="","",Base!H336)</f>
        <v/>
      </c>
    </row>
    <row r="343" spans="1:5">
      <c r="A343" s="21" t="str">
        <f>IF(Base!B337="","",Base!B337)</f>
        <v/>
      </c>
      <c r="B343" s="21" t="str">
        <f>IF(Base!F337="","",Base!F337)</f>
        <v/>
      </c>
      <c r="C343" s="21" t="str">
        <f>IF(Base!I337="","",Base!I337)</f>
        <v/>
      </c>
      <c r="D343" s="22" t="str">
        <f>IF(Base!J337="","",Base!J337)</f>
        <v/>
      </c>
      <c r="E343" s="21" t="str">
        <f>IF(Base!H337="","",Base!H337)</f>
        <v/>
      </c>
    </row>
    <row r="344" spans="1:5">
      <c r="A344" s="21" t="str">
        <f>IF(Base!B338="","",Base!B338)</f>
        <v/>
      </c>
      <c r="B344" s="21" t="str">
        <f>IF(Base!F338="","",Base!F338)</f>
        <v/>
      </c>
      <c r="C344" s="21" t="str">
        <f>IF(Base!I338="","",Base!I338)</f>
        <v/>
      </c>
      <c r="D344" s="22" t="str">
        <f>IF(Base!J338="","",Base!J338)</f>
        <v/>
      </c>
      <c r="E344" s="21" t="str">
        <f>IF(Base!H338="","",Base!H338)</f>
        <v/>
      </c>
    </row>
    <row r="345" spans="1:5">
      <c r="A345" s="21" t="str">
        <f>IF(Base!B339="","",Base!B339)</f>
        <v/>
      </c>
      <c r="B345" s="21" t="str">
        <f>IF(Base!F339="","",Base!F339)</f>
        <v/>
      </c>
      <c r="C345" s="21" t="str">
        <f>IF(Base!I339="","",Base!I339)</f>
        <v/>
      </c>
      <c r="D345" s="22" t="str">
        <f>IF(Base!J339="","",Base!J339)</f>
        <v/>
      </c>
      <c r="E345" s="21" t="str">
        <f>IF(Base!H339="","",Base!H339)</f>
        <v/>
      </c>
    </row>
    <row r="346" spans="1:5">
      <c r="A346" s="21" t="str">
        <f>IF(Base!B340="","",Base!B340)</f>
        <v/>
      </c>
      <c r="B346" s="21" t="str">
        <f>IF(Base!F340="","",Base!F340)</f>
        <v/>
      </c>
      <c r="C346" s="21" t="str">
        <f>IF(Base!I340="","",Base!I340)</f>
        <v/>
      </c>
      <c r="D346" s="22" t="str">
        <f>IF(Base!J340="","",Base!J340)</f>
        <v/>
      </c>
      <c r="E346" s="21" t="str">
        <f>IF(Base!H340="","",Base!H340)</f>
        <v/>
      </c>
    </row>
    <row r="347" spans="1:5">
      <c r="A347" s="21" t="str">
        <f>IF(Base!B341="","",Base!B341)</f>
        <v/>
      </c>
      <c r="B347" s="21" t="str">
        <f>IF(Base!F341="","",Base!F341)</f>
        <v/>
      </c>
      <c r="C347" s="21" t="str">
        <f>IF(Base!I341="","",Base!I341)</f>
        <v/>
      </c>
      <c r="D347" s="22" t="str">
        <f>IF(Base!J341="","",Base!J341)</f>
        <v/>
      </c>
      <c r="E347" s="21" t="str">
        <f>IF(Base!H341="","",Base!H341)</f>
        <v/>
      </c>
    </row>
    <row r="348" spans="1:5">
      <c r="A348" s="21" t="str">
        <f>IF(Base!B342="","",Base!B342)</f>
        <v/>
      </c>
      <c r="B348" s="21" t="str">
        <f>IF(Base!F342="","",Base!F342)</f>
        <v/>
      </c>
      <c r="C348" s="21" t="str">
        <f>IF(Base!I342="","",Base!I342)</f>
        <v/>
      </c>
      <c r="D348" s="22" t="str">
        <f>IF(Base!J342="","",Base!J342)</f>
        <v/>
      </c>
      <c r="E348" s="21" t="str">
        <f>IF(Base!H342="","",Base!H342)</f>
        <v/>
      </c>
    </row>
    <row r="349" spans="1:5">
      <c r="A349" s="21" t="str">
        <f>IF(Base!B343="","",Base!B343)</f>
        <v/>
      </c>
      <c r="B349" s="21" t="str">
        <f>IF(Base!F343="","",Base!F343)</f>
        <v/>
      </c>
      <c r="C349" s="21" t="str">
        <f>IF(Base!I343="","",Base!I343)</f>
        <v/>
      </c>
      <c r="D349" s="22" t="str">
        <f>IF(Base!J343="","",Base!J343)</f>
        <v/>
      </c>
      <c r="E349" s="21" t="str">
        <f>IF(Base!H343="","",Base!H343)</f>
        <v/>
      </c>
    </row>
    <row r="350" spans="1:5">
      <c r="A350" s="21" t="str">
        <f>IF(Base!B344="","",Base!B344)</f>
        <v/>
      </c>
      <c r="B350" s="21" t="str">
        <f>IF(Base!F344="","",Base!F344)</f>
        <v/>
      </c>
      <c r="C350" s="21" t="str">
        <f>IF(Base!I344="","",Base!I344)</f>
        <v/>
      </c>
      <c r="D350" s="22" t="str">
        <f>IF(Base!J344="","",Base!J344)</f>
        <v/>
      </c>
      <c r="E350" s="21" t="str">
        <f>IF(Base!H344="","",Base!H344)</f>
        <v/>
      </c>
    </row>
    <row r="351" spans="1:5">
      <c r="A351" s="21" t="str">
        <f>IF(Base!B345="","",Base!B345)</f>
        <v/>
      </c>
      <c r="B351" s="21" t="str">
        <f>IF(Base!F345="","",Base!F345)</f>
        <v/>
      </c>
      <c r="C351" s="21" t="str">
        <f>IF(Base!I345="","",Base!I345)</f>
        <v/>
      </c>
      <c r="D351" s="22" t="str">
        <f>IF(Base!J345="","",Base!J345)</f>
        <v/>
      </c>
      <c r="E351" s="21" t="str">
        <f>IF(Base!H345="","",Base!H345)</f>
        <v/>
      </c>
    </row>
    <row r="352" spans="1:5">
      <c r="A352" s="21" t="str">
        <f>IF(Base!B346="","",Base!B346)</f>
        <v/>
      </c>
      <c r="B352" s="21" t="str">
        <f>IF(Base!F346="","",Base!F346)</f>
        <v/>
      </c>
      <c r="C352" s="21" t="str">
        <f>IF(Base!I346="","",Base!I346)</f>
        <v/>
      </c>
      <c r="D352" s="22" t="str">
        <f>IF(Base!J346="","",Base!J346)</f>
        <v/>
      </c>
      <c r="E352" s="21" t="str">
        <f>IF(Base!H346="","",Base!H346)</f>
        <v/>
      </c>
    </row>
    <row r="353" spans="1:5">
      <c r="A353" s="21" t="str">
        <f>IF(Base!B347="","",Base!B347)</f>
        <v/>
      </c>
      <c r="B353" s="21" t="str">
        <f>IF(Base!F347="","",Base!F347)</f>
        <v/>
      </c>
      <c r="C353" s="21" t="str">
        <f>IF(Base!I347="","",Base!I347)</f>
        <v/>
      </c>
      <c r="D353" s="22" t="str">
        <f>IF(Base!J347="","",Base!J347)</f>
        <v/>
      </c>
      <c r="E353" s="21" t="str">
        <f>IF(Base!H347="","",Base!H347)</f>
        <v/>
      </c>
    </row>
    <row r="354" spans="1:5">
      <c r="A354" s="21" t="str">
        <f>IF(Base!B348="","",Base!B348)</f>
        <v/>
      </c>
      <c r="B354" s="21" t="str">
        <f>IF(Base!F348="","",Base!F348)</f>
        <v/>
      </c>
      <c r="C354" s="21" t="str">
        <f>IF(Base!I348="","",Base!I348)</f>
        <v/>
      </c>
      <c r="D354" s="22" t="str">
        <f>IF(Base!J348="","",Base!J348)</f>
        <v/>
      </c>
      <c r="E354" s="21" t="str">
        <f>IF(Base!H348="","",Base!H348)</f>
        <v/>
      </c>
    </row>
    <row r="355" spans="1:5">
      <c r="A355" s="21" t="str">
        <f>IF(Base!B349="","",Base!B349)</f>
        <v/>
      </c>
      <c r="B355" s="21" t="str">
        <f>IF(Base!F349="","",Base!F349)</f>
        <v/>
      </c>
      <c r="C355" s="21" t="str">
        <f>IF(Base!I349="","",Base!I349)</f>
        <v/>
      </c>
      <c r="D355" s="22" t="str">
        <f>IF(Base!J349="","",Base!J349)</f>
        <v/>
      </c>
      <c r="E355" s="21" t="str">
        <f>IF(Base!H349="","",Base!H349)</f>
        <v/>
      </c>
    </row>
    <row r="356" spans="1:5">
      <c r="A356" s="21" t="str">
        <f>IF(Base!B350="","",Base!B350)</f>
        <v/>
      </c>
      <c r="B356" s="21" t="str">
        <f>IF(Base!F350="","",Base!F350)</f>
        <v/>
      </c>
      <c r="C356" s="21" t="str">
        <f>IF(Base!I350="","",Base!I350)</f>
        <v/>
      </c>
      <c r="D356" s="22" t="str">
        <f>IF(Base!J350="","",Base!J350)</f>
        <v/>
      </c>
      <c r="E356" s="21" t="str">
        <f>IF(Base!H350="","",Base!H350)</f>
        <v/>
      </c>
    </row>
    <row r="357" spans="1:5">
      <c r="A357" s="21" t="str">
        <f>IF(Base!B351="","",Base!B351)</f>
        <v/>
      </c>
      <c r="B357" s="21" t="str">
        <f>IF(Base!F351="","",Base!F351)</f>
        <v/>
      </c>
      <c r="C357" s="21" t="str">
        <f>IF(Base!I351="","",Base!I351)</f>
        <v/>
      </c>
      <c r="D357" s="22" t="str">
        <f>IF(Base!J351="","",Base!J351)</f>
        <v/>
      </c>
      <c r="E357" s="21" t="str">
        <f>IF(Base!H351="","",Base!H351)</f>
        <v/>
      </c>
    </row>
    <row r="358" spans="1:5">
      <c r="A358" s="21" t="str">
        <f>IF(Base!B352="","",Base!B352)</f>
        <v/>
      </c>
      <c r="B358" s="21" t="str">
        <f>IF(Base!F352="","",Base!F352)</f>
        <v/>
      </c>
      <c r="C358" s="21" t="str">
        <f>IF(Base!I352="","",Base!I352)</f>
        <v/>
      </c>
      <c r="D358" s="22" t="str">
        <f>IF(Base!J352="","",Base!J352)</f>
        <v/>
      </c>
      <c r="E358" s="21" t="str">
        <f>IF(Base!H352="","",Base!H352)</f>
        <v/>
      </c>
    </row>
    <row r="359" spans="1:5">
      <c r="A359" s="21" t="str">
        <f>IF(Base!B353="","",Base!B353)</f>
        <v/>
      </c>
      <c r="B359" s="21" t="str">
        <f>IF(Base!F353="","",Base!F353)</f>
        <v/>
      </c>
      <c r="C359" s="21" t="str">
        <f>IF(Base!I353="","",Base!I353)</f>
        <v/>
      </c>
      <c r="D359" s="22" t="str">
        <f>IF(Base!J353="","",Base!J353)</f>
        <v/>
      </c>
      <c r="E359" s="21" t="str">
        <f>IF(Base!H353="","",Base!H353)</f>
        <v/>
      </c>
    </row>
    <row r="360" spans="1:5">
      <c r="A360" s="21" t="str">
        <f>IF(Base!B354="","",Base!B354)</f>
        <v/>
      </c>
      <c r="B360" s="21" t="str">
        <f>IF(Base!F354="","",Base!F354)</f>
        <v/>
      </c>
      <c r="C360" s="21" t="str">
        <f>IF(Base!I354="","",Base!I354)</f>
        <v/>
      </c>
      <c r="D360" s="22" t="str">
        <f>IF(Base!J354="","",Base!J354)</f>
        <v/>
      </c>
      <c r="E360" s="21" t="str">
        <f>IF(Base!H354="","",Base!H354)</f>
        <v/>
      </c>
    </row>
    <row r="361" spans="1:5">
      <c r="A361" s="21" t="str">
        <f>IF(Base!B355="","",Base!B355)</f>
        <v/>
      </c>
      <c r="B361" s="21" t="str">
        <f>IF(Base!F355="","",Base!F355)</f>
        <v/>
      </c>
      <c r="C361" s="21" t="str">
        <f>IF(Base!I355="","",Base!I355)</f>
        <v/>
      </c>
      <c r="D361" s="22" t="str">
        <f>IF(Base!J355="","",Base!J355)</f>
        <v/>
      </c>
      <c r="E361" s="21" t="str">
        <f>IF(Base!H355="","",Base!H355)</f>
        <v/>
      </c>
    </row>
    <row r="362" spans="1:5">
      <c r="A362" s="21" t="str">
        <f>IF(Base!B356="","",Base!B356)</f>
        <v/>
      </c>
      <c r="B362" s="21" t="str">
        <f>IF(Base!F356="","",Base!F356)</f>
        <v/>
      </c>
      <c r="C362" s="21" t="str">
        <f>IF(Base!I356="","",Base!I356)</f>
        <v/>
      </c>
      <c r="D362" s="22" t="str">
        <f>IF(Base!J356="","",Base!J356)</f>
        <v/>
      </c>
      <c r="E362" s="21" t="str">
        <f>IF(Base!H356="","",Base!H356)</f>
        <v/>
      </c>
    </row>
    <row r="363" spans="1:5">
      <c r="A363" s="21" t="str">
        <f>IF(Base!B357="","",Base!B357)</f>
        <v/>
      </c>
      <c r="B363" s="21" t="str">
        <f>IF(Base!F357="","",Base!F357)</f>
        <v/>
      </c>
      <c r="C363" s="21" t="str">
        <f>IF(Base!I357="","",Base!I357)</f>
        <v/>
      </c>
      <c r="D363" s="22" t="str">
        <f>IF(Base!J357="","",Base!J357)</f>
        <v/>
      </c>
      <c r="E363" s="21" t="str">
        <f>IF(Base!H357="","",Base!H357)</f>
        <v/>
      </c>
    </row>
    <row r="364" spans="1:5">
      <c r="A364" s="21" t="str">
        <f>IF(Base!B358="","",Base!B358)</f>
        <v/>
      </c>
      <c r="B364" s="21" t="str">
        <f>IF(Base!F358="","",Base!F358)</f>
        <v/>
      </c>
      <c r="C364" s="21" t="str">
        <f>IF(Base!I358="","",Base!I358)</f>
        <v/>
      </c>
      <c r="D364" s="22" t="str">
        <f>IF(Base!J358="","",Base!J358)</f>
        <v/>
      </c>
      <c r="E364" s="21" t="str">
        <f>IF(Base!H358="","",Base!H358)</f>
        <v/>
      </c>
    </row>
    <row r="365" spans="1:5">
      <c r="A365" s="21" t="str">
        <f>IF(Base!B359="","",Base!B359)</f>
        <v/>
      </c>
      <c r="B365" s="21" t="str">
        <f>IF(Base!F359="","",Base!F359)</f>
        <v/>
      </c>
      <c r="C365" s="21" t="str">
        <f>IF(Base!I359="","",Base!I359)</f>
        <v/>
      </c>
      <c r="D365" s="22" t="str">
        <f>IF(Base!J359="","",Base!J359)</f>
        <v/>
      </c>
      <c r="E365" s="21" t="str">
        <f>IF(Base!H359="","",Base!H359)</f>
        <v/>
      </c>
    </row>
    <row r="366" spans="1:5">
      <c r="A366" s="21" t="str">
        <f>IF(Base!B360="","",Base!B360)</f>
        <v/>
      </c>
      <c r="B366" s="21" t="str">
        <f>IF(Base!F360="","",Base!F360)</f>
        <v/>
      </c>
      <c r="C366" s="21" t="str">
        <f>IF(Base!I360="","",Base!I360)</f>
        <v/>
      </c>
      <c r="D366" s="22" t="str">
        <f>IF(Base!J360="","",Base!J360)</f>
        <v/>
      </c>
      <c r="E366" s="21" t="str">
        <f>IF(Base!H360="","",Base!H360)</f>
        <v/>
      </c>
    </row>
    <row r="367" spans="1:5">
      <c r="A367" s="21" t="str">
        <f>IF(Base!B361="","",Base!B361)</f>
        <v/>
      </c>
      <c r="B367" s="21" t="str">
        <f>IF(Base!F361="","",Base!F361)</f>
        <v/>
      </c>
      <c r="C367" s="21" t="str">
        <f>IF(Base!I361="","",Base!I361)</f>
        <v/>
      </c>
      <c r="D367" s="22" t="str">
        <f>IF(Base!J361="","",Base!J361)</f>
        <v/>
      </c>
      <c r="E367" s="21" t="str">
        <f>IF(Base!H361="","",Base!H361)</f>
        <v/>
      </c>
    </row>
    <row r="368" spans="1:5">
      <c r="A368" s="21" t="str">
        <f>IF(Base!B362="","",Base!B362)</f>
        <v/>
      </c>
      <c r="B368" s="21" t="str">
        <f>IF(Base!F362="","",Base!F362)</f>
        <v/>
      </c>
      <c r="C368" s="21" t="str">
        <f>IF(Base!I362="","",Base!I362)</f>
        <v/>
      </c>
      <c r="D368" s="22" t="str">
        <f>IF(Base!J362="","",Base!J362)</f>
        <v/>
      </c>
      <c r="E368" s="21" t="str">
        <f>IF(Base!H362="","",Base!H362)</f>
        <v/>
      </c>
    </row>
    <row r="369" spans="1:5">
      <c r="A369" s="21" t="str">
        <f>IF(Base!B363="","",Base!B363)</f>
        <v/>
      </c>
      <c r="B369" s="21" t="str">
        <f>IF(Base!F363="","",Base!F363)</f>
        <v/>
      </c>
      <c r="C369" s="21" t="str">
        <f>IF(Base!I363="","",Base!I363)</f>
        <v/>
      </c>
      <c r="D369" s="22" t="str">
        <f>IF(Base!J363="","",Base!J363)</f>
        <v/>
      </c>
      <c r="E369" s="21" t="str">
        <f>IF(Base!H363="","",Base!H363)</f>
        <v/>
      </c>
    </row>
    <row r="370" spans="1:5">
      <c r="A370" s="21" t="str">
        <f>IF(Base!B364="","",Base!B364)</f>
        <v/>
      </c>
      <c r="B370" s="21" t="str">
        <f>IF(Base!F364="","",Base!F364)</f>
        <v/>
      </c>
      <c r="C370" s="21" t="str">
        <f>IF(Base!I364="","",Base!I364)</f>
        <v/>
      </c>
      <c r="D370" s="22" t="str">
        <f>IF(Base!J364="","",Base!J364)</f>
        <v/>
      </c>
      <c r="E370" s="21" t="str">
        <f>IF(Base!H364="","",Base!H364)</f>
        <v/>
      </c>
    </row>
    <row r="371" spans="1:5">
      <c r="A371" s="21" t="str">
        <f>IF(Base!B365="","",Base!B365)</f>
        <v/>
      </c>
      <c r="B371" s="21" t="str">
        <f>IF(Base!F365="","",Base!F365)</f>
        <v/>
      </c>
      <c r="C371" s="21" t="str">
        <f>IF(Base!I365="","",Base!I365)</f>
        <v/>
      </c>
      <c r="D371" s="22" t="str">
        <f>IF(Base!J365="","",Base!J365)</f>
        <v/>
      </c>
      <c r="E371" s="21" t="str">
        <f>IF(Base!H365="","",Base!H365)</f>
        <v/>
      </c>
    </row>
    <row r="372" spans="1:5">
      <c r="A372" s="21" t="str">
        <f>IF(Base!B366="","",Base!B366)</f>
        <v/>
      </c>
      <c r="B372" s="21" t="str">
        <f>IF(Base!F366="","",Base!F366)</f>
        <v/>
      </c>
      <c r="C372" s="21" t="str">
        <f>IF(Base!I366="","",Base!I366)</f>
        <v/>
      </c>
      <c r="D372" s="22" t="str">
        <f>IF(Base!J366="","",Base!J366)</f>
        <v/>
      </c>
      <c r="E372" s="21" t="str">
        <f>IF(Base!H366="","",Base!H366)</f>
        <v/>
      </c>
    </row>
    <row r="373" spans="1:5">
      <c r="A373" s="21" t="str">
        <f>IF(Base!B367="","",Base!B367)</f>
        <v/>
      </c>
      <c r="B373" s="21" t="str">
        <f>IF(Base!F367="","",Base!F367)</f>
        <v/>
      </c>
      <c r="C373" s="21" t="str">
        <f>IF(Base!I367="","",Base!I367)</f>
        <v/>
      </c>
      <c r="D373" s="22" t="str">
        <f>IF(Base!J367="","",Base!J367)</f>
        <v/>
      </c>
      <c r="E373" s="21" t="str">
        <f>IF(Base!H367="","",Base!H367)</f>
        <v/>
      </c>
    </row>
    <row r="374" spans="1:5">
      <c r="A374" s="21" t="str">
        <f>IF(Base!B368="","",Base!B368)</f>
        <v/>
      </c>
      <c r="B374" s="21" t="str">
        <f>IF(Base!F368="","",Base!F368)</f>
        <v/>
      </c>
      <c r="C374" s="21" t="str">
        <f>IF(Base!I368="","",Base!I368)</f>
        <v/>
      </c>
      <c r="D374" s="22" t="str">
        <f>IF(Base!J368="","",Base!J368)</f>
        <v/>
      </c>
      <c r="E374" s="21" t="str">
        <f>IF(Base!H368="","",Base!H368)</f>
        <v/>
      </c>
    </row>
    <row r="375" spans="1:5">
      <c r="A375" s="21" t="str">
        <f>IF(Base!B369="","",Base!B369)</f>
        <v/>
      </c>
      <c r="B375" s="21" t="str">
        <f>IF(Base!F369="","",Base!F369)</f>
        <v/>
      </c>
      <c r="C375" s="21" t="str">
        <f>IF(Base!I369="","",Base!I369)</f>
        <v/>
      </c>
      <c r="D375" s="22" t="str">
        <f>IF(Base!J369="","",Base!J369)</f>
        <v/>
      </c>
      <c r="E375" s="21" t="str">
        <f>IF(Base!H369="","",Base!H369)</f>
        <v/>
      </c>
    </row>
    <row r="376" spans="1:5">
      <c r="A376" s="21" t="str">
        <f>IF(Base!B370="","",Base!B370)</f>
        <v/>
      </c>
      <c r="B376" s="21" t="str">
        <f>IF(Base!F370="","",Base!F370)</f>
        <v/>
      </c>
      <c r="C376" s="21" t="str">
        <f>IF(Base!I370="","",Base!I370)</f>
        <v/>
      </c>
      <c r="D376" s="22" t="str">
        <f>IF(Base!J370="","",Base!J370)</f>
        <v/>
      </c>
      <c r="E376" s="21" t="str">
        <f>IF(Base!H370="","",Base!H370)</f>
        <v/>
      </c>
    </row>
    <row r="377" spans="1:5">
      <c r="A377" s="21" t="str">
        <f>IF(Base!B371="","",Base!B371)</f>
        <v/>
      </c>
      <c r="B377" s="21" t="str">
        <f>IF(Base!F371="","",Base!F371)</f>
        <v/>
      </c>
      <c r="C377" s="21" t="str">
        <f>IF(Base!I371="","",Base!I371)</f>
        <v/>
      </c>
      <c r="D377" s="22" t="str">
        <f>IF(Base!J371="","",Base!J371)</f>
        <v/>
      </c>
      <c r="E377" s="21" t="str">
        <f>IF(Base!H371="","",Base!H371)</f>
        <v/>
      </c>
    </row>
    <row r="378" spans="1:5">
      <c r="A378" s="21" t="str">
        <f>IF(Base!B372="","",Base!B372)</f>
        <v/>
      </c>
      <c r="B378" s="21" t="str">
        <f>IF(Base!F372="","",Base!F372)</f>
        <v/>
      </c>
      <c r="C378" s="21" t="str">
        <f>IF(Base!I372="","",Base!I372)</f>
        <v/>
      </c>
      <c r="D378" s="22" t="str">
        <f>IF(Base!J372="","",Base!J372)</f>
        <v/>
      </c>
      <c r="E378" s="21" t="str">
        <f>IF(Base!H372="","",Base!H372)</f>
        <v/>
      </c>
    </row>
    <row r="379" spans="1:5">
      <c r="A379" s="21" t="str">
        <f>IF(Base!B373="","",Base!B373)</f>
        <v/>
      </c>
      <c r="B379" s="21" t="str">
        <f>IF(Base!F373="","",Base!F373)</f>
        <v/>
      </c>
      <c r="C379" s="21" t="str">
        <f>IF(Base!I373="","",Base!I373)</f>
        <v/>
      </c>
      <c r="D379" s="22" t="str">
        <f>IF(Base!J373="","",Base!J373)</f>
        <v/>
      </c>
      <c r="E379" s="21" t="str">
        <f>IF(Base!H373="","",Base!H373)</f>
        <v/>
      </c>
    </row>
    <row r="380" spans="1:5">
      <c r="A380" s="21" t="str">
        <f>IF(Base!B374="","",Base!B374)</f>
        <v/>
      </c>
      <c r="B380" s="21" t="str">
        <f>IF(Base!F374="","",Base!F374)</f>
        <v/>
      </c>
      <c r="C380" s="21" t="str">
        <f>IF(Base!I374="","",Base!I374)</f>
        <v/>
      </c>
      <c r="D380" s="22" t="str">
        <f>IF(Base!J374="","",Base!J374)</f>
        <v/>
      </c>
      <c r="E380" s="21" t="str">
        <f>IF(Base!H374="","",Base!H374)</f>
        <v/>
      </c>
    </row>
    <row r="381" spans="1:5">
      <c r="A381" s="21" t="str">
        <f>IF(Base!B375="","",Base!B375)</f>
        <v/>
      </c>
      <c r="B381" s="21" t="str">
        <f>IF(Base!F375="","",Base!F375)</f>
        <v/>
      </c>
      <c r="C381" s="21" t="str">
        <f>IF(Base!I375="","",Base!I375)</f>
        <v/>
      </c>
      <c r="D381" s="22" t="str">
        <f>IF(Base!J375="","",Base!J375)</f>
        <v/>
      </c>
      <c r="E381" s="21" t="str">
        <f>IF(Base!H375="","",Base!H375)</f>
        <v/>
      </c>
    </row>
    <row r="382" spans="1:5">
      <c r="A382" s="21" t="str">
        <f>IF(Base!B376="","",Base!B376)</f>
        <v/>
      </c>
      <c r="B382" s="21" t="str">
        <f>IF(Base!F376="","",Base!F376)</f>
        <v/>
      </c>
      <c r="C382" s="21" t="str">
        <f>IF(Base!I376="","",Base!I376)</f>
        <v/>
      </c>
      <c r="D382" s="22" t="str">
        <f>IF(Base!J376="","",Base!J376)</f>
        <v/>
      </c>
      <c r="E382" s="21" t="str">
        <f>IF(Base!H376="","",Base!H376)</f>
        <v/>
      </c>
    </row>
    <row r="383" spans="1:5">
      <c r="A383" s="21" t="str">
        <f>IF(Base!B377="","",Base!B377)</f>
        <v/>
      </c>
      <c r="B383" s="21" t="str">
        <f>IF(Base!F377="","",Base!F377)</f>
        <v/>
      </c>
      <c r="C383" s="21" t="str">
        <f>IF(Base!I377="","",Base!I377)</f>
        <v/>
      </c>
      <c r="D383" s="22" t="str">
        <f>IF(Base!J377="","",Base!J377)</f>
        <v/>
      </c>
      <c r="E383" s="21" t="str">
        <f>IF(Base!H377="","",Base!H377)</f>
        <v/>
      </c>
    </row>
    <row r="384" spans="1:5">
      <c r="A384" s="21" t="str">
        <f>IF(Base!B378="","",Base!B378)</f>
        <v/>
      </c>
      <c r="B384" s="21" t="str">
        <f>IF(Base!F378="","",Base!F378)</f>
        <v/>
      </c>
      <c r="C384" s="21" t="str">
        <f>IF(Base!I378="","",Base!I378)</f>
        <v/>
      </c>
      <c r="D384" s="22" t="str">
        <f>IF(Base!J378="","",Base!J378)</f>
        <v/>
      </c>
      <c r="E384" s="21" t="str">
        <f>IF(Base!H378="","",Base!H378)</f>
        <v/>
      </c>
    </row>
    <row r="385" spans="1:5">
      <c r="A385" s="21" t="str">
        <f>IF(Base!B379="","",Base!B379)</f>
        <v/>
      </c>
      <c r="B385" s="21" t="str">
        <f>IF(Base!F379="","",Base!F379)</f>
        <v/>
      </c>
      <c r="C385" s="21" t="str">
        <f>IF(Base!I379="","",Base!I379)</f>
        <v/>
      </c>
      <c r="D385" s="22" t="str">
        <f>IF(Base!J379="","",Base!J379)</f>
        <v/>
      </c>
      <c r="E385" s="21" t="str">
        <f>IF(Base!H379="","",Base!H379)</f>
        <v/>
      </c>
    </row>
    <row r="386" spans="1:5">
      <c r="A386" s="21" t="str">
        <f>IF(Base!B380="","",Base!B380)</f>
        <v/>
      </c>
      <c r="B386" s="21" t="str">
        <f>IF(Base!F380="","",Base!F380)</f>
        <v/>
      </c>
      <c r="C386" s="21" t="str">
        <f>IF(Base!I380="","",Base!I380)</f>
        <v/>
      </c>
      <c r="D386" s="22" t="str">
        <f>IF(Base!J380="","",Base!J380)</f>
        <v/>
      </c>
      <c r="E386" s="21" t="str">
        <f>IF(Base!H380="","",Base!H380)</f>
        <v/>
      </c>
    </row>
    <row r="387" spans="1:5">
      <c r="A387" s="21" t="str">
        <f>IF(Base!B381="","",Base!B381)</f>
        <v/>
      </c>
      <c r="B387" s="21" t="str">
        <f>IF(Base!F381="","",Base!F381)</f>
        <v/>
      </c>
      <c r="C387" s="21" t="str">
        <f>IF(Base!I381="","",Base!I381)</f>
        <v/>
      </c>
      <c r="D387" s="22" t="str">
        <f>IF(Base!J381="","",Base!J381)</f>
        <v/>
      </c>
      <c r="E387" s="21" t="str">
        <f>IF(Base!H381="","",Base!H381)</f>
        <v/>
      </c>
    </row>
    <row r="388" spans="1:5">
      <c r="A388" s="21" t="str">
        <f>IF(Base!B382="","",Base!B382)</f>
        <v/>
      </c>
      <c r="B388" s="21" t="str">
        <f>IF(Base!F382="","",Base!F382)</f>
        <v/>
      </c>
      <c r="C388" s="21" t="str">
        <f>IF(Base!I382="","",Base!I382)</f>
        <v/>
      </c>
      <c r="D388" s="22" t="str">
        <f>IF(Base!J382="","",Base!J382)</f>
        <v/>
      </c>
      <c r="E388" s="21" t="str">
        <f>IF(Base!H382="","",Base!H382)</f>
        <v/>
      </c>
    </row>
    <row r="389" spans="1:5">
      <c r="A389" s="21" t="str">
        <f>IF(Base!B383="","",Base!B383)</f>
        <v/>
      </c>
      <c r="B389" s="21" t="str">
        <f>IF(Base!F383="","",Base!F383)</f>
        <v/>
      </c>
      <c r="C389" s="21" t="str">
        <f>IF(Base!I383="","",Base!I383)</f>
        <v/>
      </c>
      <c r="D389" s="22" t="str">
        <f>IF(Base!J383="","",Base!J383)</f>
        <v/>
      </c>
      <c r="E389" s="21" t="str">
        <f>IF(Base!H383="","",Base!H383)</f>
        <v/>
      </c>
    </row>
    <row r="390" spans="1:5">
      <c r="A390" s="21" t="str">
        <f>IF(Base!B384="","",Base!B384)</f>
        <v/>
      </c>
      <c r="B390" s="21" t="str">
        <f>IF(Base!F384="","",Base!F384)</f>
        <v/>
      </c>
      <c r="C390" s="21" t="str">
        <f>IF(Base!I384="","",Base!I384)</f>
        <v/>
      </c>
      <c r="D390" s="22" t="str">
        <f>IF(Base!J384="","",Base!J384)</f>
        <v/>
      </c>
      <c r="E390" s="21" t="str">
        <f>IF(Base!H384="","",Base!H384)</f>
        <v/>
      </c>
    </row>
    <row r="391" spans="1:5">
      <c r="A391" s="21" t="str">
        <f>IF(Base!B385="","",Base!B385)</f>
        <v/>
      </c>
      <c r="B391" s="21" t="str">
        <f>IF(Base!F385="","",Base!F385)</f>
        <v/>
      </c>
      <c r="C391" s="21" t="str">
        <f>IF(Base!I385="","",Base!I385)</f>
        <v/>
      </c>
      <c r="D391" s="22" t="str">
        <f>IF(Base!J385="","",Base!J385)</f>
        <v/>
      </c>
      <c r="E391" s="21" t="str">
        <f>IF(Base!H385="","",Base!H385)</f>
        <v/>
      </c>
    </row>
    <row r="392" spans="1:5">
      <c r="A392" s="21" t="str">
        <f>IF(Base!B386="","",Base!B386)</f>
        <v/>
      </c>
      <c r="B392" s="21" t="str">
        <f>IF(Base!F386="","",Base!F386)</f>
        <v/>
      </c>
      <c r="C392" s="21" t="str">
        <f>IF(Base!I386="","",Base!I386)</f>
        <v/>
      </c>
      <c r="D392" s="22" t="str">
        <f>IF(Base!J386="","",Base!J386)</f>
        <v/>
      </c>
      <c r="E392" s="21" t="str">
        <f>IF(Base!H386="","",Base!H386)</f>
        <v/>
      </c>
    </row>
    <row r="393" spans="1:5">
      <c r="A393" s="21" t="str">
        <f>IF(Base!B387="","",Base!B387)</f>
        <v/>
      </c>
      <c r="B393" s="21" t="str">
        <f>IF(Base!F387="","",Base!F387)</f>
        <v/>
      </c>
      <c r="C393" s="21" t="str">
        <f>IF(Base!I387="","",Base!I387)</f>
        <v/>
      </c>
      <c r="D393" s="22" t="str">
        <f>IF(Base!J387="","",Base!J387)</f>
        <v/>
      </c>
      <c r="E393" s="21" t="str">
        <f>IF(Base!H387="","",Base!H387)</f>
        <v/>
      </c>
    </row>
    <row r="394" spans="1:5">
      <c r="A394" s="21" t="str">
        <f>IF(Base!B388="","",Base!B388)</f>
        <v/>
      </c>
      <c r="B394" s="21" t="str">
        <f>IF(Base!F388="","",Base!F388)</f>
        <v/>
      </c>
      <c r="C394" s="21" t="str">
        <f>IF(Base!I388="","",Base!I388)</f>
        <v/>
      </c>
      <c r="D394" s="22" t="str">
        <f>IF(Base!J388="","",Base!J388)</f>
        <v/>
      </c>
      <c r="E394" s="21" t="str">
        <f>IF(Base!H388="","",Base!H388)</f>
        <v/>
      </c>
    </row>
    <row r="395" spans="1:5">
      <c r="A395" s="21" t="str">
        <f>IF(Base!B389="","",Base!B389)</f>
        <v/>
      </c>
      <c r="B395" s="21" t="str">
        <f>IF(Base!F389="","",Base!F389)</f>
        <v/>
      </c>
      <c r="C395" s="21" t="str">
        <f>IF(Base!I389="","",Base!I389)</f>
        <v/>
      </c>
      <c r="D395" s="22" t="str">
        <f>IF(Base!J389="","",Base!J389)</f>
        <v/>
      </c>
      <c r="E395" s="21" t="str">
        <f>IF(Base!H389="","",Base!H389)</f>
        <v/>
      </c>
    </row>
    <row r="396" spans="1:5">
      <c r="A396" s="21" t="str">
        <f>IF(Base!B390="","",Base!B390)</f>
        <v/>
      </c>
      <c r="B396" s="21" t="str">
        <f>IF(Base!F390="","",Base!F390)</f>
        <v/>
      </c>
      <c r="C396" s="21" t="str">
        <f>IF(Base!I390="","",Base!I390)</f>
        <v/>
      </c>
      <c r="D396" s="22" t="str">
        <f>IF(Base!J390="","",Base!J390)</f>
        <v/>
      </c>
      <c r="E396" s="21" t="str">
        <f>IF(Base!H390="","",Base!H390)</f>
        <v/>
      </c>
    </row>
    <row r="397" spans="1:5">
      <c r="A397" s="21" t="str">
        <f>IF(Base!B391="","",Base!B391)</f>
        <v/>
      </c>
      <c r="B397" s="21" t="str">
        <f>IF(Base!F391="","",Base!F391)</f>
        <v/>
      </c>
      <c r="C397" s="21" t="str">
        <f>IF(Base!I391="","",Base!I391)</f>
        <v/>
      </c>
      <c r="D397" s="22" t="str">
        <f>IF(Base!J391="","",Base!J391)</f>
        <v/>
      </c>
      <c r="E397" s="21" t="str">
        <f>IF(Base!H391="","",Base!H391)</f>
        <v/>
      </c>
    </row>
    <row r="398" spans="1:5">
      <c r="A398" s="21" t="str">
        <f>IF(Base!B392="","",Base!B392)</f>
        <v/>
      </c>
      <c r="B398" s="21" t="str">
        <f>IF(Base!F392="","",Base!F392)</f>
        <v/>
      </c>
      <c r="C398" s="21" t="str">
        <f>IF(Base!I392="","",Base!I392)</f>
        <v/>
      </c>
      <c r="D398" s="22" t="str">
        <f>IF(Base!J392="","",Base!J392)</f>
        <v/>
      </c>
      <c r="E398" s="21" t="str">
        <f>IF(Base!H392="","",Base!H392)</f>
        <v/>
      </c>
    </row>
    <row r="399" spans="1:5">
      <c r="A399" s="21" t="str">
        <f>IF(Base!B393="","",Base!B393)</f>
        <v/>
      </c>
      <c r="B399" s="21" t="str">
        <f>IF(Base!F393="","",Base!F393)</f>
        <v/>
      </c>
      <c r="C399" s="21" t="str">
        <f>IF(Base!I393="","",Base!I393)</f>
        <v/>
      </c>
      <c r="D399" s="22" t="str">
        <f>IF(Base!J393="","",Base!J393)</f>
        <v/>
      </c>
      <c r="E399" s="21" t="str">
        <f>IF(Base!H393="","",Base!H393)</f>
        <v/>
      </c>
    </row>
    <row r="400" spans="1:5">
      <c r="A400" s="21" t="str">
        <f>IF(Base!B394="","",Base!B394)</f>
        <v/>
      </c>
      <c r="B400" s="21" t="str">
        <f>IF(Base!F394="","",Base!F394)</f>
        <v/>
      </c>
      <c r="C400" s="21" t="str">
        <f>IF(Base!I394="","",Base!I394)</f>
        <v/>
      </c>
      <c r="D400" s="22" t="str">
        <f>IF(Base!J394="","",Base!J394)</f>
        <v/>
      </c>
      <c r="E400" s="21" t="str">
        <f>IF(Base!H394="","",Base!H394)</f>
        <v/>
      </c>
    </row>
    <row r="401" spans="1:5">
      <c r="A401" s="21" t="str">
        <f>IF(Base!B395="","",Base!B395)</f>
        <v/>
      </c>
      <c r="B401" s="21" t="str">
        <f>IF(Base!F395="","",Base!F395)</f>
        <v/>
      </c>
      <c r="C401" s="21" t="str">
        <f>IF(Base!I395="","",Base!I395)</f>
        <v/>
      </c>
      <c r="D401" s="22" t="str">
        <f>IF(Base!J395="","",Base!J395)</f>
        <v/>
      </c>
      <c r="E401" s="21" t="str">
        <f>IF(Base!H395="","",Base!H395)</f>
        <v/>
      </c>
    </row>
    <row r="402" spans="1:5">
      <c r="A402" s="21" t="str">
        <f>IF(Base!B396="","",Base!B396)</f>
        <v/>
      </c>
      <c r="B402" s="21" t="str">
        <f>IF(Base!F396="","",Base!F396)</f>
        <v/>
      </c>
      <c r="C402" s="21" t="str">
        <f>IF(Base!I396="","",Base!I396)</f>
        <v/>
      </c>
      <c r="D402" s="22" t="str">
        <f>IF(Base!J396="","",Base!J396)</f>
        <v/>
      </c>
      <c r="E402" s="21" t="str">
        <f>IF(Base!H396="","",Base!H396)</f>
        <v/>
      </c>
    </row>
    <row r="403" spans="1:5">
      <c r="A403" s="21" t="str">
        <f>IF(Base!B397="","",Base!B397)</f>
        <v/>
      </c>
      <c r="B403" s="21" t="str">
        <f>IF(Base!F397="","",Base!F397)</f>
        <v/>
      </c>
      <c r="C403" s="21" t="str">
        <f>IF(Base!I397="","",Base!I397)</f>
        <v/>
      </c>
      <c r="D403" s="22" t="str">
        <f>IF(Base!J397="","",Base!J397)</f>
        <v/>
      </c>
      <c r="E403" s="21" t="str">
        <f>IF(Base!H397="","",Base!H397)</f>
        <v/>
      </c>
    </row>
    <row r="404" spans="1:5">
      <c r="A404" s="21" t="str">
        <f>IF(Base!B398="","",Base!B398)</f>
        <v/>
      </c>
      <c r="B404" s="21" t="str">
        <f>IF(Base!F398="","",Base!F398)</f>
        <v/>
      </c>
      <c r="C404" s="21" t="str">
        <f>IF(Base!I398="","",Base!I398)</f>
        <v/>
      </c>
      <c r="D404" s="22" t="str">
        <f>IF(Base!J398="","",Base!J398)</f>
        <v/>
      </c>
      <c r="E404" s="21" t="str">
        <f>IF(Base!H398="","",Base!H398)</f>
        <v/>
      </c>
    </row>
    <row r="405" spans="1:5">
      <c r="A405" s="21" t="str">
        <f>IF(Base!B399="","",Base!B399)</f>
        <v/>
      </c>
      <c r="B405" s="21" t="str">
        <f>IF(Base!F399="","",Base!F399)</f>
        <v/>
      </c>
      <c r="C405" s="21" t="str">
        <f>IF(Base!I399="","",Base!I399)</f>
        <v/>
      </c>
      <c r="D405" s="22" t="str">
        <f>IF(Base!J399="","",Base!J399)</f>
        <v/>
      </c>
      <c r="E405" s="21" t="str">
        <f>IF(Base!H399="","",Base!H399)</f>
        <v/>
      </c>
    </row>
    <row r="406" spans="1:5">
      <c r="A406" s="21" t="str">
        <f>IF(Base!B400="","",Base!B400)</f>
        <v/>
      </c>
      <c r="B406" s="21" t="str">
        <f>IF(Base!F400="","",Base!F400)</f>
        <v/>
      </c>
      <c r="C406" s="21" t="str">
        <f>IF(Base!I400="","",Base!I400)</f>
        <v/>
      </c>
      <c r="D406" s="22" t="str">
        <f>IF(Base!J400="","",Base!J400)</f>
        <v/>
      </c>
      <c r="E406" s="21" t="str">
        <f>IF(Base!H400="","",Base!H400)</f>
        <v/>
      </c>
    </row>
    <row r="407" spans="1:5">
      <c r="A407" s="21" t="str">
        <f>IF(Base!B401="","",Base!B401)</f>
        <v/>
      </c>
      <c r="B407" s="21" t="str">
        <f>IF(Base!F401="","",Base!F401)</f>
        <v/>
      </c>
      <c r="C407" s="21" t="str">
        <f>IF(Base!I401="","",Base!I401)</f>
        <v/>
      </c>
      <c r="D407" s="22" t="str">
        <f>IF(Base!J401="","",Base!J401)</f>
        <v/>
      </c>
      <c r="E407" s="21" t="str">
        <f>IF(Base!H401="","",Base!H401)</f>
        <v/>
      </c>
    </row>
    <row r="408" spans="1:5">
      <c r="A408" s="21" t="str">
        <f>IF(Base!B402="","",Base!B402)</f>
        <v/>
      </c>
      <c r="B408" s="21" t="str">
        <f>IF(Base!F402="","",Base!F402)</f>
        <v/>
      </c>
      <c r="C408" s="21" t="str">
        <f>IF(Base!I402="","",Base!I402)</f>
        <v/>
      </c>
      <c r="D408" s="22" t="str">
        <f>IF(Base!J402="","",Base!J402)</f>
        <v/>
      </c>
      <c r="E408" s="21" t="str">
        <f>IF(Base!H402="","",Base!H402)</f>
        <v/>
      </c>
    </row>
    <row r="409" spans="1:5">
      <c r="A409" s="21" t="str">
        <f>IF(Base!B403="","",Base!B403)</f>
        <v/>
      </c>
      <c r="B409" s="21" t="str">
        <f>IF(Base!F403="","",Base!F403)</f>
        <v/>
      </c>
      <c r="C409" s="21" t="str">
        <f>IF(Base!I403="","",Base!I403)</f>
        <v/>
      </c>
      <c r="D409" s="22" t="str">
        <f>IF(Base!J403="","",Base!J403)</f>
        <v/>
      </c>
      <c r="E409" s="21" t="str">
        <f>IF(Base!H403="","",Base!H403)</f>
        <v/>
      </c>
    </row>
    <row r="410" spans="1:5">
      <c r="A410" s="21" t="str">
        <f>IF(Base!B404="","",Base!B404)</f>
        <v/>
      </c>
      <c r="B410" s="21" t="str">
        <f>IF(Base!F404="","",Base!F404)</f>
        <v/>
      </c>
      <c r="C410" s="21" t="str">
        <f>IF(Base!I404="","",Base!I404)</f>
        <v/>
      </c>
      <c r="D410" s="22" t="str">
        <f>IF(Base!J404="","",Base!J404)</f>
        <v/>
      </c>
      <c r="E410" s="21" t="str">
        <f>IF(Base!H404="","",Base!H404)</f>
        <v/>
      </c>
    </row>
    <row r="411" spans="1:5">
      <c r="A411" s="21" t="str">
        <f>IF(Base!B405="","",Base!B405)</f>
        <v/>
      </c>
      <c r="B411" s="21" t="str">
        <f>IF(Base!F405="","",Base!F405)</f>
        <v/>
      </c>
      <c r="C411" s="21" t="str">
        <f>IF(Base!I405="","",Base!I405)</f>
        <v/>
      </c>
      <c r="D411" s="22" t="str">
        <f>IF(Base!J405="","",Base!J405)</f>
        <v/>
      </c>
      <c r="E411" s="21" t="str">
        <f>IF(Base!H405="","",Base!H405)</f>
        <v/>
      </c>
    </row>
    <row r="412" spans="1:5">
      <c r="A412" s="21" t="str">
        <f>IF(Base!B406="","",Base!B406)</f>
        <v/>
      </c>
      <c r="B412" s="21" t="str">
        <f>IF(Base!F406="","",Base!F406)</f>
        <v/>
      </c>
      <c r="C412" s="21" t="str">
        <f>IF(Base!I406="","",Base!I406)</f>
        <v/>
      </c>
      <c r="D412" s="22" t="str">
        <f>IF(Base!J406="","",Base!J406)</f>
        <v/>
      </c>
      <c r="E412" s="21" t="str">
        <f>IF(Base!H406="","",Base!H406)</f>
        <v/>
      </c>
    </row>
    <row r="413" spans="1:5">
      <c r="A413" s="21" t="str">
        <f>IF(Base!B407="","",Base!B407)</f>
        <v/>
      </c>
      <c r="B413" s="21" t="str">
        <f>IF(Base!F407="","",Base!F407)</f>
        <v/>
      </c>
      <c r="C413" s="21" t="str">
        <f>IF(Base!I407="","",Base!I407)</f>
        <v/>
      </c>
      <c r="D413" s="22" t="str">
        <f>IF(Base!J407="","",Base!J407)</f>
        <v/>
      </c>
      <c r="E413" s="21" t="str">
        <f>IF(Base!H407="","",Base!H407)</f>
        <v/>
      </c>
    </row>
    <row r="414" spans="1:5">
      <c r="A414" s="21" t="str">
        <f>IF(Base!B408="","",Base!B408)</f>
        <v/>
      </c>
      <c r="B414" s="21" t="str">
        <f>IF(Base!F408="","",Base!F408)</f>
        <v/>
      </c>
      <c r="C414" s="21" t="str">
        <f>IF(Base!I408="","",Base!I408)</f>
        <v/>
      </c>
      <c r="D414" s="22" t="str">
        <f>IF(Base!J408="","",Base!J408)</f>
        <v/>
      </c>
      <c r="E414" s="21" t="str">
        <f>IF(Base!H408="","",Base!H408)</f>
        <v/>
      </c>
    </row>
    <row r="415" spans="1:5">
      <c r="A415" s="21" t="str">
        <f>IF(Base!B409="","",Base!B409)</f>
        <v/>
      </c>
      <c r="B415" s="21" t="str">
        <f>IF(Base!F409="","",Base!F409)</f>
        <v/>
      </c>
      <c r="C415" s="21" t="str">
        <f>IF(Base!I409="","",Base!I409)</f>
        <v/>
      </c>
      <c r="D415" s="22" t="str">
        <f>IF(Base!J409="","",Base!J409)</f>
        <v/>
      </c>
      <c r="E415" s="21" t="str">
        <f>IF(Base!H409="","",Base!H409)</f>
        <v/>
      </c>
    </row>
    <row r="416" spans="1:5">
      <c r="A416" s="21" t="str">
        <f>IF(Base!B410="","",Base!B410)</f>
        <v/>
      </c>
      <c r="B416" s="21" t="str">
        <f>IF(Base!F410="","",Base!F410)</f>
        <v/>
      </c>
      <c r="C416" s="21" t="str">
        <f>IF(Base!I410="","",Base!I410)</f>
        <v/>
      </c>
      <c r="D416" s="22" t="str">
        <f>IF(Base!J410="","",Base!J410)</f>
        <v/>
      </c>
      <c r="E416" s="21" t="str">
        <f>IF(Base!H410="","",Base!H410)</f>
        <v/>
      </c>
    </row>
    <row r="417" spans="1:5">
      <c r="A417" s="21" t="str">
        <f>IF(Base!B411="","",Base!B411)</f>
        <v/>
      </c>
      <c r="B417" s="21" t="str">
        <f>IF(Base!F411="","",Base!F411)</f>
        <v/>
      </c>
      <c r="C417" s="21" t="str">
        <f>IF(Base!I411="","",Base!I411)</f>
        <v/>
      </c>
      <c r="D417" s="22" t="str">
        <f>IF(Base!J411="","",Base!J411)</f>
        <v/>
      </c>
      <c r="E417" s="21" t="str">
        <f>IF(Base!H411="","",Base!H411)</f>
        <v/>
      </c>
    </row>
    <row r="418" spans="1:5">
      <c r="A418" s="21" t="str">
        <f>IF(Base!B412="","",Base!B412)</f>
        <v/>
      </c>
      <c r="B418" s="21" t="str">
        <f>IF(Base!F412="","",Base!F412)</f>
        <v/>
      </c>
      <c r="C418" s="21" t="str">
        <f>IF(Base!I412="","",Base!I412)</f>
        <v/>
      </c>
      <c r="D418" s="22" t="str">
        <f>IF(Base!J412="","",Base!J412)</f>
        <v/>
      </c>
      <c r="E418" s="21" t="str">
        <f>IF(Base!H412="","",Base!H412)</f>
        <v/>
      </c>
    </row>
    <row r="419" spans="1:5">
      <c r="A419" s="21" t="str">
        <f>IF(Base!B413="","",Base!B413)</f>
        <v/>
      </c>
      <c r="B419" s="21" t="str">
        <f>IF(Base!F413="","",Base!F413)</f>
        <v/>
      </c>
      <c r="C419" s="21" t="str">
        <f>IF(Base!I413="","",Base!I413)</f>
        <v/>
      </c>
      <c r="D419" s="22" t="str">
        <f>IF(Base!J413="","",Base!J413)</f>
        <v/>
      </c>
      <c r="E419" s="21" t="str">
        <f>IF(Base!H413="","",Base!H413)</f>
        <v/>
      </c>
    </row>
    <row r="420" spans="1:5">
      <c r="A420" s="21" t="str">
        <f>IF(Base!B414="","",Base!B414)</f>
        <v/>
      </c>
      <c r="B420" s="21" t="str">
        <f>IF(Base!F414="","",Base!F414)</f>
        <v/>
      </c>
      <c r="C420" s="21" t="str">
        <f>IF(Base!I414="","",Base!I414)</f>
        <v/>
      </c>
      <c r="D420" s="22" t="str">
        <f>IF(Base!J414="","",Base!J414)</f>
        <v/>
      </c>
      <c r="E420" s="21" t="str">
        <f>IF(Base!H414="","",Base!H414)</f>
        <v/>
      </c>
    </row>
    <row r="421" spans="1:5">
      <c r="A421" s="21" t="str">
        <f>IF(Base!B415="","",Base!B415)</f>
        <v/>
      </c>
      <c r="B421" s="21" t="str">
        <f>IF(Base!F415="","",Base!F415)</f>
        <v/>
      </c>
      <c r="C421" s="21" t="str">
        <f>IF(Base!I415="","",Base!I415)</f>
        <v/>
      </c>
      <c r="D421" s="22" t="str">
        <f>IF(Base!J415="","",Base!J415)</f>
        <v/>
      </c>
      <c r="E421" s="21" t="str">
        <f>IF(Base!H415="","",Base!H415)</f>
        <v/>
      </c>
    </row>
    <row r="422" spans="1:5">
      <c r="A422" s="21" t="str">
        <f>IF(Base!B416="","",Base!B416)</f>
        <v/>
      </c>
      <c r="B422" s="21" t="str">
        <f>IF(Base!F416="","",Base!F416)</f>
        <v/>
      </c>
      <c r="C422" s="21" t="str">
        <f>IF(Base!I416="","",Base!I416)</f>
        <v/>
      </c>
      <c r="D422" s="22" t="str">
        <f>IF(Base!J416="","",Base!J416)</f>
        <v/>
      </c>
      <c r="E422" s="21" t="str">
        <f>IF(Base!H416="","",Base!H416)</f>
        <v/>
      </c>
    </row>
    <row r="423" spans="1:5">
      <c r="A423" s="21" t="str">
        <f>IF(Base!B417="","",Base!B417)</f>
        <v/>
      </c>
      <c r="B423" s="21" t="str">
        <f>IF(Base!F417="","",Base!F417)</f>
        <v/>
      </c>
      <c r="C423" s="21" t="str">
        <f>IF(Base!I417="","",Base!I417)</f>
        <v/>
      </c>
      <c r="D423" s="22" t="str">
        <f>IF(Base!J417="","",Base!J417)</f>
        <v/>
      </c>
      <c r="E423" s="21" t="str">
        <f>IF(Base!H417="","",Base!H417)</f>
        <v/>
      </c>
    </row>
    <row r="424" spans="1:5">
      <c r="A424" s="21" t="str">
        <f>IF(Base!B418="","",Base!B418)</f>
        <v/>
      </c>
      <c r="B424" s="21" t="str">
        <f>IF(Base!F418="","",Base!F418)</f>
        <v/>
      </c>
      <c r="C424" s="21" t="str">
        <f>IF(Base!I418="","",Base!I418)</f>
        <v/>
      </c>
      <c r="D424" s="22" t="str">
        <f>IF(Base!J418="","",Base!J418)</f>
        <v/>
      </c>
      <c r="E424" s="21" t="str">
        <f>IF(Base!H418="","",Base!H418)</f>
        <v/>
      </c>
    </row>
    <row r="425" spans="1:5">
      <c r="A425" s="21" t="str">
        <f>IF(Base!B419="","",Base!B419)</f>
        <v/>
      </c>
      <c r="B425" s="21" t="str">
        <f>IF(Base!F419="","",Base!F419)</f>
        <v/>
      </c>
      <c r="C425" s="21" t="str">
        <f>IF(Base!I419="","",Base!I419)</f>
        <v/>
      </c>
      <c r="D425" s="22" t="str">
        <f>IF(Base!J419="","",Base!J419)</f>
        <v/>
      </c>
      <c r="E425" s="21" t="str">
        <f>IF(Base!H419="","",Base!H419)</f>
        <v/>
      </c>
    </row>
    <row r="426" spans="1:5">
      <c r="A426" s="21" t="str">
        <f>IF(Base!B420="","",Base!B420)</f>
        <v/>
      </c>
      <c r="B426" s="21" t="str">
        <f>IF(Base!F420="","",Base!F420)</f>
        <v/>
      </c>
      <c r="C426" s="21" t="str">
        <f>IF(Base!I420="","",Base!I420)</f>
        <v/>
      </c>
      <c r="D426" s="22" t="str">
        <f>IF(Base!J420="","",Base!J420)</f>
        <v/>
      </c>
      <c r="E426" s="21" t="str">
        <f>IF(Base!H420="","",Base!H420)</f>
        <v/>
      </c>
    </row>
    <row r="427" spans="1:5">
      <c r="A427" s="21" t="str">
        <f>IF(Base!B421="","",Base!B421)</f>
        <v/>
      </c>
      <c r="B427" s="21" t="str">
        <f>IF(Base!F421="","",Base!F421)</f>
        <v/>
      </c>
      <c r="C427" s="21" t="str">
        <f>IF(Base!I421="","",Base!I421)</f>
        <v/>
      </c>
      <c r="D427" s="22" t="str">
        <f>IF(Base!J421="","",Base!J421)</f>
        <v/>
      </c>
      <c r="E427" s="21" t="str">
        <f>IF(Base!H421="","",Base!H421)</f>
        <v/>
      </c>
    </row>
    <row r="428" spans="1:5">
      <c r="A428" s="21" t="str">
        <f>IF(Base!B422="","",Base!B422)</f>
        <v/>
      </c>
      <c r="B428" s="21" t="str">
        <f>IF(Base!F422="","",Base!F422)</f>
        <v/>
      </c>
      <c r="C428" s="21" t="str">
        <f>IF(Base!I422="","",Base!I422)</f>
        <v/>
      </c>
      <c r="D428" s="22" t="str">
        <f>IF(Base!J422="","",Base!J422)</f>
        <v/>
      </c>
      <c r="E428" s="21" t="str">
        <f>IF(Base!H422="","",Base!H422)</f>
        <v/>
      </c>
    </row>
    <row r="429" spans="1:5">
      <c r="A429" s="21" t="str">
        <f>IF(Base!B423="","",Base!B423)</f>
        <v/>
      </c>
      <c r="B429" s="21" t="str">
        <f>IF(Base!F423="","",Base!F423)</f>
        <v/>
      </c>
      <c r="C429" s="21" t="str">
        <f>IF(Base!I423="","",Base!I423)</f>
        <v/>
      </c>
      <c r="D429" s="22" t="str">
        <f>IF(Base!J423="","",Base!J423)</f>
        <v/>
      </c>
      <c r="E429" s="21" t="str">
        <f>IF(Base!H423="","",Base!H423)</f>
        <v/>
      </c>
    </row>
    <row r="430" spans="1:5">
      <c r="A430" s="21" t="str">
        <f>IF(Base!B424="","",Base!B424)</f>
        <v/>
      </c>
      <c r="B430" s="21" t="str">
        <f>IF(Base!F424="","",Base!F424)</f>
        <v/>
      </c>
      <c r="C430" s="21" t="str">
        <f>IF(Base!I424="","",Base!I424)</f>
        <v/>
      </c>
      <c r="D430" s="22" t="str">
        <f>IF(Base!J424="","",Base!J424)</f>
        <v/>
      </c>
      <c r="E430" s="21" t="str">
        <f>IF(Base!H424="","",Base!H424)</f>
        <v/>
      </c>
    </row>
    <row r="431" spans="1:5">
      <c r="A431" s="21" t="str">
        <f>IF(Base!B425="","",Base!B425)</f>
        <v/>
      </c>
      <c r="B431" s="21" t="str">
        <f>IF(Base!F425="","",Base!F425)</f>
        <v/>
      </c>
      <c r="C431" s="21" t="str">
        <f>IF(Base!I425="","",Base!I425)</f>
        <v/>
      </c>
      <c r="D431" s="22" t="str">
        <f>IF(Base!J425="","",Base!J425)</f>
        <v/>
      </c>
      <c r="E431" s="21" t="str">
        <f>IF(Base!H425="","",Base!H425)</f>
        <v/>
      </c>
    </row>
    <row r="432" spans="1:5">
      <c r="A432" s="21" t="str">
        <f>IF(Base!B426="","",Base!B426)</f>
        <v/>
      </c>
      <c r="B432" s="21" t="str">
        <f>IF(Base!F426="","",Base!F426)</f>
        <v/>
      </c>
      <c r="C432" s="21" t="str">
        <f>IF(Base!I426="","",Base!I426)</f>
        <v/>
      </c>
      <c r="D432" s="22" t="str">
        <f>IF(Base!J426="","",Base!J426)</f>
        <v/>
      </c>
      <c r="E432" s="21" t="str">
        <f>IF(Base!H426="","",Base!H426)</f>
        <v/>
      </c>
    </row>
    <row r="433" spans="1:5">
      <c r="A433" s="21" t="str">
        <f>IF(Base!B427="","",Base!B427)</f>
        <v/>
      </c>
      <c r="B433" s="21" t="str">
        <f>IF(Base!F427="","",Base!F427)</f>
        <v/>
      </c>
      <c r="C433" s="21" t="str">
        <f>IF(Base!I427="","",Base!I427)</f>
        <v/>
      </c>
      <c r="D433" s="22" t="str">
        <f>IF(Base!J427="","",Base!J427)</f>
        <v/>
      </c>
      <c r="E433" s="21" t="str">
        <f>IF(Base!H427="","",Base!H427)</f>
        <v/>
      </c>
    </row>
    <row r="434" spans="1:5">
      <c r="A434" s="21" t="str">
        <f>IF(Base!B428="","",Base!B428)</f>
        <v/>
      </c>
      <c r="B434" s="21" t="str">
        <f>IF(Base!F428="","",Base!F428)</f>
        <v/>
      </c>
      <c r="C434" s="21" t="str">
        <f>IF(Base!I428="","",Base!I428)</f>
        <v/>
      </c>
      <c r="D434" s="22" t="str">
        <f>IF(Base!J428="","",Base!J428)</f>
        <v/>
      </c>
      <c r="E434" s="21" t="str">
        <f>IF(Base!H428="","",Base!H428)</f>
        <v/>
      </c>
    </row>
    <row r="435" spans="1:5">
      <c r="A435" s="21" t="str">
        <f>IF(Base!B429="","",Base!B429)</f>
        <v/>
      </c>
      <c r="B435" s="21" t="str">
        <f>IF(Base!F429="","",Base!F429)</f>
        <v/>
      </c>
      <c r="C435" s="21" t="str">
        <f>IF(Base!I429="","",Base!I429)</f>
        <v/>
      </c>
      <c r="D435" s="22" t="str">
        <f>IF(Base!J429="","",Base!J429)</f>
        <v/>
      </c>
      <c r="E435" s="21" t="str">
        <f>IF(Base!H429="","",Base!H429)</f>
        <v/>
      </c>
    </row>
    <row r="436" spans="1:5">
      <c r="A436" s="21" t="str">
        <f>IF(Base!B430="","",Base!B430)</f>
        <v/>
      </c>
      <c r="B436" s="21" t="str">
        <f>IF(Base!F430="","",Base!F430)</f>
        <v/>
      </c>
      <c r="C436" s="21" t="str">
        <f>IF(Base!I430="","",Base!I430)</f>
        <v/>
      </c>
      <c r="D436" s="22" t="str">
        <f>IF(Base!J430="","",Base!J430)</f>
        <v/>
      </c>
      <c r="E436" s="21" t="str">
        <f>IF(Base!H430="","",Base!H430)</f>
        <v/>
      </c>
    </row>
    <row r="437" spans="1:5">
      <c r="A437" s="21" t="str">
        <f>IF(Base!B431="","",Base!B431)</f>
        <v/>
      </c>
      <c r="B437" s="21" t="str">
        <f>IF(Base!F431="","",Base!F431)</f>
        <v/>
      </c>
      <c r="C437" s="21" t="str">
        <f>IF(Base!I431="","",Base!I431)</f>
        <v/>
      </c>
      <c r="D437" s="22" t="str">
        <f>IF(Base!J431="","",Base!J431)</f>
        <v/>
      </c>
      <c r="E437" s="21" t="str">
        <f>IF(Base!H431="","",Base!H431)</f>
        <v/>
      </c>
    </row>
    <row r="438" spans="1:5">
      <c r="A438" s="21" t="str">
        <f>IF(Base!B432="","",Base!B432)</f>
        <v/>
      </c>
      <c r="B438" s="21" t="str">
        <f>IF(Base!F432="","",Base!F432)</f>
        <v/>
      </c>
      <c r="C438" s="21" t="str">
        <f>IF(Base!I432="","",Base!I432)</f>
        <v/>
      </c>
      <c r="D438" s="22" t="str">
        <f>IF(Base!J432="","",Base!J432)</f>
        <v/>
      </c>
      <c r="E438" s="21" t="str">
        <f>IF(Base!H432="","",Base!H432)</f>
        <v/>
      </c>
    </row>
    <row r="439" spans="1:5">
      <c r="A439" s="21" t="str">
        <f>IF(Base!B433="","",Base!B433)</f>
        <v/>
      </c>
      <c r="B439" s="21" t="str">
        <f>IF(Base!F433="","",Base!F433)</f>
        <v/>
      </c>
      <c r="C439" s="21" t="str">
        <f>IF(Base!I433="","",Base!I433)</f>
        <v/>
      </c>
      <c r="D439" s="22" t="str">
        <f>IF(Base!J433="","",Base!J433)</f>
        <v/>
      </c>
      <c r="E439" s="21" t="str">
        <f>IF(Base!H433="","",Base!H433)</f>
        <v/>
      </c>
    </row>
    <row r="440" spans="1:5">
      <c r="A440" s="21" t="str">
        <f>IF(Base!B434="","",Base!B434)</f>
        <v/>
      </c>
      <c r="B440" s="21" t="str">
        <f>IF(Base!F434="","",Base!F434)</f>
        <v/>
      </c>
      <c r="C440" s="21" t="str">
        <f>IF(Base!I434="","",Base!I434)</f>
        <v/>
      </c>
      <c r="D440" s="22" t="str">
        <f>IF(Base!J434="","",Base!J434)</f>
        <v/>
      </c>
      <c r="E440" s="21" t="str">
        <f>IF(Base!H434="","",Base!H434)</f>
        <v/>
      </c>
    </row>
    <row r="441" spans="1:5">
      <c r="A441" s="21" t="str">
        <f>IF(Base!B435="","",Base!B435)</f>
        <v/>
      </c>
      <c r="B441" s="21" t="str">
        <f>IF(Base!F435="","",Base!F435)</f>
        <v/>
      </c>
      <c r="C441" s="21" t="str">
        <f>IF(Base!I435="","",Base!I435)</f>
        <v/>
      </c>
      <c r="D441" s="22" t="str">
        <f>IF(Base!J435="","",Base!J435)</f>
        <v/>
      </c>
      <c r="E441" s="21" t="str">
        <f>IF(Base!H435="","",Base!H435)</f>
        <v/>
      </c>
    </row>
    <row r="442" spans="1:5">
      <c r="A442" s="21" t="str">
        <f>IF(Base!B436="","",Base!B436)</f>
        <v/>
      </c>
      <c r="B442" s="21" t="str">
        <f>IF(Base!F436="","",Base!F436)</f>
        <v/>
      </c>
      <c r="C442" s="21" t="str">
        <f>IF(Base!I436="","",Base!I436)</f>
        <v/>
      </c>
      <c r="D442" s="22" t="str">
        <f>IF(Base!J436="","",Base!J436)</f>
        <v/>
      </c>
      <c r="E442" s="21" t="str">
        <f>IF(Base!H436="","",Base!H436)</f>
        <v/>
      </c>
    </row>
    <row r="443" spans="1:5">
      <c r="A443" s="21" t="str">
        <f>IF(Base!B437="","",Base!B437)</f>
        <v/>
      </c>
      <c r="B443" s="21" t="str">
        <f>IF(Base!F437="","",Base!F437)</f>
        <v/>
      </c>
      <c r="C443" s="21" t="str">
        <f>IF(Base!I437="","",Base!I437)</f>
        <v/>
      </c>
      <c r="D443" s="22" t="str">
        <f>IF(Base!J437="","",Base!J437)</f>
        <v/>
      </c>
      <c r="E443" s="21" t="str">
        <f>IF(Base!H437="","",Base!H437)</f>
        <v/>
      </c>
    </row>
    <row r="444" spans="1:5">
      <c r="A444" s="21" t="str">
        <f>IF(Base!B438="","",Base!B438)</f>
        <v/>
      </c>
      <c r="B444" s="21" t="str">
        <f>IF(Base!F438="","",Base!F438)</f>
        <v/>
      </c>
      <c r="C444" s="21" t="str">
        <f>IF(Base!I438="","",Base!I438)</f>
        <v/>
      </c>
      <c r="D444" s="22" t="str">
        <f>IF(Base!J438="","",Base!J438)</f>
        <v/>
      </c>
      <c r="E444" s="21" t="str">
        <f>IF(Base!H438="","",Base!H438)</f>
        <v/>
      </c>
    </row>
    <row r="445" spans="1:5">
      <c r="A445" s="21" t="str">
        <f>IF(Base!B439="","",Base!B439)</f>
        <v/>
      </c>
      <c r="B445" s="21" t="str">
        <f>IF(Base!F439="","",Base!F439)</f>
        <v/>
      </c>
      <c r="C445" s="21" t="str">
        <f>IF(Base!I439="","",Base!I439)</f>
        <v/>
      </c>
      <c r="D445" s="22" t="str">
        <f>IF(Base!J439="","",Base!J439)</f>
        <v/>
      </c>
      <c r="E445" s="21" t="str">
        <f>IF(Base!H439="","",Base!H439)</f>
        <v/>
      </c>
    </row>
    <row r="446" spans="1:5">
      <c r="A446" s="21" t="str">
        <f>IF(Base!B440="","",Base!B440)</f>
        <v/>
      </c>
      <c r="B446" s="21" t="str">
        <f>IF(Base!F440="","",Base!F440)</f>
        <v/>
      </c>
      <c r="C446" s="21" t="str">
        <f>IF(Base!I440="","",Base!I440)</f>
        <v/>
      </c>
      <c r="D446" s="22" t="str">
        <f>IF(Base!J440="","",Base!J440)</f>
        <v/>
      </c>
      <c r="E446" s="21" t="str">
        <f>IF(Base!H440="","",Base!H440)</f>
        <v/>
      </c>
    </row>
    <row r="447" spans="1:5">
      <c r="A447" s="21" t="str">
        <f>IF(Base!B441="","",Base!B441)</f>
        <v/>
      </c>
      <c r="B447" s="21" t="str">
        <f>IF(Base!F441="","",Base!F441)</f>
        <v/>
      </c>
      <c r="C447" s="21" t="str">
        <f>IF(Base!I441="","",Base!I441)</f>
        <v/>
      </c>
      <c r="D447" s="22" t="str">
        <f>IF(Base!J441="","",Base!J441)</f>
        <v/>
      </c>
      <c r="E447" s="21" t="str">
        <f>IF(Base!H441="","",Base!H441)</f>
        <v/>
      </c>
    </row>
    <row r="448" spans="1:5">
      <c r="A448" s="21" t="str">
        <f>IF(Base!B442="","",Base!B442)</f>
        <v/>
      </c>
      <c r="B448" s="21" t="str">
        <f>IF(Base!F442="","",Base!F442)</f>
        <v/>
      </c>
      <c r="C448" s="21" t="str">
        <f>IF(Base!I442="","",Base!I442)</f>
        <v/>
      </c>
      <c r="D448" s="22" t="str">
        <f>IF(Base!J442="","",Base!J442)</f>
        <v/>
      </c>
      <c r="E448" s="21" t="str">
        <f>IF(Base!H442="","",Base!H442)</f>
        <v/>
      </c>
    </row>
    <row r="449" spans="1:5">
      <c r="A449" s="21" t="str">
        <f>IF(Base!B443="","",Base!B443)</f>
        <v/>
      </c>
      <c r="B449" s="21" t="str">
        <f>IF(Base!F443="","",Base!F443)</f>
        <v/>
      </c>
      <c r="C449" s="21" t="str">
        <f>IF(Base!I443="","",Base!I443)</f>
        <v/>
      </c>
      <c r="D449" s="22" t="str">
        <f>IF(Base!J443="","",Base!J443)</f>
        <v/>
      </c>
      <c r="E449" s="21" t="str">
        <f>IF(Base!H443="","",Base!H443)</f>
        <v/>
      </c>
    </row>
    <row r="450" spans="1:5">
      <c r="A450" s="21" t="str">
        <f>IF(Base!B444="","",Base!B444)</f>
        <v/>
      </c>
      <c r="B450" s="21" t="str">
        <f>IF(Base!F444="","",Base!F444)</f>
        <v/>
      </c>
      <c r="C450" s="21" t="str">
        <f>IF(Base!I444="","",Base!I444)</f>
        <v/>
      </c>
      <c r="D450" s="22" t="str">
        <f>IF(Base!J444="","",Base!J444)</f>
        <v/>
      </c>
      <c r="E450" s="21" t="str">
        <f>IF(Base!H444="","",Base!H444)</f>
        <v/>
      </c>
    </row>
    <row r="451" spans="1:5">
      <c r="A451" s="21" t="str">
        <f>IF(Base!B445="","",Base!B445)</f>
        <v/>
      </c>
      <c r="B451" s="21" t="str">
        <f>IF(Base!F445="","",Base!F445)</f>
        <v/>
      </c>
      <c r="C451" s="21" t="str">
        <f>IF(Base!I445="","",Base!I445)</f>
        <v/>
      </c>
      <c r="D451" s="22" t="str">
        <f>IF(Base!J445="","",Base!J445)</f>
        <v/>
      </c>
      <c r="E451" s="21" t="str">
        <f>IF(Base!H445="","",Base!H445)</f>
        <v/>
      </c>
    </row>
    <row r="452" spans="1:5">
      <c r="A452" s="21" t="str">
        <f>IF(Base!B446="","",Base!B446)</f>
        <v/>
      </c>
      <c r="B452" s="21" t="str">
        <f>IF(Base!F446="","",Base!F446)</f>
        <v/>
      </c>
      <c r="C452" s="21" t="str">
        <f>IF(Base!I446="","",Base!I446)</f>
        <v/>
      </c>
      <c r="D452" s="22" t="str">
        <f>IF(Base!J446="","",Base!J446)</f>
        <v/>
      </c>
      <c r="E452" s="21" t="str">
        <f>IF(Base!H446="","",Base!H446)</f>
        <v/>
      </c>
    </row>
    <row r="453" spans="1:5">
      <c r="A453" s="21" t="str">
        <f>IF(Base!B447="","",Base!B447)</f>
        <v/>
      </c>
      <c r="B453" s="21" t="str">
        <f>IF(Base!F447="","",Base!F447)</f>
        <v/>
      </c>
      <c r="C453" s="21" t="str">
        <f>IF(Base!I447="","",Base!I447)</f>
        <v/>
      </c>
      <c r="D453" s="22" t="str">
        <f>IF(Base!J447="","",Base!J447)</f>
        <v/>
      </c>
      <c r="E453" s="21" t="str">
        <f>IF(Base!H447="","",Base!H447)</f>
        <v/>
      </c>
    </row>
    <row r="454" spans="1:5">
      <c r="A454" s="21" t="str">
        <f>IF(Base!B448="","",Base!B448)</f>
        <v/>
      </c>
      <c r="B454" s="21" t="str">
        <f>IF(Base!F448="","",Base!F448)</f>
        <v/>
      </c>
      <c r="C454" s="21" t="str">
        <f>IF(Base!I448="","",Base!I448)</f>
        <v/>
      </c>
      <c r="D454" s="22" t="str">
        <f>IF(Base!J448="","",Base!J448)</f>
        <v/>
      </c>
      <c r="E454" s="21" t="str">
        <f>IF(Base!H448="","",Base!H448)</f>
        <v/>
      </c>
    </row>
    <row r="455" spans="1:5">
      <c r="A455" s="21" t="str">
        <f>IF(Base!B449="","",Base!B449)</f>
        <v/>
      </c>
      <c r="B455" s="21" t="str">
        <f>IF(Base!F449="","",Base!F449)</f>
        <v/>
      </c>
      <c r="C455" s="21" t="str">
        <f>IF(Base!I449="","",Base!I449)</f>
        <v/>
      </c>
      <c r="D455" s="22" t="str">
        <f>IF(Base!J449="","",Base!J449)</f>
        <v/>
      </c>
      <c r="E455" s="21" t="str">
        <f>IF(Base!H449="","",Base!H449)</f>
        <v/>
      </c>
    </row>
    <row r="456" spans="1:5">
      <c r="A456" s="21" t="str">
        <f>IF(Base!B450="","",Base!B450)</f>
        <v/>
      </c>
      <c r="B456" s="21" t="str">
        <f>IF(Base!F450="","",Base!F450)</f>
        <v/>
      </c>
      <c r="C456" s="21" t="str">
        <f>IF(Base!I450="","",Base!I450)</f>
        <v/>
      </c>
      <c r="D456" s="22" t="str">
        <f>IF(Base!J450="","",Base!J450)</f>
        <v/>
      </c>
      <c r="E456" s="21" t="str">
        <f>IF(Base!H450="","",Base!H450)</f>
        <v/>
      </c>
    </row>
    <row r="457" spans="1:5">
      <c r="A457" s="21" t="str">
        <f>IF(Base!B451="","",Base!B451)</f>
        <v/>
      </c>
      <c r="B457" s="21" t="str">
        <f>IF(Base!F451="","",Base!F451)</f>
        <v/>
      </c>
      <c r="C457" s="21" t="str">
        <f>IF(Base!I451="","",Base!I451)</f>
        <v/>
      </c>
      <c r="D457" s="22" t="str">
        <f>IF(Base!J451="","",Base!J451)</f>
        <v/>
      </c>
      <c r="E457" s="21" t="str">
        <f>IF(Base!H451="","",Base!H451)</f>
        <v/>
      </c>
    </row>
    <row r="458" spans="1:5">
      <c r="A458" s="21" t="str">
        <f>IF(Base!B452="","",Base!B452)</f>
        <v/>
      </c>
      <c r="B458" s="21" t="str">
        <f>IF(Base!F452="","",Base!F452)</f>
        <v/>
      </c>
      <c r="C458" s="21" t="str">
        <f>IF(Base!I452="","",Base!I452)</f>
        <v/>
      </c>
      <c r="D458" s="22" t="str">
        <f>IF(Base!J452="","",Base!J452)</f>
        <v/>
      </c>
      <c r="E458" s="21" t="str">
        <f>IF(Base!H452="","",Base!H452)</f>
        <v/>
      </c>
    </row>
    <row r="459" spans="1:5">
      <c r="A459" s="21" t="str">
        <f>IF(Base!B453="","",Base!B453)</f>
        <v/>
      </c>
      <c r="B459" s="21" t="str">
        <f>IF(Base!F453="","",Base!F453)</f>
        <v/>
      </c>
      <c r="C459" s="21" t="str">
        <f>IF(Base!I453="","",Base!I453)</f>
        <v/>
      </c>
      <c r="D459" s="22" t="str">
        <f>IF(Base!J453="","",Base!J453)</f>
        <v/>
      </c>
      <c r="E459" s="21" t="str">
        <f>IF(Base!H453="","",Base!H453)</f>
        <v/>
      </c>
    </row>
    <row r="460" spans="1:5">
      <c r="A460" s="21" t="str">
        <f>IF(Base!B454="","",Base!B454)</f>
        <v/>
      </c>
      <c r="B460" s="21" t="str">
        <f>IF(Base!F454="","",Base!F454)</f>
        <v/>
      </c>
      <c r="C460" s="21" t="str">
        <f>IF(Base!I454="","",Base!I454)</f>
        <v/>
      </c>
      <c r="D460" s="22" t="str">
        <f>IF(Base!J454="","",Base!J454)</f>
        <v/>
      </c>
      <c r="E460" s="21" t="str">
        <f>IF(Base!H454="","",Base!H454)</f>
        <v/>
      </c>
    </row>
    <row r="461" spans="1:5">
      <c r="A461" s="21" t="str">
        <f>IF(Base!B455="","",Base!B455)</f>
        <v/>
      </c>
      <c r="B461" s="21" t="str">
        <f>IF(Base!F455="","",Base!F455)</f>
        <v/>
      </c>
      <c r="C461" s="21" t="str">
        <f>IF(Base!I455="","",Base!I455)</f>
        <v/>
      </c>
      <c r="D461" s="22" t="str">
        <f>IF(Base!J455="","",Base!J455)</f>
        <v/>
      </c>
      <c r="E461" s="21" t="str">
        <f>IF(Base!H455="","",Base!H455)</f>
        <v/>
      </c>
    </row>
    <row r="462" spans="1:5">
      <c r="A462" s="21" t="str">
        <f>IF(Base!B456="","",Base!B456)</f>
        <v/>
      </c>
      <c r="B462" s="21" t="str">
        <f>IF(Base!F456="","",Base!F456)</f>
        <v/>
      </c>
      <c r="C462" s="21" t="str">
        <f>IF(Base!I456="","",Base!I456)</f>
        <v/>
      </c>
      <c r="D462" s="22" t="str">
        <f>IF(Base!J456="","",Base!J456)</f>
        <v/>
      </c>
      <c r="E462" s="21" t="str">
        <f>IF(Base!H456="","",Base!H456)</f>
        <v/>
      </c>
    </row>
    <row r="463" spans="1:5">
      <c r="A463" s="21" t="str">
        <f>IF(Base!B457="","",Base!B457)</f>
        <v/>
      </c>
      <c r="B463" s="21" t="str">
        <f>IF(Base!F457="","",Base!F457)</f>
        <v/>
      </c>
      <c r="C463" s="21" t="str">
        <f>IF(Base!I457="","",Base!I457)</f>
        <v/>
      </c>
      <c r="D463" s="22" t="str">
        <f>IF(Base!J457="","",Base!J457)</f>
        <v/>
      </c>
      <c r="E463" s="21" t="str">
        <f>IF(Base!H457="","",Base!H457)</f>
        <v/>
      </c>
    </row>
    <row r="464" spans="1:5">
      <c r="A464" s="21" t="str">
        <f>IF(Base!B458="","",Base!B458)</f>
        <v/>
      </c>
      <c r="B464" s="21" t="str">
        <f>IF(Base!F458="","",Base!F458)</f>
        <v/>
      </c>
      <c r="C464" s="21" t="str">
        <f>IF(Base!I458="","",Base!I458)</f>
        <v/>
      </c>
      <c r="D464" s="22" t="str">
        <f>IF(Base!J458="","",Base!J458)</f>
        <v/>
      </c>
      <c r="E464" s="21" t="str">
        <f>IF(Base!H458="","",Base!H458)</f>
        <v/>
      </c>
    </row>
    <row r="465" spans="1:5">
      <c r="A465" s="21" t="str">
        <f>IF(Base!B459="","",Base!B459)</f>
        <v/>
      </c>
      <c r="B465" s="21" t="str">
        <f>IF(Base!F459="","",Base!F459)</f>
        <v/>
      </c>
      <c r="C465" s="21" t="str">
        <f>IF(Base!I459="","",Base!I459)</f>
        <v/>
      </c>
      <c r="D465" s="22" t="str">
        <f>IF(Base!J459="","",Base!J459)</f>
        <v/>
      </c>
      <c r="E465" s="21" t="str">
        <f>IF(Base!H459="","",Base!H459)</f>
        <v/>
      </c>
    </row>
    <row r="466" spans="1:5">
      <c r="A466" s="21" t="str">
        <f>IF(Base!B460="","",Base!B460)</f>
        <v/>
      </c>
      <c r="B466" s="21" t="str">
        <f>IF(Base!F460="","",Base!F460)</f>
        <v/>
      </c>
      <c r="C466" s="21" t="str">
        <f>IF(Base!I460="","",Base!I460)</f>
        <v/>
      </c>
      <c r="D466" s="22" t="str">
        <f>IF(Base!J460="","",Base!J460)</f>
        <v/>
      </c>
      <c r="E466" s="21" t="str">
        <f>IF(Base!H460="","",Base!H460)</f>
        <v/>
      </c>
    </row>
    <row r="467" spans="1:5">
      <c r="A467" s="21" t="str">
        <f>IF(Base!B461="","",Base!B461)</f>
        <v/>
      </c>
      <c r="B467" s="21" t="str">
        <f>IF(Base!F461="","",Base!F461)</f>
        <v/>
      </c>
      <c r="C467" s="21" t="str">
        <f>IF(Base!I461="","",Base!I461)</f>
        <v/>
      </c>
      <c r="D467" s="22" t="str">
        <f>IF(Base!J461="","",Base!J461)</f>
        <v/>
      </c>
      <c r="E467" s="21" t="str">
        <f>IF(Base!H461="","",Base!H461)</f>
        <v/>
      </c>
    </row>
    <row r="468" spans="1:5">
      <c r="A468" s="21" t="str">
        <f>IF(Base!B462="","",Base!B462)</f>
        <v/>
      </c>
      <c r="B468" s="21" t="str">
        <f>IF(Base!F462="","",Base!F462)</f>
        <v/>
      </c>
      <c r="C468" s="21" t="str">
        <f>IF(Base!I462="","",Base!I462)</f>
        <v/>
      </c>
      <c r="D468" s="22" t="str">
        <f>IF(Base!J462="","",Base!J462)</f>
        <v/>
      </c>
      <c r="E468" s="21" t="str">
        <f>IF(Base!H462="","",Base!H462)</f>
        <v/>
      </c>
    </row>
    <row r="469" spans="1:5">
      <c r="A469" s="21" t="str">
        <f>IF(Base!B463="","",Base!B463)</f>
        <v/>
      </c>
      <c r="B469" s="21" t="str">
        <f>IF(Base!F463="","",Base!F463)</f>
        <v/>
      </c>
      <c r="C469" s="21" t="str">
        <f>IF(Base!I463="","",Base!I463)</f>
        <v/>
      </c>
      <c r="D469" s="22" t="str">
        <f>IF(Base!J463="","",Base!J463)</f>
        <v/>
      </c>
      <c r="E469" s="21" t="str">
        <f>IF(Base!H463="","",Base!H463)</f>
        <v/>
      </c>
    </row>
    <row r="470" spans="1:5">
      <c r="A470" s="21" t="str">
        <f>IF(Base!B464="","",Base!B464)</f>
        <v/>
      </c>
      <c r="B470" s="21" t="str">
        <f>IF(Base!F464="","",Base!F464)</f>
        <v/>
      </c>
      <c r="C470" s="21" t="str">
        <f>IF(Base!I464="","",Base!I464)</f>
        <v/>
      </c>
      <c r="D470" s="22" t="str">
        <f>IF(Base!J464="","",Base!J464)</f>
        <v/>
      </c>
      <c r="E470" s="21" t="str">
        <f>IF(Base!H464="","",Base!H464)</f>
        <v/>
      </c>
    </row>
    <row r="471" spans="1:5">
      <c r="A471" s="21" t="str">
        <f>IF(Base!B465="","",Base!B465)</f>
        <v/>
      </c>
      <c r="B471" s="21" t="str">
        <f>IF(Base!F465="","",Base!F465)</f>
        <v/>
      </c>
      <c r="C471" s="21" t="str">
        <f>IF(Base!I465="","",Base!I465)</f>
        <v/>
      </c>
      <c r="D471" s="22" t="str">
        <f>IF(Base!J465="","",Base!J465)</f>
        <v/>
      </c>
      <c r="E471" s="21" t="str">
        <f>IF(Base!H465="","",Base!H465)</f>
        <v/>
      </c>
    </row>
    <row r="472" spans="1:5">
      <c r="A472" s="21" t="str">
        <f>IF(Base!B466="","",Base!B466)</f>
        <v/>
      </c>
      <c r="B472" s="21" t="str">
        <f>IF(Base!F466="","",Base!F466)</f>
        <v/>
      </c>
      <c r="C472" s="21" t="str">
        <f>IF(Base!I466="","",Base!I466)</f>
        <v/>
      </c>
      <c r="D472" s="22" t="str">
        <f>IF(Base!J466="","",Base!J466)</f>
        <v/>
      </c>
      <c r="E472" s="21" t="str">
        <f>IF(Base!H466="","",Base!H466)</f>
        <v/>
      </c>
    </row>
    <row r="473" spans="1:5">
      <c r="A473" s="21" t="str">
        <f>IF(Base!B467="","",Base!B467)</f>
        <v/>
      </c>
      <c r="B473" s="21" t="str">
        <f>IF(Base!F467="","",Base!F467)</f>
        <v/>
      </c>
      <c r="C473" s="21" t="str">
        <f>IF(Base!I467="","",Base!I467)</f>
        <v/>
      </c>
      <c r="D473" s="22" t="str">
        <f>IF(Base!J467="","",Base!J467)</f>
        <v/>
      </c>
      <c r="E473" s="21" t="str">
        <f>IF(Base!H467="","",Base!H467)</f>
        <v/>
      </c>
    </row>
    <row r="474" spans="1:5">
      <c r="A474" s="21" t="str">
        <f>IF(Base!B468="","",Base!B468)</f>
        <v/>
      </c>
      <c r="B474" s="21" t="str">
        <f>IF(Base!F468="","",Base!F468)</f>
        <v/>
      </c>
      <c r="C474" s="21" t="str">
        <f>IF(Base!I468="","",Base!I468)</f>
        <v/>
      </c>
      <c r="D474" s="22" t="str">
        <f>IF(Base!J468="","",Base!J468)</f>
        <v/>
      </c>
      <c r="E474" s="21" t="str">
        <f>IF(Base!H468="","",Base!H468)</f>
        <v/>
      </c>
    </row>
    <row r="475" spans="1:5">
      <c r="A475" s="21" t="str">
        <f>IF(Base!B469="","",Base!B469)</f>
        <v/>
      </c>
      <c r="B475" s="21" t="str">
        <f>IF(Base!F469="","",Base!F469)</f>
        <v/>
      </c>
      <c r="C475" s="21" t="str">
        <f>IF(Base!I469="","",Base!I469)</f>
        <v/>
      </c>
      <c r="D475" s="22" t="str">
        <f>IF(Base!J469="","",Base!J469)</f>
        <v/>
      </c>
      <c r="E475" s="21" t="str">
        <f>IF(Base!H469="","",Base!H469)</f>
        <v/>
      </c>
    </row>
    <row r="476" spans="1:5">
      <c r="A476" s="21" t="str">
        <f>IF(Base!B470="","",Base!B470)</f>
        <v/>
      </c>
      <c r="B476" s="21" t="str">
        <f>IF(Base!F470="","",Base!F470)</f>
        <v/>
      </c>
      <c r="C476" s="21" t="str">
        <f>IF(Base!I470="","",Base!I470)</f>
        <v/>
      </c>
      <c r="D476" s="22" t="str">
        <f>IF(Base!J470="","",Base!J470)</f>
        <v/>
      </c>
      <c r="E476" s="21" t="str">
        <f>IF(Base!H470="","",Base!H470)</f>
        <v/>
      </c>
    </row>
    <row r="477" spans="1:5">
      <c r="A477" s="21" t="str">
        <f>IF(Base!B471="","",Base!B471)</f>
        <v/>
      </c>
      <c r="B477" s="21" t="str">
        <f>IF(Base!F471="","",Base!F471)</f>
        <v/>
      </c>
      <c r="C477" s="21" t="str">
        <f>IF(Base!I471="","",Base!I471)</f>
        <v/>
      </c>
      <c r="D477" s="22" t="str">
        <f>IF(Base!J471="","",Base!J471)</f>
        <v/>
      </c>
      <c r="E477" s="21" t="str">
        <f>IF(Base!H471="","",Base!H471)</f>
        <v/>
      </c>
    </row>
    <row r="478" spans="1:5">
      <c r="A478" s="21" t="str">
        <f>IF(Base!B472="","",Base!B472)</f>
        <v/>
      </c>
      <c r="B478" s="21" t="str">
        <f>IF(Base!F472="","",Base!F472)</f>
        <v/>
      </c>
      <c r="C478" s="21" t="str">
        <f>IF(Base!I472="","",Base!I472)</f>
        <v/>
      </c>
      <c r="D478" s="22" t="str">
        <f>IF(Base!J472="","",Base!J472)</f>
        <v/>
      </c>
      <c r="E478" s="21" t="str">
        <f>IF(Base!H472="","",Base!H472)</f>
        <v/>
      </c>
    </row>
    <row r="479" spans="1:5">
      <c r="A479" s="21" t="str">
        <f>IF(Base!B473="","",Base!B473)</f>
        <v/>
      </c>
      <c r="B479" s="21" t="str">
        <f>IF(Base!F473="","",Base!F473)</f>
        <v/>
      </c>
      <c r="C479" s="21" t="str">
        <f>IF(Base!I473="","",Base!I473)</f>
        <v/>
      </c>
      <c r="D479" s="22" t="str">
        <f>IF(Base!J473="","",Base!J473)</f>
        <v/>
      </c>
      <c r="E479" s="21" t="str">
        <f>IF(Base!H473="","",Base!H473)</f>
        <v/>
      </c>
    </row>
    <row r="480" spans="1:5">
      <c r="A480" s="21" t="str">
        <f>IF(Base!B474="","",Base!B474)</f>
        <v/>
      </c>
      <c r="B480" s="21" t="str">
        <f>IF(Base!F474="","",Base!F474)</f>
        <v/>
      </c>
      <c r="C480" s="21" t="str">
        <f>IF(Base!I474="","",Base!I474)</f>
        <v/>
      </c>
      <c r="D480" s="22" t="str">
        <f>IF(Base!J474="","",Base!J474)</f>
        <v/>
      </c>
      <c r="E480" s="21" t="str">
        <f>IF(Base!H474="","",Base!H474)</f>
        <v/>
      </c>
    </row>
    <row r="481" spans="1:5">
      <c r="A481" s="21" t="str">
        <f>IF(Base!B475="","",Base!B475)</f>
        <v/>
      </c>
      <c r="B481" s="21" t="str">
        <f>IF(Base!F475="","",Base!F475)</f>
        <v/>
      </c>
      <c r="C481" s="21" t="str">
        <f>IF(Base!I475="","",Base!I475)</f>
        <v/>
      </c>
      <c r="D481" s="22" t="str">
        <f>IF(Base!J475="","",Base!J475)</f>
        <v/>
      </c>
      <c r="E481" s="21" t="str">
        <f>IF(Base!H475="","",Base!H475)</f>
        <v/>
      </c>
    </row>
    <row r="482" spans="1:5">
      <c r="A482" s="21" t="str">
        <f>IF(Base!B476="","",Base!B476)</f>
        <v/>
      </c>
      <c r="B482" s="21" t="str">
        <f>IF(Base!F476="","",Base!F476)</f>
        <v/>
      </c>
      <c r="C482" s="21" t="str">
        <f>IF(Base!I476="","",Base!I476)</f>
        <v/>
      </c>
      <c r="D482" s="22" t="str">
        <f>IF(Base!J476="","",Base!J476)</f>
        <v/>
      </c>
      <c r="E482" s="21" t="str">
        <f>IF(Base!H476="","",Base!H476)</f>
        <v/>
      </c>
    </row>
    <row r="483" spans="1:5">
      <c r="A483" s="21" t="str">
        <f>IF(Base!B477="","",Base!B477)</f>
        <v/>
      </c>
      <c r="B483" s="21" t="str">
        <f>IF(Base!F477="","",Base!F477)</f>
        <v/>
      </c>
      <c r="C483" s="21" t="str">
        <f>IF(Base!I477="","",Base!I477)</f>
        <v/>
      </c>
      <c r="D483" s="22" t="str">
        <f>IF(Base!J477="","",Base!J477)</f>
        <v/>
      </c>
      <c r="E483" s="21" t="str">
        <f>IF(Base!H477="","",Base!H477)</f>
        <v/>
      </c>
    </row>
    <row r="484" spans="1:5">
      <c r="A484" s="21" t="str">
        <f>IF(Base!B478="","",Base!B478)</f>
        <v/>
      </c>
      <c r="B484" s="21" t="str">
        <f>IF(Base!F478="","",Base!F478)</f>
        <v/>
      </c>
      <c r="C484" s="21" t="str">
        <f>IF(Base!I478="","",Base!I478)</f>
        <v/>
      </c>
      <c r="D484" s="22" t="str">
        <f>IF(Base!J478="","",Base!J478)</f>
        <v/>
      </c>
      <c r="E484" s="21" t="str">
        <f>IF(Base!H478="","",Base!H478)</f>
        <v/>
      </c>
    </row>
    <row r="485" spans="1:5">
      <c r="A485" s="21" t="str">
        <f>IF(Base!B479="","",Base!B479)</f>
        <v/>
      </c>
      <c r="B485" s="21" t="str">
        <f>IF(Base!F479="","",Base!F479)</f>
        <v/>
      </c>
      <c r="C485" s="21" t="str">
        <f>IF(Base!I479="","",Base!I479)</f>
        <v/>
      </c>
      <c r="D485" s="22" t="str">
        <f>IF(Base!J479="","",Base!J479)</f>
        <v/>
      </c>
      <c r="E485" s="21" t="str">
        <f>IF(Base!H479="","",Base!H479)</f>
        <v/>
      </c>
    </row>
    <row r="486" spans="1:5">
      <c r="A486" s="21" t="str">
        <f>IF(Base!B480="","",Base!B480)</f>
        <v/>
      </c>
      <c r="B486" s="21" t="str">
        <f>IF(Base!F480="","",Base!F480)</f>
        <v/>
      </c>
      <c r="C486" s="21" t="str">
        <f>IF(Base!I480="","",Base!I480)</f>
        <v/>
      </c>
      <c r="D486" s="22" t="str">
        <f>IF(Base!J480="","",Base!J480)</f>
        <v/>
      </c>
      <c r="E486" s="21" t="str">
        <f>IF(Base!H480="","",Base!H480)</f>
        <v/>
      </c>
    </row>
    <row r="487" spans="1:5">
      <c r="A487" s="21" t="str">
        <f>IF(Base!B481="","",Base!B481)</f>
        <v/>
      </c>
      <c r="B487" s="21" t="str">
        <f>IF(Base!F481="","",Base!F481)</f>
        <v/>
      </c>
      <c r="C487" s="21" t="str">
        <f>IF(Base!I481="","",Base!I481)</f>
        <v/>
      </c>
      <c r="D487" s="22" t="str">
        <f>IF(Base!J481="","",Base!J481)</f>
        <v/>
      </c>
      <c r="E487" s="21" t="str">
        <f>IF(Base!H481="","",Base!H481)</f>
        <v/>
      </c>
    </row>
    <row r="488" spans="1:5">
      <c r="A488" s="21" t="str">
        <f>IF(Base!B482="","",Base!B482)</f>
        <v/>
      </c>
      <c r="B488" s="21" t="str">
        <f>IF(Base!F482="","",Base!F482)</f>
        <v/>
      </c>
      <c r="C488" s="21" t="str">
        <f>IF(Base!I482="","",Base!I482)</f>
        <v/>
      </c>
      <c r="D488" s="22" t="str">
        <f>IF(Base!J482="","",Base!J482)</f>
        <v/>
      </c>
      <c r="E488" s="21" t="str">
        <f>IF(Base!H482="","",Base!H482)</f>
        <v/>
      </c>
    </row>
    <row r="489" spans="1:5">
      <c r="A489" s="21" t="str">
        <f>IF(Base!B483="","",Base!B483)</f>
        <v/>
      </c>
      <c r="B489" s="21" t="str">
        <f>IF(Base!F483="","",Base!F483)</f>
        <v/>
      </c>
      <c r="C489" s="21" t="str">
        <f>IF(Base!I483="","",Base!I483)</f>
        <v/>
      </c>
      <c r="D489" s="22" t="str">
        <f>IF(Base!J483="","",Base!J483)</f>
        <v/>
      </c>
      <c r="E489" s="21" t="str">
        <f>IF(Base!H483="","",Base!H483)</f>
        <v/>
      </c>
    </row>
    <row r="490" spans="1:5">
      <c r="A490" s="21" t="str">
        <f>IF(Base!B484="","",Base!B484)</f>
        <v/>
      </c>
      <c r="B490" s="21" t="str">
        <f>IF(Base!F484="","",Base!F484)</f>
        <v/>
      </c>
      <c r="C490" s="21" t="str">
        <f>IF(Base!I484="","",Base!I484)</f>
        <v/>
      </c>
      <c r="D490" s="22" t="str">
        <f>IF(Base!J484="","",Base!J484)</f>
        <v/>
      </c>
      <c r="E490" s="21" t="str">
        <f>IF(Base!H484="","",Base!H484)</f>
        <v/>
      </c>
    </row>
    <row r="491" spans="1:5">
      <c r="A491" s="21" t="str">
        <f>IF(Base!B485="","",Base!B485)</f>
        <v/>
      </c>
      <c r="B491" s="21" t="str">
        <f>IF(Base!F485="","",Base!F485)</f>
        <v/>
      </c>
      <c r="C491" s="21" t="str">
        <f>IF(Base!I485="","",Base!I485)</f>
        <v/>
      </c>
      <c r="D491" s="22" t="str">
        <f>IF(Base!J485="","",Base!J485)</f>
        <v/>
      </c>
      <c r="E491" s="21" t="str">
        <f>IF(Base!H485="","",Base!H485)</f>
        <v/>
      </c>
    </row>
    <row r="492" spans="1:5">
      <c r="A492" s="21" t="str">
        <f>IF(Base!B486="","",Base!B486)</f>
        <v/>
      </c>
      <c r="B492" s="21" t="str">
        <f>IF(Base!F486="","",Base!F486)</f>
        <v/>
      </c>
      <c r="C492" s="21" t="str">
        <f>IF(Base!I486="","",Base!I486)</f>
        <v/>
      </c>
      <c r="D492" s="22" t="str">
        <f>IF(Base!J486="","",Base!J486)</f>
        <v/>
      </c>
      <c r="E492" s="21" t="str">
        <f>IF(Base!H486="","",Base!H486)</f>
        <v/>
      </c>
    </row>
    <row r="493" spans="1:5">
      <c r="A493" s="21" t="str">
        <f>IF(Base!B487="","",Base!B487)</f>
        <v/>
      </c>
      <c r="B493" s="21" t="str">
        <f>IF(Base!F487="","",Base!F487)</f>
        <v/>
      </c>
      <c r="C493" s="21" t="str">
        <f>IF(Base!I487="","",Base!I487)</f>
        <v/>
      </c>
      <c r="D493" s="22" t="str">
        <f>IF(Base!J487="","",Base!J487)</f>
        <v/>
      </c>
      <c r="E493" s="21" t="str">
        <f>IF(Base!H487="","",Base!H487)</f>
        <v/>
      </c>
    </row>
    <row r="494" spans="1:5">
      <c r="A494" s="21" t="str">
        <f>IF(Base!B488="","",Base!B488)</f>
        <v/>
      </c>
      <c r="B494" s="21" t="str">
        <f>IF(Base!F488="","",Base!F488)</f>
        <v/>
      </c>
      <c r="C494" s="21" t="str">
        <f>IF(Base!I488="","",Base!I488)</f>
        <v/>
      </c>
      <c r="D494" s="22" t="str">
        <f>IF(Base!J488="","",Base!J488)</f>
        <v/>
      </c>
      <c r="E494" s="21" t="str">
        <f>IF(Base!H488="","",Base!H488)</f>
        <v/>
      </c>
    </row>
    <row r="495" spans="1:5">
      <c r="A495" s="21" t="str">
        <f>IF(Base!B489="","",Base!B489)</f>
        <v/>
      </c>
      <c r="B495" s="21" t="str">
        <f>IF(Base!F489="","",Base!F489)</f>
        <v/>
      </c>
      <c r="C495" s="21" t="str">
        <f>IF(Base!I489="","",Base!I489)</f>
        <v/>
      </c>
      <c r="D495" s="22" t="str">
        <f>IF(Base!J489="","",Base!J489)</f>
        <v/>
      </c>
      <c r="E495" s="21" t="str">
        <f>IF(Base!H489="","",Base!H489)</f>
        <v/>
      </c>
    </row>
    <row r="496" spans="1:5">
      <c r="A496" s="21" t="str">
        <f>IF(Base!B490="","",Base!B490)</f>
        <v/>
      </c>
      <c r="B496" s="21" t="str">
        <f>IF(Base!F490="","",Base!F490)</f>
        <v/>
      </c>
      <c r="C496" s="21" t="str">
        <f>IF(Base!I490="","",Base!I490)</f>
        <v/>
      </c>
      <c r="D496" s="22" t="str">
        <f>IF(Base!J490="","",Base!J490)</f>
        <v/>
      </c>
      <c r="E496" s="21" t="str">
        <f>IF(Base!H490="","",Base!H490)</f>
        <v/>
      </c>
    </row>
    <row r="497" spans="1:5">
      <c r="A497" s="21" t="str">
        <f>IF(Base!B491="","",Base!B491)</f>
        <v/>
      </c>
      <c r="B497" s="21" t="str">
        <f>IF(Base!F491="","",Base!F491)</f>
        <v/>
      </c>
      <c r="C497" s="21" t="str">
        <f>IF(Base!I491="","",Base!I491)</f>
        <v/>
      </c>
      <c r="D497" s="22" t="str">
        <f>IF(Base!J491="","",Base!J491)</f>
        <v/>
      </c>
      <c r="E497" s="21" t="str">
        <f>IF(Base!H491="","",Base!H491)</f>
        <v/>
      </c>
    </row>
    <row r="498" spans="1:5">
      <c r="A498" s="21" t="str">
        <f>IF(Base!B492="","",Base!B492)</f>
        <v/>
      </c>
      <c r="B498" s="21" t="str">
        <f>IF(Base!F492="","",Base!F492)</f>
        <v/>
      </c>
      <c r="C498" s="21" t="str">
        <f>IF(Base!I492="","",Base!I492)</f>
        <v/>
      </c>
      <c r="D498" s="22" t="str">
        <f>IF(Base!J492="","",Base!J492)</f>
        <v/>
      </c>
      <c r="E498" s="21" t="str">
        <f>IF(Base!H492="","",Base!H492)</f>
        <v/>
      </c>
    </row>
    <row r="499" spans="1:5">
      <c r="A499" s="21" t="str">
        <f>IF(Base!B493="","",Base!B493)</f>
        <v/>
      </c>
      <c r="B499" s="21" t="str">
        <f>IF(Base!F493="","",Base!F493)</f>
        <v/>
      </c>
      <c r="C499" s="21" t="str">
        <f>IF(Base!I493="","",Base!I493)</f>
        <v/>
      </c>
      <c r="D499" s="22" t="str">
        <f>IF(Base!J493="","",Base!J493)</f>
        <v/>
      </c>
      <c r="E499" s="21" t="str">
        <f>IF(Base!H493="","",Base!H493)</f>
        <v/>
      </c>
    </row>
    <row r="500" spans="1:5">
      <c r="A500" s="21" t="str">
        <f>IF(Base!B494="","",Base!B494)</f>
        <v/>
      </c>
      <c r="B500" s="21" t="str">
        <f>IF(Base!F494="","",Base!F494)</f>
        <v/>
      </c>
      <c r="C500" s="21" t="str">
        <f>IF(Base!I494="","",Base!I494)</f>
        <v/>
      </c>
      <c r="D500" s="22" t="str">
        <f>IF(Base!J494="","",Base!J494)</f>
        <v/>
      </c>
      <c r="E500" s="21" t="str">
        <f>IF(Base!H494="","",Base!H494)</f>
        <v/>
      </c>
    </row>
    <row r="501" spans="1:5">
      <c r="A501" s="21" t="str">
        <f>IF(Base!B495="","",Base!B495)</f>
        <v/>
      </c>
      <c r="B501" s="21" t="str">
        <f>IF(Base!F495="","",Base!F495)</f>
        <v/>
      </c>
      <c r="C501" s="21" t="str">
        <f>IF(Base!I495="","",Base!I495)</f>
        <v/>
      </c>
      <c r="D501" s="22" t="str">
        <f>IF(Base!J495="","",Base!J495)</f>
        <v/>
      </c>
      <c r="E501" s="21" t="str">
        <f>IF(Base!H495="","",Base!H495)</f>
        <v/>
      </c>
    </row>
    <row r="502" spans="1:5">
      <c r="A502" s="21" t="str">
        <f>IF(Base!B496="","",Base!B496)</f>
        <v/>
      </c>
      <c r="B502" s="21" t="str">
        <f>IF(Base!F496="","",Base!F496)</f>
        <v/>
      </c>
      <c r="C502" s="21" t="str">
        <f>IF(Base!I496="","",Base!I496)</f>
        <v/>
      </c>
      <c r="D502" s="22" t="str">
        <f>IF(Base!J496="","",Base!J496)</f>
        <v/>
      </c>
      <c r="E502" s="21" t="str">
        <f>IF(Base!H496="","",Base!H496)</f>
        <v/>
      </c>
    </row>
    <row r="503" spans="1:5">
      <c r="A503" s="21" t="str">
        <f>IF(Base!B497="","",Base!B497)</f>
        <v/>
      </c>
      <c r="B503" s="21" t="str">
        <f>IF(Base!F497="","",Base!F497)</f>
        <v/>
      </c>
      <c r="C503" s="21" t="str">
        <f>IF(Base!I497="","",Base!I497)</f>
        <v/>
      </c>
      <c r="D503" s="22" t="str">
        <f>IF(Base!J497="","",Base!J497)</f>
        <v/>
      </c>
      <c r="E503" s="21" t="str">
        <f>IF(Base!H497="","",Base!H497)</f>
        <v/>
      </c>
    </row>
    <row r="504" spans="1:5">
      <c r="A504" s="21" t="str">
        <f>IF(Base!B498="","",Base!B498)</f>
        <v/>
      </c>
      <c r="B504" s="21" t="str">
        <f>IF(Base!F498="","",Base!F498)</f>
        <v/>
      </c>
      <c r="C504" s="21" t="str">
        <f>IF(Base!I498="","",Base!I498)</f>
        <v/>
      </c>
      <c r="D504" s="22" t="str">
        <f>IF(Base!J498="","",Base!J498)</f>
        <v/>
      </c>
      <c r="E504" s="21" t="str">
        <f>IF(Base!H498="","",Base!H498)</f>
        <v/>
      </c>
    </row>
    <row r="505" spans="1:5">
      <c r="A505" s="21" t="str">
        <f>IF(Base!B499="","",Base!B499)</f>
        <v/>
      </c>
      <c r="B505" s="21" t="str">
        <f>IF(Base!F499="","",Base!F499)</f>
        <v/>
      </c>
      <c r="C505" s="21" t="str">
        <f>IF(Base!I499="","",Base!I499)</f>
        <v/>
      </c>
      <c r="D505" s="22" t="str">
        <f>IF(Base!J499="","",Base!J499)</f>
        <v/>
      </c>
      <c r="E505" s="21" t="str">
        <f>IF(Base!H499="","",Base!H499)</f>
        <v/>
      </c>
    </row>
    <row r="506" spans="1:5">
      <c r="A506" s="21" t="str">
        <f>IF(Base!B500="","",Base!B500)</f>
        <v/>
      </c>
      <c r="B506" s="21" t="str">
        <f>IF(Base!F500="","",Base!F500)</f>
        <v/>
      </c>
      <c r="C506" s="21" t="str">
        <f>IF(Base!I500="","",Base!I500)</f>
        <v/>
      </c>
      <c r="D506" s="22" t="str">
        <f>IF(Base!J500="","",Base!J500)</f>
        <v/>
      </c>
      <c r="E506" s="21" t="str">
        <f>IF(Base!H500="","",Base!H500)</f>
        <v/>
      </c>
    </row>
    <row r="507" spans="1:5">
      <c r="A507" s="21" t="str">
        <f>IF(Base!B501="","",Base!B501)</f>
        <v/>
      </c>
      <c r="B507" s="21" t="str">
        <f>IF(Base!F501="","",Base!F501)</f>
        <v/>
      </c>
      <c r="C507" s="21" t="str">
        <f>IF(Base!I501="","",Base!I501)</f>
        <v/>
      </c>
      <c r="D507" s="22" t="str">
        <f>IF(Base!J501="","",Base!J501)</f>
        <v/>
      </c>
      <c r="E507" s="21" t="str">
        <f>IF(Base!H501="","",Base!H501)</f>
        <v/>
      </c>
    </row>
    <row r="508" spans="1:5">
      <c r="A508" s="21" t="str">
        <f>IF(Base!B502="","",Base!B502)</f>
        <v/>
      </c>
      <c r="B508" s="21" t="str">
        <f>IF(Base!F502="","",Base!F502)</f>
        <v/>
      </c>
      <c r="C508" s="21" t="str">
        <f>IF(Base!I502="","",Base!I502)</f>
        <v/>
      </c>
      <c r="D508" s="22" t="str">
        <f>IF(Base!J502="","",Base!J502)</f>
        <v/>
      </c>
      <c r="E508" s="21" t="str">
        <f>IF(Base!H502="","",Base!H502)</f>
        <v/>
      </c>
    </row>
    <row r="509" spans="1:5">
      <c r="A509" s="21" t="str">
        <f>IF(Base!B503="","",Base!B503)</f>
        <v/>
      </c>
      <c r="B509" s="21" t="str">
        <f>IF(Base!F503="","",Base!F503)</f>
        <v/>
      </c>
      <c r="C509" s="21" t="str">
        <f>IF(Base!I503="","",Base!I503)</f>
        <v/>
      </c>
      <c r="D509" s="22" t="str">
        <f>IF(Base!J503="","",Base!J503)</f>
        <v/>
      </c>
      <c r="E509" s="21" t="str">
        <f>IF(Base!H503="","",Base!H503)</f>
        <v/>
      </c>
    </row>
    <row r="510" spans="1:5">
      <c r="A510" s="21" t="str">
        <f>IF(Base!B504="","",Base!B504)</f>
        <v/>
      </c>
      <c r="B510" s="21" t="str">
        <f>IF(Base!F504="","",Base!F504)</f>
        <v/>
      </c>
      <c r="C510" s="21" t="str">
        <f>IF(Base!I504="","",Base!I504)</f>
        <v/>
      </c>
      <c r="D510" s="22" t="str">
        <f>IF(Base!J504="","",Base!J504)</f>
        <v/>
      </c>
      <c r="E510" s="21" t="str">
        <f>IF(Base!H504="","",Base!H504)</f>
        <v/>
      </c>
    </row>
    <row r="511" spans="1:5">
      <c r="A511" s="21" t="str">
        <f>IF(Base!B505="","",Base!B505)</f>
        <v/>
      </c>
      <c r="B511" s="21" t="str">
        <f>IF(Base!F505="","",Base!F505)</f>
        <v/>
      </c>
      <c r="C511" s="21" t="str">
        <f>IF(Base!I505="","",Base!I505)</f>
        <v/>
      </c>
      <c r="D511" s="22" t="str">
        <f>IF(Base!J505="","",Base!J505)</f>
        <v/>
      </c>
      <c r="E511" s="21" t="str">
        <f>IF(Base!H505="","",Base!H505)</f>
        <v/>
      </c>
    </row>
    <row r="512" spans="1:5">
      <c r="A512" s="21" t="str">
        <f>IF(Base!B506="","",Base!B506)</f>
        <v/>
      </c>
      <c r="B512" s="21" t="str">
        <f>IF(Base!F506="","",Base!F506)</f>
        <v/>
      </c>
      <c r="C512" s="21" t="str">
        <f>IF(Base!I506="","",Base!I506)</f>
        <v/>
      </c>
      <c r="D512" s="22" t="str">
        <f>IF(Base!J506="","",Base!J506)</f>
        <v/>
      </c>
      <c r="E512" s="21" t="str">
        <f>IF(Base!H506="","",Base!H506)</f>
        <v/>
      </c>
    </row>
    <row r="513" spans="1:5">
      <c r="A513" s="21" t="str">
        <f>IF(Base!B507="","",Base!B507)</f>
        <v/>
      </c>
      <c r="B513" s="21" t="str">
        <f>IF(Base!F507="","",Base!F507)</f>
        <v/>
      </c>
      <c r="C513" s="21" t="str">
        <f>IF(Base!I507="","",Base!I507)</f>
        <v/>
      </c>
      <c r="D513" s="22" t="str">
        <f>IF(Base!J507="","",Base!J507)</f>
        <v/>
      </c>
      <c r="E513" s="21" t="str">
        <f>IF(Base!H507="","",Base!H507)</f>
        <v/>
      </c>
    </row>
    <row r="514" spans="1:5">
      <c r="A514" s="21" t="str">
        <f>IF(Base!B508="","",Base!B508)</f>
        <v/>
      </c>
      <c r="B514" s="21" t="str">
        <f>IF(Base!F508="","",Base!F508)</f>
        <v/>
      </c>
      <c r="C514" s="21" t="str">
        <f>IF(Base!I508="","",Base!I508)</f>
        <v/>
      </c>
      <c r="D514" s="22" t="str">
        <f>IF(Base!J508="","",Base!J508)</f>
        <v/>
      </c>
      <c r="E514" s="21" t="str">
        <f>IF(Base!H508="","",Base!H508)</f>
        <v/>
      </c>
    </row>
    <row r="515" spans="1:5">
      <c r="A515" s="21" t="str">
        <f>IF(Base!B509="","",Base!B509)</f>
        <v/>
      </c>
      <c r="B515" s="21" t="str">
        <f>IF(Base!F509="","",Base!F509)</f>
        <v/>
      </c>
      <c r="C515" s="21" t="str">
        <f>IF(Base!I509="","",Base!I509)</f>
        <v/>
      </c>
      <c r="D515" s="22" t="str">
        <f>IF(Base!J509="","",Base!J509)</f>
        <v/>
      </c>
      <c r="E515" s="21" t="str">
        <f>IF(Base!H509="","",Base!H509)</f>
        <v/>
      </c>
    </row>
    <row r="516" spans="1:5">
      <c r="A516" s="21" t="str">
        <f>IF(Base!B510="","",Base!B510)</f>
        <v/>
      </c>
      <c r="B516" s="21" t="str">
        <f>IF(Base!F510="","",Base!F510)</f>
        <v/>
      </c>
      <c r="C516" s="21" t="str">
        <f>IF(Base!I510="","",Base!I510)</f>
        <v/>
      </c>
      <c r="D516" s="22" t="str">
        <f>IF(Base!J510="","",Base!J510)</f>
        <v/>
      </c>
      <c r="E516" s="21" t="str">
        <f>IF(Base!H510="","",Base!H510)</f>
        <v/>
      </c>
    </row>
    <row r="517" spans="1:5">
      <c r="A517" s="21" t="str">
        <f>IF(Base!B511="","",Base!B511)</f>
        <v/>
      </c>
      <c r="B517" s="21" t="str">
        <f>IF(Base!F511="","",Base!F511)</f>
        <v/>
      </c>
      <c r="C517" s="21" t="str">
        <f>IF(Base!I511="","",Base!I511)</f>
        <v/>
      </c>
      <c r="D517" s="22" t="str">
        <f>IF(Base!J511="","",Base!J511)</f>
        <v/>
      </c>
      <c r="E517" s="21" t="str">
        <f>IF(Base!H511="","",Base!H511)</f>
        <v/>
      </c>
    </row>
    <row r="518" spans="1:5">
      <c r="A518" s="21" t="str">
        <f>IF(Base!B512="","",Base!B512)</f>
        <v/>
      </c>
      <c r="B518" s="21" t="str">
        <f>IF(Base!F512="","",Base!F512)</f>
        <v/>
      </c>
      <c r="C518" s="21" t="str">
        <f>IF(Base!I512="","",Base!I512)</f>
        <v/>
      </c>
      <c r="D518" s="22" t="str">
        <f>IF(Base!J512="","",Base!J512)</f>
        <v/>
      </c>
      <c r="E518" s="21" t="str">
        <f>IF(Base!H512="","",Base!H512)</f>
        <v/>
      </c>
    </row>
    <row r="519" spans="1:5">
      <c r="A519" s="21" t="str">
        <f>IF(Base!B513="","",Base!B513)</f>
        <v/>
      </c>
      <c r="B519" s="21" t="str">
        <f>IF(Base!F513="","",Base!F513)</f>
        <v/>
      </c>
      <c r="C519" s="21" t="str">
        <f>IF(Base!I513="","",Base!I513)</f>
        <v/>
      </c>
      <c r="D519" s="22" t="str">
        <f>IF(Base!J513="","",Base!J513)</f>
        <v/>
      </c>
      <c r="E519" s="21" t="str">
        <f>IF(Base!H513="","",Base!H513)</f>
        <v/>
      </c>
    </row>
    <row r="520" spans="1:5">
      <c r="A520" s="21" t="str">
        <f>IF(Base!B514="","",Base!B514)</f>
        <v/>
      </c>
      <c r="B520" s="21" t="str">
        <f>IF(Base!F514="","",Base!F514)</f>
        <v/>
      </c>
      <c r="C520" s="21" t="str">
        <f>IF(Base!I514="","",Base!I514)</f>
        <v/>
      </c>
      <c r="D520" s="22" t="str">
        <f>IF(Base!J514="","",Base!J514)</f>
        <v/>
      </c>
      <c r="E520" s="21" t="str">
        <f>IF(Base!H514="","",Base!H514)</f>
        <v/>
      </c>
    </row>
    <row r="521" spans="1:5">
      <c r="A521" s="21" t="str">
        <f>IF(Base!B515="","",Base!B515)</f>
        <v/>
      </c>
      <c r="B521" s="21" t="str">
        <f>IF(Base!F515="","",Base!F515)</f>
        <v/>
      </c>
      <c r="C521" s="21" t="str">
        <f>IF(Base!I515="","",Base!I515)</f>
        <v/>
      </c>
      <c r="D521" s="22" t="str">
        <f>IF(Base!J515="","",Base!J515)</f>
        <v/>
      </c>
      <c r="E521" s="21" t="str">
        <f>IF(Base!H515="","",Base!H515)</f>
        <v/>
      </c>
    </row>
    <row r="522" spans="1:5">
      <c r="A522" s="21" t="str">
        <f>IF(Base!B516="","",Base!B516)</f>
        <v/>
      </c>
      <c r="B522" s="21" t="str">
        <f>IF(Base!F516="","",Base!F516)</f>
        <v/>
      </c>
      <c r="C522" s="21" t="str">
        <f>IF(Base!I516="","",Base!I516)</f>
        <v/>
      </c>
      <c r="D522" s="22" t="str">
        <f>IF(Base!J516="","",Base!J516)</f>
        <v/>
      </c>
      <c r="E522" s="21" t="str">
        <f>IF(Base!H516="","",Base!H516)</f>
        <v/>
      </c>
    </row>
    <row r="523" spans="1:5">
      <c r="A523" s="21" t="str">
        <f>IF(Base!B517="","",Base!B517)</f>
        <v/>
      </c>
      <c r="B523" s="21" t="str">
        <f>IF(Base!F517="","",Base!F517)</f>
        <v/>
      </c>
      <c r="C523" s="21" t="str">
        <f>IF(Base!I517="","",Base!I517)</f>
        <v/>
      </c>
      <c r="D523" s="22" t="str">
        <f>IF(Base!J517="","",Base!J517)</f>
        <v/>
      </c>
      <c r="E523" s="21" t="str">
        <f>IF(Base!H517="","",Base!H517)</f>
        <v/>
      </c>
    </row>
    <row r="524" spans="1:5">
      <c r="A524" s="21" t="str">
        <f>IF(Base!B518="","",Base!B518)</f>
        <v/>
      </c>
      <c r="B524" s="21" t="str">
        <f>IF(Base!F518="","",Base!F518)</f>
        <v/>
      </c>
      <c r="C524" s="21" t="str">
        <f>IF(Base!I518="","",Base!I518)</f>
        <v/>
      </c>
      <c r="D524" s="22" t="str">
        <f>IF(Base!J518="","",Base!J518)</f>
        <v/>
      </c>
      <c r="E524" s="21" t="str">
        <f>IF(Base!H518="","",Base!H518)</f>
        <v/>
      </c>
    </row>
    <row r="525" spans="1:5">
      <c r="A525" s="21" t="str">
        <f>IF(Base!B519="","",Base!B519)</f>
        <v/>
      </c>
      <c r="B525" s="21" t="str">
        <f>IF(Base!F519="","",Base!F519)</f>
        <v/>
      </c>
      <c r="C525" s="21" t="str">
        <f>IF(Base!I519="","",Base!I519)</f>
        <v/>
      </c>
      <c r="D525" s="22" t="str">
        <f>IF(Base!J519="","",Base!J519)</f>
        <v/>
      </c>
      <c r="E525" s="21" t="str">
        <f>IF(Base!H519="","",Base!H519)</f>
        <v/>
      </c>
    </row>
    <row r="526" spans="1:5">
      <c r="A526" s="21" t="str">
        <f>IF(Base!B520="","",Base!B520)</f>
        <v/>
      </c>
      <c r="B526" s="21" t="str">
        <f>IF(Base!F520="","",Base!F520)</f>
        <v/>
      </c>
      <c r="C526" s="21" t="str">
        <f>IF(Base!I520="","",Base!I520)</f>
        <v/>
      </c>
      <c r="D526" s="22" t="str">
        <f>IF(Base!J520="","",Base!J520)</f>
        <v/>
      </c>
      <c r="E526" s="21" t="str">
        <f>IF(Base!H520="","",Base!H520)</f>
        <v/>
      </c>
    </row>
    <row r="527" spans="1:5">
      <c r="A527" s="21" t="str">
        <f>IF(Base!B521="","",Base!B521)</f>
        <v/>
      </c>
      <c r="B527" s="21" t="str">
        <f>IF(Base!F521="","",Base!F521)</f>
        <v/>
      </c>
      <c r="C527" s="21" t="str">
        <f>IF(Base!I521="","",Base!I521)</f>
        <v/>
      </c>
      <c r="D527" s="22" t="str">
        <f>IF(Base!J521="","",Base!J521)</f>
        <v/>
      </c>
      <c r="E527" s="21" t="str">
        <f>IF(Base!H521="","",Base!H521)</f>
        <v/>
      </c>
    </row>
    <row r="528" spans="1:5">
      <c r="A528" s="21" t="str">
        <f>IF(Base!B522="","",Base!B522)</f>
        <v/>
      </c>
      <c r="B528" s="21" t="str">
        <f>IF(Base!F522="","",Base!F522)</f>
        <v/>
      </c>
      <c r="C528" s="21" t="str">
        <f>IF(Base!I522="","",Base!I522)</f>
        <v/>
      </c>
      <c r="D528" s="22" t="str">
        <f>IF(Base!J522="","",Base!J522)</f>
        <v/>
      </c>
      <c r="E528" s="21" t="str">
        <f>IF(Base!H522="","",Base!H522)</f>
        <v/>
      </c>
    </row>
    <row r="529" spans="1:5">
      <c r="A529" s="21" t="str">
        <f>IF(Base!B523="","",Base!B523)</f>
        <v/>
      </c>
      <c r="B529" s="21" t="str">
        <f>IF(Base!F523="","",Base!F523)</f>
        <v/>
      </c>
      <c r="C529" s="21" t="str">
        <f>IF(Base!I523="","",Base!I523)</f>
        <v/>
      </c>
      <c r="D529" s="22" t="str">
        <f>IF(Base!J523="","",Base!J523)</f>
        <v/>
      </c>
      <c r="E529" s="21" t="str">
        <f>IF(Base!H523="","",Base!H523)</f>
        <v/>
      </c>
    </row>
    <row r="530" spans="1:5">
      <c r="A530" s="21" t="str">
        <f>IF(Base!B524="","",Base!B524)</f>
        <v/>
      </c>
      <c r="B530" s="21" t="str">
        <f>IF(Base!F524="","",Base!F524)</f>
        <v/>
      </c>
      <c r="C530" s="21" t="str">
        <f>IF(Base!I524="","",Base!I524)</f>
        <v/>
      </c>
      <c r="D530" s="22" t="str">
        <f>IF(Base!J524="","",Base!J524)</f>
        <v/>
      </c>
      <c r="E530" s="21" t="str">
        <f>IF(Base!H524="","",Base!H524)</f>
        <v/>
      </c>
    </row>
    <row r="531" spans="1:5">
      <c r="A531" s="21" t="str">
        <f>IF(Base!B525="","",Base!B525)</f>
        <v/>
      </c>
      <c r="B531" s="21" t="str">
        <f>IF(Base!F525="","",Base!F525)</f>
        <v/>
      </c>
      <c r="C531" s="21" t="str">
        <f>IF(Base!I525="","",Base!I525)</f>
        <v/>
      </c>
      <c r="D531" s="22" t="str">
        <f>IF(Base!J525="","",Base!J525)</f>
        <v/>
      </c>
      <c r="E531" s="21" t="str">
        <f>IF(Base!H525="","",Base!H525)</f>
        <v/>
      </c>
    </row>
    <row r="532" spans="1:5">
      <c r="A532" s="21" t="str">
        <f>IF(Base!B526="","",Base!B526)</f>
        <v/>
      </c>
      <c r="B532" s="21" t="str">
        <f>IF(Base!F526="","",Base!F526)</f>
        <v/>
      </c>
      <c r="C532" s="21" t="str">
        <f>IF(Base!I526="","",Base!I526)</f>
        <v/>
      </c>
      <c r="D532" s="22" t="str">
        <f>IF(Base!J526="","",Base!J526)</f>
        <v/>
      </c>
      <c r="E532" s="21" t="str">
        <f>IF(Base!H526="","",Base!H526)</f>
        <v/>
      </c>
    </row>
    <row r="533" spans="1:5">
      <c r="A533" s="21" t="str">
        <f>IF(Base!B527="","",Base!B527)</f>
        <v/>
      </c>
      <c r="B533" s="21" t="str">
        <f>IF(Base!F527="","",Base!F527)</f>
        <v/>
      </c>
      <c r="C533" s="21" t="str">
        <f>IF(Base!I527="","",Base!I527)</f>
        <v/>
      </c>
      <c r="D533" s="22" t="str">
        <f>IF(Base!J527="","",Base!J527)</f>
        <v/>
      </c>
      <c r="E533" s="21" t="str">
        <f>IF(Base!H527="","",Base!H527)</f>
        <v/>
      </c>
    </row>
    <row r="534" spans="1:5">
      <c r="A534" s="21" t="str">
        <f>IF(Base!B528="","",Base!B528)</f>
        <v/>
      </c>
      <c r="B534" s="21" t="str">
        <f>IF(Base!F528="","",Base!F528)</f>
        <v/>
      </c>
      <c r="C534" s="21" t="str">
        <f>IF(Base!I528="","",Base!I528)</f>
        <v/>
      </c>
      <c r="D534" s="22" t="str">
        <f>IF(Base!J528="","",Base!J528)</f>
        <v/>
      </c>
      <c r="E534" s="21" t="str">
        <f>IF(Base!H528="","",Base!H528)</f>
        <v/>
      </c>
    </row>
    <row r="535" spans="1:5">
      <c r="A535" s="21" t="str">
        <f>IF(Base!B529="","",Base!B529)</f>
        <v/>
      </c>
      <c r="B535" s="21" t="str">
        <f>IF(Base!F529="","",Base!F529)</f>
        <v/>
      </c>
      <c r="C535" s="21" t="str">
        <f>IF(Base!I529="","",Base!I529)</f>
        <v/>
      </c>
      <c r="D535" s="22" t="str">
        <f>IF(Base!J529="","",Base!J529)</f>
        <v/>
      </c>
      <c r="E535" s="21" t="str">
        <f>IF(Base!H529="","",Base!H529)</f>
        <v/>
      </c>
    </row>
    <row r="536" spans="1:5">
      <c r="A536" s="21" t="str">
        <f>IF(Base!B530="","",Base!B530)</f>
        <v/>
      </c>
      <c r="B536" s="21" t="str">
        <f>IF(Base!F530="","",Base!F530)</f>
        <v/>
      </c>
      <c r="C536" s="21" t="str">
        <f>IF(Base!I530="","",Base!I530)</f>
        <v/>
      </c>
      <c r="D536" s="22" t="str">
        <f>IF(Base!J530="","",Base!J530)</f>
        <v/>
      </c>
      <c r="E536" s="21" t="str">
        <f>IF(Base!H530="","",Base!H530)</f>
        <v/>
      </c>
    </row>
    <row r="537" spans="1:5">
      <c r="A537" s="21" t="str">
        <f>IF(Base!B531="","",Base!B531)</f>
        <v/>
      </c>
      <c r="B537" s="21" t="str">
        <f>IF(Base!F531="","",Base!F531)</f>
        <v/>
      </c>
      <c r="C537" s="21" t="str">
        <f>IF(Base!I531="","",Base!I531)</f>
        <v/>
      </c>
      <c r="D537" s="22" t="str">
        <f>IF(Base!J531="","",Base!J531)</f>
        <v/>
      </c>
      <c r="E537" s="21" t="str">
        <f>IF(Base!H531="","",Base!H531)</f>
        <v/>
      </c>
    </row>
    <row r="538" spans="1:5">
      <c r="A538" s="21" t="str">
        <f>IF(Base!B532="","",Base!B532)</f>
        <v/>
      </c>
      <c r="B538" s="21" t="str">
        <f>IF(Base!F532="","",Base!F532)</f>
        <v/>
      </c>
      <c r="C538" s="21" t="str">
        <f>IF(Base!I532="","",Base!I532)</f>
        <v/>
      </c>
      <c r="D538" s="22" t="str">
        <f>IF(Base!J532="","",Base!J532)</f>
        <v/>
      </c>
      <c r="E538" s="21" t="str">
        <f>IF(Base!H532="","",Base!H532)</f>
        <v/>
      </c>
    </row>
    <row r="539" spans="1:5">
      <c r="A539" s="21" t="str">
        <f>IF(Base!B533="","",Base!B533)</f>
        <v/>
      </c>
      <c r="B539" s="21" t="str">
        <f>IF(Base!F533="","",Base!F533)</f>
        <v/>
      </c>
      <c r="C539" s="21" t="str">
        <f>IF(Base!I533="","",Base!I533)</f>
        <v/>
      </c>
      <c r="D539" s="22" t="str">
        <f>IF(Base!J533="","",Base!J533)</f>
        <v/>
      </c>
      <c r="E539" s="21" t="str">
        <f>IF(Base!H533="","",Base!H533)</f>
        <v/>
      </c>
    </row>
    <row r="540" spans="1:5">
      <c r="A540" s="21" t="str">
        <f>IF(Base!B534="","",Base!B534)</f>
        <v/>
      </c>
      <c r="B540" s="21" t="str">
        <f>IF(Base!F534="","",Base!F534)</f>
        <v/>
      </c>
      <c r="C540" s="21" t="str">
        <f>IF(Base!I534="","",Base!I534)</f>
        <v/>
      </c>
      <c r="D540" s="22" t="str">
        <f>IF(Base!J534="","",Base!J534)</f>
        <v/>
      </c>
      <c r="E540" s="21" t="str">
        <f>IF(Base!H534="","",Base!H534)</f>
        <v/>
      </c>
    </row>
    <row r="541" spans="1:5">
      <c r="A541" s="21" t="str">
        <f>IF(Base!B535="","",Base!B535)</f>
        <v/>
      </c>
      <c r="B541" s="21" t="str">
        <f>IF(Base!F535="","",Base!F535)</f>
        <v/>
      </c>
      <c r="C541" s="21" t="str">
        <f>IF(Base!I535="","",Base!I535)</f>
        <v/>
      </c>
      <c r="D541" s="22" t="str">
        <f>IF(Base!J535="","",Base!J535)</f>
        <v/>
      </c>
      <c r="E541" s="21" t="str">
        <f>IF(Base!H535="","",Base!H535)</f>
        <v/>
      </c>
    </row>
    <row r="542" spans="1:5">
      <c r="A542" s="21" t="str">
        <f>IF(Base!B536="","",Base!B536)</f>
        <v/>
      </c>
      <c r="B542" s="21" t="str">
        <f>IF(Base!F536="","",Base!F536)</f>
        <v/>
      </c>
      <c r="C542" s="21" t="str">
        <f>IF(Base!I536="","",Base!I536)</f>
        <v/>
      </c>
      <c r="D542" s="22" t="str">
        <f>IF(Base!J536="","",Base!J536)</f>
        <v/>
      </c>
      <c r="E542" s="21" t="str">
        <f>IF(Base!H536="","",Base!H536)</f>
        <v/>
      </c>
    </row>
    <row r="543" spans="1:5">
      <c r="A543" s="21" t="str">
        <f>IF(Base!B537="","",Base!B537)</f>
        <v/>
      </c>
      <c r="B543" s="21" t="str">
        <f>IF(Base!F537="","",Base!F537)</f>
        <v/>
      </c>
      <c r="C543" s="21" t="str">
        <f>IF(Base!I537="","",Base!I537)</f>
        <v/>
      </c>
      <c r="D543" s="22" t="str">
        <f>IF(Base!J537="","",Base!J537)</f>
        <v/>
      </c>
      <c r="E543" s="21" t="str">
        <f>IF(Base!H537="","",Base!H537)</f>
        <v/>
      </c>
    </row>
    <row r="544" spans="1:5">
      <c r="A544" s="21" t="str">
        <f>IF(Base!B538="","",Base!B538)</f>
        <v/>
      </c>
      <c r="B544" s="21" t="str">
        <f>IF(Base!F538="","",Base!F538)</f>
        <v/>
      </c>
      <c r="C544" s="21" t="str">
        <f>IF(Base!I538="","",Base!I538)</f>
        <v/>
      </c>
      <c r="D544" s="22" t="str">
        <f>IF(Base!J538="","",Base!J538)</f>
        <v/>
      </c>
      <c r="E544" s="21" t="str">
        <f>IF(Base!H538="","",Base!H538)</f>
        <v/>
      </c>
    </row>
    <row r="545" spans="1:5">
      <c r="A545" s="21" t="str">
        <f>IF(Base!B539="","",Base!B539)</f>
        <v/>
      </c>
      <c r="B545" s="21" t="str">
        <f>IF(Base!F539="","",Base!F539)</f>
        <v/>
      </c>
      <c r="C545" s="21" t="str">
        <f>IF(Base!I539="","",Base!I539)</f>
        <v/>
      </c>
      <c r="D545" s="22" t="str">
        <f>IF(Base!J539="","",Base!J539)</f>
        <v/>
      </c>
      <c r="E545" s="21" t="str">
        <f>IF(Base!H539="","",Base!H539)</f>
        <v/>
      </c>
    </row>
    <row r="546" spans="1:5">
      <c r="A546" s="21" t="str">
        <f>IF(Base!B540="","",Base!B540)</f>
        <v/>
      </c>
      <c r="B546" s="21" t="str">
        <f>IF(Base!F540="","",Base!F540)</f>
        <v/>
      </c>
      <c r="C546" s="21" t="str">
        <f>IF(Base!I540="","",Base!I540)</f>
        <v/>
      </c>
      <c r="D546" s="22" t="str">
        <f>IF(Base!J540="","",Base!J540)</f>
        <v/>
      </c>
      <c r="E546" s="21" t="str">
        <f>IF(Base!H540="","",Base!H540)</f>
        <v/>
      </c>
    </row>
    <row r="547" spans="1:5">
      <c r="A547" s="21" t="str">
        <f>IF(Base!B541="","",Base!B541)</f>
        <v/>
      </c>
      <c r="B547" s="21" t="str">
        <f>IF(Base!F541="","",Base!F541)</f>
        <v/>
      </c>
      <c r="C547" s="21" t="str">
        <f>IF(Base!I541="","",Base!I541)</f>
        <v/>
      </c>
      <c r="D547" s="22" t="str">
        <f>IF(Base!J541="","",Base!J541)</f>
        <v/>
      </c>
      <c r="E547" s="21" t="str">
        <f>IF(Base!H541="","",Base!H541)</f>
        <v/>
      </c>
    </row>
    <row r="548" spans="1:5">
      <c r="A548" s="21" t="str">
        <f>IF(Base!B542="","",Base!B542)</f>
        <v/>
      </c>
      <c r="B548" s="21" t="str">
        <f>IF(Base!F542="","",Base!F542)</f>
        <v/>
      </c>
      <c r="C548" s="21" t="str">
        <f>IF(Base!I542="","",Base!I542)</f>
        <v/>
      </c>
      <c r="D548" s="22" t="str">
        <f>IF(Base!J542="","",Base!J542)</f>
        <v/>
      </c>
      <c r="E548" s="21" t="str">
        <f>IF(Base!H542="","",Base!H542)</f>
        <v/>
      </c>
    </row>
    <row r="549" spans="1:5">
      <c r="A549" s="21" t="str">
        <f>IF(Base!B543="","",Base!B543)</f>
        <v/>
      </c>
      <c r="B549" s="21" t="str">
        <f>IF(Base!F543="","",Base!F543)</f>
        <v/>
      </c>
      <c r="C549" s="21" t="str">
        <f>IF(Base!I543="","",Base!I543)</f>
        <v/>
      </c>
      <c r="D549" s="22" t="str">
        <f>IF(Base!J543="","",Base!J543)</f>
        <v/>
      </c>
      <c r="E549" s="21" t="str">
        <f>IF(Base!H543="","",Base!H543)</f>
        <v/>
      </c>
    </row>
    <row r="550" spans="1:5">
      <c r="A550" s="21" t="str">
        <f>IF(Base!B544="","",Base!B544)</f>
        <v/>
      </c>
      <c r="B550" s="21" t="str">
        <f>IF(Base!F544="","",Base!F544)</f>
        <v/>
      </c>
      <c r="C550" s="21" t="str">
        <f>IF(Base!I544="","",Base!I544)</f>
        <v/>
      </c>
      <c r="D550" s="22" t="str">
        <f>IF(Base!J544="","",Base!J544)</f>
        <v/>
      </c>
      <c r="E550" s="21" t="str">
        <f>IF(Base!H544="","",Base!H544)</f>
        <v/>
      </c>
    </row>
    <row r="551" spans="1:5">
      <c r="A551" s="21" t="str">
        <f>IF(Base!B545="","",Base!B545)</f>
        <v/>
      </c>
      <c r="B551" s="21" t="str">
        <f>IF(Base!F545="","",Base!F545)</f>
        <v/>
      </c>
      <c r="C551" s="21" t="str">
        <f>IF(Base!I545="","",Base!I545)</f>
        <v/>
      </c>
      <c r="D551" s="22" t="str">
        <f>IF(Base!J545="","",Base!J545)</f>
        <v/>
      </c>
      <c r="E551" s="21" t="str">
        <f>IF(Base!H545="","",Base!H545)</f>
        <v/>
      </c>
    </row>
    <row r="552" spans="1:5">
      <c r="A552" s="21" t="str">
        <f>IF(Base!B546="","",Base!B546)</f>
        <v/>
      </c>
      <c r="B552" s="21" t="str">
        <f>IF(Base!F546="","",Base!F546)</f>
        <v/>
      </c>
      <c r="C552" s="21" t="str">
        <f>IF(Base!I546="","",Base!I546)</f>
        <v/>
      </c>
      <c r="D552" s="22" t="str">
        <f>IF(Base!J546="","",Base!J546)</f>
        <v/>
      </c>
      <c r="E552" s="21" t="str">
        <f>IF(Base!H546="","",Base!H546)</f>
        <v/>
      </c>
    </row>
    <row r="553" spans="1:5">
      <c r="A553" s="21" t="str">
        <f>IF(Base!B547="","",Base!B547)</f>
        <v/>
      </c>
      <c r="B553" s="21" t="str">
        <f>IF(Base!F547="","",Base!F547)</f>
        <v/>
      </c>
      <c r="C553" s="21" t="str">
        <f>IF(Base!I547="","",Base!I547)</f>
        <v/>
      </c>
      <c r="D553" s="22" t="str">
        <f>IF(Base!J547="","",Base!J547)</f>
        <v/>
      </c>
      <c r="E553" s="21" t="str">
        <f>IF(Base!H547="","",Base!H547)</f>
        <v/>
      </c>
    </row>
    <row r="554" spans="1:5">
      <c r="A554" s="21" t="str">
        <f>IF(Base!B548="","",Base!B548)</f>
        <v/>
      </c>
      <c r="B554" s="21" t="str">
        <f>IF(Base!F548="","",Base!F548)</f>
        <v/>
      </c>
      <c r="C554" s="21" t="str">
        <f>IF(Base!I548="","",Base!I548)</f>
        <v/>
      </c>
      <c r="D554" s="22" t="str">
        <f>IF(Base!J548="","",Base!J548)</f>
        <v/>
      </c>
      <c r="E554" s="21" t="str">
        <f>IF(Base!H548="","",Base!H548)</f>
        <v/>
      </c>
    </row>
    <row r="555" spans="1:5">
      <c r="A555" s="21" t="str">
        <f>IF(Base!B549="","",Base!B549)</f>
        <v/>
      </c>
      <c r="B555" s="21" t="str">
        <f>IF(Base!F549="","",Base!F549)</f>
        <v/>
      </c>
      <c r="C555" s="21" t="str">
        <f>IF(Base!I549="","",Base!I549)</f>
        <v/>
      </c>
      <c r="D555" s="22" t="str">
        <f>IF(Base!J549="","",Base!J549)</f>
        <v/>
      </c>
      <c r="E555" s="21" t="str">
        <f>IF(Base!H549="","",Base!H549)</f>
        <v/>
      </c>
    </row>
    <row r="556" spans="1:5">
      <c r="A556" s="21" t="str">
        <f>IF(Base!B550="","",Base!B550)</f>
        <v/>
      </c>
      <c r="B556" s="21" t="str">
        <f>IF(Base!F550="","",Base!F550)</f>
        <v/>
      </c>
      <c r="C556" s="21" t="str">
        <f>IF(Base!I550="","",Base!I550)</f>
        <v/>
      </c>
      <c r="D556" s="22" t="str">
        <f>IF(Base!J550="","",Base!J550)</f>
        <v/>
      </c>
      <c r="E556" s="21" t="str">
        <f>IF(Base!H550="","",Base!H550)</f>
        <v/>
      </c>
    </row>
    <row r="557" spans="1:5">
      <c r="A557" s="21" t="str">
        <f>IF(Base!B551="","",Base!B551)</f>
        <v/>
      </c>
      <c r="B557" s="21" t="str">
        <f>IF(Base!F551="","",Base!F551)</f>
        <v/>
      </c>
      <c r="C557" s="21" t="str">
        <f>IF(Base!I551="","",Base!I551)</f>
        <v/>
      </c>
      <c r="D557" s="22" t="str">
        <f>IF(Base!J551="","",Base!J551)</f>
        <v/>
      </c>
      <c r="E557" s="21" t="str">
        <f>IF(Base!H551="","",Base!H551)</f>
        <v/>
      </c>
    </row>
    <row r="558" spans="1:5">
      <c r="A558" s="21" t="str">
        <f>IF(Base!B552="","",Base!B552)</f>
        <v/>
      </c>
      <c r="B558" s="21" t="str">
        <f>IF(Base!F552="","",Base!F552)</f>
        <v/>
      </c>
      <c r="C558" s="21" t="str">
        <f>IF(Base!I552="","",Base!I552)</f>
        <v/>
      </c>
      <c r="D558" s="22" t="str">
        <f>IF(Base!J552="","",Base!J552)</f>
        <v/>
      </c>
      <c r="E558" s="21" t="str">
        <f>IF(Base!H552="","",Base!H552)</f>
        <v/>
      </c>
    </row>
    <row r="559" spans="1:5">
      <c r="A559" s="21" t="str">
        <f>IF(Base!B553="","",Base!B553)</f>
        <v/>
      </c>
      <c r="B559" s="21" t="str">
        <f>IF(Base!F553="","",Base!F553)</f>
        <v/>
      </c>
      <c r="C559" s="21" t="str">
        <f>IF(Base!I553="","",Base!I553)</f>
        <v/>
      </c>
      <c r="D559" s="22" t="str">
        <f>IF(Base!J553="","",Base!J553)</f>
        <v/>
      </c>
      <c r="E559" s="21" t="str">
        <f>IF(Base!H553="","",Base!H553)</f>
        <v/>
      </c>
    </row>
    <row r="560" spans="1:5">
      <c r="A560" s="21" t="str">
        <f>IF(Base!B554="","",Base!B554)</f>
        <v/>
      </c>
      <c r="B560" s="21" t="str">
        <f>IF(Base!F554="","",Base!F554)</f>
        <v/>
      </c>
      <c r="C560" s="21" t="str">
        <f>IF(Base!I554="","",Base!I554)</f>
        <v/>
      </c>
      <c r="D560" s="22" t="str">
        <f>IF(Base!J554="","",Base!J554)</f>
        <v/>
      </c>
      <c r="E560" s="21" t="str">
        <f>IF(Base!H554="","",Base!H554)</f>
        <v/>
      </c>
    </row>
    <row r="561" spans="1:5">
      <c r="A561" s="21" t="str">
        <f>IF(Base!B555="","",Base!B555)</f>
        <v/>
      </c>
      <c r="B561" s="21" t="str">
        <f>IF(Base!F555="","",Base!F555)</f>
        <v/>
      </c>
      <c r="C561" s="21" t="str">
        <f>IF(Base!I555="","",Base!I555)</f>
        <v/>
      </c>
      <c r="D561" s="22" t="str">
        <f>IF(Base!J555="","",Base!J555)</f>
        <v/>
      </c>
      <c r="E561" s="21" t="str">
        <f>IF(Base!H555="","",Base!H555)</f>
        <v/>
      </c>
    </row>
    <row r="562" spans="1:5">
      <c r="A562" s="21" t="str">
        <f>IF(Base!B556="","",Base!B556)</f>
        <v/>
      </c>
      <c r="B562" s="21" t="str">
        <f>IF(Base!F556="","",Base!F556)</f>
        <v/>
      </c>
      <c r="C562" s="21" t="str">
        <f>IF(Base!I556="","",Base!I556)</f>
        <v/>
      </c>
      <c r="D562" s="22" t="str">
        <f>IF(Base!J556="","",Base!J556)</f>
        <v/>
      </c>
      <c r="E562" s="21" t="str">
        <f>IF(Base!H556="","",Base!H556)</f>
        <v/>
      </c>
    </row>
    <row r="563" spans="1:5">
      <c r="A563" s="21" t="str">
        <f>IF(Base!B557="","",Base!B557)</f>
        <v/>
      </c>
      <c r="B563" s="21" t="str">
        <f>IF(Base!F557="","",Base!F557)</f>
        <v/>
      </c>
      <c r="C563" s="21" t="str">
        <f>IF(Base!I557="","",Base!I557)</f>
        <v/>
      </c>
      <c r="D563" s="22" t="str">
        <f>IF(Base!J557="","",Base!J557)</f>
        <v/>
      </c>
      <c r="E563" s="21" t="str">
        <f>IF(Base!H557="","",Base!H557)</f>
        <v/>
      </c>
    </row>
    <row r="564" spans="1:5">
      <c r="A564" s="21" t="str">
        <f>IF(Base!B558="","",Base!B558)</f>
        <v/>
      </c>
      <c r="B564" s="21" t="str">
        <f>IF(Base!F558="","",Base!F558)</f>
        <v/>
      </c>
      <c r="C564" s="21" t="str">
        <f>IF(Base!I558="","",Base!I558)</f>
        <v/>
      </c>
      <c r="D564" s="22" t="str">
        <f>IF(Base!J558="","",Base!J558)</f>
        <v/>
      </c>
      <c r="E564" s="21" t="str">
        <f>IF(Base!H558="","",Base!H558)</f>
        <v/>
      </c>
    </row>
    <row r="565" spans="1:5">
      <c r="A565" s="21" t="str">
        <f>IF(Base!B559="","",Base!B559)</f>
        <v/>
      </c>
      <c r="B565" s="21" t="str">
        <f>IF(Base!F559="","",Base!F559)</f>
        <v/>
      </c>
      <c r="C565" s="21" t="str">
        <f>IF(Base!I559="","",Base!I559)</f>
        <v/>
      </c>
      <c r="D565" s="22" t="str">
        <f>IF(Base!J559="","",Base!J559)</f>
        <v/>
      </c>
      <c r="E565" s="21" t="str">
        <f>IF(Base!H559="","",Base!H559)</f>
        <v/>
      </c>
    </row>
    <row r="566" spans="1:5">
      <c r="A566" s="21" t="str">
        <f>IF(Base!B560="","",Base!B560)</f>
        <v/>
      </c>
      <c r="B566" s="21" t="str">
        <f>IF(Base!F560="","",Base!F560)</f>
        <v/>
      </c>
      <c r="C566" s="21" t="str">
        <f>IF(Base!I560="","",Base!I560)</f>
        <v/>
      </c>
      <c r="D566" s="22" t="str">
        <f>IF(Base!J560="","",Base!J560)</f>
        <v/>
      </c>
      <c r="E566" s="21" t="str">
        <f>IF(Base!H560="","",Base!H560)</f>
        <v/>
      </c>
    </row>
    <row r="567" spans="1:5">
      <c r="A567" s="21" t="str">
        <f>IF(Base!B561="","",Base!B561)</f>
        <v/>
      </c>
      <c r="B567" s="21" t="str">
        <f>IF(Base!F561="","",Base!F561)</f>
        <v/>
      </c>
      <c r="C567" s="21" t="str">
        <f>IF(Base!I561="","",Base!I561)</f>
        <v/>
      </c>
      <c r="D567" s="22" t="str">
        <f>IF(Base!J561="","",Base!J561)</f>
        <v/>
      </c>
      <c r="E567" s="21" t="str">
        <f>IF(Base!H561="","",Base!H561)</f>
        <v/>
      </c>
    </row>
    <row r="568" spans="1:5">
      <c r="A568" s="21" t="str">
        <f>IF(Base!B562="","",Base!B562)</f>
        <v/>
      </c>
      <c r="B568" s="21" t="str">
        <f>IF(Base!F562="","",Base!F562)</f>
        <v/>
      </c>
      <c r="C568" s="21" t="str">
        <f>IF(Base!I562="","",Base!I562)</f>
        <v/>
      </c>
      <c r="D568" s="22" t="str">
        <f>IF(Base!J562="","",Base!J562)</f>
        <v/>
      </c>
      <c r="E568" s="21" t="str">
        <f>IF(Base!H562="","",Base!H562)</f>
        <v/>
      </c>
    </row>
    <row r="569" spans="1:5">
      <c r="A569" s="21" t="str">
        <f>IF(Base!B563="","",Base!B563)</f>
        <v/>
      </c>
      <c r="B569" s="21" t="str">
        <f>IF(Base!F563="","",Base!F563)</f>
        <v/>
      </c>
      <c r="C569" s="21" t="str">
        <f>IF(Base!I563="","",Base!I563)</f>
        <v/>
      </c>
      <c r="D569" s="22" t="str">
        <f>IF(Base!J563="","",Base!J563)</f>
        <v/>
      </c>
      <c r="E569" s="21" t="str">
        <f>IF(Base!H563="","",Base!H563)</f>
        <v/>
      </c>
    </row>
    <row r="570" spans="1:5">
      <c r="A570" s="21" t="str">
        <f>IF(Base!B564="","",Base!B564)</f>
        <v/>
      </c>
      <c r="B570" s="21" t="str">
        <f>IF(Base!F564="","",Base!F564)</f>
        <v/>
      </c>
      <c r="C570" s="21" t="str">
        <f>IF(Base!I564="","",Base!I564)</f>
        <v/>
      </c>
      <c r="D570" s="22" t="str">
        <f>IF(Base!J564="","",Base!J564)</f>
        <v/>
      </c>
      <c r="E570" s="21" t="str">
        <f>IF(Base!H564="","",Base!H564)</f>
        <v/>
      </c>
    </row>
    <row r="571" spans="1:5">
      <c r="A571" s="21" t="str">
        <f>IF(Base!B565="","",Base!B565)</f>
        <v/>
      </c>
      <c r="B571" s="21" t="str">
        <f>IF(Base!F565="","",Base!F565)</f>
        <v/>
      </c>
      <c r="C571" s="21" t="str">
        <f>IF(Base!I565="","",Base!I565)</f>
        <v/>
      </c>
      <c r="D571" s="22" t="str">
        <f>IF(Base!J565="","",Base!J565)</f>
        <v/>
      </c>
      <c r="E571" s="21" t="str">
        <f>IF(Base!H565="","",Base!H565)</f>
        <v/>
      </c>
    </row>
    <row r="572" spans="1:5">
      <c r="A572" s="21" t="str">
        <f>IF(Base!B566="","",Base!B566)</f>
        <v/>
      </c>
      <c r="B572" s="21" t="str">
        <f>IF(Base!F566="","",Base!F566)</f>
        <v/>
      </c>
      <c r="C572" s="21" t="str">
        <f>IF(Base!I566="","",Base!I566)</f>
        <v/>
      </c>
      <c r="D572" s="22" t="str">
        <f>IF(Base!J566="","",Base!J566)</f>
        <v/>
      </c>
      <c r="E572" s="21" t="str">
        <f>IF(Base!H566="","",Base!H566)</f>
        <v/>
      </c>
    </row>
    <row r="573" spans="1:5">
      <c r="A573" s="21" t="str">
        <f>IF(Base!B567="","",Base!B567)</f>
        <v/>
      </c>
      <c r="B573" s="21" t="str">
        <f>IF(Base!F567="","",Base!F567)</f>
        <v/>
      </c>
      <c r="C573" s="21" t="str">
        <f>IF(Base!I567="","",Base!I567)</f>
        <v/>
      </c>
      <c r="D573" s="22" t="str">
        <f>IF(Base!J567="","",Base!J567)</f>
        <v/>
      </c>
      <c r="E573" s="21" t="str">
        <f>IF(Base!H567="","",Base!H567)</f>
        <v/>
      </c>
    </row>
    <row r="574" spans="1:5">
      <c r="A574" s="21" t="str">
        <f>IF(Base!B568="","",Base!B568)</f>
        <v/>
      </c>
      <c r="B574" s="21" t="str">
        <f>IF(Base!F568="","",Base!F568)</f>
        <v/>
      </c>
      <c r="C574" s="21" t="str">
        <f>IF(Base!I568="","",Base!I568)</f>
        <v/>
      </c>
      <c r="D574" s="22" t="str">
        <f>IF(Base!J568="","",Base!J568)</f>
        <v/>
      </c>
      <c r="E574" s="21" t="str">
        <f>IF(Base!H568="","",Base!H568)</f>
        <v/>
      </c>
    </row>
    <row r="575" spans="1:5">
      <c r="A575" s="21" t="str">
        <f>IF(Base!B569="","",Base!B569)</f>
        <v/>
      </c>
      <c r="B575" s="21" t="str">
        <f>IF(Base!F569="","",Base!F569)</f>
        <v/>
      </c>
      <c r="C575" s="21" t="str">
        <f>IF(Base!I569="","",Base!I569)</f>
        <v/>
      </c>
      <c r="D575" s="22" t="str">
        <f>IF(Base!J569="","",Base!J569)</f>
        <v/>
      </c>
      <c r="E575" s="21" t="str">
        <f>IF(Base!H569="","",Base!H569)</f>
        <v/>
      </c>
    </row>
    <row r="576" spans="1:5">
      <c r="A576" s="21" t="str">
        <f>IF(Base!B570="","",Base!B570)</f>
        <v/>
      </c>
      <c r="B576" s="21" t="str">
        <f>IF(Base!F570="","",Base!F570)</f>
        <v/>
      </c>
      <c r="C576" s="21" t="str">
        <f>IF(Base!I570="","",Base!I570)</f>
        <v/>
      </c>
      <c r="D576" s="22" t="str">
        <f>IF(Base!J570="","",Base!J570)</f>
        <v/>
      </c>
      <c r="E576" s="21" t="str">
        <f>IF(Base!H570="","",Base!H570)</f>
        <v/>
      </c>
    </row>
    <row r="577" spans="1:5">
      <c r="A577" s="21" t="str">
        <f>IF(Base!B571="","",Base!B571)</f>
        <v/>
      </c>
      <c r="B577" s="21" t="str">
        <f>IF(Base!F571="","",Base!F571)</f>
        <v/>
      </c>
      <c r="C577" s="21" t="str">
        <f>IF(Base!I571="","",Base!I571)</f>
        <v/>
      </c>
      <c r="D577" s="22" t="str">
        <f>IF(Base!J571="","",Base!J571)</f>
        <v/>
      </c>
      <c r="E577" s="21" t="str">
        <f>IF(Base!H571="","",Base!H571)</f>
        <v/>
      </c>
    </row>
    <row r="578" spans="1:5">
      <c r="A578" s="21" t="str">
        <f>IF(Base!B572="","",Base!B572)</f>
        <v/>
      </c>
      <c r="B578" s="21" t="str">
        <f>IF(Base!F572="","",Base!F572)</f>
        <v/>
      </c>
      <c r="C578" s="21" t="str">
        <f>IF(Base!I572="","",Base!I572)</f>
        <v/>
      </c>
      <c r="D578" s="22" t="str">
        <f>IF(Base!J572="","",Base!J572)</f>
        <v/>
      </c>
      <c r="E578" s="21" t="str">
        <f>IF(Base!H572="","",Base!H572)</f>
        <v/>
      </c>
    </row>
    <row r="579" spans="1:5">
      <c r="A579" s="21" t="str">
        <f>IF(Base!B573="","",Base!B573)</f>
        <v/>
      </c>
      <c r="B579" s="21" t="str">
        <f>IF(Base!F573="","",Base!F573)</f>
        <v/>
      </c>
      <c r="C579" s="21" t="str">
        <f>IF(Base!I573="","",Base!I573)</f>
        <v/>
      </c>
      <c r="D579" s="22" t="str">
        <f>IF(Base!J573="","",Base!J573)</f>
        <v/>
      </c>
      <c r="E579" s="21" t="str">
        <f>IF(Base!H573="","",Base!H573)</f>
        <v/>
      </c>
    </row>
    <row r="580" spans="1:5">
      <c r="A580" s="21" t="str">
        <f>IF(Base!B574="","",Base!B574)</f>
        <v/>
      </c>
      <c r="B580" s="21" t="str">
        <f>IF(Base!F574="","",Base!F574)</f>
        <v/>
      </c>
      <c r="C580" s="21" t="str">
        <f>IF(Base!I574="","",Base!I574)</f>
        <v/>
      </c>
      <c r="D580" s="22" t="str">
        <f>IF(Base!J574="","",Base!J574)</f>
        <v/>
      </c>
      <c r="E580" s="21" t="str">
        <f>IF(Base!H574="","",Base!H574)</f>
        <v/>
      </c>
    </row>
    <row r="581" spans="1:5">
      <c r="A581" s="21" t="str">
        <f>IF(Base!B575="","",Base!B575)</f>
        <v/>
      </c>
      <c r="B581" s="21" t="str">
        <f>IF(Base!F575="","",Base!F575)</f>
        <v/>
      </c>
      <c r="C581" s="21" t="str">
        <f>IF(Base!I575="","",Base!I575)</f>
        <v/>
      </c>
      <c r="D581" s="22" t="str">
        <f>IF(Base!J575="","",Base!J575)</f>
        <v/>
      </c>
      <c r="E581" s="21" t="str">
        <f>IF(Base!H575="","",Base!H575)</f>
        <v/>
      </c>
    </row>
    <row r="582" spans="1:5">
      <c r="A582" s="21" t="str">
        <f>IF(Base!B576="","",Base!B576)</f>
        <v/>
      </c>
      <c r="B582" s="21" t="str">
        <f>IF(Base!F576="","",Base!F576)</f>
        <v/>
      </c>
      <c r="C582" s="21" t="str">
        <f>IF(Base!I576="","",Base!I576)</f>
        <v/>
      </c>
      <c r="D582" s="22" t="str">
        <f>IF(Base!J576="","",Base!J576)</f>
        <v/>
      </c>
      <c r="E582" s="21" t="str">
        <f>IF(Base!H576="","",Base!H576)</f>
        <v/>
      </c>
    </row>
    <row r="583" spans="1:5">
      <c r="A583" s="21" t="str">
        <f>IF(Base!B577="","",Base!B577)</f>
        <v/>
      </c>
      <c r="B583" s="21" t="str">
        <f>IF(Base!F577="","",Base!F577)</f>
        <v/>
      </c>
      <c r="C583" s="21" t="str">
        <f>IF(Base!I577="","",Base!I577)</f>
        <v/>
      </c>
      <c r="D583" s="22" t="str">
        <f>IF(Base!J577="","",Base!J577)</f>
        <v/>
      </c>
      <c r="E583" s="21" t="str">
        <f>IF(Base!H577="","",Base!H577)</f>
        <v/>
      </c>
    </row>
    <row r="584" spans="1:5">
      <c r="A584" s="21" t="str">
        <f>IF(Base!B578="","",Base!B578)</f>
        <v/>
      </c>
      <c r="B584" s="21" t="str">
        <f>IF(Base!F578="","",Base!F578)</f>
        <v/>
      </c>
      <c r="C584" s="21" t="str">
        <f>IF(Base!I578="","",Base!I578)</f>
        <v/>
      </c>
      <c r="D584" s="22" t="str">
        <f>IF(Base!J578="","",Base!J578)</f>
        <v/>
      </c>
      <c r="E584" s="21" t="str">
        <f>IF(Base!H578="","",Base!H578)</f>
        <v/>
      </c>
    </row>
    <row r="585" spans="1:5">
      <c r="A585" s="21" t="str">
        <f>IF(Base!B579="","",Base!B579)</f>
        <v/>
      </c>
      <c r="B585" s="21" t="str">
        <f>IF(Base!F579="","",Base!F579)</f>
        <v/>
      </c>
      <c r="C585" s="21" t="str">
        <f>IF(Base!I579="","",Base!I579)</f>
        <v/>
      </c>
      <c r="D585" s="22" t="str">
        <f>IF(Base!J579="","",Base!J579)</f>
        <v/>
      </c>
      <c r="E585" s="21" t="str">
        <f>IF(Base!H579="","",Base!H579)</f>
        <v/>
      </c>
    </row>
    <row r="586" spans="1:5">
      <c r="A586" s="21" t="str">
        <f>IF(Base!B580="","",Base!B580)</f>
        <v/>
      </c>
      <c r="B586" s="21" t="str">
        <f>IF(Base!F580="","",Base!F580)</f>
        <v/>
      </c>
      <c r="C586" s="21" t="str">
        <f>IF(Base!I580="","",Base!I580)</f>
        <v/>
      </c>
      <c r="D586" s="22" t="str">
        <f>IF(Base!J580="","",Base!J580)</f>
        <v/>
      </c>
      <c r="E586" s="21" t="str">
        <f>IF(Base!H580="","",Base!H580)</f>
        <v/>
      </c>
    </row>
    <row r="587" spans="1:5">
      <c r="A587" s="21" t="str">
        <f>IF(Base!B581="","",Base!B581)</f>
        <v/>
      </c>
      <c r="B587" s="21" t="str">
        <f>IF(Base!F581="","",Base!F581)</f>
        <v/>
      </c>
      <c r="C587" s="21" t="str">
        <f>IF(Base!I581="","",Base!I581)</f>
        <v/>
      </c>
      <c r="D587" s="22" t="str">
        <f>IF(Base!J581="","",Base!J581)</f>
        <v/>
      </c>
      <c r="E587" s="21" t="str">
        <f>IF(Base!H581="","",Base!H581)</f>
        <v/>
      </c>
    </row>
    <row r="588" spans="1:5">
      <c r="A588" s="21" t="str">
        <f>IF(Base!B582="","",Base!B582)</f>
        <v/>
      </c>
      <c r="B588" s="21" t="str">
        <f>IF(Base!F582="","",Base!F582)</f>
        <v/>
      </c>
      <c r="C588" s="21" t="str">
        <f>IF(Base!I582="","",Base!I582)</f>
        <v/>
      </c>
      <c r="D588" s="22" t="str">
        <f>IF(Base!J582="","",Base!J582)</f>
        <v/>
      </c>
      <c r="E588" s="21" t="str">
        <f>IF(Base!H582="","",Base!H582)</f>
        <v/>
      </c>
    </row>
    <row r="589" spans="1:5">
      <c r="A589" s="21" t="str">
        <f>IF(Base!B583="","",Base!B583)</f>
        <v/>
      </c>
      <c r="B589" s="21" t="str">
        <f>IF(Base!F583="","",Base!F583)</f>
        <v/>
      </c>
      <c r="C589" s="21" t="str">
        <f>IF(Base!I583="","",Base!I583)</f>
        <v/>
      </c>
      <c r="D589" s="22" t="str">
        <f>IF(Base!J583="","",Base!J583)</f>
        <v/>
      </c>
      <c r="E589" s="21" t="str">
        <f>IF(Base!H583="","",Base!H583)</f>
        <v/>
      </c>
    </row>
    <row r="590" spans="1:5">
      <c r="A590" s="21" t="str">
        <f>IF(Base!B584="","",Base!B584)</f>
        <v/>
      </c>
      <c r="B590" s="21" t="str">
        <f>IF(Base!F584="","",Base!F584)</f>
        <v/>
      </c>
      <c r="C590" s="21" t="str">
        <f>IF(Base!I584="","",Base!I584)</f>
        <v/>
      </c>
      <c r="D590" s="22" t="str">
        <f>IF(Base!J584="","",Base!J584)</f>
        <v/>
      </c>
      <c r="E590" s="21" t="str">
        <f>IF(Base!H584="","",Base!H584)</f>
        <v/>
      </c>
    </row>
    <row r="591" spans="1:5">
      <c r="A591" s="21" t="str">
        <f>IF(Base!B585="","",Base!B585)</f>
        <v/>
      </c>
      <c r="B591" s="21" t="str">
        <f>IF(Base!F585="","",Base!F585)</f>
        <v/>
      </c>
      <c r="C591" s="21" t="str">
        <f>IF(Base!I585="","",Base!I585)</f>
        <v/>
      </c>
      <c r="D591" s="22" t="str">
        <f>IF(Base!J585="","",Base!J585)</f>
        <v/>
      </c>
      <c r="E591" s="21" t="str">
        <f>IF(Base!H585="","",Base!H585)</f>
        <v/>
      </c>
    </row>
    <row r="592" spans="1:5">
      <c r="A592" s="21" t="str">
        <f>IF(Base!B586="","",Base!B586)</f>
        <v/>
      </c>
      <c r="B592" s="21" t="str">
        <f>IF(Base!F586="","",Base!F586)</f>
        <v/>
      </c>
      <c r="C592" s="21" t="str">
        <f>IF(Base!I586="","",Base!I586)</f>
        <v/>
      </c>
      <c r="D592" s="22" t="str">
        <f>IF(Base!J586="","",Base!J586)</f>
        <v/>
      </c>
      <c r="E592" s="21" t="str">
        <f>IF(Base!H586="","",Base!H586)</f>
        <v/>
      </c>
    </row>
    <row r="593" spans="1:5">
      <c r="A593" s="21" t="str">
        <f>IF(Base!B587="","",Base!B587)</f>
        <v/>
      </c>
      <c r="B593" s="21" t="str">
        <f>IF(Base!F587="","",Base!F587)</f>
        <v/>
      </c>
      <c r="C593" s="21" t="str">
        <f>IF(Base!I587="","",Base!I587)</f>
        <v/>
      </c>
      <c r="D593" s="22" t="str">
        <f>IF(Base!J587="","",Base!J587)</f>
        <v/>
      </c>
      <c r="E593" s="21" t="str">
        <f>IF(Base!H587="","",Base!H587)</f>
        <v/>
      </c>
    </row>
    <row r="594" spans="1:5">
      <c r="A594" s="21" t="str">
        <f>IF(Base!B588="","",Base!B588)</f>
        <v/>
      </c>
      <c r="B594" s="21" t="str">
        <f>IF(Base!F588="","",Base!F588)</f>
        <v/>
      </c>
      <c r="C594" s="21" t="str">
        <f>IF(Base!I588="","",Base!I588)</f>
        <v/>
      </c>
      <c r="D594" s="22" t="str">
        <f>IF(Base!J588="","",Base!J588)</f>
        <v/>
      </c>
      <c r="E594" s="21" t="str">
        <f>IF(Base!H588="","",Base!H588)</f>
        <v/>
      </c>
    </row>
    <row r="595" spans="1:5">
      <c r="A595" s="21" t="str">
        <f>IF(Base!B589="","",Base!B589)</f>
        <v/>
      </c>
      <c r="B595" s="21" t="str">
        <f>IF(Base!F589="","",Base!F589)</f>
        <v/>
      </c>
      <c r="C595" s="21" t="str">
        <f>IF(Base!I589="","",Base!I589)</f>
        <v/>
      </c>
      <c r="D595" s="22" t="str">
        <f>IF(Base!J589="","",Base!J589)</f>
        <v/>
      </c>
      <c r="E595" s="21" t="str">
        <f>IF(Base!H589="","",Base!H589)</f>
        <v/>
      </c>
    </row>
    <row r="596" spans="1:5">
      <c r="A596" s="21" t="str">
        <f>IF(Base!B590="","",Base!B590)</f>
        <v/>
      </c>
      <c r="B596" s="21" t="str">
        <f>IF(Base!F590="","",Base!F590)</f>
        <v/>
      </c>
      <c r="C596" s="21" t="str">
        <f>IF(Base!I590="","",Base!I590)</f>
        <v/>
      </c>
      <c r="D596" s="22" t="str">
        <f>IF(Base!J590="","",Base!J590)</f>
        <v/>
      </c>
      <c r="E596" s="21" t="str">
        <f>IF(Base!H590="","",Base!H590)</f>
        <v/>
      </c>
    </row>
    <row r="597" spans="1:5">
      <c r="A597" s="21" t="str">
        <f>IF(Base!B591="","",Base!B591)</f>
        <v/>
      </c>
      <c r="B597" s="21" t="str">
        <f>IF(Base!F591="","",Base!F591)</f>
        <v/>
      </c>
      <c r="C597" s="21" t="str">
        <f>IF(Base!I591="","",Base!I591)</f>
        <v/>
      </c>
      <c r="D597" s="22" t="str">
        <f>IF(Base!J591="","",Base!J591)</f>
        <v/>
      </c>
      <c r="E597" s="21" t="str">
        <f>IF(Base!H591="","",Base!H591)</f>
        <v/>
      </c>
    </row>
    <row r="598" spans="1:5">
      <c r="A598" s="21" t="str">
        <f>IF(Base!B592="","",Base!B592)</f>
        <v/>
      </c>
      <c r="B598" s="21" t="str">
        <f>IF(Base!F592="","",Base!F592)</f>
        <v/>
      </c>
      <c r="C598" s="21" t="str">
        <f>IF(Base!I592="","",Base!I592)</f>
        <v/>
      </c>
      <c r="D598" s="22" t="str">
        <f>IF(Base!J592="","",Base!J592)</f>
        <v/>
      </c>
      <c r="E598" s="21" t="str">
        <f>IF(Base!H592="","",Base!H592)</f>
        <v/>
      </c>
    </row>
    <row r="599" spans="1:5">
      <c r="A599" s="21" t="str">
        <f>IF(Base!B593="","",Base!B593)</f>
        <v/>
      </c>
      <c r="B599" s="21" t="str">
        <f>IF(Base!F593="","",Base!F593)</f>
        <v/>
      </c>
      <c r="C599" s="21" t="str">
        <f>IF(Base!I593="","",Base!I593)</f>
        <v/>
      </c>
      <c r="D599" s="22" t="str">
        <f>IF(Base!J593="","",Base!J593)</f>
        <v/>
      </c>
      <c r="E599" s="21" t="str">
        <f>IF(Base!H593="","",Base!H593)</f>
        <v/>
      </c>
    </row>
    <row r="600" spans="1:5">
      <c r="A600" s="21" t="str">
        <f>IF(Base!B594="","",Base!B594)</f>
        <v/>
      </c>
      <c r="B600" s="21" t="str">
        <f>IF(Base!F594="","",Base!F594)</f>
        <v/>
      </c>
      <c r="C600" s="21" t="str">
        <f>IF(Base!I594="","",Base!I594)</f>
        <v/>
      </c>
      <c r="D600" s="22" t="str">
        <f>IF(Base!J594="","",Base!J594)</f>
        <v/>
      </c>
      <c r="E600" s="21" t="str">
        <f>IF(Base!H594="","",Base!H594)</f>
        <v/>
      </c>
    </row>
    <row r="601" spans="1:5">
      <c r="A601" s="21" t="str">
        <f>IF(Base!B595="","",Base!B595)</f>
        <v/>
      </c>
      <c r="B601" s="21" t="str">
        <f>IF(Base!F595="","",Base!F595)</f>
        <v/>
      </c>
      <c r="C601" s="21" t="str">
        <f>IF(Base!I595="","",Base!I595)</f>
        <v/>
      </c>
      <c r="D601" s="22" t="str">
        <f>IF(Base!J595="","",Base!J595)</f>
        <v/>
      </c>
      <c r="E601" s="21" t="str">
        <f>IF(Base!H595="","",Base!H595)</f>
        <v/>
      </c>
    </row>
    <row r="602" spans="1:5">
      <c r="A602" s="21" t="str">
        <f>IF(Base!B596="","",Base!B596)</f>
        <v/>
      </c>
      <c r="B602" s="21" t="str">
        <f>IF(Base!F596="","",Base!F596)</f>
        <v/>
      </c>
      <c r="C602" s="21" t="str">
        <f>IF(Base!I596="","",Base!I596)</f>
        <v/>
      </c>
      <c r="D602" s="22" t="str">
        <f>IF(Base!J596="","",Base!J596)</f>
        <v/>
      </c>
      <c r="E602" s="21" t="str">
        <f>IF(Base!H596="","",Base!H596)</f>
        <v/>
      </c>
    </row>
    <row r="603" spans="1:5">
      <c r="A603" s="21" t="str">
        <f>IF(Base!B597="","",Base!B597)</f>
        <v/>
      </c>
      <c r="B603" s="21" t="str">
        <f>IF(Base!F597="","",Base!F597)</f>
        <v/>
      </c>
      <c r="C603" s="21" t="str">
        <f>IF(Base!I597="","",Base!I597)</f>
        <v/>
      </c>
      <c r="D603" s="22" t="str">
        <f>IF(Base!J597="","",Base!J597)</f>
        <v/>
      </c>
      <c r="E603" s="21" t="str">
        <f>IF(Base!H597="","",Base!H597)</f>
        <v/>
      </c>
    </row>
    <row r="604" spans="1:5">
      <c r="A604" s="21" t="str">
        <f>IF(Base!B598="","",Base!B598)</f>
        <v/>
      </c>
      <c r="B604" s="21" t="str">
        <f>IF(Base!F598="","",Base!F598)</f>
        <v/>
      </c>
      <c r="C604" s="21" t="str">
        <f>IF(Base!I598="","",Base!I598)</f>
        <v/>
      </c>
      <c r="D604" s="22" t="str">
        <f>IF(Base!J598="","",Base!J598)</f>
        <v/>
      </c>
      <c r="E604" s="21" t="str">
        <f>IF(Base!H598="","",Base!H598)</f>
        <v/>
      </c>
    </row>
    <row r="605" spans="1:5">
      <c r="A605" s="21" t="str">
        <f>IF(Base!B599="","",Base!B599)</f>
        <v/>
      </c>
      <c r="B605" s="21" t="str">
        <f>IF(Base!F599="","",Base!F599)</f>
        <v/>
      </c>
      <c r="C605" s="21" t="str">
        <f>IF(Base!I599="","",Base!I599)</f>
        <v/>
      </c>
      <c r="D605" s="22" t="str">
        <f>IF(Base!J599="","",Base!J599)</f>
        <v/>
      </c>
      <c r="E605" s="21" t="str">
        <f>IF(Base!H599="","",Base!H599)</f>
        <v/>
      </c>
    </row>
    <row r="606" spans="1:5">
      <c r="A606" s="21" t="str">
        <f>IF(Base!B600="","",Base!B600)</f>
        <v/>
      </c>
      <c r="B606" s="21" t="str">
        <f>IF(Base!F600="","",Base!F600)</f>
        <v/>
      </c>
      <c r="C606" s="21" t="str">
        <f>IF(Base!I600="","",Base!I600)</f>
        <v/>
      </c>
      <c r="D606" s="22" t="str">
        <f>IF(Base!J600="","",Base!J600)</f>
        <v/>
      </c>
      <c r="E606" s="21" t="str">
        <f>IF(Base!H600="","",Base!H600)</f>
        <v/>
      </c>
    </row>
    <row r="607" spans="1:5">
      <c r="A607" s="21" t="str">
        <f>IF(Base!B601="","",Base!B601)</f>
        <v/>
      </c>
      <c r="B607" s="21" t="str">
        <f>IF(Base!F601="","",Base!F601)</f>
        <v/>
      </c>
      <c r="C607" s="21" t="str">
        <f>IF(Base!I601="","",Base!I601)</f>
        <v/>
      </c>
      <c r="D607" s="22" t="str">
        <f>IF(Base!J601="","",Base!J601)</f>
        <v/>
      </c>
      <c r="E607" s="21" t="str">
        <f>IF(Base!H601="","",Base!H601)</f>
        <v/>
      </c>
    </row>
    <row r="608" spans="1:5">
      <c r="A608" s="21" t="str">
        <f>IF(Base!B602="","",Base!B602)</f>
        <v/>
      </c>
      <c r="B608" s="21" t="str">
        <f>IF(Base!F602="","",Base!F602)</f>
        <v/>
      </c>
      <c r="C608" s="21" t="str">
        <f>IF(Base!I602="","",Base!I602)</f>
        <v/>
      </c>
      <c r="D608" s="22" t="str">
        <f>IF(Base!J602="","",Base!J602)</f>
        <v/>
      </c>
      <c r="E608" s="21" t="str">
        <f>IF(Base!H602="","",Base!H602)</f>
        <v/>
      </c>
    </row>
    <row r="609" spans="1:5">
      <c r="A609" s="21" t="str">
        <f>IF(Base!B603="","",Base!B603)</f>
        <v/>
      </c>
      <c r="B609" s="21" t="str">
        <f>IF(Base!F603="","",Base!F603)</f>
        <v/>
      </c>
      <c r="C609" s="21" t="str">
        <f>IF(Base!I603="","",Base!I603)</f>
        <v/>
      </c>
      <c r="D609" s="22" t="str">
        <f>IF(Base!J603="","",Base!J603)</f>
        <v/>
      </c>
      <c r="E609" s="21" t="str">
        <f>IF(Base!H603="","",Base!H603)</f>
        <v/>
      </c>
    </row>
    <row r="610" spans="1:5">
      <c r="A610" s="21" t="str">
        <f>IF(Base!B604="","",Base!B604)</f>
        <v/>
      </c>
      <c r="B610" s="21" t="str">
        <f>IF(Base!F604="","",Base!F604)</f>
        <v/>
      </c>
      <c r="C610" s="21" t="str">
        <f>IF(Base!I604="","",Base!I604)</f>
        <v/>
      </c>
      <c r="D610" s="22" t="str">
        <f>IF(Base!J604="","",Base!J604)</f>
        <v/>
      </c>
      <c r="E610" s="21" t="str">
        <f>IF(Base!H604="","",Base!H604)</f>
        <v/>
      </c>
    </row>
    <row r="611" spans="1:5">
      <c r="A611" s="21" t="str">
        <f>IF(Base!B605="","",Base!B605)</f>
        <v/>
      </c>
      <c r="B611" s="21" t="str">
        <f>IF(Base!F605="","",Base!F605)</f>
        <v/>
      </c>
      <c r="C611" s="21" t="str">
        <f>IF(Base!I605="","",Base!I605)</f>
        <v/>
      </c>
      <c r="D611" s="22" t="str">
        <f>IF(Base!J605="","",Base!J605)</f>
        <v/>
      </c>
      <c r="E611" s="21" t="str">
        <f>IF(Base!H605="","",Base!H605)</f>
        <v/>
      </c>
    </row>
    <row r="612" spans="1:5">
      <c r="A612" s="21" t="str">
        <f>IF(Base!B606="","",Base!B606)</f>
        <v/>
      </c>
      <c r="B612" s="21" t="str">
        <f>IF(Base!F606="","",Base!F606)</f>
        <v/>
      </c>
      <c r="C612" s="21" t="str">
        <f>IF(Base!I606="","",Base!I606)</f>
        <v/>
      </c>
      <c r="D612" s="22" t="str">
        <f>IF(Base!J606="","",Base!J606)</f>
        <v/>
      </c>
      <c r="E612" s="21" t="str">
        <f>IF(Base!H606="","",Base!H606)</f>
        <v/>
      </c>
    </row>
    <row r="613" spans="1:5">
      <c r="A613" s="21" t="str">
        <f>IF(Base!B607="","",Base!B607)</f>
        <v/>
      </c>
      <c r="B613" s="21" t="str">
        <f>IF(Base!F607="","",Base!F607)</f>
        <v/>
      </c>
      <c r="C613" s="21" t="str">
        <f>IF(Base!I607="","",Base!I607)</f>
        <v/>
      </c>
      <c r="D613" s="22" t="str">
        <f>IF(Base!J607="","",Base!J607)</f>
        <v/>
      </c>
      <c r="E613" s="21" t="str">
        <f>IF(Base!H607="","",Base!H607)</f>
        <v/>
      </c>
    </row>
    <row r="614" spans="1:5">
      <c r="A614" s="21" t="str">
        <f>IF(Base!B608="","",Base!B608)</f>
        <v/>
      </c>
      <c r="B614" s="21" t="str">
        <f>IF(Base!F608="","",Base!F608)</f>
        <v/>
      </c>
      <c r="C614" s="21" t="str">
        <f>IF(Base!I608="","",Base!I608)</f>
        <v/>
      </c>
      <c r="D614" s="22" t="str">
        <f>IF(Base!J608="","",Base!J608)</f>
        <v/>
      </c>
      <c r="E614" s="21" t="str">
        <f>IF(Base!H608="","",Base!H608)</f>
        <v/>
      </c>
    </row>
    <row r="615" spans="1:5">
      <c r="A615" s="21" t="str">
        <f>IF(Base!B609="","",Base!B609)</f>
        <v/>
      </c>
      <c r="B615" s="21" t="str">
        <f>IF(Base!F609="","",Base!F609)</f>
        <v/>
      </c>
      <c r="C615" s="21" t="str">
        <f>IF(Base!I609="","",Base!I609)</f>
        <v/>
      </c>
      <c r="D615" s="22" t="str">
        <f>IF(Base!J609="","",Base!J609)</f>
        <v/>
      </c>
      <c r="E615" s="21" t="str">
        <f>IF(Base!H609="","",Base!H609)</f>
        <v/>
      </c>
    </row>
    <row r="616" spans="1:5">
      <c r="A616" s="21" t="str">
        <f>IF(Base!B610="","",Base!B610)</f>
        <v/>
      </c>
      <c r="B616" s="21" t="str">
        <f>IF(Base!F610="","",Base!F610)</f>
        <v/>
      </c>
      <c r="C616" s="21" t="str">
        <f>IF(Base!I610="","",Base!I610)</f>
        <v/>
      </c>
      <c r="D616" s="22" t="str">
        <f>IF(Base!J610="","",Base!J610)</f>
        <v/>
      </c>
      <c r="E616" s="21" t="str">
        <f>IF(Base!H610="","",Base!H610)</f>
        <v/>
      </c>
    </row>
    <row r="617" spans="1:5">
      <c r="A617" s="21" t="str">
        <f>IF(Base!B611="","",Base!B611)</f>
        <v/>
      </c>
      <c r="B617" s="21" t="str">
        <f>IF(Base!F611="","",Base!F611)</f>
        <v/>
      </c>
      <c r="C617" s="21" t="str">
        <f>IF(Base!I611="","",Base!I611)</f>
        <v/>
      </c>
      <c r="D617" s="22" t="str">
        <f>IF(Base!J611="","",Base!J611)</f>
        <v/>
      </c>
      <c r="E617" s="21" t="str">
        <f>IF(Base!H611="","",Base!H611)</f>
        <v/>
      </c>
    </row>
    <row r="618" spans="1:5">
      <c r="A618" s="21" t="str">
        <f>IF(Base!B612="","",Base!B612)</f>
        <v/>
      </c>
      <c r="B618" s="21" t="str">
        <f>IF(Base!F612="","",Base!F612)</f>
        <v/>
      </c>
      <c r="C618" s="21" t="str">
        <f>IF(Base!I612="","",Base!I612)</f>
        <v/>
      </c>
      <c r="D618" s="22" t="str">
        <f>IF(Base!J612="","",Base!J612)</f>
        <v/>
      </c>
      <c r="E618" s="21" t="str">
        <f>IF(Base!H612="","",Base!H612)</f>
        <v/>
      </c>
    </row>
    <row r="619" spans="1:5">
      <c r="A619" s="21" t="str">
        <f>IF(Base!B613="","",Base!B613)</f>
        <v/>
      </c>
      <c r="B619" s="21" t="str">
        <f>IF(Base!F613="","",Base!F613)</f>
        <v/>
      </c>
      <c r="C619" s="21" t="str">
        <f>IF(Base!I613="","",Base!I613)</f>
        <v/>
      </c>
      <c r="D619" s="22" t="str">
        <f>IF(Base!J613="","",Base!J613)</f>
        <v/>
      </c>
      <c r="E619" s="21" t="str">
        <f>IF(Base!H613="","",Base!H613)</f>
        <v/>
      </c>
    </row>
    <row r="620" spans="1:5">
      <c r="A620" s="21" t="str">
        <f>IF(Base!B614="","",Base!B614)</f>
        <v/>
      </c>
      <c r="B620" s="21" t="str">
        <f>IF(Base!F614="","",Base!F614)</f>
        <v/>
      </c>
      <c r="C620" s="21" t="str">
        <f>IF(Base!I614="","",Base!I614)</f>
        <v/>
      </c>
      <c r="D620" s="22" t="str">
        <f>IF(Base!J614="","",Base!J614)</f>
        <v/>
      </c>
      <c r="E620" s="21" t="str">
        <f>IF(Base!H614="","",Base!H614)</f>
        <v/>
      </c>
    </row>
    <row r="621" spans="1:5">
      <c r="A621" s="21" t="str">
        <f>IF(Base!B615="","",Base!B615)</f>
        <v/>
      </c>
      <c r="B621" s="21" t="str">
        <f>IF(Base!F615="","",Base!F615)</f>
        <v/>
      </c>
      <c r="C621" s="21" t="str">
        <f>IF(Base!I615="","",Base!I615)</f>
        <v/>
      </c>
      <c r="D621" s="22" t="str">
        <f>IF(Base!J615="","",Base!J615)</f>
        <v/>
      </c>
      <c r="E621" s="21" t="str">
        <f>IF(Base!H615="","",Base!H615)</f>
        <v/>
      </c>
    </row>
    <row r="622" spans="1:5">
      <c r="A622" s="21" t="str">
        <f>IF(Base!B616="","",Base!B616)</f>
        <v/>
      </c>
      <c r="B622" s="21" t="str">
        <f>IF(Base!F616="","",Base!F616)</f>
        <v/>
      </c>
      <c r="C622" s="21" t="str">
        <f>IF(Base!I616="","",Base!I616)</f>
        <v/>
      </c>
      <c r="D622" s="22" t="str">
        <f>IF(Base!J616="","",Base!J616)</f>
        <v/>
      </c>
      <c r="E622" s="21" t="str">
        <f>IF(Base!H616="","",Base!H616)</f>
        <v/>
      </c>
    </row>
    <row r="623" spans="1:5">
      <c r="A623" s="21" t="str">
        <f>IF(Base!B617="","",Base!B617)</f>
        <v/>
      </c>
      <c r="B623" s="21" t="str">
        <f>IF(Base!F617="","",Base!F617)</f>
        <v/>
      </c>
      <c r="C623" s="21" t="str">
        <f>IF(Base!I617="","",Base!I617)</f>
        <v/>
      </c>
      <c r="D623" s="22" t="str">
        <f>IF(Base!J617="","",Base!J617)</f>
        <v/>
      </c>
      <c r="E623" s="21" t="str">
        <f>IF(Base!H617="","",Base!H617)</f>
        <v/>
      </c>
    </row>
    <row r="624" spans="1:5">
      <c r="A624" s="21" t="str">
        <f>IF(Base!B618="","",Base!B618)</f>
        <v/>
      </c>
      <c r="B624" s="21" t="str">
        <f>IF(Base!F618="","",Base!F618)</f>
        <v/>
      </c>
      <c r="C624" s="21" t="str">
        <f>IF(Base!I618="","",Base!I618)</f>
        <v/>
      </c>
      <c r="D624" s="22" t="str">
        <f>IF(Base!J618="","",Base!J618)</f>
        <v/>
      </c>
      <c r="E624" s="21" t="str">
        <f>IF(Base!H618="","",Base!H618)</f>
        <v/>
      </c>
    </row>
    <row r="625" spans="1:5">
      <c r="A625" s="21" t="str">
        <f>IF(Base!B619="","",Base!B619)</f>
        <v/>
      </c>
      <c r="B625" s="21" t="str">
        <f>IF(Base!F619="","",Base!F619)</f>
        <v/>
      </c>
      <c r="C625" s="21" t="str">
        <f>IF(Base!I619="","",Base!I619)</f>
        <v/>
      </c>
      <c r="D625" s="22" t="str">
        <f>IF(Base!J619="","",Base!J619)</f>
        <v/>
      </c>
      <c r="E625" s="21" t="str">
        <f>IF(Base!H619="","",Base!H619)</f>
        <v/>
      </c>
    </row>
    <row r="626" spans="1:5">
      <c r="A626" s="21" t="str">
        <f>IF(Base!B620="","",Base!B620)</f>
        <v/>
      </c>
      <c r="B626" s="21" t="str">
        <f>IF(Base!F620="","",Base!F620)</f>
        <v/>
      </c>
      <c r="C626" s="21" t="str">
        <f>IF(Base!I620="","",Base!I620)</f>
        <v/>
      </c>
      <c r="D626" s="22" t="str">
        <f>IF(Base!J620="","",Base!J620)</f>
        <v/>
      </c>
      <c r="E626" s="21" t="str">
        <f>IF(Base!H620="","",Base!H620)</f>
        <v/>
      </c>
    </row>
    <row r="627" spans="1:5">
      <c r="A627" s="21" t="str">
        <f>IF(Base!B621="","",Base!B621)</f>
        <v/>
      </c>
      <c r="B627" s="21" t="str">
        <f>IF(Base!F621="","",Base!F621)</f>
        <v/>
      </c>
      <c r="C627" s="21" t="str">
        <f>IF(Base!I621="","",Base!I621)</f>
        <v/>
      </c>
      <c r="D627" s="22" t="str">
        <f>IF(Base!J621="","",Base!J621)</f>
        <v/>
      </c>
      <c r="E627" s="21" t="str">
        <f>IF(Base!H621="","",Base!H621)</f>
        <v/>
      </c>
    </row>
    <row r="628" spans="1:5">
      <c r="A628" s="21" t="str">
        <f>IF(Base!B622="","",Base!B622)</f>
        <v/>
      </c>
      <c r="B628" s="21" t="str">
        <f>IF(Base!F622="","",Base!F622)</f>
        <v/>
      </c>
      <c r="C628" s="21" t="str">
        <f>IF(Base!I622="","",Base!I622)</f>
        <v/>
      </c>
      <c r="D628" s="22" t="str">
        <f>IF(Base!J622="","",Base!J622)</f>
        <v/>
      </c>
      <c r="E628" s="21" t="str">
        <f>IF(Base!H622="","",Base!H622)</f>
        <v/>
      </c>
    </row>
    <row r="629" spans="1:5">
      <c r="A629" s="21" t="str">
        <f>IF(Base!B623="","",Base!B623)</f>
        <v/>
      </c>
      <c r="B629" s="21" t="str">
        <f>IF(Base!F623="","",Base!F623)</f>
        <v/>
      </c>
      <c r="C629" s="21" t="str">
        <f>IF(Base!I623="","",Base!I623)</f>
        <v/>
      </c>
      <c r="D629" s="22" t="str">
        <f>IF(Base!J623="","",Base!J623)</f>
        <v/>
      </c>
      <c r="E629" s="21" t="str">
        <f>IF(Base!H623="","",Base!H623)</f>
        <v/>
      </c>
    </row>
    <row r="630" spans="1:5">
      <c r="A630" s="21" t="str">
        <f>IF(Base!B624="","",Base!B624)</f>
        <v/>
      </c>
      <c r="B630" s="21" t="str">
        <f>IF(Base!F624="","",Base!F624)</f>
        <v/>
      </c>
      <c r="C630" s="21" t="str">
        <f>IF(Base!I624="","",Base!I624)</f>
        <v/>
      </c>
      <c r="D630" s="22" t="str">
        <f>IF(Base!J624="","",Base!J624)</f>
        <v/>
      </c>
      <c r="E630" s="21" t="str">
        <f>IF(Base!H624="","",Base!H624)</f>
        <v/>
      </c>
    </row>
    <row r="631" spans="1:5">
      <c r="A631" s="21" t="str">
        <f>IF(Base!B625="","",Base!B625)</f>
        <v/>
      </c>
      <c r="B631" s="21" t="str">
        <f>IF(Base!F625="","",Base!F625)</f>
        <v/>
      </c>
      <c r="C631" s="21" t="str">
        <f>IF(Base!I625="","",Base!I625)</f>
        <v/>
      </c>
      <c r="D631" s="22" t="str">
        <f>IF(Base!J625="","",Base!J625)</f>
        <v/>
      </c>
      <c r="E631" s="21" t="str">
        <f>IF(Base!H625="","",Base!H625)</f>
        <v/>
      </c>
    </row>
    <row r="632" spans="1:5">
      <c r="A632" s="21" t="str">
        <f>IF(Base!B626="","",Base!B626)</f>
        <v/>
      </c>
      <c r="B632" s="21" t="str">
        <f>IF(Base!F626="","",Base!F626)</f>
        <v/>
      </c>
      <c r="C632" s="21" t="str">
        <f>IF(Base!I626="","",Base!I626)</f>
        <v/>
      </c>
      <c r="D632" s="22" t="str">
        <f>IF(Base!J626="","",Base!J626)</f>
        <v/>
      </c>
      <c r="E632" s="21" t="str">
        <f>IF(Base!H626="","",Base!H626)</f>
        <v/>
      </c>
    </row>
    <row r="633" spans="1:5">
      <c r="A633" s="21" t="str">
        <f>IF(Base!B627="","",Base!B627)</f>
        <v/>
      </c>
      <c r="B633" s="21" t="str">
        <f>IF(Base!F627="","",Base!F627)</f>
        <v/>
      </c>
      <c r="C633" s="21" t="str">
        <f>IF(Base!I627="","",Base!I627)</f>
        <v/>
      </c>
      <c r="D633" s="22" t="str">
        <f>IF(Base!J627="","",Base!J627)</f>
        <v/>
      </c>
      <c r="E633" s="21" t="str">
        <f>IF(Base!H627="","",Base!H627)</f>
        <v/>
      </c>
    </row>
    <row r="634" spans="1:5">
      <c r="A634" s="21" t="str">
        <f>IF(Base!B628="","",Base!B628)</f>
        <v/>
      </c>
      <c r="B634" s="21" t="str">
        <f>IF(Base!F628="","",Base!F628)</f>
        <v/>
      </c>
      <c r="C634" s="21" t="str">
        <f>IF(Base!I628="","",Base!I628)</f>
        <v/>
      </c>
      <c r="D634" s="22" t="str">
        <f>IF(Base!J628="","",Base!J628)</f>
        <v/>
      </c>
      <c r="E634" s="21" t="str">
        <f>IF(Base!H628="","",Base!H628)</f>
        <v/>
      </c>
    </row>
    <row r="635" spans="1:5">
      <c r="A635" s="21" t="str">
        <f>IF(Base!B629="","",Base!B629)</f>
        <v/>
      </c>
      <c r="B635" s="21" t="str">
        <f>IF(Base!F629="","",Base!F629)</f>
        <v/>
      </c>
      <c r="C635" s="21" t="str">
        <f>IF(Base!I629="","",Base!I629)</f>
        <v/>
      </c>
      <c r="D635" s="22" t="str">
        <f>IF(Base!J629="","",Base!J629)</f>
        <v/>
      </c>
      <c r="E635" s="21" t="str">
        <f>IF(Base!H629="","",Base!H629)</f>
        <v/>
      </c>
    </row>
    <row r="636" spans="1:5">
      <c r="A636" s="21" t="str">
        <f>IF(Base!B630="","",Base!B630)</f>
        <v/>
      </c>
      <c r="B636" s="21" t="str">
        <f>IF(Base!F630="","",Base!F630)</f>
        <v/>
      </c>
      <c r="C636" s="21" t="str">
        <f>IF(Base!I630="","",Base!I630)</f>
        <v/>
      </c>
      <c r="D636" s="22" t="str">
        <f>IF(Base!J630="","",Base!J630)</f>
        <v/>
      </c>
      <c r="E636" s="21" t="str">
        <f>IF(Base!H630="","",Base!H630)</f>
        <v/>
      </c>
    </row>
    <row r="637" spans="1:5">
      <c r="A637" s="21" t="str">
        <f>IF(Base!B631="","",Base!B631)</f>
        <v/>
      </c>
      <c r="B637" s="21" t="str">
        <f>IF(Base!F631="","",Base!F631)</f>
        <v/>
      </c>
      <c r="C637" s="21" t="str">
        <f>IF(Base!I631="","",Base!I631)</f>
        <v/>
      </c>
      <c r="D637" s="22" t="str">
        <f>IF(Base!J631="","",Base!J631)</f>
        <v/>
      </c>
      <c r="E637" s="21" t="str">
        <f>IF(Base!H631="","",Base!H631)</f>
        <v/>
      </c>
    </row>
    <row r="638" spans="1:5">
      <c r="A638" s="21" t="str">
        <f>IF(Base!B632="","",Base!B632)</f>
        <v/>
      </c>
      <c r="B638" s="21" t="str">
        <f>IF(Base!F632="","",Base!F632)</f>
        <v/>
      </c>
      <c r="C638" s="21" t="str">
        <f>IF(Base!I632="","",Base!I632)</f>
        <v/>
      </c>
      <c r="D638" s="22" t="str">
        <f>IF(Base!J632="","",Base!J632)</f>
        <v/>
      </c>
      <c r="E638" s="21" t="str">
        <f>IF(Base!H632="","",Base!H632)</f>
        <v/>
      </c>
    </row>
    <row r="639" spans="1:5">
      <c r="A639" s="21" t="str">
        <f>IF(Base!B633="","",Base!B633)</f>
        <v/>
      </c>
      <c r="B639" s="21" t="str">
        <f>IF(Base!F633="","",Base!F633)</f>
        <v/>
      </c>
      <c r="C639" s="21" t="str">
        <f>IF(Base!I633="","",Base!I633)</f>
        <v/>
      </c>
      <c r="D639" s="22" t="str">
        <f>IF(Base!J633="","",Base!J633)</f>
        <v/>
      </c>
      <c r="E639" s="21" t="str">
        <f>IF(Base!H633="","",Base!H633)</f>
        <v/>
      </c>
    </row>
    <row r="640" spans="1:5">
      <c r="A640" s="21" t="str">
        <f>IF(Base!B634="","",Base!B634)</f>
        <v/>
      </c>
      <c r="B640" s="21" t="str">
        <f>IF(Base!F634="","",Base!F634)</f>
        <v/>
      </c>
      <c r="C640" s="21" t="str">
        <f>IF(Base!I634="","",Base!I634)</f>
        <v/>
      </c>
      <c r="D640" s="22" t="str">
        <f>IF(Base!J634="","",Base!J634)</f>
        <v/>
      </c>
      <c r="E640" s="21" t="str">
        <f>IF(Base!H634="","",Base!H634)</f>
        <v/>
      </c>
    </row>
    <row r="641" spans="1:5">
      <c r="A641" s="21" t="str">
        <f>IF(Base!B635="","",Base!B635)</f>
        <v/>
      </c>
      <c r="B641" s="21" t="str">
        <f>IF(Base!F635="","",Base!F635)</f>
        <v/>
      </c>
      <c r="C641" s="21" t="str">
        <f>IF(Base!I635="","",Base!I635)</f>
        <v/>
      </c>
      <c r="D641" s="22" t="str">
        <f>IF(Base!J635="","",Base!J635)</f>
        <v/>
      </c>
      <c r="E641" s="21" t="str">
        <f>IF(Base!H635="","",Base!H635)</f>
        <v/>
      </c>
    </row>
    <row r="642" spans="1:5">
      <c r="A642" s="21" t="str">
        <f>IF(Base!B636="","",Base!B636)</f>
        <v/>
      </c>
      <c r="B642" s="21" t="str">
        <f>IF(Base!F636="","",Base!F636)</f>
        <v/>
      </c>
      <c r="C642" s="21" t="str">
        <f>IF(Base!I636="","",Base!I636)</f>
        <v/>
      </c>
      <c r="D642" s="22" t="str">
        <f>IF(Base!J636="","",Base!J636)</f>
        <v/>
      </c>
      <c r="E642" s="21" t="str">
        <f>IF(Base!H636="","",Base!H636)</f>
        <v/>
      </c>
    </row>
    <row r="643" spans="1:5">
      <c r="A643" s="21" t="str">
        <f>IF(Base!B637="","",Base!B637)</f>
        <v/>
      </c>
      <c r="B643" s="21" t="str">
        <f>IF(Base!F637="","",Base!F637)</f>
        <v/>
      </c>
      <c r="C643" s="21" t="str">
        <f>IF(Base!I637="","",Base!I637)</f>
        <v/>
      </c>
      <c r="D643" s="22" t="str">
        <f>IF(Base!J637="","",Base!J637)</f>
        <v/>
      </c>
      <c r="E643" s="21" t="str">
        <f>IF(Base!H637="","",Base!H637)</f>
        <v/>
      </c>
    </row>
    <row r="644" spans="1:5">
      <c r="A644" s="21" t="str">
        <f>IF(Base!B638="","",Base!B638)</f>
        <v/>
      </c>
      <c r="B644" s="21" t="str">
        <f>IF(Base!F638="","",Base!F638)</f>
        <v/>
      </c>
      <c r="C644" s="21" t="str">
        <f>IF(Base!I638="","",Base!I638)</f>
        <v/>
      </c>
      <c r="D644" s="22" t="str">
        <f>IF(Base!J638="","",Base!J638)</f>
        <v/>
      </c>
      <c r="E644" s="21" t="str">
        <f>IF(Base!H638="","",Base!H638)</f>
        <v/>
      </c>
    </row>
    <row r="645" spans="1:5">
      <c r="A645" s="21" t="str">
        <f>IF(Base!B639="","",Base!B639)</f>
        <v/>
      </c>
      <c r="B645" s="21" t="str">
        <f>IF(Base!F639="","",Base!F639)</f>
        <v/>
      </c>
      <c r="C645" s="21" t="str">
        <f>IF(Base!I639="","",Base!I639)</f>
        <v/>
      </c>
      <c r="D645" s="22" t="str">
        <f>IF(Base!J639="","",Base!J639)</f>
        <v/>
      </c>
      <c r="E645" s="21" t="str">
        <f>IF(Base!H639="","",Base!H639)</f>
        <v/>
      </c>
    </row>
    <row r="646" spans="1:5">
      <c r="A646" s="21" t="str">
        <f>IF(Base!B640="","",Base!B640)</f>
        <v/>
      </c>
      <c r="B646" s="21" t="str">
        <f>IF(Base!F640="","",Base!F640)</f>
        <v/>
      </c>
      <c r="C646" s="21" t="str">
        <f>IF(Base!I640="","",Base!I640)</f>
        <v/>
      </c>
      <c r="D646" s="22" t="str">
        <f>IF(Base!J640="","",Base!J640)</f>
        <v/>
      </c>
      <c r="E646" s="21" t="str">
        <f>IF(Base!H640="","",Base!H640)</f>
        <v/>
      </c>
    </row>
    <row r="647" spans="1:5">
      <c r="A647" s="21" t="str">
        <f>IF(Base!B641="","",Base!B641)</f>
        <v/>
      </c>
      <c r="B647" s="21" t="str">
        <f>IF(Base!F641="","",Base!F641)</f>
        <v/>
      </c>
      <c r="C647" s="21" t="str">
        <f>IF(Base!I641="","",Base!I641)</f>
        <v/>
      </c>
      <c r="D647" s="22" t="str">
        <f>IF(Base!J641="","",Base!J641)</f>
        <v/>
      </c>
      <c r="E647" s="21" t="str">
        <f>IF(Base!H641="","",Base!H641)</f>
        <v/>
      </c>
    </row>
    <row r="648" spans="1:5">
      <c r="A648" s="21" t="str">
        <f>IF(Base!B642="","",Base!B642)</f>
        <v/>
      </c>
      <c r="B648" s="21" t="str">
        <f>IF(Base!F642="","",Base!F642)</f>
        <v/>
      </c>
      <c r="C648" s="21" t="str">
        <f>IF(Base!I642="","",Base!I642)</f>
        <v/>
      </c>
      <c r="D648" s="22" t="str">
        <f>IF(Base!J642="","",Base!J642)</f>
        <v/>
      </c>
      <c r="E648" s="21" t="str">
        <f>IF(Base!H642="","",Base!H642)</f>
        <v/>
      </c>
    </row>
    <row r="649" spans="1:5">
      <c r="A649" s="21" t="str">
        <f>IF(Base!B643="","",Base!B643)</f>
        <v/>
      </c>
      <c r="B649" s="21" t="str">
        <f>IF(Base!F643="","",Base!F643)</f>
        <v/>
      </c>
      <c r="C649" s="21" t="str">
        <f>IF(Base!I643="","",Base!I643)</f>
        <v/>
      </c>
      <c r="D649" s="22" t="str">
        <f>IF(Base!J643="","",Base!J643)</f>
        <v/>
      </c>
      <c r="E649" s="21" t="str">
        <f>IF(Base!H643="","",Base!H643)</f>
        <v/>
      </c>
    </row>
    <row r="650" spans="1:5">
      <c r="A650" s="21" t="str">
        <f>IF(Base!B644="","",Base!B644)</f>
        <v/>
      </c>
      <c r="B650" s="21" t="str">
        <f>IF(Base!F644="","",Base!F644)</f>
        <v/>
      </c>
      <c r="C650" s="21" t="str">
        <f>IF(Base!I644="","",Base!I644)</f>
        <v/>
      </c>
      <c r="D650" s="22" t="str">
        <f>IF(Base!J644="","",Base!J644)</f>
        <v/>
      </c>
      <c r="E650" s="21" t="str">
        <f>IF(Base!H644="","",Base!H644)</f>
        <v/>
      </c>
    </row>
    <row r="651" spans="1:5">
      <c r="A651" s="21" t="str">
        <f>IF(Base!B645="","",Base!B645)</f>
        <v/>
      </c>
      <c r="B651" s="21" t="str">
        <f>IF(Base!F645="","",Base!F645)</f>
        <v/>
      </c>
      <c r="C651" s="21" t="str">
        <f>IF(Base!I645="","",Base!I645)</f>
        <v/>
      </c>
      <c r="D651" s="22" t="str">
        <f>IF(Base!J645="","",Base!J645)</f>
        <v/>
      </c>
      <c r="E651" s="21" t="str">
        <f>IF(Base!H645="","",Base!H645)</f>
        <v/>
      </c>
    </row>
    <row r="652" spans="1:5">
      <c r="A652" s="21" t="str">
        <f>IF(Base!B646="","",Base!B646)</f>
        <v/>
      </c>
      <c r="B652" s="21" t="str">
        <f>IF(Base!F646="","",Base!F646)</f>
        <v/>
      </c>
      <c r="C652" s="21" t="str">
        <f>IF(Base!I646="","",Base!I646)</f>
        <v/>
      </c>
      <c r="D652" s="22" t="str">
        <f>IF(Base!J646="","",Base!J646)</f>
        <v/>
      </c>
      <c r="E652" s="21" t="str">
        <f>IF(Base!H646="","",Base!H646)</f>
        <v/>
      </c>
    </row>
    <row r="653" spans="1:5">
      <c r="A653" s="21" t="str">
        <f>IF(Base!B647="","",Base!B647)</f>
        <v/>
      </c>
      <c r="B653" s="21" t="str">
        <f>IF(Base!F647="","",Base!F647)</f>
        <v/>
      </c>
      <c r="C653" s="21" t="str">
        <f>IF(Base!I647="","",Base!I647)</f>
        <v/>
      </c>
      <c r="D653" s="22" t="str">
        <f>IF(Base!J647="","",Base!J647)</f>
        <v/>
      </c>
      <c r="E653" s="21" t="str">
        <f>IF(Base!H647="","",Base!H647)</f>
        <v/>
      </c>
    </row>
    <row r="654" spans="1:5">
      <c r="A654" s="21" t="str">
        <f>IF(Base!B648="","",Base!B648)</f>
        <v/>
      </c>
      <c r="B654" s="21" t="str">
        <f>IF(Base!F648="","",Base!F648)</f>
        <v/>
      </c>
      <c r="C654" s="21" t="str">
        <f>IF(Base!I648="","",Base!I648)</f>
        <v/>
      </c>
      <c r="D654" s="22" t="str">
        <f>IF(Base!J648="","",Base!J648)</f>
        <v/>
      </c>
      <c r="E654" s="21" t="str">
        <f>IF(Base!H648="","",Base!H648)</f>
        <v/>
      </c>
    </row>
    <row r="655" spans="1:5">
      <c r="A655" s="21" t="str">
        <f>IF(Base!B649="","",Base!B649)</f>
        <v/>
      </c>
      <c r="B655" s="21" t="str">
        <f>IF(Base!F649="","",Base!F649)</f>
        <v/>
      </c>
      <c r="C655" s="21" t="str">
        <f>IF(Base!I649="","",Base!I649)</f>
        <v/>
      </c>
      <c r="D655" s="22" t="str">
        <f>IF(Base!J649="","",Base!J649)</f>
        <v/>
      </c>
      <c r="E655" s="21" t="str">
        <f>IF(Base!H649="","",Base!H649)</f>
        <v/>
      </c>
    </row>
    <row r="656" spans="1:5">
      <c r="A656" s="21" t="str">
        <f>IF(Base!B650="","",Base!B650)</f>
        <v/>
      </c>
      <c r="B656" s="21" t="str">
        <f>IF(Base!F650="","",Base!F650)</f>
        <v/>
      </c>
      <c r="C656" s="21" t="str">
        <f>IF(Base!I650="","",Base!I650)</f>
        <v/>
      </c>
      <c r="D656" s="22" t="str">
        <f>IF(Base!J650="","",Base!J650)</f>
        <v/>
      </c>
      <c r="E656" s="21" t="str">
        <f>IF(Base!H650="","",Base!H650)</f>
        <v/>
      </c>
    </row>
    <row r="657" spans="1:5">
      <c r="A657" s="21" t="str">
        <f>IF(Base!B651="","",Base!B651)</f>
        <v/>
      </c>
      <c r="B657" s="21" t="str">
        <f>IF(Base!F651="","",Base!F651)</f>
        <v/>
      </c>
      <c r="C657" s="21" t="str">
        <f>IF(Base!I651="","",Base!I651)</f>
        <v/>
      </c>
      <c r="D657" s="22" t="str">
        <f>IF(Base!J651="","",Base!J651)</f>
        <v/>
      </c>
      <c r="E657" s="21" t="str">
        <f>IF(Base!H651="","",Base!H651)</f>
        <v/>
      </c>
    </row>
    <row r="658" spans="1:5">
      <c r="A658" s="21" t="str">
        <f>IF(Base!B652="","",Base!B652)</f>
        <v/>
      </c>
      <c r="B658" s="21" t="str">
        <f>IF(Base!F652="","",Base!F652)</f>
        <v/>
      </c>
      <c r="C658" s="21" t="str">
        <f>IF(Base!I652="","",Base!I652)</f>
        <v/>
      </c>
      <c r="D658" s="22" t="str">
        <f>IF(Base!J652="","",Base!J652)</f>
        <v/>
      </c>
      <c r="E658" s="21" t="str">
        <f>IF(Base!H652="","",Base!H652)</f>
        <v/>
      </c>
    </row>
    <row r="659" spans="1:5">
      <c r="A659" s="21" t="str">
        <f>IF(Base!B653="","",Base!B653)</f>
        <v/>
      </c>
      <c r="B659" s="21" t="str">
        <f>IF(Base!F653="","",Base!F653)</f>
        <v/>
      </c>
      <c r="C659" s="21" t="str">
        <f>IF(Base!I653="","",Base!I653)</f>
        <v/>
      </c>
      <c r="D659" s="22" t="str">
        <f>IF(Base!J653="","",Base!J653)</f>
        <v/>
      </c>
      <c r="E659" s="21" t="str">
        <f>IF(Base!H653="","",Base!H653)</f>
        <v/>
      </c>
    </row>
    <row r="660" spans="1:5">
      <c r="A660" s="21" t="str">
        <f>IF(Base!B654="","",Base!B654)</f>
        <v/>
      </c>
      <c r="B660" s="21" t="str">
        <f>IF(Base!F654="","",Base!F654)</f>
        <v/>
      </c>
      <c r="C660" s="21" t="str">
        <f>IF(Base!I654="","",Base!I654)</f>
        <v/>
      </c>
      <c r="D660" s="22" t="str">
        <f>IF(Base!J654="","",Base!J654)</f>
        <v/>
      </c>
      <c r="E660" s="21" t="str">
        <f>IF(Base!H654="","",Base!H654)</f>
        <v/>
      </c>
    </row>
    <row r="661" spans="1:5">
      <c r="A661" s="21" t="str">
        <f>IF(Base!B655="","",Base!B655)</f>
        <v/>
      </c>
      <c r="B661" s="21" t="str">
        <f>IF(Base!F655="","",Base!F655)</f>
        <v/>
      </c>
      <c r="C661" s="21" t="str">
        <f>IF(Base!I655="","",Base!I655)</f>
        <v/>
      </c>
      <c r="D661" s="22" t="str">
        <f>IF(Base!J655="","",Base!J655)</f>
        <v/>
      </c>
      <c r="E661" s="21" t="str">
        <f>IF(Base!H655="","",Base!H655)</f>
        <v/>
      </c>
    </row>
    <row r="662" spans="1:5">
      <c r="A662" s="21" t="str">
        <f>IF(Base!B656="","",Base!B656)</f>
        <v/>
      </c>
      <c r="B662" s="21" t="str">
        <f>IF(Base!F656="","",Base!F656)</f>
        <v/>
      </c>
      <c r="C662" s="21" t="str">
        <f>IF(Base!I656="","",Base!I656)</f>
        <v/>
      </c>
      <c r="D662" s="22" t="str">
        <f>IF(Base!J656="","",Base!J656)</f>
        <v/>
      </c>
      <c r="E662" s="21" t="str">
        <f>IF(Base!H656="","",Base!H656)</f>
        <v/>
      </c>
    </row>
    <row r="663" spans="1:5">
      <c r="A663" s="21" t="str">
        <f>IF(Base!B657="","",Base!B657)</f>
        <v/>
      </c>
      <c r="B663" s="21" t="str">
        <f>IF(Base!F657="","",Base!F657)</f>
        <v/>
      </c>
      <c r="C663" s="21" t="str">
        <f>IF(Base!I657="","",Base!I657)</f>
        <v/>
      </c>
      <c r="D663" s="22" t="str">
        <f>IF(Base!J657="","",Base!J657)</f>
        <v/>
      </c>
      <c r="E663" s="21" t="str">
        <f>IF(Base!H657="","",Base!H657)</f>
        <v/>
      </c>
    </row>
    <row r="664" spans="1:5">
      <c r="A664" s="21" t="str">
        <f>IF(Base!B658="","",Base!B658)</f>
        <v/>
      </c>
      <c r="B664" s="21" t="str">
        <f>IF(Base!F658="","",Base!F658)</f>
        <v/>
      </c>
      <c r="C664" s="21" t="str">
        <f>IF(Base!I658="","",Base!I658)</f>
        <v/>
      </c>
      <c r="D664" s="22" t="str">
        <f>IF(Base!J658="","",Base!J658)</f>
        <v/>
      </c>
      <c r="E664" s="21" t="str">
        <f>IF(Base!H658="","",Base!H658)</f>
        <v/>
      </c>
    </row>
    <row r="665" spans="1:5">
      <c r="A665" s="21" t="str">
        <f>IF(Base!B659="","",Base!B659)</f>
        <v/>
      </c>
      <c r="B665" s="21" t="str">
        <f>IF(Base!F659="","",Base!F659)</f>
        <v/>
      </c>
      <c r="C665" s="21" t="str">
        <f>IF(Base!I659="","",Base!I659)</f>
        <v/>
      </c>
      <c r="D665" s="22" t="str">
        <f>IF(Base!J659="","",Base!J659)</f>
        <v/>
      </c>
      <c r="E665" s="21" t="str">
        <f>IF(Base!H659="","",Base!H659)</f>
        <v/>
      </c>
    </row>
    <row r="666" spans="1:5">
      <c r="A666" s="21" t="str">
        <f>IF(Base!B660="","",Base!B660)</f>
        <v/>
      </c>
      <c r="B666" s="21" t="str">
        <f>IF(Base!F660="","",Base!F660)</f>
        <v/>
      </c>
      <c r="C666" s="21" t="str">
        <f>IF(Base!I660="","",Base!I660)</f>
        <v/>
      </c>
      <c r="D666" s="22" t="str">
        <f>IF(Base!J660="","",Base!J660)</f>
        <v/>
      </c>
      <c r="E666" s="21" t="str">
        <f>IF(Base!H660="","",Base!H660)</f>
        <v/>
      </c>
    </row>
    <row r="667" spans="1:5">
      <c r="A667" s="21" t="str">
        <f>IF(Base!B661="","",Base!B661)</f>
        <v/>
      </c>
      <c r="B667" s="21" t="str">
        <f>IF(Base!F661="","",Base!F661)</f>
        <v/>
      </c>
      <c r="C667" s="21" t="str">
        <f>IF(Base!I661="","",Base!I661)</f>
        <v/>
      </c>
      <c r="D667" s="22" t="str">
        <f>IF(Base!J661="","",Base!J661)</f>
        <v/>
      </c>
      <c r="E667" s="21" t="str">
        <f>IF(Base!H661="","",Base!H661)</f>
        <v/>
      </c>
    </row>
    <row r="668" spans="1:5">
      <c r="A668" s="21" t="str">
        <f>IF(Base!B662="","",Base!B662)</f>
        <v/>
      </c>
      <c r="B668" s="21" t="str">
        <f>IF(Base!F662="","",Base!F662)</f>
        <v/>
      </c>
      <c r="C668" s="21" t="str">
        <f>IF(Base!I662="","",Base!I662)</f>
        <v/>
      </c>
      <c r="D668" s="22" t="str">
        <f>IF(Base!J662="","",Base!J662)</f>
        <v/>
      </c>
      <c r="E668" s="21" t="str">
        <f>IF(Base!H662="","",Base!H662)</f>
        <v/>
      </c>
    </row>
    <row r="669" spans="1:5">
      <c r="A669" s="21" t="str">
        <f>IF(Base!B663="","",Base!B663)</f>
        <v/>
      </c>
      <c r="B669" s="21" t="str">
        <f>IF(Base!F663="","",Base!F663)</f>
        <v/>
      </c>
      <c r="C669" s="21" t="str">
        <f>IF(Base!I663="","",Base!I663)</f>
        <v/>
      </c>
      <c r="D669" s="22" t="str">
        <f>IF(Base!J663="","",Base!J663)</f>
        <v/>
      </c>
      <c r="E669" s="21" t="str">
        <f>IF(Base!H663="","",Base!H663)</f>
        <v/>
      </c>
    </row>
    <row r="670" spans="1:5">
      <c r="A670" s="21" t="str">
        <f>IF(Base!B664="","",Base!B664)</f>
        <v/>
      </c>
      <c r="B670" s="21" t="str">
        <f>IF(Base!F664="","",Base!F664)</f>
        <v/>
      </c>
      <c r="C670" s="21" t="str">
        <f>IF(Base!I664="","",Base!I664)</f>
        <v/>
      </c>
      <c r="D670" s="22" t="str">
        <f>IF(Base!J664="","",Base!J664)</f>
        <v/>
      </c>
      <c r="E670" s="21" t="str">
        <f>IF(Base!H664="","",Base!H664)</f>
        <v/>
      </c>
    </row>
    <row r="671" spans="1:5">
      <c r="A671" s="21" t="str">
        <f>IF(Base!B665="","",Base!B665)</f>
        <v/>
      </c>
      <c r="B671" s="21" t="str">
        <f>IF(Base!F665="","",Base!F665)</f>
        <v/>
      </c>
      <c r="C671" s="21" t="str">
        <f>IF(Base!I665="","",Base!I665)</f>
        <v/>
      </c>
      <c r="D671" s="22" t="str">
        <f>IF(Base!J665="","",Base!J665)</f>
        <v/>
      </c>
      <c r="E671" s="21" t="str">
        <f>IF(Base!H665="","",Base!H665)</f>
        <v/>
      </c>
    </row>
    <row r="672" spans="1:5">
      <c r="A672" s="21" t="str">
        <f>IF(Base!B666="","",Base!B666)</f>
        <v/>
      </c>
      <c r="B672" s="21" t="str">
        <f>IF(Base!F666="","",Base!F666)</f>
        <v/>
      </c>
      <c r="C672" s="21" t="str">
        <f>IF(Base!I666="","",Base!I666)</f>
        <v/>
      </c>
      <c r="D672" s="22" t="str">
        <f>IF(Base!J666="","",Base!J666)</f>
        <v/>
      </c>
      <c r="E672" s="21" t="str">
        <f>IF(Base!H666="","",Base!H666)</f>
        <v/>
      </c>
    </row>
    <row r="673" spans="1:5">
      <c r="A673" s="21" t="str">
        <f>IF(Base!B667="","",Base!B667)</f>
        <v/>
      </c>
      <c r="B673" s="21" t="str">
        <f>IF(Base!F667="","",Base!F667)</f>
        <v/>
      </c>
      <c r="C673" s="21" t="str">
        <f>IF(Base!I667="","",Base!I667)</f>
        <v/>
      </c>
      <c r="D673" s="22" t="str">
        <f>IF(Base!J667="","",Base!J667)</f>
        <v/>
      </c>
      <c r="E673" s="21" t="str">
        <f>IF(Base!H667="","",Base!H667)</f>
        <v/>
      </c>
    </row>
    <row r="674" spans="1:5">
      <c r="A674" s="21" t="str">
        <f>IF(Base!B668="","",Base!B668)</f>
        <v/>
      </c>
      <c r="B674" s="21" t="str">
        <f>IF(Base!F668="","",Base!F668)</f>
        <v/>
      </c>
      <c r="C674" s="21" t="str">
        <f>IF(Base!I668="","",Base!I668)</f>
        <v/>
      </c>
      <c r="D674" s="22" t="str">
        <f>IF(Base!J668="","",Base!J668)</f>
        <v/>
      </c>
      <c r="E674" s="21" t="str">
        <f>IF(Base!H668="","",Base!H668)</f>
        <v/>
      </c>
    </row>
    <row r="675" spans="1:5">
      <c r="A675" s="21" t="str">
        <f>IF(Base!B669="","",Base!B669)</f>
        <v/>
      </c>
      <c r="B675" s="21" t="str">
        <f>IF(Base!F669="","",Base!F669)</f>
        <v/>
      </c>
      <c r="C675" s="21" t="str">
        <f>IF(Base!I669="","",Base!I669)</f>
        <v/>
      </c>
      <c r="D675" s="22" t="str">
        <f>IF(Base!J669="","",Base!J669)</f>
        <v/>
      </c>
      <c r="E675" s="21" t="str">
        <f>IF(Base!H669="","",Base!H669)</f>
        <v/>
      </c>
    </row>
    <row r="676" spans="1:5">
      <c r="A676" s="21" t="str">
        <f>IF(Base!B670="","",Base!B670)</f>
        <v/>
      </c>
      <c r="B676" s="21" t="str">
        <f>IF(Base!F670="","",Base!F670)</f>
        <v/>
      </c>
      <c r="C676" s="21" t="str">
        <f>IF(Base!I670="","",Base!I670)</f>
        <v/>
      </c>
      <c r="D676" s="22" t="str">
        <f>IF(Base!J670="","",Base!J670)</f>
        <v/>
      </c>
      <c r="E676" s="21" t="str">
        <f>IF(Base!H670="","",Base!H670)</f>
        <v/>
      </c>
    </row>
    <row r="677" spans="1:5">
      <c r="A677" s="21" t="str">
        <f>IF(Base!B671="","",Base!B671)</f>
        <v/>
      </c>
      <c r="B677" s="21" t="str">
        <f>IF(Base!F671="","",Base!F671)</f>
        <v/>
      </c>
      <c r="C677" s="21" t="str">
        <f>IF(Base!I671="","",Base!I671)</f>
        <v/>
      </c>
      <c r="D677" s="22" t="str">
        <f>IF(Base!J671="","",Base!J671)</f>
        <v/>
      </c>
      <c r="E677" s="21" t="str">
        <f>IF(Base!H671="","",Base!H671)</f>
        <v/>
      </c>
    </row>
    <row r="678" spans="1:5">
      <c r="A678" s="21" t="str">
        <f>IF(Base!B672="","",Base!B672)</f>
        <v/>
      </c>
      <c r="B678" s="21" t="str">
        <f>IF(Base!F672="","",Base!F672)</f>
        <v/>
      </c>
      <c r="C678" s="21" t="str">
        <f>IF(Base!I672="","",Base!I672)</f>
        <v/>
      </c>
      <c r="D678" s="22" t="str">
        <f>IF(Base!J672="","",Base!J672)</f>
        <v/>
      </c>
      <c r="E678" s="21" t="str">
        <f>IF(Base!H672="","",Base!H672)</f>
        <v/>
      </c>
    </row>
    <row r="679" spans="1:5">
      <c r="A679" s="21" t="str">
        <f>IF(Base!B673="","",Base!B673)</f>
        <v/>
      </c>
      <c r="B679" s="21" t="str">
        <f>IF(Base!F673="","",Base!F673)</f>
        <v/>
      </c>
      <c r="C679" s="21" t="str">
        <f>IF(Base!I673="","",Base!I673)</f>
        <v/>
      </c>
      <c r="D679" s="22" t="str">
        <f>IF(Base!J673="","",Base!J673)</f>
        <v/>
      </c>
      <c r="E679" s="21" t="str">
        <f>IF(Base!H673="","",Base!H673)</f>
        <v/>
      </c>
    </row>
    <row r="680" spans="1:5">
      <c r="A680" s="21" t="str">
        <f>IF(Base!B674="","",Base!B674)</f>
        <v/>
      </c>
      <c r="B680" s="21" t="str">
        <f>IF(Base!F674="","",Base!F674)</f>
        <v/>
      </c>
      <c r="C680" s="21" t="str">
        <f>IF(Base!I674="","",Base!I674)</f>
        <v/>
      </c>
      <c r="D680" s="22" t="str">
        <f>IF(Base!J674="","",Base!J674)</f>
        <v/>
      </c>
      <c r="E680" s="21" t="str">
        <f>IF(Base!H674="","",Base!H674)</f>
        <v/>
      </c>
    </row>
    <row r="681" spans="1:5">
      <c r="A681" s="21" t="str">
        <f>IF(Base!B675="","",Base!B675)</f>
        <v/>
      </c>
      <c r="B681" s="21" t="str">
        <f>IF(Base!F675="","",Base!F675)</f>
        <v/>
      </c>
      <c r="C681" s="21" t="str">
        <f>IF(Base!I675="","",Base!I675)</f>
        <v/>
      </c>
      <c r="D681" s="22" t="str">
        <f>IF(Base!J675="","",Base!J675)</f>
        <v/>
      </c>
      <c r="E681" s="21" t="str">
        <f>IF(Base!H675="","",Base!H675)</f>
        <v/>
      </c>
    </row>
    <row r="682" spans="1:5">
      <c r="A682" s="21" t="str">
        <f>IF(Base!B676="","",Base!B676)</f>
        <v/>
      </c>
      <c r="B682" s="21" t="str">
        <f>IF(Base!F676="","",Base!F676)</f>
        <v/>
      </c>
      <c r="C682" s="21" t="str">
        <f>IF(Base!I676="","",Base!I676)</f>
        <v/>
      </c>
      <c r="D682" s="22" t="str">
        <f>IF(Base!J676="","",Base!J676)</f>
        <v/>
      </c>
      <c r="E682" s="21" t="str">
        <f>IF(Base!H676="","",Base!H676)</f>
        <v/>
      </c>
    </row>
    <row r="683" spans="1:5">
      <c r="A683" s="21" t="str">
        <f>IF(Base!B677="","",Base!B677)</f>
        <v/>
      </c>
      <c r="B683" s="21" t="str">
        <f>IF(Base!F677="","",Base!F677)</f>
        <v/>
      </c>
      <c r="C683" s="21" t="str">
        <f>IF(Base!I677="","",Base!I677)</f>
        <v/>
      </c>
      <c r="D683" s="22" t="str">
        <f>IF(Base!J677="","",Base!J677)</f>
        <v/>
      </c>
      <c r="E683" s="21" t="str">
        <f>IF(Base!H677="","",Base!H677)</f>
        <v/>
      </c>
    </row>
    <row r="684" spans="1:5">
      <c r="A684" s="21" t="str">
        <f>IF(Base!B678="","",Base!B678)</f>
        <v/>
      </c>
      <c r="B684" s="21" t="str">
        <f>IF(Base!F678="","",Base!F678)</f>
        <v/>
      </c>
      <c r="C684" s="21" t="str">
        <f>IF(Base!I678="","",Base!I678)</f>
        <v/>
      </c>
      <c r="D684" s="22" t="str">
        <f>IF(Base!J678="","",Base!J678)</f>
        <v/>
      </c>
      <c r="E684" s="21" t="str">
        <f>IF(Base!H678="","",Base!H678)</f>
        <v/>
      </c>
    </row>
    <row r="685" spans="1:5">
      <c r="A685" s="21" t="str">
        <f>IF(Base!B679="","",Base!B679)</f>
        <v/>
      </c>
      <c r="B685" s="21" t="str">
        <f>IF(Base!F679="","",Base!F679)</f>
        <v/>
      </c>
      <c r="C685" s="21" t="str">
        <f>IF(Base!I679="","",Base!I679)</f>
        <v/>
      </c>
      <c r="D685" s="22" t="str">
        <f>IF(Base!J679="","",Base!J679)</f>
        <v/>
      </c>
      <c r="E685" s="21" t="str">
        <f>IF(Base!H679="","",Base!H679)</f>
        <v/>
      </c>
    </row>
    <row r="686" spans="1:5">
      <c r="A686" s="21" t="str">
        <f>IF(Base!B680="","",Base!B680)</f>
        <v/>
      </c>
      <c r="B686" s="21" t="str">
        <f>IF(Base!F680="","",Base!F680)</f>
        <v/>
      </c>
      <c r="C686" s="21" t="str">
        <f>IF(Base!I680="","",Base!I680)</f>
        <v/>
      </c>
      <c r="D686" s="22" t="str">
        <f>IF(Base!J680="","",Base!J680)</f>
        <v/>
      </c>
      <c r="E686" s="21" t="str">
        <f>IF(Base!H680="","",Base!H680)</f>
        <v/>
      </c>
    </row>
    <row r="687" spans="1:5">
      <c r="A687" s="21" t="str">
        <f>IF(Base!B681="","",Base!B681)</f>
        <v/>
      </c>
      <c r="B687" s="21" t="str">
        <f>IF(Base!F681="","",Base!F681)</f>
        <v/>
      </c>
      <c r="C687" s="21" t="str">
        <f>IF(Base!I681="","",Base!I681)</f>
        <v/>
      </c>
      <c r="D687" s="22" t="str">
        <f>IF(Base!J681="","",Base!J681)</f>
        <v/>
      </c>
      <c r="E687" s="21" t="str">
        <f>IF(Base!H681="","",Base!H681)</f>
        <v/>
      </c>
    </row>
    <row r="688" spans="1:5">
      <c r="A688" s="21" t="str">
        <f>IF(Base!B682="","",Base!B682)</f>
        <v/>
      </c>
      <c r="B688" s="21" t="str">
        <f>IF(Base!F682="","",Base!F682)</f>
        <v/>
      </c>
      <c r="C688" s="21" t="str">
        <f>IF(Base!I682="","",Base!I682)</f>
        <v/>
      </c>
      <c r="D688" s="22" t="str">
        <f>IF(Base!J682="","",Base!J682)</f>
        <v/>
      </c>
      <c r="E688" s="21" t="str">
        <f>IF(Base!H682="","",Base!H682)</f>
        <v/>
      </c>
    </row>
    <row r="689" spans="1:5">
      <c r="A689" s="21" t="str">
        <f>IF(Base!B683="","",Base!B683)</f>
        <v/>
      </c>
      <c r="B689" s="21" t="str">
        <f>IF(Base!F683="","",Base!F683)</f>
        <v/>
      </c>
      <c r="C689" s="21" t="str">
        <f>IF(Base!I683="","",Base!I683)</f>
        <v/>
      </c>
      <c r="D689" s="22" t="str">
        <f>IF(Base!J683="","",Base!J683)</f>
        <v/>
      </c>
      <c r="E689" s="21" t="str">
        <f>IF(Base!H683="","",Base!H683)</f>
        <v/>
      </c>
    </row>
    <row r="690" spans="1:5">
      <c r="A690" s="21" t="str">
        <f>IF(Base!B684="","",Base!B684)</f>
        <v/>
      </c>
      <c r="B690" s="21" t="str">
        <f>IF(Base!F684="","",Base!F684)</f>
        <v/>
      </c>
      <c r="C690" s="21" t="str">
        <f>IF(Base!I684="","",Base!I684)</f>
        <v/>
      </c>
      <c r="D690" s="22" t="str">
        <f>IF(Base!J684="","",Base!J684)</f>
        <v/>
      </c>
      <c r="E690" s="21" t="str">
        <f>IF(Base!H684="","",Base!H684)</f>
        <v/>
      </c>
    </row>
    <row r="691" spans="1:5">
      <c r="A691" s="21" t="str">
        <f>IF(Base!B685="","",Base!B685)</f>
        <v/>
      </c>
      <c r="B691" s="21" t="str">
        <f>IF(Base!F685="","",Base!F685)</f>
        <v/>
      </c>
      <c r="C691" s="21" t="str">
        <f>IF(Base!I685="","",Base!I685)</f>
        <v/>
      </c>
      <c r="D691" s="22" t="str">
        <f>IF(Base!J685="","",Base!J685)</f>
        <v/>
      </c>
      <c r="E691" s="21" t="str">
        <f>IF(Base!H685="","",Base!H685)</f>
        <v/>
      </c>
    </row>
    <row r="692" spans="1:5">
      <c r="A692" s="21" t="str">
        <f>IF(Base!B686="","",Base!B686)</f>
        <v/>
      </c>
      <c r="B692" s="21" t="str">
        <f>IF(Base!F686="","",Base!F686)</f>
        <v/>
      </c>
      <c r="C692" s="21" t="str">
        <f>IF(Base!I686="","",Base!I686)</f>
        <v/>
      </c>
      <c r="D692" s="22" t="str">
        <f>IF(Base!J686="","",Base!J686)</f>
        <v/>
      </c>
      <c r="E692" s="21" t="str">
        <f>IF(Base!H686="","",Base!H686)</f>
        <v/>
      </c>
    </row>
    <row r="693" spans="1:5">
      <c r="A693" s="21" t="str">
        <f>IF(Base!B687="","",Base!B687)</f>
        <v/>
      </c>
      <c r="B693" s="21" t="str">
        <f>IF(Base!F687="","",Base!F687)</f>
        <v/>
      </c>
      <c r="C693" s="21" t="str">
        <f>IF(Base!I687="","",Base!I687)</f>
        <v/>
      </c>
      <c r="D693" s="22" t="str">
        <f>IF(Base!J687="","",Base!J687)</f>
        <v/>
      </c>
      <c r="E693" s="21" t="str">
        <f>IF(Base!H687="","",Base!H687)</f>
        <v/>
      </c>
    </row>
    <row r="694" spans="1:5">
      <c r="A694" s="21" t="str">
        <f>IF(Base!B688="","",Base!B688)</f>
        <v/>
      </c>
      <c r="B694" s="21" t="str">
        <f>IF(Base!F688="","",Base!F688)</f>
        <v/>
      </c>
      <c r="C694" s="21" t="str">
        <f>IF(Base!I688="","",Base!I688)</f>
        <v/>
      </c>
      <c r="D694" s="22" t="str">
        <f>IF(Base!J688="","",Base!J688)</f>
        <v/>
      </c>
      <c r="E694" s="21" t="str">
        <f>IF(Base!H688="","",Base!H688)</f>
        <v/>
      </c>
    </row>
    <row r="695" spans="1:5">
      <c r="A695" s="21" t="str">
        <f>IF(Base!B689="","",Base!B689)</f>
        <v/>
      </c>
      <c r="B695" s="21" t="str">
        <f>IF(Base!F689="","",Base!F689)</f>
        <v/>
      </c>
      <c r="C695" s="21" t="str">
        <f>IF(Base!I689="","",Base!I689)</f>
        <v/>
      </c>
      <c r="D695" s="22" t="str">
        <f>IF(Base!J689="","",Base!J689)</f>
        <v/>
      </c>
      <c r="E695" s="21" t="str">
        <f>IF(Base!H689="","",Base!H689)</f>
        <v/>
      </c>
    </row>
    <row r="696" spans="1:5">
      <c r="A696" s="21" t="str">
        <f>IF(Base!B690="","",Base!B690)</f>
        <v/>
      </c>
      <c r="B696" s="21" t="str">
        <f>IF(Base!F690="","",Base!F690)</f>
        <v/>
      </c>
      <c r="C696" s="21" t="str">
        <f>IF(Base!I690="","",Base!I690)</f>
        <v/>
      </c>
      <c r="D696" s="22" t="str">
        <f>IF(Base!J690="","",Base!J690)</f>
        <v/>
      </c>
      <c r="E696" s="21" t="str">
        <f>IF(Base!H690="","",Base!H690)</f>
        <v/>
      </c>
    </row>
    <row r="697" spans="1:5">
      <c r="A697" s="21" t="str">
        <f>IF(Base!B691="","",Base!B691)</f>
        <v/>
      </c>
      <c r="B697" s="21" t="str">
        <f>IF(Base!F691="","",Base!F691)</f>
        <v/>
      </c>
      <c r="C697" s="21" t="str">
        <f>IF(Base!I691="","",Base!I691)</f>
        <v/>
      </c>
      <c r="D697" s="22" t="str">
        <f>IF(Base!J691="","",Base!J691)</f>
        <v/>
      </c>
      <c r="E697" s="21" t="str">
        <f>IF(Base!H691="","",Base!H691)</f>
        <v/>
      </c>
    </row>
    <row r="698" spans="1:5">
      <c r="A698" s="21" t="str">
        <f>IF(Base!B692="","",Base!B692)</f>
        <v/>
      </c>
      <c r="B698" s="21" t="str">
        <f>IF(Base!F692="","",Base!F692)</f>
        <v/>
      </c>
      <c r="C698" s="21" t="str">
        <f>IF(Base!I692="","",Base!I692)</f>
        <v/>
      </c>
      <c r="D698" s="22" t="str">
        <f>IF(Base!J692="","",Base!J692)</f>
        <v/>
      </c>
      <c r="E698" s="21" t="str">
        <f>IF(Base!H692="","",Base!H692)</f>
        <v/>
      </c>
    </row>
    <row r="699" spans="1:5">
      <c r="A699" s="21" t="str">
        <f>IF(Base!B693="","",Base!B693)</f>
        <v/>
      </c>
      <c r="B699" s="21" t="str">
        <f>IF(Base!F693="","",Base!F693)</f>
        <v/>
      </c>
      <c r="C699" s="21" t="str">
        <f>IF(Base!I693="","",Base!I693)</f>
        <v/>
      </c>
      <c r="D699" s="22" t="str">
        <f>IF(Base!J693="","",Base!J693)</f>
        <v/>
      </c>
      <c r="E699" s="21" t="str">
        <f>IF(Base!H693="","",Base!H693)</f>
        <v/>
      </c>
    </row>
    <row r="700" spans="1:5">
      <c r="A700" s="21" t="str">
        <f>IF(Base!B694="","",Base!B694)</f>
        <v/>
      </c>
      <c r="B700" s="21" t="str">
        <f>IF(Base!F694="","",Base!F694)</f>
        <v/>
      </c>
      <c r="C700" s="21" t="str">
        <f>IF(Base!I694="","",Base!I694)</f>
        <v/>
      </c>
      <c r="D700" s="22" t="str">
        <f>IF(Base!J694="","",Base!J694)</f>
        <v/>
      </c>
      <c r="E700" s="21" t="str">
        <f>IF(Base!H694="","",Base!H694)</f>
        <v/>
      </c>
    </row>
    <row r="1048574" spans="16384:16384">
      <c r="XFD1048574" s="102">
        <v>99999</v>
      </c>
    </row>
    <row r="1048575" spans="16384:16384">
      <c r="XFD1048575" s="102">
        <f ca="1">TODAY()</f>
        <v>40899</v>
      </c>
    </row>
    <row r="1048576" spans="16384:16384">
      <c r="XFD1048576">
        <f ca="1">IF(XFD1048575&lt;XFD1048574,1,0)</f>
        <v>1</v>
      </c>
    </row>
  </sheetData>
  <mergeCells count="16">
    <mergeCell ref="AE9:AF9"/>
    <mergeCell ref="AG9:AG10"/>
    <mergeCell ref="AA8:AB8"/>
    <mergeCell ref="AC8:AD8"/>
    <mergeCell ref="Q8:R8"/>
    <mergeCell ref="S8:T8"/>
    <mergeCell ref="U8:V8"/>
    <mergeCell ref="W8:X8"/>
    <mergeCell ref="Y8:Z8"/>
    <mergeCell ref="AA9:AB9"/>
    <mergeCell ref="AC9:AD9"/>
    <mergeCell ref="Q9:R9"/>
    <mergeCell ref="S9:T9"/>
    <mergeCell ref="U9:V9"/>
    <mergeCell ref="W9:X9"/>
    <mergeCell ref="Y9:Z9"/>
  </mergeCells>
  <dataValidations count="7">
    <dataValidation type="list" showInputMessage="1" showErrorMessage="1" errorTitle="Error en ingreso de datos" error="Seleccione los datos correctos desde la lista desplegable" sqref="K113:K260">
      <formula1>$A$4:$A$700</formula1>
    </dataValidation>
    <dataValidation type="list" allowBlank="1" showInputMessage="1" showErrorMessage="1" errorTitle="Datos" error="Use la lista desplegable para ingresar el turno" sqref="P110:P260">
      <formula1>$H$3:$H$6</formula1>
    </dataValidation>
    <dataValidation type="list" allowBlank="1" showInputMessage="1" showErrorMessage="1" errorTitle="Datos" error="Use la lista desplegable para ingresar el turno" sqref="P11:P109">
      <formula1>$H$3:$H$7</formula1>
    </dataValidation>
    <dataValidation type="list" allowBlank="1" showInputMessage="1" showErrorMessage="1" sqref="L4">
      <formula1>$H$10:$H$21</formula1>
    </dataValidation>
    <dataValidation type="list" allowBlank="1" showInputMessage="1" showErrorMessage="1" sqref="L5">
      <formula1>$H$23:$H$25</formula1>
    </dataValidation>
    <dataValidation type="list" allowBlank="1" showInputMessage="1" showErrorMessage="1" sqref="L3">
      <formula1>$J$11:$J$65</formula1>
    </dataValidation>
    <dataValidation type="list" showInputMessage="1" showErrorMessage="1" errorTitle="Error en ingreso de datos" error="Seleccione los datos correctos desde la lista desplegable" sqref="K11:K112">
      <formula1>$A$4:$A$699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T2762"/>
  <sheetViews>
    <sheetView topLeftCell="D1" workbookViewId="0">
      <selection activeCell="K2" sqref="K2"/>
    </sheetView>
  </sheetViews>
  <sheetFormatPr baseColWidth="10" defaultRowHeight="12.75"/>
  <cols>
    <col min="1" max="1" width="9" style="21" bestFit="1" customWidth="1"/>
    <col min="2" max="2" width="23.5703125" style="21" customWidth="1"/>
    <col min="3" max="3" width="14.140625" style="21" bestFit="1" customWidth="1"/>
    <col min="4" max="4" width="14.7109375" style="21" bestFit="1" customWidth="1"/>
    <col min="5" max="5" width="10.140625" style="21" bestFit="1" customWidth="1"/>
    <col min="6" max="6" width="8.140625" style="21" bestFit="1" customWidth="1"/>
    <col min="7" max="7" width="4.28515625" style="21" bestFit="1" customWidth="1"/>
    <col min="8" max="8" width="18" style="21" bestFit="1" customWidth="1"/>
    <col min="9" max="9" width="11.42578125" style="88"/>
    <col min="10" max="10" width="8" style="99" customWidth="1"/>
    <col min="11" max="11" width="14.5703125" style="89" customWidth="1"/>
    <col min="12" max="12" width="8.5703125" customWidth="1"/>
  </cols>
  <sheetData>
    <row r="1" spans="1:20" s="36" customFormat="1" ht="33.75" customHeight="1">
      <c r="A1" s="19" t="s">
        <v>5</v>
      </c>
      <c r="B1" s="19" t="s">
        <v>9</v>
      </c>
      <c r="C1" s="19" t="s">
        <v>7</v>
      </c>
      <c r="D1" s="19" t="s">
        <v>8</v>
      </c>
      <c r="E1" s="19" t="s">
        <v>1331</v>
      </c>
      <c r="F1" s="19" t="s">
        <v>1332</v>
      </c>
      <c r="G1" s="19" t="s">
        <v>1333</v>
      </c>
      <c r="H1" s="19" t="s">
        <v>1334</v>
      </c>
      <c r="I1" s="86" t="s">
        <v>1445</v>
      </c>
      <c r="J1" s="98" t="s">
        <v>1326</v>
      </c>
      <c r="K1" s="87" t="s">
        <v>0</v>
      </c>
      <c r="L1" s="36" t="s">
        <v>1446</v>
      </c>
    </row>
    <row r="2" spans="1:20" s="40" customFormat="1">
      <c r="A2">
        <v>4776546</v>
      </c>
      <c r="B2" t="s">
        <v>713</v>
      </c>
      <c r="C2" t="s">
        <v>711</v>
      </c>
      <c r="D2" t="s">
        <v>712</v>
      </c>
      <c r="E2" t="s">
        <v>1440</v>
      </c>
      <c r="F2" s="78">
        <v>0.95085648148148139</v>
      </c>
      <c r="G2" t="s">
        <v>1406</v>
      </c>
      <c r="H2" t="s">
        <v>1336</v>
      </c>
      <c r="I2" s="88" t="str">
        <f>VLOOKUP(A2,Base!A:B,2,0)</f>
        <v>04.776.546-3</v>
      </c>
      <c r="J2" s="99" t="str">
        <f>VLOOKUP(A2,Base!A:F,6,0)</f>
        <v>EUGENIO  OLEKSIUK  SEKOWSKA</v>
      </c>
      <c r="K2" s="89" t="str">
        <f>IFERROR(IF(VLOOKUP(I2,Ingreso!K:P,6,0)=0,"Sin turtno ing",VLOOKUP(I2,Ingreso!K:P,6,0)),IF(F2&gt;0.25,IF(F2&lt;0.311805555555556,"Turno A",IF(F2&gt;0.3125,IF(F2&lt;0.354166666666667,"Turno C",IF(F2&gt;0.583333333333333,IF(F2&lt;0.625,"Turno B",IF(F2&gt;0.625694444444444,IF(F2&lt;0.8125,"Turno A",IF(F2&gt;0.875,IF(F2&lt;0.936805555555556,"Turno C",IF(F2&gt;0.9375,IF(F2&lt;0.979166666666667,"Turno B",""),"")),"")),"")),"")),"")),""))</f>
        <v>Turno B</v>
      </c>
      <c r="L2" s="91">
        <f>VLOOKUP(K2,$S$3:$T$7,2,0)</f>
        <v>0.3125</v>
      </c>
      <c r="O2" s="101"/>
    </row>
    <row r="3" spans="1:20" s="40" customFormat="1">
      <c r="A3">
        <v>4776546</v>
      </c>
      <c r="B3" t="s">
        <v>713</v>
      </c>
      <c r="C3" t="s">
        <v>711</v>
      </c>
      <c r="D3" t="s">
        <v>712</v>
      </c>
      <c r="E3" t="s">
        <v>1440</v>
      </c>
      <c r="F3" s="78">
        <v>0.60799768518518515</v>
      </c>
      <c r="G3" t="s">
        <v>1405</v>
      </c>
      <c r="H3" t="s">
        <v>1335</v>
      </c>
      <c r="I3" s="88" t="str">
        <f>VLOOKUP(A3,Base!A:B,2,0)</f>
        <v>04.776.546-3</v>
      </c>
      <c r="J3" s="99" t="str">
        <f>VLOOKUP(A3,Base!A:F,6,0)</f>
        <v>EUGENIO  OLEKSIUK  SEKOWSKA</v>
      </c>
      <c r="K3" s="89" t="str">
        <f>IFERROR(IF(VLOOKUP(I3,Ingreso!K:P,6,0)=0,"Sin turtno ing",VLOOKUP(I3,Ingreso!K:P,6,0)),IF(F3&gt;0.25,IF(F3&lt;0.311805555555556,"Turno A",IF(F3&gt;0.3125,IF(F3&lt;0.354166666666667,"Turno C",IF(F3&gt;0.583333333333333,IF(F3&lt;0.625,"Turno B",IF(F3&gt;0.625694444444444,IF(F3&lt;0.8125,"Turno A",IF(F3&gt;0.875,IF(F3&lt;0.936805555555556,"Turno C",IF(F3&gt;0.9375,IF(F3&lt;0.979166666666667,"Turno B",""),"")),"")),"")),"")),"")),""))</f>
        <v>Turno B</v>
      </c>
      <c r="L3" s="91">
        <f t="shared" ref="L3:L66" si="0">VLOOKUP(K3,$S$3:$T$7,2,0)</f>
        <v>0.3125</v>
      </c>
      <c r="S3" s="19" t="s">
        <v>4</v>
      </c>
      <c r="T3" s="39">
        <v>0.3125</v>
      </c>
    </row>
    <row r="4" spans="1:20" s="40" customFormat="1">
      <c r="A4">
        <v>4776546</v>
      </c>
      <c r="B4" t="s">
        <v>713</v>
      </c>
      <c r="C4" t="s">
        <v>711</v>
      </c>
      <c r="D4" t="s">
        <v>712</v>
      </c>
      <c r="E4" t="s">
        <v>1441</v>
      </c>
      <c r="F4" s="78">
        <v>0.95416666666666661</v>
      </c>
      <c r="G4" t="s">
        <v>1406</v>
      </c>
      <c r="H4" t="s">
        <v>1336</v>
      </c>
      <c r="I4" s="88" t="str">
        <f>VLOOKUP(A4,Base!A:B,2,0)</f>
        <v>04.776.546-3</v>
      </c>
      <c r="J4" s="99" t="str">
        <f>VLOOKUP(A4,Base!A:F,6,0)</f>
        <v>EUGENIO  OLEKSIUK  SEKOWSKA</v>
      </c>
      <c r="K4" s="89" t="str">
        <f>IFERROR(IF(VLOOKUP(I4,Ingreso!K:P,6,0)=0,"Sin turtno ing",VLOOKUP(I4,Ingreso!K:P,6,0)),IF(F4&gt;0.25,IF(F4&lt;0.311805555555556,"Turno A",IF(F4&gt;0.3125,IF(F4&lt;0.354166666666667,"Turno C",IF(F4&gt;0.583333333333333,IF(F4&lt;0.625,"Turno B",IF(F4&gt;0.625694444444444,IF(F4&lt;0.8125,"Turno A",IF(F4&gt;0.875,IF(F4&lt;0.936805555555556,"Turno C",IF(F4&gt;0.9375,IF(F4&lt;0.979166666666667,"Turno B",""),"")),"")),"")),"")),"")),""))</f>
        <v>Turno B</v>
      </c>
      <c r="L4" s="91">
        <f t="shared" si="0"/>
        <v>0.3125</v>
      </c>
      <c r="S4" s="19" t="s">
        <v>1321</v>
      </c>
      <c r="T4" s="39">
        <v>0.3125</v>
      </c>
    </row>
    <row r="5" spans="1:20" s="40" customFormat="1">
      <c r="A5">
        <v>4776546</v>
      </c>
      <c r="B5" t="s">
        <v>713</v>
      </c>
      <c r="C5" t="s">
        <v>711</v>
      </c>
      <c r="D5" t="s">
        <v>712</v>
      </c>
      <c r="E5" t="s">
        <v>1441</v>
      </c>
      <c r="F5" s="78">
        <v>0.61222222222222222</v>
      </c>
      <c r="G5" t="s">
        <v>1405</v>
      </c>
      <c r="H5" t="s">
        <v>1335</v>
      </c>
      <c r="I5" s="88" t="str">
        <f>VLOOKUP(A5,Base!A:B,2,0)</f>
        <v>04.776.546-3</v>
      </c>
      <c r="J5" s="99" t="str">
        <f>VLOOKUP(A5,Base!A:F,6,0)</f>
        <v>EUGENIO  OLEKSIUK  SEKOWSKA</v>
      </c>
      <c r="K5" s="89" t="str">
        <f>IFERROR(IF(VLOOKUP(I5,Ingreso!K:P,6,0)=0,"Sin turtno ing",VLOOKUP(I5,Ingreso!K:P,6,0)),IF(F5&gt;0.25,IF(F5&lt;0.311805555555556,"Turno A",IF(F5&gt;0.3125,IF(F5&lt;0.354166666666667,"Turno C",IF(F5&gt;0.583333333333333,IF(F5&lt;0.625,"Turno B",IF(F5&gt;0.625694444444444,IF(F5&lt;0.8125,"Turno A",IF(F5&gt;0.875,IF(F5&lt;0.936805555555556,"Turno C",IF(F5&gt;0.9375,IF(F5&lt;0.979166666666667,"Turno B",""),"")),"")),"")),"")),"")),""))</f>
        <v>Turno B</v>
      </c>
      <c r="L5" s="91">
        <f t="shared" si="0"/>
        <v>0.3125</v>
      </c>
      <c r="S5" s="90" t="s">
        <v>1323</v>
      </c>
      <c r="T5" s="39">
        <v>0.375</v>
      </c>
    </row>
    <row r="6" spans="1:20" s="40" customFormat="1">
      <c r="A6">
        <v>4776546</v>
      </c>
      <c r="B6" t="s">
        <v>713</v>
      </c>
      <c r="C6" t="s">
        <v>711</v>
      </c>
      <c r="D6" t="s">
        <v>712</v>
      </c>
      <c r="E6" t="s">
        <v>1437</v>
      </c>
      <c r="F6" s="78">
        <v>0.94908564814814811</v>
      </c>
      <c r="G6" t="s">
        <v>1406</v>
      </c>
      <c r="H6" t="s">
        <v>1336</v>
      </c>
      <c r="I6" s="88" t="str">
        <f>VLOOKUP(A6,Base!A:B,2,0)</f>
        <v>04.776.546-3</v>
      </c>
      <c r="J6" s="99" t="str">
        <f>VLOOKUP(A6,Base!A:F,6,0)</f>
        <v>EUGENIO  OLEKSIUK  SEKOWSKA</v>
      </c>
      <c r="K6" s="89" t="str">
        <f>IFERROR(IF(VLOOKUP(I6,Ingreso!K:P,6,0)=0,"Sin turtno ing",VLOOKUP(I6,Ingreso!K:P,6,0)),IF(F6&gt;0.25,IF(F6&lt;0.311805555555556,"Turno A",IF(F6&gt;0.3125,IF(F6&lt;0.354166666666667,"Turno C",IF(F6&gt;0.583333333333333,IF(F6&lt;0.625,"Turno B",IF(F6&gt;0.625694444444444,IF(F6&lt;0.8125,"Turno A",IF(F6&gt;0.875,IF(F6&lt;0.936805555555556,"Turno C",IF(F6&gt;0.9375,IF(F6&lt;0.979166666666667,"Turno B",""),"")),"")),"")),"")),"")),""))</f>
        <v>Turno B</v>
      </c>
      <c r="L6" s="91">
        <f t="shared" si="0"/>
        <v>0.3125</v>
      </c>
      <c r="S6" s="90" t="s">
        <v>1337</v>
      </c>
      <c r="T6" s="39">
        <v>0.41666666666666669</v>
      </c>
    </row>
    <row r="7" spans="1:20" s="40" customFormat="1">
      <c r="A7">
        <v>4776546</v>
      </c>
      <c r="B7" t="s">
        <v>713</v>
      </c>
      <c r="C7" t="s">
        <v>711</v>
      </c>
      <c r="D7" t="s">
        <v>712</v>
      </c>
      <c r="E7" t="s">
        <v>1437</v>
      </c>
      <c r="F7" s="78">
        <v>0.6055208333333334</v>
      </c>
      <c r="G7" t="s">
        <v>1405</v>
      </c>
      <c r="H7" t="s">
        <v>1335</v>
      </c>
      <c r="I7" s="88" t="str">
        <f>VLOOKUP(A7,Base!A:B,2,0)</f>
        <v>04.776.546-3</v>
      </c>
      <c r="J7" s="99" t="str">
        <f>VLOOKUP(A7,Base!A:F,6,0)</f>
        <v>EUGENIO  OLEKSIUK  SEKOWSKA</v>
      </c>
      <c r="K7" s="89" t="str">
        <f>IFERROR(IF(VLOOKUP(I7,Ingreso!K:P,6,0)=0,"Sin turtno ing",VLOOKUP(I7,Ingreso!K:P,6,0)),IF(F7&gt;0.25,IF(F7&lt;0.311805555555556,"Turno A",IF(F7&gt;0.3125,IF(F7&lt;0.354166666666667,"Turno C",IF(F7&gt;0.583333333333333,IF(F7&lt;0.625,"Turno B",IF(F7&gt;0.625694444444444,IF(F7&lt;0.8125,"Turno A",IF(F7&gt;0.875,IF(F7&lt;0.936805555555556,"Turno C",IF(F7&gt;0.9375,IF(F7&lt;0.979166666666667,"Turno B",""),"")),"")),"")),"")),"")),""))</f>
        <v>Turno B</v>
      </c>
      <c r="L7" s="91">
        <f t="shared" si="0"/>
        <v>0.3125</v>
      </c>
      <c r="S7" s="20" t="s">
        <v>1447</v>
      </c>
      <c r="T7" s="39">
        <v>0.3125</v>
      </c>
    </row>
    <row r="8" spans="1:20" s="40" customFormat="1">
      <c r="A8">
        <v>4776546</v>
      </c>
      <c r="B8" t="s">
        <v>713</v>
      </c>
      <c r="C8" t="s">
        <v>711</v>
      </c>
      <c r="D8" t="s">
        <v>712</v>
      </c>
      <c r="E8" t="s">
        <v>1438</v>
      </c>
      <c r="F8" s="78">
        <v>0.94931712962962955</v>
      </c>
      <c r="G8" t="s">
        <v>1406</v>
      </c>
      <c r="H8" t="s">
        <v>1336</v>
      </c>
      <c r="I8" s="88" t="str">
        <f>VLOOKUP(A8,Base!A:B,2,0)</f>
        <v>04.776.546-3</v>
      </c>
      <c r="J8" s="99" t="str">
        <f>VLOOKUP(A8,Base!A:F,6,0)</f>
        <v>EUGENIO  OLEKSIUK  SEKOWSKA</v>
      </c>
      <c r="K8" s="89" t="str">
        <f>IFERROR(IF(VLOOKUP(I8,Ingreso!K:P,6,0)=0,"Sin turtno ing",VLOOKUP(I8,Ingreso!K:P,6,0)),IF(F8&gt;0.25,IF(F8&lt;0.311805555555556,"Turno A",IF(F8&gt;0.3125,IF(F8&lt;0.354166666666667,"Turno C",IF(F8&gt;0.583333333333333,IF(F8&lt;0.625,"Turno B",IF(F8&gt;0.625694444444444,IF(F8&lt;0.8125,"Turno A",IF(F8&gt;0.875,IF(F8&lt;0.936805555555556,"Turno C",IF(F8&gt;0.9375,IF(F8&lt;0.979166666666667,"Turno B",""),"")),"")),"")),"")),"")),""))</f>
        <v>Turno B</v>
      </c>
      <c r="L8" s="91">
        <f>VLOOKUP(K8,$S$3:$T$7,2,0)</f>
        <v>0.3125</v>
      </c>
    </row>
    <row r="9" spans="1:20" s="40" customFormat="1">
      <c r="A9">
        <v>4776546</v>
      </c>
      <c r="B9" t="s">
        <v>713</v>
      </c>
      <c r="C9" t="s">
        <v>711</v>
      </c>
      <c r="D9" t="s">
        <v>712</v>
      </c>
      <c r="E9" t="s">
        <v>1438</v>
      </c>
      <c r="F9" s="78">
        <v>0.60642361111111109</v>
      </c>
      <c r="G9" t="s">
        <v>1405</v>
      </c>
      <c r="H9" t="s">
        <v>1335</v>
      </c>
      <c r="I9" s="88" t="str">
        <f>VLOOKUP(A9,Base!A:B,2,0)</f>
        <v>04.776.546-3</v>
      </c>
      <c r="J9" s="99" t="str">
        <f>VLOOKUP(A9,Base!A:F,6,0)</f>
        <v>EUGENIO  OLEKSIUK  SEKOWSKA</v>
      </c>
      <c r="K9" s="89" t="str">
        <f>IFERROR(IF(VLOOKUP(I9,Ingreso!K:P,6,0)=0,"Sin turtno ing",VLOOKUP(I9,Ingreso!K:P,6,0)),IF(F9&gt;0.25,IF(F9&lt;0.311805555555556,"Turno A",IF(F9&gt;0.3125,IF(F9&lt;0.354166666666667,"Turno C",IF(F9&gt;0.583333333333333,IF(F9&lt;0.625,"Turno B",IF(F9&gt;0.625694444444444,IF(F9&lt;0.8125,"Turno A",IF(F9&gt;0.875,IF(F9&lt;0.936805555555556,"Turno C",IF(F9&gt;0.9375,IF(F9&lt;0.979166666666667,"Turno B",""),"")),"")),"")),"")),"")),""))</f>
        <v>Turno B</v>
      </c>
      <c r="L9" s="91">
        <f t="shared" si="0"/>
        <v>0.3125</v>
      </c>
    </row>
    <row r="10" spans="1:20" s="40" customFormat="1">
      <c r="A10">
        <v>4776546</v>
      </c>
      <c r="B10" t="s">
        <v>713</v>
      </c>
      <c r="C10" t="s">
        <v>711</v>
      </c>
      <c r="D10" t="s">
        <v>712</v>
      </c>
      <c r="E10" t="s">
        <v>1439</v>
      </c>
      <c r="F10" s="78">
        <v>0.95224537037037038</v>
      </c>
      <c r="G10" t="s">
        <v>1406</v>
      </c>
      <c r="H10" t="s">
        <v>1336</v>
      </c>
      <c r="I10" s="88" t="str">
        <f>VLOOKUP(A10,Base!A:B,2,0)</f>
        <v>04.776.546-3</v>
      </c>
      <c r="J10" s="99" t="str">
        <f>VLOOKUP(A10,Base!A:F,6,0)</f>
        <v>EUGENIO  OLEKSIUK  SEKOWSKA</v>
      </c>
      <c r="K10" s="89" t="str">
        <f>IFERROR(IF(VLOOKUP(I10,Ingreso!K:P,6,0)=0,"Sin turtno ing",VLOOKUP(I10,Ingreso!K:P,6,0)),IF(F10&gt;0.25,IF(F10&lt;0.311805555555556,"Turno A",IF(F10&gt;0.3125,IF(F10&lt;0.354166666666667,"Turno C",IF(F10&gt;0.583333333333333,IF(F10&lt;0.625,"Turno B",IF(F10&gt;0.625694444444444,IF(F10&lt;0.8125,"Turno A",IF(F10&gt;0.875,IF(F10&lt;0.936805555555556,"Turno C",IF(F10&gt;0.9375,IF(F10&lt;0.979166666666667,"Turno B",""),"")),"")),"")),"")),"")),""))</f>
        <v>Turno B</v>
      </c>
      <c r="L10" s="91">
        <f t="shared" si="0"/>
        <v>0.3125</v>
      </c>
      <c r="S10" s="36">
        <v>1</v>
      </c>
      <c r="T10" s="36" t="s">
        <v>4</v>
      </c>
    </row>
    <row r="11" spans="1:20" s="40" customFormat="1">
      <c r="A11">
        <v>4776546</v>
      </c>
      <c r="B11" t="s">
        <v>713</v>
      </c>
      <c r="C11" t="s">
        <v>711</v>
      </c>
      <c r="D11" t="s">
        <v>712</v>
      </c>
      <c r="E11" t="s">
        <v>1439</v>
      </c>
      <c r="F11" s="78">
        <v>0.60670138888888892</v>
      </c>
      <c r="G11" t="s">
        <v>1405</v>
      </c>
      <c r="H11" t="s">
        <v>1335</v>
      </c>
      <c r="I11" s="88" t="str">
        <f>VLOOKUP(A11,Base!A:B,2,0)</f>
        <v>04.776.546-3</v>
      </c>
      <c r="J11" s="99" t="str">
        <f>VLOOKUP(A11,Base!A:F,6,0)</f>
        <v>EUGENIO  OLEKSIUK  SEKOWSKA</v>
      </c>
      <c r="K11" s="89" t="str">
        <f>IFERROR(IF(VLOOKUP(I11,Ingreso!K:P,6,0)=0,"Sin turtno ing",VLOOKUP(I11,Ingreso!K:P,6,0)),IF(F11&gt;0.25,IF(F11&lt;0.311805555555556,"Turno A",IF(F11&gt;0.3125,IF(F11&lt;0.354166666666667,"Turno C",IF(F11&gt;0.583333333333333,IF(F11&lt;0.625,"Turno B",IF(F11&gt;0.625694444444444,IF(F11&lt;0.8125,"Turno A",IF(F11&gt;0.875,IF(F11&lt;0.936805555555556,"Turno C",IF(F11&gt;0.9375,IF(F11&lt;0.979166666666667,"Turno B",""),"")),"")),"")),"")),"")),""))</f>
        <v>Turno B</v>
      </c>
      <c r="L11" s="91">
        <f t="shared" si="0"/>
        <v>0.3125</v>
      </c>
      <c r="S11" s="36">
        <v>2</v>
      </c>
      <c r="T11" s="36" t="s">
        <v>1321</v>
      </c>
    </row>
    <row r="12" spans="1:20" s="40" customFormat="1">
      <c r="A12">
        <v>5080993</v>
      </c>
      <c r="B12" t="s">
        <v>257</v>
      </c>
      <c r="C12" t="s">
        <v>377</v>
      </c>
      <c r="D12" t="s">
        <v>378</v>
      </c>
      <c r="E12" t="s">
        <v>1440</v>
      </c>
      <c r="F12" s="78">
        <v>0.31570601851851854</v>
      </c>
      <c r="G12" t="s">
        <v>1406</v>
      </c>
      <c r="H12" t="s">
        <v>1336</v>
      </c>
      <c r="I12" s="88" t="str">
        <f>VLOOKUP(A12,Base!A:B,2,0)</f>
        <v>05.080.993-5</v>
      </c>
      <c r="J12" s="99" t="str">
        <f>VLOOKUP(A12,Base!A:F,6,0)</f>
        <v>CARLOS  FIGUEROA  NILO</v>
      </c>
      <c r="K12" s="89" t="str">
        <f>IFERROR(IF(VLOOKUP(I12,Ingreso!K:P,6,0)=0,"Sin turtno ing",VLOOKUP(I12,Ingreso!K:P,6,0)),IF(F12&gt;0.25,IF(F12&lt;0.311805555555556,"Turno A",IF(F12&gt;0.3125,IF(F12&lt;0.354166666666667,"Turno C",IF(F12&gt;0.583333333333333,IF(F12&lt;0.625,"Turno B",IF(F12&gt;0.625694444444444,IF(F12&lt;0.8125,"Turno A",IF(F12&gt;0.875,IF(F12&lt;0.936805555555556,"Turno C",IF(F12&gt;0.9375,IF(F12&lt;0.979166666666667,"Turno B",""),"")),"")),"")),"")),"")),""))</f>
        <v>Turno C</v>
      </c>
      <c r="L12" s="91">
        <f t="shared" si="0"/>
        <v>0.375</v>
      </c>
      <c r="S12" s="36">
        <v>3</v>
      </c>
      <c r="T12" s="36" t="s">
        <v>1323</v>
      </c>
    </row>
    <row r="13" spans="1:20" s="40" customFormat="1">
      <c r="A13">
        <v>5080993</v>
      </c>
      <c r="B13" t="s">
        <v>257</v>
      </c>
      <c r="C13" t="s">
        <v>377</v>
      </c>
      <c r="D13" t="s">
        <v>378</v>
      </c>
      <c r="E13" t="s">
        <v>1440</v>
      </c>
      <c r="F13" s="78">
        <v>0.92231481481481481</v>
      </c>
      <c r="G13" t="s">
        <v>1405</v>
      </c>
      <c r="H13" t="s">
        <v>1335</v>
      </c>
      <c r="I13" s="88" t="str">
        <f>VLOOKUP(A13,Base!A:B,2,0)</f>
        <v>05.080.993-5</v>
      </c>
      <c r="J13" s="99" t="str">
        <f>VLOOKUP(A13,Base!A:F,6,0)</f>
        <v>CARLOS  FIGUEROA  NILO</v>
      </c>
      <c r="K13" s="89" t="str">
        <f>IFERROR(IF(VLOOKUP(I13,Ingreso!K:P,6,0)=0,"Sin turtno ing",VLOOKUP(I13,Ingreso!K:P,6,0)),IF(F13&gt;0.25,IF(F13&lt;0.311805555555556,"Turno A",IF(F13&gt;0.3125,IF(F13&lt;0.354166666666667,"Turno C",IF(F13&gt;0.583333333333333,IF(F13&lt;0.625,"Turno B",IF(F13&gt;0.625694444444444,IF(F13&lt;0.8125,"Turno A",IF(F13&gt;0.875,IF(F13&lt;0.936805555555556,"Turno C",IF(F13&gt;0.9375,IF(F13&lt;0.979166666666667,"Turno B",""),"")),"")),"")),"")),"")),""))</f>
        <v>Turno C</v>
      </c>
      <c r="L13" s="91">
        <f t="shared" si="0"/>
        <v>0.375</v>
      </c>
    </row>
    <row r="14" spans="1:20" s="40" customFormat="1">
      <c r="A14">
        <v>5080993</v>
      </c>
      <c r="B14" t="s">
        <v>257</v>
      </c>
      <c r="C14" t="s">
        <v>377</v>
      </c>
      <c r="D14" t="s">
        <v>378</v>
      </c>
      <c r="E14" t="s">
        <v>1441</v>
      </c>
      <c r="F14" s="78">
        <v>0.31467592592592591</v>
      </c>
      <c r="G14" t="s">
        <v>1406</v>
      </c>
      <c r="H14" t="s">
        <v>1336</v>
      </c>
      <c r="I14" s="88" t="str">
        <f>VLOOKUP(A14,Base!A:B,2,0)</f>
        <v>05.080.993-5</v>
      </c>
      <c r="J14" s="99" t="str">
        <f>VLOOKUP(A14,Base!A:F,6,0)</f>
        <v>CARLOS  FIGUEROA  NILO</v>
      </c>
      <c r="K14" s="89" t="str">
        <f>IFERROR(IF(VLOOKUP(I14,Ingreso!K:P,6,0)=0,"Sin turtno ing",VLOOKUP(I14,Ingreso!K:P,6,0)),IF(F14&gt;0.25,IF(F14&lt;0.311805555555556,"Turno A",IF(F14&gt;0.3125,IF(F14&lt;0.354166666666667,"Turno C",IF(F14&gt;0.583333333333333,IF(F14&lt;0.625,"Turno B",IF(F14&gt;0.625694444444444,IF(F14&lt;0.8125,"Turno A",IF(F14&gt;0.875,IF(F14&lt;0.936805555555556,"Turno C",IF(F14&gt;0.9375,IF(F14&lt;0.979166666666667,"Turno B",""),"")),"")),"")),"")),"")),""))</f>
        <v>Turno C</v>
      </c>
      <c r="L14" s="91">
        <f t="shared" si="0"/>
        <v>0.375</v>
      </c>
    </row>
    <row r="15" spans="1:20" s="40" customFormat="1">
      <c r="A15">
        <v>5080993</v>
      </c>
      <c r="B15" t="s">
        <v>257</v>
      </c>
      <c r="C15" t="s">
        <v>377</v>
      </c>
      <c r="D15" t="s">
        <v>378</v>
      </c>
      <c r="E15" t="s">
        <v>1437</v>
      </c>
      <c r="F15" s="78">
        <v>0.92166666666666675</v>
      </c>
      <c r="G15" t="s">
        <v>1405</v>
      </c>
      <c r="H15" t="s">
        <v>1335</v>
      </c>
      <c r="I15" s="88" t="str">
        <f>VLOOKUP(A15,Base!A:B,2,0)</f>
        <v>05.080.993-5</v>
      </c>
      <c r="J15" s="99" t="str">
        <f>VLOOKUP(A15,Base!A:F,6,0)</f>
        <v>CARLOS  FIGUEROA  NILO</v>
      </c>
      <c r="K15" s="89" t="str">
        <f>IFERROR(IF(VLOOKUP(I15,Ingreso!K:P,6,0)=0,"Sin turtno ing",VLOOKUP(I15,Ingreso!K:P,6,0)),IF(F15&gt;0.25,IF(F15&lt;0.311805555555556,"Turno A",IF(F15&gt;0.3125,IF(F15&lt;0.354166666666667,"Turno C",IF(F15&gt;0.583333333333333,IF(F15&lt;0.625,"Turno B",IF(F15&gt;0.625694444444444,IF(F15&lt;0.8125,"Turno A",IF(F15&gt;0.875,IF(F15&lt;0.936805555555556,"Turno C",IF(F15&gt;0.9375,IF(F15&lt;0.979166666666667,"Turno B",""),"")),"")),"")),"")),"")),""))</f>
        <v>Turno C</v>
      </c>
      <c r="L15" s="91">
        <f t="shared" si="0"/>
        <v>0.375</v>
      </c>
    </row>
    <row r="16" spans="1:20" s="40" customFormat="1">
      <c r="A16">
        <v>5080993</v>
      </c>
      <c r="B16" t="s">
        <v>257</v>
      </c>
      <c r="C16" t="s">
        <v>377</v>
      </c>
      <c r="D16" t="s">
        <v>378</v>
      </c>
      <c r="E16" t="s">
        <v>1438</v>
      </c>
      <c r="F16" s="78">
        <v>0.31677083333333333</v>
      </c>
      <c r="G16" t="s">
        <v>1406</v>
      </c>
      <c r="H16" t="s">
        <v>1336</v>
      </c>
      <c r="I16" s="88" t="str">
        <f>VLOOKUP(A16,Base!A:B,2,0)</f>
        <v>05.080.993-5</v>
      </c>
      <c r="J16" s="99" t="str">
        <f>VLOOKUP(A16,Base!A:F,6,0)</f>
        <v>CARLOS  FIGUEROA  NILO</v>
      </c>
      <c r="K16" s="89" t="str">
        <f>IFERROR(IF(VLOOKUP(I16,Ingreso!K:P,6,0)=0,"Sin turtno ing",VLOOKUP(I16,Ingreso!K:P,6,0)),IF(F16&gt;0.25,IF(F16&lt;0.311805555555556,"Turno A",IF(F16&gt;0.3125,IF(F16&lt;0.354166666666667,"Turno C",IF(F16&gt;0.583333333333333,IF(F16&lt;0.625,"Turno B",IF(F16&gt;0.625694444444444,IF(F16&lt;0.8125,"Turno A",IF(F16&gt;0.875,IF(F16&lt;0.936805555555556,"Turno C",IF(F16&gt;0.9375,IF(F16&lt;0.979166666666667,"Turno B",""),"")),"")),"")),"")),"")),""))</f>
        <v>Turno C</v>
      </c>
      <c r="L16" s="91">
        <f t="shared" si="0"/>
        <v>0.375</v>
      </c>
    </row>
    <row r="17" spans="1:12" s="40" customFormat="1">
      <c r="A17">
        <v>5080993</v>
      </c>
      <c r="B17" t="s">
        <v>257</v>
      </c>
      <c r="C17" t="s">
        <v>377</v>
      </c>
      <c r="D17" t="s">
        <v>378</v>
      </c>
      <c r="E17" t="s">
        <v>1438</v>
      </c>
      <c r="F17" s="78">
        <v>0.91791666666666671</v>
      </c>
      <c r="G17" t="s">
        <v>1405</v>
      </c>
      <c r="H17" t="s">
        <v>1335</v>
      </c>
      <c r="I17" s="88" t="str">
        <f>VLOOKUP(A17,Base!A:B,2,0)</f>
        <v>05.080.993-5</v>
      </c>
      <c r="J17" s="99" t="str">
        <f>VLOOKUP(A17,Base!A:F,6,0)</f>
        <v>CARLOS  FIGUEROA  NILO</v>
      </c>
      <c r="K17" s="89" t="str">
        <f>IFERROR(IF(VLOOKUP(I17,Ingreso!K:P,6,0)=0,"Sin turtno ing",VLOOKUP(I17,Ingreso!K:P,6,0)),IF(F17&gt;0.25,IF(F17&lt;0.311805555555556,"Turno A",IF(F17&gt;0.3125,IF(F17&lt;0.354166666666667,"Turno C",IF(F17&gt;0.583333333333333,IF(F17&lt;0.625,"Turno B",IF(F17&gt;0.625694444444444,IF(F17&lt;0.8125,"Turno A",IF(F17&gt;0.875,IF(F17&lt;0.936805555555556,"Turno C",IF(F17&gt;0.9375,IF(F17&lt;0.979166666666667,"Turno B",""),"")),"")),"")),"")),"")),""))</f>
        <v>Turno C</v>
      </c>
      <c r="L17" s="91">
        <f t="shared" si="0"/>
        <v>0.375</v>
      </c>
    </row>
    <row r="18" spans="1:12" s="40" customFormat="1">
      <c r="A18">
        <v>5080993</v>
      </c>
      <c r="B18" t="s">
        <v>257</v>
      </c>
      <c r="C18" t="s">
        <v>377</v>
      </c>
      <c r="D18" t="s">
        <v>378</v>
      </c>
      <c r="E18" t="s">
        <v>1439</v>
      </c>
      <c r="F18" s="78">
        <v>0.31502314814814814</v>
      </c>
      <c r="G18" t="s">
        <v>1406</v>
      </c>
      <c r="H18" t="s">
        <v>1336</v>
      </c>
      <c r="I18" s="88" t="str">
        <f>VLOOKUP(A18,Base!A:B,2,0)</f>
        <v>05.080.993-5</v>
      </c>
      <c r="J18" s="99" t="str">
        <f>VLOOKUP(A18,Base!A:F,6,0)</f>
        <v>CARLOS  FIGUEROA  NILO</v>
      </c>
      <c r="K18" s="89" t="str">
        <f>IFERROR(IF(VLOOKUP(I18,Ingreso!K:P,6,0)=0,"Sin turtno ing",VLOOKUP(I18,Ingreso!K:P,6,0)),IF(F18&gt;0.25,IF(F18&lt;0.311805555555556,"Turno A",IF(F18&gt;0.3125,IF(F18&lt;0.354166666666667,"Turno C",IF(F18&gt;0.583333333333333,IF(F18&lt;0.625,"Turno B",IF(F18&gt;0.625694444444444,IF(F18&lt;0.8125,"Turno A",IF(F18&gt;0.875,IF(F18&lt;0.936805555555556,"Turno C",IF(F18&gt;0.9375,IF(F18&lt;0.979166666666667,"Turno B",""),"")),"")),"")),"")),"")),""))</f>
        <v>Turno C</v>
      </c>
      <c r="L18" s="91">
        <f t="shared" si="0"/>
        <v>0.375</v>
      </c>
    </row>
    <row r="19" spans="1:12" s="40" customFormat="1">
      <c r="A19">
        <v>5080993</v>
      </c>
      <c r="B19" t="s">
        <v>257</v>
      </c>
      <c r="C19" t="s">
        <v>377</v>
      </c>
      <c r="D19" t="s">
        <v>378</v>
      </c>
      <c r="E19" t="s">
        <v>1439</v>
      </c>
      <c r="F19" s="78">
        <v>0.92521990740740734</v>
      </c>
      <c r="G19" t="s">
        <v>1405</v>
      </c>
      <c r="H19" t="s">
        <v>1335</v>
      </c>
      <c r="I19" s="88" t="str">
        <f>VLOOKUP(A19,Base!A:B,2,0)</f>
        <v>05.080.993-5</v>
      </c>
      <c r="J19" s="99" t="str">
        <f>VLOOKUP(A19,Base!A:F,6,0)</f>
        <v>CARLOS  FIGUEROA  NILO</v>
      </c>
      <c r="K19" s="89" t="str">
        <f>IFERROR(IF(VLOOKUP(I19,Ingreso!K:P,6,0)=0,"Sin turtno ing",VLOOKUP(I19,Ingreso!K:P,6,0)),IF(F19&gt;0.25,IF(F19&lt;0.311805555555556,"Turno A",IF(F19&gt;0.3125,IF(F19&lt;0.354166666666667,"Turno C",IF(F19&gt;0.583333333333333,IF(F19&lt;0.625,"Turno B",IF(F19&gt;0.625694444444444,IF(F19&lt;0.8125,"Turno A",IF(F19&gt;0.875,IF(F19&lt;0.936805555555556,"Turno C",IF(F19&gt;0.9375,IF(F19&lt;0.979166666666667,"Turno B",""),"")),"")),"")),"")),"")),""))</f>
        <v>Turno C</v>
      </c>
      <c r="L19" s="91">
        <f t="shared" si="0"/>
        <v>0.375</v>
      </c>
    </row>
    <row r="20" spans="1:12" s="40" customFormat="1">
      <c r="A20">
        <v>5267317</v>
      </c>
      <c r="B20" t="s">
        <v>339</v>
      </c>
      <c r="C20" t="s">
        <v>338</v>
      </c>
      <c r="D20" t="s">
        <v>142</v>
      </c>
      <c r="E20" t="s">
        <v>1407</v>
      </c>
      <c r="F20" s="78">
        <v>0</v>
      </c>
      <c r="G20"/>
      <c r="H20"/>
      <c r="I20" s="88" t="str">
        <f>VLOOKUP(A20,Base!A:B,2,0)</f>
        <v>05.267.317-8</v>
      </c>
      <c r="J20" s="99" t="str">
        <f>VLOOKUP(A20,Base!A:F,6,0)</f>
        <v>LUIS  DUARTE  BECERRA</v>
      </c>
      <c r="K20" s="89" t="str">
        <f>IFERROR(IF(VLOOKUP(I20,Ingreso!K:P,6,0)=0,"Sin turtno ing",VLOOKUP(I20,Ingreso!K:P,6,0)),IF(F20&gt;0.25,IF(F20&lt;0.311805555555556,"Turno A",IF(F20&gt;0.3125,IF(F20&lt;0.354166666666667,"Turno C",IF(F20&gt;0.583333333333333,IF(F20&lt;0.625,"Turno B",IF(F20&gt;0.625694444444444,IF(F20&lt;0.8125,"Turno A",IF(F20&gt;0.875,IF(F20&lt;0.936805555555556,"Turno C",IF(F20&gt;0.9375,IF(F20&lt;0.979166666666667,"Turno B",""),"")),"")),"")),"")),"")),""))</f>
        <v/>
      </c>
      <c r="L20" s="91" t="e">
        <f t="shared" si="0"/>
        <v>#N/A</v>
      </c>
    </row>
    <row r="21" spans="1:12" s="40" customFormat="1">
      <c r="A21">
        <v>5281950</v>
      </c>
      <c r="B21" t="s">
        <v>388</v>
      </c>
      <c r="C21" t="s">
        <v>115</v>
      </c>
      <c r="D21" t="s">
        <v>387</v>
      </c>
      <c r="E21" t="s">
        <v>1440</v>
      </c>
      <c r="F21" s="78">
        <v>0.63722222222222225</v>
      </c>
      <c r="G21" t="s">
        <v>1406</v>
      </c>
      <c r="H21" t="s">
        <v>1336</v>
      </c>
      <c r="I21" s="88" t="str">
        <f>VLOOKUP(A21,Base!A:B,2,0)</f>
        <v>05.281.950-4</v>
      </c>
      <c r="J21" s="99" t="str">
        <f>VLOOKUP(A21,Base!A:F,6,0)</f>
        <v>BLANCA  FUENTES  YAÑEZ</v>
      </c>
      <c r="K21" s="89" t="str">
        <f>IFERROR(IF(VLOOKUP(I21,Ingreso!K:P,6,0)=0,"Sin turtno ing",VLOOKUP(I21,Ingreso!K:P,6,0)),IF(F21&gt;0.25,IF(F21&lt;0.311805555555556,"Turno A",IF(F21&gt;0.3125,IF(F21&lt;0.354166666666667,"Turno C",IF(F21&gt;0.583333333333333,IF(F21&lt;0.625,"Turno B",IF(F21&gt;0.625694444444444,IF(F21&lt;0.8125,"Turno A",IF(F21&gt;0.875,IF(F21&lt;0.936805555555556,"Turno C",IF(F21&gt;0.9375,IF(F21&lt;0.979166666666667,"Turno B",""),"")),"")),"")),"")),"")),""))</f>
        <v>Turno A</v>
      </c>
      <c r="L21" s="91">
        <f t="shared" si="0"/>
        <v>0.3125</v>
      </c>
    </row>
    <row r="22" spans="1:12" s="40" customFormat="1">
      <c r="A22">
        <v>5281950</v>
      </c>
      <c r="B22" t="s">
        <v>388</v>
      </c>
      <c r="C22" t="s">
        <v>115</v>
      </c>
      <c r="D22" t="s">
        <v>387</v>
      </c>
      <c r="E22" t="s">
        <v>1440</v>
      </c>
      <c r="F22" s="78">
        <v>0.29063657407407406</v>
      </c>
      <c r="G22" t="s">
        <v>1405</v>
      </c>
      <c r="H22" t="s">
        <v>1335</v>
      </c>
      <c r="I22" s="88" t="str">
        <f>VLOOKUP(A22,Base!A:B,2,0)</f>
        <v>05.281.950-4</v>
      </c>
      <c r="J22" s="99" t="str">
        <f>VLOOKUP(A22,Base!A:F,6,0)</f>
        <v>BLANCA  FUENTES  YAÑEZ</v>
      </c>
      <c r="K22" s="89" t="str">
        <f>IFERROR(IF(VLOOKUP(I22,Ingreso!K:P,6,0)=0,"Sin turtno ing",VLOOKUP(I22,Ingreso!K:P,6,0)),IF(F22&gt;0.25,IF(F22&lt;0.311805555555556,"Turno A",IF(F22&gt;0.3125,IF(F22&lt;0.354166666666667,"Turno C",IF(F22&gt;0.583333333333333,IF(F22&lt;0.625,"Turno B",IF(F22&gt;0.625694444444444,IF(F22&lt;0.8125,"Turno A",IF(F22&gt;0.875,IF(F22&lt;0.936805555555556,"Turno C",IF(F22&gt;0.9375,IF(F22&lt;0.979166666666667,"Turno B",""),"")),"")),"")),"")),"")),""))</f>
        <v>Turno A</v>
      </c>
      <c r="L22" s="91">
        <f t="shared" si="0"/>
        <v>0.3125</v>
      </c>
    </row>
    <row r="23" spans="1:12" s="40" customFormat="1">
      <c r="A23">
        <v>5281950</v>
      </c>
      <c r="B23" t="s">
        <v>388</v>
      </c>
      <c r="C23" t="s">
        <v>115</v>
      </c>
      <c r="D23" t="s">
        <v>387</v>
      </c>
      <c r="E23" t="s">
        <v>1441</v>
      </c>
      <c r="F23" s="78">
        <v>0.6341782407407407</v>
      </c>
      <c r="G23" t="s">
        <v>1406</v>
      </c>
      <c r="H23" t="s">
        <v>1336</v>
      </c>
      <c r="I23" s="88" t="str">
        <f>VLOOKUP(A23,Base!A:B,2,0)</f>
        <v>05.281.950-4</v>
      </c>
      <c r="J23" s="99" t="str">
        <f>VLOOKUP(A23,Base!A:F,6,0)</f>
        <v>BLANCA  FUENTES  YAÑEZ</v>
      </c>
      <c r="K23" s="89" t="str">
        <f>IFERROR(IF(VLOOKUP(I23,Ingreso!K:P,6,0)=0,"Sin turtno ing",VLOOKUP(I23,Ingreso!K:P,6,0)),IF(F23&gt;0.25,IF(F23&lt;0.311805555555556,"Turno A",IF(F23&gt;0.3125,IF(F23&lt;0.354166666666667,"Turno C",IF(F23&gt;0.583333333333333,IF(F23&lt;0.625,"Turno B",IF(F23&gt;0.625694444444444,IF(F23&lt;0.8125,"Turno A",IF(F23&gt;0.875,IF(F23&lt;0.936805555555556,"Turno C",IF(F23&gt;0.9375,IF(F23&lt;0.979166666666667,"Turno B",""),"")),"")),"")),"")),"")),""))</f>
        <v>Turno A</v>
      </c>
      <c r="L23" s="91">
        <f t="shared" si="0"/>
        <v>0.3125</v>
      </c>
    </row>
    <row r="24" spans="1:12" s="40" customFormat="1">
      <c r="A24">
        <v>5281950</v>
      </c>
      <c r="B24" t="s">
        <v>388</v>
      </c>
      <c r="C24" t="s">
        <v>115</v>
      </c>
      <c r="D24" t="s">
        <v>387</v>
      </c>
      <c r="E24" t="s">
        <v>1441</v>
      </c>
      <c r="F24" s="78">
        <v>0.28991898148148149</v>
      </c>
      <c r="G24" t="s">
        <v>1405</v>
      </c>
      <c r="H24" t="s">
        <v>1335</v>
      </c>
      <c r="I24" s="88" t="str">
        <f>VLOOKUP(A24,Base!A:B,2,0)</f>
        <v>05.281.950-4</v>
      </c>
      <c r="J24" s="99" t="str">
        <f>VLOOKUP(A24,Base!A:F,6,0)</f>
        <v>BLANCA  FUENTES  YAÑEZ</v>
      </c>
      <c r="K24" s="89" t="str">
        <f>IFERROR(IF(VLOOKUP(I24,Ingreso!K:P,6,0)=0,"Sin turtno ing",VLOOKUP(I24,Ingreso!K:P,6,0)),IF(F24&gt;0.25,IF(F24&lt;0.311805555555556,"Turno A",IF(F24&gt;0.3125,IF(F24&lt;0.354166666666667,"Turno C",IF(F24&gt;0.583333333333333,IF(F24&lt;0.625,"Turno B",IF(F24&gt;0.625694444444444,IF(F24&lt;0.8125,"Turno A",IF(F24&gt;0.875,IF(F24&lt;0.936805555555556,"Turno C",IF(F24&gt;0.9375,IF(F24&lt;0.979166666666667,"Turno B",""),"")),"")),"")),"")),"")),""))</f>
        <v>Turno A</v>
      </c>
      <c r="L24" s="91">
        <f t="shared" si="0"/>
        <v>0.3125</v>
      </c>
    </row>
    <row r="25" spans="1:12" s="40" customFormat="1">
      <c r="A25">
        <v>5281950</v>
      </c>
      <c r="B25" t="s">
        <v>388</v>
      </c>
      <c r="C25" t="s">
        <v>115</v>
      </c>
      <c r="D25" t="s">
        <v>387</v>
      </c>
      <c r="E25" t="s">
        <v>1437</v>
      </c>
      <c r="F25" s="78">
        <v>0.6361458333333333</v>
      </c>
      <c r="G25" t="s">
        <v>1406</v>
      </c>
      <c r="H25" t="s">
        <v>1336</v>
      </c>
      <c r="I25" s="88" t="str">
        <f>VLOOKUP(A25,Base!A:B,2,0)</f>
        <v>05.281.950-4</v>
      </c>
      <c r="J25" s="99" t="str">
        <f>VLOOKUP(A25,Base!A:F,6,0)</f>
        <v>BLANCA  FUENTES  YAÑEZ</v>
      </c>
      <c r="K25" s="89" t="str">
        <f>IFERROR(IF(VLOOKUP(I25,Ingreso!K:P,6,0)=0,"Sin turtno ing",VLOOKUP(I25,Ingreso!K:P,6,0)),IF(F25&gt;0.25,IF(F25&lt;0.311805555555556,"Turno A",IF(F25&gt;0.3125,IF(F25&lt;0.354166666666667,"Turno C",IF(F25&gt;0.583333333333333,IF(F25&lt;0.625,"Turno B",IF(F25&gt;0.625694444444444,IF(F25&lt;0.8125,"Turno A",IF(F25&gt;0.875,IF(F25&lt;0.936805555555556,"Turno C",IF(F25&gt;0.9375,IF(F25&lt;0.979166666666667,"Turno B",""),"")),"")),"")),"")),"")),""))</f>
        <v>Turno A</v>
      </c>
      <c r="L25" s="91">
        <f t="shared" si="0"/>
        <v>0.3125</v>
      </c>
    </row>
    <row r="26" spans="1:12" s="40" customFormat="1">
      <c r="A26">
        <v>5281950</v>
      </c>
      <c r="B26" t="s">
        <v>388</v>
      </c>
      <c r="C26" t="s">
        <v>115</v>
      </c>
      <c r="D26" t="s">
        <v>387</v>
      </c>
      <c r="E26" t="s">
        <v>1437</v>
      </c>
      <c r="F26" s="78">
        <v>0.29120370370370369</v>
      </c>
      <c r="G26" t="s">
        <v>1405</v>
      </c>
      <c r="H26" t="s">
        <v>1335</v>
      </c>
      <c r="I26" s="88" t="str">
        <f>VLOOKUP(A26,Base!A:B,2,0)</f>
        <v>05.281.950-4</v>
      </c>
      <c r="J26" s="99" t="str">
        <f>VLOOKUP(A26,Base!A:F,6,0)</f>
        <v>BLANCA  FUENTES  YAÑEZ</v>
      </c>
      <c r="K26" s="89" t="str">
        <f>IFERROR(IF(VLOOKUP(I26,Ingreso!K:P,6,0)=0,"Sin turtno ing",VLOOKUP(I26,Ingreso!K:P,6,0)),IF(F26&gt;0.25,IF(F26&lt;0.311805555555556,"Turno A",IF(F26&gt;0.3125,IF(F26&lt;0.354166666666667,"Turno C",IF(F26&gt;0.583333333333333,IF(F26&lt;0.625,"Turno B",IF(F26&gt;0.625694444444444,IF(F26&lt;0.8125,"Turno A",IF(F26&gt;0.875,IF(F26&lt;0.936805555555556,"Turno C",IF(F26&gt;0.9375,IF(F26&lt;0.979166666666667,"Turno B",""),"")),"")),"")),"")),"")),""))</f>
        <v>Turno A</v>
      </c>
      <c r="L26" s="91">
        <f t="shared" si="0"/>
        <v>0.3125</v>
      </c>
    </row>
    <row r="27" spans="1:12" s="40" customFormat="1">
      <c r="A27">
        <v>5281950</v>
      </c>
      <c r="B27" t="s">
        <v>388</v>
      </c>
      <c r="C27" t="s">
        <v>115</v>
      </c>
      <c r="D27" t="s">
        <v>387</v>
      </c>
      <c r="E27" t="s">
        <v>1438</v>
      </c>
      <c r="F27" s="78">
        <v>0.63512731481481477</v>
      </c>
      <c r="G27" t="s">
        <v>1406</v>
      </c>
      <c r="H27" t="s">
        <v>1336</v>
      </c>
      <c r="I27" s="88" t="str">
        <f>VLOOKUP(A27,Base!A:B,2,0)</f>
        <v>05.281.950-4</v>
      </c>
      <c r="J27" s="99" t="str">
        <f>VLOOKUP(A27,Base!A:F,6,0)</f>
        <v>BLANCA  FUENTES  YAÑEZ</v>
      </c>
      <c r="K27" s="89" t="str">
        <f>IFERROR(IF(VLOOKUP(I27,Ingreso!K:P,6,0)=0,"Sin turtno ing",VLOOKUP(I27,Ingreso!K:P,6,0)),IF(F27&gt;0.25,IF(F27&lt;0.311805555555556,"Turno A",IF(F27&gt;0.3125,IF(F27&lt;0.354166666666667,"Turno C",IF(F27&gt;0.583333333333333,IF(F27&lt;0.625,"Turno B",IF(F27&gt;0.625694444444444,IF(F27&lt;0.8125,"Turno A",IF(F27&gt;0.875,IF(F27&lt;0.936805555555556,"Turno C",IF(F27&gt;0.9375,IF(F27&lt;0.979166666666667,"Turno B",""),"")),"")),"")),"")),"")),""))</f>
        <v>Turno A</v>
      </c>
      <c r="L27" s="91">
        <f t="shared" si="0"/>
        <v>0.3125</v>
      </c>
    </row>
    <row r="28" spans="1:12" s="40" customFormat="1">
      <c r="A28">
        <v>5281950</v>
      </c>
      <c r="B28" t="s">
        <v>388</v>
      </c>
      <c r="C28" t="s">
        <v>115</v>
      </c>
      <c r="D28" t="s">
        <v>387</v>
      </c>
      <c r="E28" t="s">
        <v>1438</v>
      </c>
      <c r="F28" s="78">
        <v>0.29031250000000003</v>
      </c>
      <c r="G28" t="s">
        <v>1405</v>
      </c>
      <c r="H28" t="s">
        <v>1335</v>
      </c>
      <c r="I28" s="88" t="str">
        <f>VLOOKUP(A28,Base!A:B,2,0)</f>
        <v>05.281.950-4</v>
      </c>
      <c r="J28" s="99" t="str">
        <f>VLOOKUP(A28,Base!A:F,6,0)</f>
        <v>BLANCA  FUENTES  YAÑEZ</v>
      </c>
      <c r="K28" s="89" t="str">
        <f>IFERROR(IF(VLOOKUP(I28,Ingreso!K:P,6,0)=0,"Sin turtno ing",VLOOKUP(I28,Ingreso!K:P,6,0)),IF(F28&gt;0.25,IF(F28&lt;0.311805555555556,"Turno A",IF(F28&gt;0.3125,IF(F28&lt;0.354166666666667,"Turno C",IF(F28&gt;0.583333333333333,IF(F28&lt;0.625,"Turno B",IF(F28&gt;0.625694444444444,IF(F28&lt;0.8125,"Turno A",IF(F28&gt;0.875,IF(F28&lt;0.936805555555556,"Turno C",IF(F28&gt;0.9375,IF(F28&lt;0.979166666666667,"Turno B",""),"")),"")),"")),"")),"")),""))</f>
        <v>Turno A</v>
      </c>
      <c r="L28" s="91">
        <f t="shared" si="0"/>
        <v>0.3125</v>
      </c>
    </row>
    <row r="29" spans="1:12" s="40" customFormat="1">
      <c r="A29">
        <v>5281950</v>
      </c>
      <c r="B29" t="s">
        <v>388</v>
      </c>
      <c r="C29" t="s">
        <v>115</v>
      </c>
      <c r="D29" t="s">
        <v>387</v>
      </c>
      <c r="E29" t="s">
        <v>1439</v>
      </c>
      <c r="F29" s="78">
        <v>0.63523148148148145</v>
      </c>
      <c r="G29" t="s">
        <v>1406</v>
      </c>
      <c r="H29" t="s">
        <v>1336</v>
      </c>
      <c r="I29" s="88" t="str">
        <f>VLOOKUP(A29,Base!A:B,2,0)</f>
        <v>05.281.950-4</v>
      </c>
      <c r="J29" s="99" t="str">
        <f>VLOOKUP(A29,Base!A:F,6,0)</f>
        <v>BLANCA  FUENTES  YAÑEZ</v>
      </c>
      <c r="K29" s="89" t="str">
        <f>IFERROR(IF(VLOOKUP(I29,Ingreso!K:P,6,0)=0,"Sin turtno ing",VLOOKUP(I29,Ingreso!K:P,6,0)),IF(F29&gt;0.25,IF(F29&lt;0.311805555555556,"Turno A",IF(F29&gt;0.3125,IF(F29&lt;0.354166666666667,"Turno C",IF(F29&gt;0.583333333333333,IF(F29&lt;0.625,"Turno B",IF(F29&gt;0.625694444444444,IF(F29&lt;0.8125,"Turno A",IF(F29&gt;0.875,IF(F29&lt;0.936805555555556,"Turno C",IF(F29&gt;0.9375,IF(F29&lt;0.979166666666667,"Turno B",""),"")),"")),"")),"")),"")),""))</f>
        <v>Turno A</v>
      </c>
      <c r="L29" s="91">
        <f t="shared" si="0"/>
        <v>0.3125</v>
      </c>
    </row>
    <row r="30" spans="1:12" s="40" customFormat="1">
      <c r="A30">
        <v>5281950</v>
      </c>
      <c r="B30" t="s">
        <v>388</v>
      </c>
      <c r="C30" t="s">
        <v>115</v>
      </c>
      <c r="D30" t="s">
        <v>387</v>
      </c>
      <c r="E30" t="s">
        <v>1439</v>
      </c>
      <c r="F30" s="78">
        <v>0.29531250000000003</v>
      </c>
      <c r="G30" t="s">
        <v>1405</v>
      </c>
      <c r="H30" t="s">
        <v>1335</v>
      </c>
      <c r="I30" s="88" t="str">
        <f>VLOOKUP(A30,Base!A:B,2,0)</f>
        <v>05.281.950-4</v>
      </c>
      <c r="J30" s="99" t="str">
        <f>VLOOKUP(A30,Base!A:F,6,0)</f>
        <v>BLANCA  FUENTES  YAÑEZ</v>
      </c>
      <c r="K30" s="89" t="str">
        <f>IFERROR(IF(VLOOKUP(I30,Ingreso!K:P,6,0)=0,"Sin turtno ing",VLOOKUP(I30,Ingreso!K:P,6,0)),IF(F30&gt;0.25,IF(F30&lt;0.311805555555556,"Turno A",IF(F30&gt;0.3125,IF(F30&lt;0.354166666666667,"Turno C",IF(F30&gt;0.583333333333333,IF(F30&lt;0.625,"Turno B",IF(F30&gt;0.625694444444444,IF(F30&lt;0.8125,"Turno A",IF(F30&gt;0.875,IF(F30&lt;0.936805555555556,"Turno C",IF(F30&gt;0.9375,IF(F30&lt;0.979166666666667,"Turno B",""),"")),"")),"")),"")),"")),""))</f>
        <v>Turno A</v>
      </c>
      <c r="L30" s="91">
        <f t="shared" si="0"/>
        <v>0.3125</v>
      </c>
    </row>
    <row r="31" spans="1:12" s="40" customFormat="1">
      <c r="A31">
        <v>5428350</v>
      </c>
      <c r="B31" t="s">
        <v>410</v>
      </c>
      <c r="C31" t="s">
        <v>408</v>
      </c>
      <c r="D31" t="s">
        <v>409</v>
      </c>
      <c r="E31" t="s">
        <v>1440</v>
      </c>
      <c r="F31" s="78">
        <v>0.62474537037037037</v>
      </c>
      <c r="G31" t="s">
        <v>1406</v>
      </c>
      <c r="H31" t="s">
        <v>1336</v>
      </c>
      <c r="I31" s="88" t="str">
        <f>VLOOKUP(A31,Base!A:B,2,0)</f>
        <v>05.428.350-4</v>
      </c>
      <c r="J31" s="99" t="str">
        <f>VLOOKUP(A31,Base!A:F,6,0)</f>
        <v>NELSON  GALAZ  DEL PINO</v>
      </c>
      <c r="K31" s="89" t="str">
        <f>IFERROR(IF(VLOOKUP(I31,Ingreso!K:P,6,0)=0,"Sin turtno ing",VLOOKUP(I31,Ingreso!K:P,6,0)),IF(F31&gt;0.25,IF(F31&lt;0.311805555555556,"Turno A",IF(F31&gt;0.3125,IF(F31&lt;0.354166666666667,"Turno C",IF(F31&gt;0.583333333333333,IF(F31&lt;0.625,"Turno B",IF(F31&gt;0.625694444444444,IF(F31&lt;0.8125,"Turno A",IF(F31&gt;0.875,IF(F31&lt;0.936805555555556,"Turno C",IF(F31&gt;0.9375,IF(F31&lt;0.979166666666667,"Turno B",""),"")),"")),"")),"")),"")),""))</f>
        <v>Turno B</v>
      </c>
      <c r="L31" s="91">
        <f t="shared" si="0"/>
        <v>0.3125</v>
      </c>
    </row>
    <row r="32" spans="1:12" s="40" customFormat="1">
      <c r="A32">
        <v>5428350</v>
      </c>
      <c r="B32" t="s">
        <v>410</v>
      </c>
      <c r="C32" t="s">
        <v>408</v>
      </c>
      <c r="D32" t="s">
        <v>409</v>
      </c>
      <c r="E32" t="s">
        <v>1440</v>
      </c>
      <c r="F32" s="78">
        <v>0.29641203703703706</v>
      </c>
      <c r="G32" t="s">
        <v>1405</v>
      </c>
      <c r="H32" t="s">
        <v>1335</v>
      </c>
      <c r="I32" s="88" t="str">
        <f>VLOOKUP(A32,Base!A:B,2,0)</f>
        <v>05.428.350-4</v>
      </c>
      <c r="J32" s="99" t="str">
        <f>VLOOKUP(A32,Base!A:F,6,0)</f>
        <v>NELSON  GALAZ  DEL PINO</v>
      </c>
      <c r="K32" s="89" t="str">
        <f>IFERROR(IF(VLOOKUP(I32,Ingreso!K:P,6,0)=0,"Sin turtno ing",VLOOKUP(I32,Ingreso!K:P,6,0)),IF(F32&gt;0.25,IF(F32&lt;0.311805555555556,"Turno A",IF(F32&gt;0.3125,IF(F32&lt;0.354166666666667,"Turno C",IF(F32&gt;0.583333333333333,IF(F32&lt;0.625,"Turno B",IF(F32&gt;0.625694444444444,IF(F32&lt;0.8125,"Turno A",IF(F32&gt;0.875,IF(F32&lt;0.936805555555556,"Turno C",IF(F32&gt;0.9375,IF(F32&lt;0.979166666666667,"Turno B",""),"")),"")),"")),"")),"")),""))</f>
        <v>Turno A</v>
      </c>
      <c r="L32" s="91">
        <f t="shared" si="0"/>
        <v>0.3125</v>
      </c>
    </row>
    <row r="33" spans="1:15" s="40" customFormat="1">
      <c r="A33">
        <v>5428350</v>
      </c>
      <c r="B33" t="s">
        <v>410</v>
      </c>
      <c r="C33" t="s">
        <v>408</v>
      </c>
      <c r="D33" t="s">
        <v>409</v>
      </c>
      <c r="E33" t="s">
        <v>1441</v>
      </c>
      <c r="F33" s="78">
        <v>0.62655092592592598</v>
      </c>
      <c r="G33" t="s">
        <v>1406</v>
      </c>
      <c r="H33" t="s">
        <v>1336</v>
      </c>
      <c r="I33" s="88" t="str">
        <f>VLOOKUP(A33,Base!A:B,2,0)</f>
        <v>05.428.350-4</v>
      </c>
      <c r="J33" s="99" t="str">
        <f>VLOOKUP(A33,Base!A:F,6,0)</f>
        <v>NELSON  GALAZ  DEL PINO</v>
      </c>
      <c r="K33" s="89" t="str">
        <f>IFERROR(IF(VLOOKUP(I33,Ingreso!K:P,6,0)=0,"Sin turtno ing",VLOOKUP(I33,Ingreso!K:P,6,0)),IF(F33&gt;0.25,IF(F33&lt;0.311805555555556,"Turno A",IF(F33&gt;0.3125,IF(F33&lt;0.354166666666667,"Turno C",IF(F33&gt;0.583333333333333,IF(F33&lt;0.625,"Turno B",IF(F33&gt;0.625694444444444,IF(F33&lt;0.8125,"Turno A",IF(F33&gt;0.875,IF(F33&lt;0.936805555555556,"Turno C",IF(F33&gt;0.9375,IF(F33&lt;0.979166666666667,"Turno B",""),"")),"")),"")),"")),"")),""))</f>
        <v>Turno A</v>
      </c>
      <c r="L33" s="91">
        <f t="shared" si="0"/>
        <v>0.3125</v>
      </c>
    </row>
    <row r="34" spans="1:15" s="40" customFormat="1">
      <c r="A34">
        <v>5428350</v>
      </c>
      <c r="B34" t="s">
        <v>410</v>
      </c>
      <c r="C34" t="s">
        <v>408</v>
      </c>
      <c r="D34" t="s">
        <v>409</v>
      </c>
      <c r="E34" t="s">
        <v>1441</v>
      </c>
      <c r="F34" s="78">
        <v>0.2888425925925926</v>
      </c>
      <c r="G34" t="s">
        <v>1405</v>
      </c>
      <c r="H34" t="s">
        <v>1335</v>
      </c>
      <c r="I34" s="88" t="str">
        <f>VLOOKUP(A34,Base!A:B,2,0)</f>
        <v>05.428.350-4</v>
      </c>
      <c r="J34" s="99" t="str">
        <f>VLOOKUP(A34,Base!A:F,6,0)</f>
        <v>NELSON  GALAZ  DEL PINO</v>
      </c>
      <c r="K34" s="89" t="str">
        <f>IFERROR(IF(VLOOKUP(I34,Ingreso!K:P,6,0)=0,"Sin turtno ing",VLOOKUP(I34,Ingreso!K:P,6,0)),IF(F34&gt;0.25,IF(F34&lt;0.311805555555556,"Turno A",IF(F34&gt;0.3125,IF(F34&lt;0.354166666666667,"Turno C",IF(F34&gt;0.583333333333333,IF(F34&lt;0.625,"Turno B",IF(F34&gt;0.625694444444444,IF(F34&lt;0.8125,"Turno A",IF(F34&gt;0.875,IF(F34&lt;0.936805555555556,"Turno C",IF(F34&gt;0.9375,IF(F34&lt;0.979166666666667,"Turno B",""),"")),"")),"")),"")),"")),""))</f>
        <v>Turno A</v>
      </c>
      <c r="L34" s="91">
        <f t="shared" si="0"/>
        <v>0.3125</v>
      </c>
    </row>
    <row r="35" spans="1:15" s="40" customFormat="1">
      <c r="A35">
        <v>5428350</v>
      </c>
      <c r="B35" t="s">
        <v>410</v>
      </c>
      <c r="C35" t="s">
        <v>408</v>
      </c>
      <c r="D35" t="s">
        <v>409</v>
      </c>
      <c r="E35" t="s">
        <v>1437</v>
      </c>
      <c r="F35" s="78">
        <v>0.624537037037037</v>
      </c>
      <c r="G35" t="s">
        <v>1406</v>
      </c>
      <c r="H35" t="s">
        <v>1336</v>
      </c>
      <c r="I35" s="88" t="str">
        <f>VLOOKUP(A35,Base!A:B,2,0)</f>
        <v>05.428.350-4</v>
      </c>
      <c r="J35" s="99" t="str">
        <f>VLOOKUP(A35,Base!A:F,6,0)</f>
        <v>NELSON  GALAZ  DEL PINO</v>
      </c>
      <c r="K35" s="89" t="str">
        <f>IFERROR(IF(VLOOKUP(I35,Ingreso!K:P,6,0)=0,"Sin turtno ing",VLOOKUP(I35,Ingreso!K:P,6,0)),IF(F35&gt;0.25,IF(F35&lt;0.311805555555556,"Turno A",IF(F35&gt;0.3125,IF(F35&lt;0.354166666666667,"Turno C",IF(F35&gt;0.583333333333333,IF(F35&lt;0.625,"Turno B",IF(F35&gt;0.625694444444444,IF(F35&lt;0.8125,"Turno A",IF(F35&gt;0.875,IF(F35&lt;0.936805555555556,"Turno C",IF(F35&gt;0.9375,IF(F35&lt;0.979166666666667,"Turno B",""),"")),"")),"")),"")),"")),""))</f>
        <v>Turno B</v>
      </c>
      <c r="L35" s="91">
        <f t="shared" si="0"/>
        <v>0.3125</v>
      </c>
    </row>
    <row r="36" spans="1:15" s="40" customFormat="1">
      <c r="A36">
        <v>5428350</v>
      </c>
      <c r="B36" t="s">
        <v>410</v>
      </c>
      <c r="C36" t="s">
        <v>408</v>
      </c>
      <c r="D36" t="s">
        <v>409</v>
      </c>
      <c r="E36" t="s">
        <v>1437</v>
      </c>
      <c r="F36" s="78">
        <v>0.29089120370370369</v>
      </c>
      <c r="G36" t="s">
        <v>1405</v>
      </c>
      <c r="H36" t="s">
        <v>1335</v>
      </c>
      <c r="I36" s="88" t="str">
        <f>VLOOKUP(A36,Base!A:B,2,0)</f>
        <v>05.428.350-4</v>
      </c>
      <c r="J36" s="99" t="str">
        <f>VLOOKUP(A36,Base!A:F,6,0)</f>
        <v>NELSON  GALAZ  DEL PINO</v>
      </c>
      <c r="K36" s="89" t="str">
        <f>IFERROR(IF(VLOOKUP(I36,Ingreso!K:P,6,0)=0,"Sin turtno ing",VLOOKUP(I36,Ingreso!K:P,6,0)),IF(F36&gt;0.25,IF(F36&lt;0.311805555555556,"Turno A",IF(F36&gt;0.3125,IF(F36&lt;0.354166666666667,"Turno C",IF(F36&gt;0.583333333333333,IF(F36&lt;0.625,"Turno B",IF(F36&gt;0.625694444444444,IF(F36&lt;0.8125,"Turno A",IF(F36&gt;0.875,IF(F36&lt;0.936805555555556,"Turno C",IF(F36&gt;0.9375,IF(F36&lt;0.979166666666667,"Turno B",""),"")),"")),"")),"")),"")),""))</f>
        <v>Turno A</v>
      </c>
      <c r="L36" s="91">
        <f t="shared" si="0"/>
        <v>0.3125</v>
      </c>
    </row>
    <row r="37" spans="1:15" s="40" customFormat="1">
      <c r="A37">
        <v>5428350</v>
      </c>
      <c r="B37" t="s">
        <v>410</v>
      </c>
      <c r="C37" t="s">
        <v>408</v>
      </c>
      <c r="D37" t="s">
        <v>409</v>
      </c>
      <c r="E37" t="s">
        <v>1438</v>
      </c>
      <c r="F37" s="78">
        <v>0.62640046296296303</v>
      </c>
      <c r="G37" t="s">
        <v>1406</v>
      </c>
      <c r="H37" t="s">
        <v>1336</v>
      </c>
      <c r="I37" s="88" t="str">
        <f>VLOOKUP(A37,Base!A:B,2,0)</f>
        <v>05.428.350-4</v>
      </c>
      <c r="J37" s="99" t="str">
        <f>VLOOKUP(A37,Base!A:F,6,0)</f>
        <v>NELSON  GALAZ  DEL PINO</v>
      </c>
      <c r="K37" s="89" t="str">
        <f>IFERROR(IF(VLOOKUP(I37,Ingreso!K:P,6,0)=0,"Sin turtno ing",VLOOKUP(I37,Ingreso!K:P,6,0)),IF(F37&gt;0.25,IF(F37&lt;0.311805555555556,"Turno A",IF(F37&gt;0.3125,IF(F37&lt;0.354166666666667,"Turno C",IF(F37&gt;0.583333333333333,IF(F37&lt;0.625,"Turno B",IF(F37&gt;0.625694444444444,IF(F37&lt;0.8125,"Turno A",IF(F37&gt;0.875,IF(F37&lt;0.936805555555556,"Turno C",IF(F37&gt;0.9375,IF(F37&lt;0.979166666666667,"Turno B",""),"")),"")),"")),"")),"")),""))</f>
        <v>Turno A</v>
      </c>
      <c r="L37" s="91">
        <f t="shared" si="0"/>
        <v>0.3125</v>
      </c>
    </row>
    <row r="38" spans="1:15" s="40" customFormat="1">
      <c r="A38">
        <v>5428350</v>
      </c>
      <c r="B38" t="s">
        <v>410</v>
      </c>
      <c r="C38" t="s">
        <v>408</v>
      </c>
      <c r="D38" t="s">
        <v>409</v>
      </c>
      <c r="E38" t="s">
        <v>1438</v>
      </c>
      <c r="F38" s="78">
        <v>0.29318287037037039</v>
      </c>
      <c r="G38" t="s">
        <v>1405</v>
      </c>
      <c r="H38" t="s">
        <v>1335</v>
      </c>
      <c r="I38" s="88" t="str">
        <f>VLOOKUP(A38,Base!A:B,2,0)</f>
        <v>05.428.350-4</v>
      </c>
      <c r="J38" s="99" t="str">
        <f>VLOOKUP(A38,Base!A:F,6,0)</f>
        <v>NELSON  GALAZ  DEL PINO</v>
      </c>
      <c r="K38" s="89" t="str">
        <f>IFERROR(IF(VLOOKUP(I38,Ingreso!K:P,6,0)=0,"Sin turtno ing",VLOOKUP(I38,Ingreso!K:P,6,0)),IF(F38&gt;0.25,IF(F38&lt;0.311805555555556,"Turno A",IF(F38&gt;0.3125,IF(F38&lt;0.354166666666667,"Turno C",IF(F38&gt;0.583333333333333,IF(F38&lt;0.625,"Turno B",IF(F38&gt;0.625694444444444,IF(F38&lt;0.8125,"Turno A",IF(F38&gt;0.875,IF(F38&lt;0.936805555555556,"Turno C",IF(F38&gt;0.9375,IF(F38&lt;0.979166666666667,"Turno B",""),"")),"")),"")),"")),"")),""))</f>
        <v>Turno A</v>
      </c>
      <c r="L38" s="91">
        <f t="shared" si="0"/>
        <v>0.3125</v>
      </c>
    </row>
    <row r="39" spans="1:15" s="40" customFormat="1">
      <c r="A39">
        <v>5428350</v>
      </c>
      <c r="B39" t="s">
        <v>410</v>
      </c>
      <c r="C39" t="s">
        <v>408</v>
      </c>
      <c r="D39" t="s">
        <v>409</v>
      </c>
      <c r="E39" t="s">
        <v>1439</v>
      </c>
      <c r="F39" s="78">
        <v>0.62523148148148155</v>
      </c>
      <c r="G39" t="s">
        <v>1406</v>
      </c>
      <c r="H39" t="s">
        <v>1336</v>
      </c>
      <c r="I39" s="88" t="str">
        <f>VLOOKUP(A39,Base!A:B,2,0)</f>
        <v>05.428.350-4</v>
      </c>
      <c r="J39" s="99" t="str">
        <f>VLOOKUP(A39,Base!A:F,6,0)</f>
        <v>NELSON  GALAZ  DEL PINO</v>
      </c>
      <c r="K39" s="89" t="str">
        <f>IFERROR(IF(VLOOKUP(I39,Ingreso!K:P,6,0)=0,"Sin turtno ing",VLOOKUP(I39,Ingreso!K:P,6,0)),IF(F39&gt;0.25,IF(F39&lt;0.311805555555556,"Turno A",IF(F39&gt;0.3125,IF(F39&lt;0.354166666666667,"Turno C",IF(F39&gt;0.583333333333333,IF(F39&lt;0.625,"Turno B",IF(F39&gt;0.625694444444444,IF(F39&lt;0.8125,"Turno A",IF(F39&gt;0.875,IF(F39&lt;0.936805555555556,"Turno C",IF(F39&gt;0.9375,IF(F39&lt;0.979166666666667,"Turno B",""),"")),"")),"")),"")),"")),""))</f>
        <v/>
      </c>
      <c r="L39" s="91" t="e">
        <f t="shared" si="0"/>
        <v>#N/A</v>
      </c>
      <c r="M39" s="102"/>
    </row>
    <row r="40" spans="1:15" s="40" customFormat="1">
      <c r="A40">
        <v>5428350</v>
      </c>
      <c r="B40" t="s">
        <v>410</v>
      </c>
      <c r="C40" t="s">
        <v>408</v>
      </c>
      <c r="D40" t="s">
        <v>409</v>
      </c>
      <c r="E40" t="s">
        <v>1439</v>
      </c>
      <c r="F40" s="78">
        <v>0.28730324074074076</v>
      </c>
      <c r="G40" t="s">
        <v>1405</v>
      </c>
      <c r="H40" t="s">
        <v>1335</v>
      </c>
      <c r="I40" s="88" t="str">
        <f>VLOOKUP(A40,Base!A:B,2,0)</f>
        <v>05.428.350-4</v>
      </c>
      <c r="J40" s="99" t="str">
        <f>VLOOKUP(A40,Base!A:F,6,0)</f>
        <v>NELSON  GALAZ  DEL PINO</v>
      </c>
      <c r="K40" s="89" t="str">
        <f>IFERROR(IF(VLOOKUP(I40,Ingreso!K:P,6,0)=0,"Sin turtno ing",VLOOKUP(I40,Ingreso!K:P,6,0)),IF(F40&gt;0.25,IF(F40&lt;0.311805555555556,"Turno A",IF(F40&gt;0.3125,IF(F40&lt;0.354166666666667,"Turno C",IF(F40&gt;0.583333333333333,IF(F40&lt;0.625,"Turno B",IF(F40&gt;0.625694444444444,IF(F40&lt;0.8125,"Turno A",IF(F40&gt;0.875,IF(F40&lt;0.936805555555556,"Turno C",IF(F40&gt;0.9375,IF(F40&lt;0.979166666666667,"Turno B",""),"")),"")),"")),"")),"")),""))</f>
        <v>Turno A</v>
      </c>
      <c r="L40" s="91">
        <f t="shared" si="0"/>
        <v>0.3125</v>
      </c>
      <c r="M40" s="102"/>
      <c r="N40" s="55"/>
      <c r="O40" s="101"/>
    </row>
    <row r="41" spans="1:15" s="40" customFormat="1">
      <c r="A41">
        <v>5738427</v>
      </c>
      <c r="B41" t="s">
        <v>539</v>
      </c>
      <c r="C41" t="s">
        <v>25</v>
      </c>
      <c r="D41" t="s">
        <v>852</v>
      </c>
      <c r="E41" t="s">
        <v>1437</v>
      </c>
      <c r="F41" s="78">
        <v>0.62164351851851851</v>
      </c>
      <c r="G41" t="s">
        <v>1406</v>
      </c>
      <c r="H41" t="s">
        <v>1336</v>
      </c>
      <c r="I41" s="88" t="str">
        <f>VLOOKUP(A41,Base!A:B,2,0)</f>
        <v>5.738.427-1</v>
      </c>
      <c r="J41" s="99" t="str">
        <f>VLOOKUP(A41,Base!A:F,6,0)</f>
        <v>RAÚL   MARTINEZ  VASQUEZ</v>
      </c>
      <c r="K41" s="89" t="str">
        <f>IFERROR(IF(VLOOKUP(I41,Ingreso!K:P,6,0)=0,"Sin turtno ing",VLOOKUP(I41,Ingreso!K:P,6,0)),IF(F41&gt;0.25,IF(F41&lt;0.311805555555556,"Turno A",IF(F41&gt;0.3125,IF(F41&lt;0.354166666666667,"Turno C",IF(F41&gt;0.583333333333333,IF(F41&lt;0.625,"Turno B",IF(F41&gt;0.625694444444444,IF(F41&lt;0.8125,"Turno A",IF(F41&gt;0.875,IF(F41&lt;0.936805555555556,"Turno C",IF(F41&gt;0.9375,IF(F41&lt;0.979166666666667,"Turno B",""),"")),"")),"")),"")),"")),""))</f>
        <v>Turno B</v>
      </c>
      <c r="L41" s="91">
        <f t="shared" si="0"/>
        <v>0.3125</v>
      </c>
      <c r="M41" s="101"/>
      <c r="N41" s="100"/>
    </row>
    <row r="42" spans="1:15" s="40" customFormat="1">
      <c r="A42">
        <v>5738427</v>
      </c>
      <c r="B42" t="s">
        <v>539</v>
      </c>
      <c r="C42" t="s">
        <v>25</v>
      </c>
      <c r="D42" t="s">
        <v>852</v>
      </c>
      <c r="E42" t="s">
        <v>1437</v>
      </c>
      <c r="F42" s="78">
        <v>0.29203703703703704</v>
      </c>
      <c r="G42" t="s">
        <v>1405</v>
      </c>
      <c r="H42" t="s">
        <v>1335</v>
      </c>
      <c r="I42" s="88" t="str">
        <f>VLOOKUP(A42,Base!A:B,2,0)</f>
        <v>5.738.427-1</v>
      </c>
      <c r="J42" s="99" t="str">
        <f>VLOOKUP(A42,Base!A:F,6,0)</f>
        <v>RAÚL   MARTINEZ  VASQUEZ</v>
      </c>
      <c r="K42" s="89" t="str">
        <f>IFERROR(IF(VLOOKUP(I42,Ingreso!K:P,6,0)=0,"Sin turtno ing",VLOOKUP(I42,Ingreso!K:P,6,0)),IF(F42&gt;0.25,IF(F42&lt;0.311805555555556,"Turno A",IF(F42&gt;0.3125,IF(F42&lt;0.354166666666667,"Turno C",IF(F42&gt;0.583333333333333,IF(F42&lt;0.625,"Turno B",IF(F42&gt;0.625694444444444,IF(F42&lt;0.8125,"Turno A",IF(F42&gt;0.875,IF(F42&lt;0.936805555555556,"Turno C",IF(F42&gt;0.9375,IF(F42&lt;0.979166666666667,"Turno B",""),"")),"")),"")),"")),"")),""))</f>
        <v>Turno A</v>
      </c>
      <c r="L42" s="91">
        <f t="shared" si="0"/>
        <v>0.3125</v>
      </c>
      <c r="M42" s="101"/>
      <c r="N42" s="100"/>
    </row>
    <row r="43" spans="1:15" s="40" customFormat="1">
      <c r="A43">
        <v>5738427</v>
      </c>
      <c r="B43" t="s">
        <v>539</v>
      </c>
      <c r="C43" t="s">
        <v>25</v>
      </c>
      <c r="D43" t="s">
        <v>852</v>
      </c>
      <c r="E43" t="s">
        <v>1438</v>
      </c>
      <c r="F43" s="78">
        <v>0.62270833333333331</v>
      </c>
      <c r="G43" t="s">
        <v>1406</v>
      </c>
      <c r="H43" t="s">
        <v>1336</v>
      </c>
      <c r="I43" s="88" t="str">
        <f>VLOOKUP(A43,Base!A:B,2,0)</f>
        <v>5.738.427-1</v>
      </c>
      <c r="J43" s="99" t="str">
        <f>VLOOKUP(A43,Base!A:F,6,0)</f>
        <v>RAÚL   MARTINEZ  VASQUEZ</v>
      </c>
      <c r="K43" s="89" t="str">
        <f>IFERROR(IF(VLOOKUP(I43,Ingreso!K:P,6,0)=0,"Sin turtno ing",VLOOKUP(I43,Ingreso!K:P,6,0)),IF(F43&gt;0.25,IF(F43&lt;0.311805555555556,"Turno A",IF(F43&gt;0.3125,IF(F43&lt;0.354166666666667,"Turno C",IF(F43&gt;0.583333333333333,IF(F43&lt;0.625,"Turno B",IF(F43&gt;0.625694444444444,IF(F43&lt;0.8125,"Turno A",IF(F43&gt;0.875,IF(F43&lt;0.936805555555556,"Turno C",IF(F43&gt;0.9375,IF(F43&lt;0.979166666666667,"Turno B",""),"")),"")),"")),"")),"")),""))</f>
        <v>Turno B</v>
      </c>
      <c r="L43" s="91">
        <f t="shared" si="0"/>
        <v>0.3125</v>
      </c>
      <c r="M43" s="101"/>
      <c r="N43" s="100"/>
    </row>
    <row r="44" spans="1:15" s="40" customFormat="1">
      <c r="A44">
        <v>5738427</v>
      </c>
      <c r="B44" t="s">
        <v>539</v>
      </c>
      <c r="C44" t="s">
        <v>25</v>
      </c>
      <c r="D44" t="s">
        <v>852</v>
      </c>
      <c r="E44" t="s">
        <v>1438</v>
      </c>
      <c r="F44" s="78">
        <v>0.2910416666666667</v>
      </c>
      <c r="G44" t="s">
        <v>1405</v>
      </c>
      <c r="H44" t="s">
        <v>1335</v>
      </c>
      <c r="I44" s="88" t="str">
        <f>VLOOKUP(A44,Base!A:B,2,0)</f>
        <v>5.738.427-1</v>
      </c>
      <c r="J44" s="99" t="str">
        <f>VLOOKUP(A44,Base!A:F,6,0)</f>
        <v>RAÚL   MARTINEZ  VASQUEZ</v>
      </c>
      <c r="K44" s="89" t="str">
        <f>IFERROR(IF(VLOOKUP(I44,Ingreso!K:P,6,0)=0,"Sin turtno ing",VLOOKUP(I44,Ingreso!K:P,6,0)),IF(F44&gt;0.25,IF(F44&lt;0.311805555555556,"Turno A",IF(F44&gt;0.3125,IF(F44&lt;0.354166666666667,"Turno C",IF(F44&gt;0.583333333333333,IF(F44&lt;0.625,"Turno B",IF(F44&gt;0.625694444444444,IF(F44&lt;0.8125,"Turno A",IF(F44&gt;0.875,IF(F44&lt;0.936805555555556,"Turno C",IF(F44&gt;0.9375,IF(F44&lt;0.979166666666667,"Turno B",""),"")),"")),"")),"")),"")),""))</f>
        <v>Turno A</v>
      </c>
      <c r="L44" s="91">
        <f t="shared" si="0"/>
        <v>0.3125</v>
      </c>
    </row>
    <row r="45" spans="1:15" s="40" customFormat="1">
      <c r="A45">
        <v>5921603</v>
      </c>
      <c r="B45" t="s">
        <v>471</v>
      </c>
      <c r="C45" t="s">
        <v>469</v>
      </c>
      <c r="D45" t="s">
        <v>470</v>
      </c>
      <c r="E45" t="s">
        <v>1440</v>
      </c>
      <c r="F45" s="78">
        <v>0.72900462962962964</v>
      </c>
      <c r="G45" t="s">
        <v>1406</v>
      </c>
      <c r="H45" t="s">
        <v>1336</v>
      </c>
      <c r="I45" s="88" t="str">
        <f>VLOOKUP(A45,Base!A:B,2,0)</f>
        <v>05.921.603-1</v>
      </c>
      <c r="J45" s="99" t="str">
        <f>VLOOKUP(A45,Base!A:F,6,0)</f>
        <v>JUAN MANUEL  GUERRERO  MONTANO</v>
      </c>
      <c r="K45" s="89" t="str">
        <f>IFERROR(IF(VLOOKUP(I45,Ingreso!K:P,6,0)=0,"Sin turtno ing",VLOOKUP(I45,Ingreso!K:P,6,0)),IF(F45&gt;0.25,IF(F45&lt;0.311805555555556,"Turno A",IF(F45&gt;0.3125,IF(F45&lt;0.354166666666667,"Turno C",IF(F45&gt;0.583333333333333,IF(F45&lt;0.625,"Turno B",IF(F45&gt;0.625694444444444,IF(F45&lt;0.8125,"Turno A",IF(F45&gt;0.875,IF(F45&lt;0.936805555555556,"Turno C",IF(F45&gt;0.9375,IF(F45&lt;0.979166666666667,"Turno B",""),"")),"")),"")),"")),"")),""))</f>
        <v>Turno A</v>
      </c>
      <c r="L45" s="91">
        <f t="shared" si="0"/>
        <v>0.3125</v>
      </c>
    </row>
    <row r="46" spans="1:15" s="40" customFormat="1">
      <c r="A46">
        <v>5921603</v>
      </c>
      <c r="B46" t="s">
        <v>471</v>
      </c>
      <c r="C46" t="s">
        <v>469</v>
      </c>
      <c r="D46" t="s">
        <v>470</v>
      </c>
      <c r="E46" t="s">
        <v>1440</v>
      </c>
      <c r="F46" s="78">
        <v>0.29413194444444446</v>
      </c>
      <c r="G46" t="s">
        <v>1405</v>
      </c>
      <c r="H46" t="s">
        <v>1335</v>
      </c>
      <c r="I46" s="88" t="str">
        <f>VLOOKUP(A46,Base!A:B,2,0)</f>
        <v>05.921.603-1</v>
      </c>
      <c r="J46" s="99" t="str">
        <f>VLOOKUP(A46,Base!A:F,6,0)</f>
        <v>JUAN MANUEL  GUERRERO  MONTANO</v>
      </c>
      <c r="K46" s="89" t="str">
        <f>IFERROR(IF(VLOOKUP(I46,Ingreso!K:P,6,0)=0,"Sin turtno ing",VLOOKUP(I46,Ingreso!K:P,6,0)),IF(F46&gt;0.25,IF(F46&lt;0.311805555555556,"Turno A",IF(F46&gt;0.3125,IF(F46&lt;0.354166666666667,"Turno C",IF(F46&gt;0.583333333333333,IF(F46&lt;0.625,"Turno B",IF(F46&gt;0.625694444444444,IF(F46&lt;0.8125,"Turno A",IF(F46&gt;0.875,IF(F46&lt;0.936805555555556,"Turno C",IF(F46&gt;0.9375,IF(F46&lt;0.979166666666667,"Turno B",""),"")),"")),"")),"")),"")),""))</f>
        <v>Turno A</v>
      </c>
      <c r="L46" s="91">
        <f t="shared" si="0"/>
        <v>0.3125</v>
      </c>
    </row>
    <row r="47" spans="1:15" s="40" customFormat="1">
      <c r="A47">
        <v>5921603</v>
      </c>
      <c r="B47" t="s">
        <v>471</v>
      </c>
      <c r="C47" t="s">
        <v>469</v>
      </c>
      <c r="D47" t="s">
        <v>470</v>
      </c>
      <c r="E47" t="s">
        <v>1437</v>
      </c>
      <c r="F47" s="78">
        <v>0.73143518518518524</v>
      </c>
      <c r="G47" t="s">
        <v>1406</v>
      </c>
      <c r="H47" t="s">
        <v>1336</v>
      </c>
      <c r="I47" s="88" t="str">
        <f>VLOOKUP(A47,Base!A:B,2,0)</f>
        <v>05.921.603-1</v>
      </c>
      <c r="J47" s="99" t="str">
        <f>VLOOKUP(A47,Base!A:F,6,0)</f>
        <v>JUAN MANUEL  GUERRERO  MONTANO</v>
      </c>
      <c r="K47" s="89" t="str">
        <f>IFERROR(IF(VLOOKUP(I47,Ingreso!K:P,6,0)=0,"Sin turtno ing",VLOOKUP(I47,Ingreso!K:P,6,0)),IF(F47&gt;0.25,IF(F47&lt;0.311805555555556,"Turno A",IF(F47&gt;0.3125,IF(F47&lt;0.354166666666667,"Turno C",IF(F47&gt;0.583333333333333,IF(F47&lt;0.625,"Turno B",IF(F47&gt;0.625694444444444,IF(F47&lt;0.8125,"Turno A",IF(F47&gt;0.875,IF(F47&lt;0.936805555555556,"Turno C",IF(F47&gt;0.9375,IF(F47&lt;0.979166666666667,"Turno B",""),"")),"")),"")),"")),"")),""))</f>
        <v>Turno A</v>
      </c>
      <c r="L47" s="91">
        <f t="shared" si="0"/>
        <v>0.3125</v>
      </c>
    </row>
    <row r="48" spans="1:15" s="40" customFormat="1">
      <c r="A48">
        <v>5921603</v>
      </c>
      <c r="B48" t="s">
        <v>471</v>
      </c>
      <c r="C48" t="s">
        <v>469</v>
      </c>
      <c r="D48" t="s">
        <v>470</v>
      </c>
      <c r="E48" t="s">
        <v>1437</v>
      </c>
      <c r="F48" s="78">
        <v>0.29508101851851853</v>
      </c>
      <c r="G48" t="s">
        <v>1405</v>
      </c>
      <c r="H48" t="s">
        <v>1335</v>
      </c>
      <c r="I48" s="88" t="str">
        <f>VLOOKUP(A48,Base!A:B,2,0)</f>
        <v>05.921.603-1</v>
      </c>
      <c r="J48" s="99" t="str">
        <f>VLOOKUP(A48,Base!A:F,6,0)</f>
        <v>JUAN MANUEL  GUERRERO  MONTANO</v>
      </c>
      <c r="K48" s="89" t="str">
        <f>IFERROR(IF(VLOOKUP(I48,Ingreso!K:P,6,0)=0,"Sin turtno ing",VLOOKUP(I48,Ingreso!K:P,6,0)),IF(F48&gt;0.25,IF(F48&lt;0.311805555555556,"Turno A",IF(F48&gt;0.3125,IF(F48&lt;0.354166666666667,"Turno C",IF(F48&gt;0.583333333333333,IF(F48&lt;0.625,"Turno B",IF(F48&gt;0.625694444444444,IF(F48&lt;0.8125,"Turno A",IF(F48&gt;0.875,IF(F48&lt;0.936805555555556,"Turno C",IF(F48&gt;0.9375,IF(F48&lt;0.979166666666667,"Turno B",""),"")),"")),"")),"")),"")),""))</f>
        <v>Turno A</v>
      </c>
      <c r="L48" s="91">
        <f t="shared" si="0"/>
        <v>0.3125</v>
      </c>
    </row>
    <row r="49" spans="1:12" s="40" customFormat="1">
      <c r="A49">
        <v>5921603</v>
      </c>
      <c r="B49" t="s">
        <v>471</v>
      </c>
      <c r="C49" t="s">
        <v>469</v>
      </c>
      <c r="D49" t="s">
        <v>470</v>
      </c>
      <c r="E49" t="s">
        <v>1438</v>
      </c>
      <c r="F49" s="78">
        <v>0.73190972222222228</v>
      </c>
      <c r="G49" t="s">
        <v>1406</v>
      </c>
      <c r="H49" t="s">
        <v>1336</v>
      </c>
      <c r="I49" s="88" t="str">
        <f>VLOOKUP(A49,Base!A:B,2,0)</f>
        <v>05.921.603-1</v>
      </c>
      <c r="J49" s="99" t="str">
        <f>VLOOKUP(A49,Base!A:F,6,0)</f>
        <v>JUAN MANUEL  GUERRERO  MONTANO</v>
      </c>
      <c r="K49" s="89" t="str">
        <f>IFERROR(IF(VLOOKUP(I49,Ingreso!K:P,6,0)=0,"Sin turtno ing",VLOOKUP(I49,Ingreso!K:P,6,0)),IF(F49&gt;0.25,IF(F49&lt;0.311805555555556,"Turno A",IF(F49&gt;0.3125,IF(F49&lt;0.354166666666667,"Turno C",IF(F49&gt;0.583333333333333,IF(F49&lt;0.625,"Turno B",IF(F49&gt;0.625694444444444,IF(F49&lt;0.8125,"Turno A",IF(F49&gt;0.875,IF(F49&lt;0.936805555555556,"Turno C",IF(F49&gt;0.9375,IF(F49&lt;0.979166666666667,"Turno B",""),"")),"")),"")),"")),"")),""))</f>
        <v>Turno A</v>
      </c>
      <c r="L49" s="91">
        <f t="shared" si="0"/>
        <v>0.3125</v>
      </c>
    </row>
    <row r="50" spans="1:12" s="40" customFormat="1">
      <c r="A50">
        <v>5921603</v>
      </c>
      <c r="B50" t="s">
        <v>471</v>
      </c>
      <c r="C50" t="s">
        <v>469</v>
      </c>
      <c r="D50" t="s">
        <v>470</v>
      </c>
      <c r="E50" t="s">
        <v>1438</v>
      </c>
      <c r="F50" s="78">
        <v>0.29487268518518517</v>
      </c>
      <c r="G50" t="s">
        <v>1405</v>
      </c>
      <c r="H50" t="s">
        <v>1335</v>
      </c>
      <c r="I50" s="88" t="str">
        <f>VLOOKUP(A50,Base!A:B,2,0)</f>
        <v>05.921.603-1</v>
      </c>
      <c r="J50" s="99" t="str">
        <f>VLOOKUP(A50,Base!A:F,6,0)</f>
        <v>JUAN MANUEL  GUERRERO  MONTANO</v>
      </c>
      <c r="K50" s="89" t="str">
        <f>IFERROR(IF(VLOOKUP(I50,Ingreso!K:P,6,0)=0,"Sin turtno ing",VLOOKUP(I50,Ingreso!K:P,6,0)),IF(F50&gt;0.25,IF(F50&lt;0.311805555555556,"Turno A",IF(F50&gt;0.3125,IF(F50&lt;0.354166666666667,"Turno C",IF(F50&gt;0.583333333333333,IF(F50&lt;0.625,"Turno B",IF(F50&gt;0.625694444444444,IF(F50&lt;0.8125,"Turno A",IF(F50&gt;0.875,IF(F50&lt;0.936805555555556,"Turno C",IF(F50&gt;0.9375,IF(F50&lt;0.979166666666667,"Turno B",""),"")),"")),"")),"")),"")),""))</f>
        <v>Turno A</v>
      </c>
      <c r="L50" s="91">
        <f t="shared" si="0"/>
        <v>0.3125</v>
      </c>
    </row>
    <row r="51" spans="1:12" s="40" customFormat="1">
      <c r="A51">
        <v>5921603</v>
      </c>
      <c r="B51" t="s">
        <v>471</v>
      </c>
      <c r="C51" t="s">
        <v>469</v>
      </c>
      <c r="D51" t="s">
        <v>470</v>
      </c>
      <c r="E51" t="s">
        <v>1439</v>
      </c>
      <c r="F51" s="78">
        <v>0.73105324074074074</v>
      </c>
      <c r="G51" t="s">
        <v>1406</v>
      </c>
      <c r="H51" t="s">
        <v>1336</v>
      </c>
      <c r="I51" s="88" t="str">
        <f>VLOOKUP(A51,Base!A:B,2,0)</f>
        <v>05.921.603-1</v>
      </c>
      <c r="J51" s="99" t="str">
        <f>VLOOKUP(A51,Base!A:F,6,0)</f>
        <v>JUAN MANUEL  GUERRERO  MONTANO</v>
      </c>
      <c r="K51" s="89" t="str">
        <f>IFERROR(IF(VLOOKUP(I51,Ingreso!K:P,6,0)=0,"Sin turtno ing",VLOOKUP(I51,Ingreso!K:P,6,0)),IF(F51&gt;0.25,IF(F51&lt;0.311805555555556,"Turno A",IF(F51&gt;0.3125,IF(F51&lt;0.354166666666667,"Turno C",IF(F51&gt;0.583333333333333,IF(F51&lt;0.625,"Turno B",IF(F51&gt;0.625694444444444,IF(F51&lt;0.8125,"Turno A",IF(F51&gt;0.875,IF(F51&lt;0.936805555555556,"Turno C",IF(F51&gt;0.9375,IF(F51&lt;0.979166666666667,"Turno B",""),"")),"")),"")),"")),"")),""))</f>
        <v>Turno A</v>
      </c>
      <c r="L51" s="91">
        <f t="shared" si="0"/>
        <v>0.3125</v>
      </c>
    </row>
    <row r="52" spans="1:12" s="40" customFormat="1">
      <c r="A52">
        <v>5921603</v>
      </c>
      <c r="B52" t="s">
        <v>471</v>
      </c>
      <c r="C52" t="s">
        <v>469</v>
      </c>
      <c r="D52" t="s">
        <v>470</v>
      </c>
      <c r="E52" t="s">
        <v>1439</v>
      </c>
      <c r="F52" s="78">
        <v>0.29370370370370369</v>
      </c>
      <c r="G52" t="s">
        <v>1405</v>
      </c>
      <c r="H52" t="s">
        <v>1335</v>
      </c>
      <c r="I52" s="88" t="str">
        <f>VLOOKUP(A52,Base!A:B,2,0)</f>
        <v>05.921.603-1</v>
      </c>
      <c r="J52" s="99" t="str">
        <f>VLOOKUP(A52,Base!A:F,6,0)</f>
        <v>JUAN MANUEL  GUERRERO  MONTANO</v>
      </c>
      <c r="K52" s="89" t="str">
        <f>IFERROR(IF(VLOOKUP(I52,Ingreso!K:P,6,0)=0,"Sin turtno ing",VLOOKUP(I52,Ingreso!K:P,6,0)),IF(F52&gt;0.25,IF(F52&lt;0.311805555555556,"Turno A",IF(F52&gt;0.3125,IF(F52&lt;0.354166666666667,"Turno C",IF(F52&gt;0.583333333333333,IF(F52&lt;0.625,"Turno B",IF(F52&gt;0.625694444444444,IF(F52&lt;0.8125,"Turno A",IF(F52&gt;0.875,IF(F52&lt;0.936805555555556,"Turno C",IF(F52&gt;0.9375,IF(F52&lt;0.979166666666667,"Turno B",""),"")),"")),"")),"")),"")),""))</f>
        <v>Turno A</v>
      </c>
      <c r="L52" s="91">
        <f t="shared" si="0"/>
        <v>0.3125</v>
      </c>
    </row>
    <row r="53" spans="1:12" s="40" customFormat="1">
      <c r="A53">
        <v>5989878</v>
      </c>
      <c r="B53" t="s">
        <v>383</v>
      </c>
      <c r="C53" t="s">
        <v>377</v>
      </c>
      <c r="D53" t="s">
        <v>382</v>
      </c>
      <c r="E53" t="s">
        <v>1407</v>
      </c>
      <c r="F53" s="78">
        <v>0</v>
      </c>
      <c r="G53"/>
      <c r="H53"/>
      <c r="I53" s="88" t="str">
        <f>VLOOKUP(A53,Base!A:B,2,0)</f>
        <v>05.989.878-7</v>
      </c>
      <c r="J53" s="99" t="str">
        <f>VLOOKUP(A53,Base!A:F,6,0)</f>
        <v>NELLY E.  FIGUEROA  PAVEZ</v>
      </c>
      <c r="K53" s="89" t="str">
        <f>IFERROR(IF(VLOOKUP(I53,Ingreso!K:P,6,0)=0,"Sin turtno ing",VLOOKUP(I53,Ingreso!K:P,6,0)),IF(F53&gt;0.25,IF(F53&lt;0.311805555555556,"Turno A",IF(F53&gt;0.3125,IF(F53&lt;0.354166666666667,"Turno C",IF(F53&gt;0.583333333333333,IF(F53&lt;0.625,"Turno B",IF(F53&gt;0.625694444444444,IF(F53&lt;0.8125,"Turno A",IF(F53&gt;0.875,IF(F53&lt;0.936805555555556,"Turno C",IF(F53&gt;0.9375,IF(F53&lt;0.979166666666667,"Turno B",""),"")),"")),"")),"")),"")),""))</f>
        <v>Sin turtno ing</v>
      </c>
      <c r="L53" s="91" t="e">
        <f>VLOOKUP(K53,$S$3:$T$7,2,0)</f>
        <v>#N/A</v>
      </c>
    </row>
    <row r="54" spans="1:12" s="40" customFormat="1">
      <c r="A54">
        <v>6010169</v>
      </c>
      <c r="B54" t="s">
        <v>553</v>
      </c>
      <c r="C54" t="s">
        <v>806</v>
      </c>
      <c r="D54" t="s">
        <v>810</v>
      </c>
      <c r="E54" t="s">
        <v>1440</v>
      </c>
      <c r="F54" s="78">
        <v>0.73229166666666667</v>
      </c>
      <c r="G54" t="s">
        <v>1406</v>
      </c>
      <c r="H54" t="s">
        <v>1336</v>
      </c>
      <c r="I54" s="88" t="str">
        <f>VLOOKUP(A54,Base!A:B,2,0)</f>
        <v>06.010.169-8</v>
      </c>
      <c r="J54" s="99" t="str">
        <f>VLOOKUP(A54,Base!A:F,6,0)</f>
        <v>GUILLERMO  PINO  QUINTANILLA</v>
      </c>
      <c r="K54" s="89" t="str">
        <f>IFERROR(IF(VLOOKUP(I54,Ingreso!K:P,6,0)=0,"Sin turtno ing",VLOOKUP(I54,Ingreso!K:P,6,0)),IF(F54&gt;0.25,IF(F54&lt;0.311805555555556,"Turno A",IF(F54&gt;0.3125,IF(F54&lt;0.354166666666667,"Turno C",IF(F54&gt;0.583333333333333,IF(F54&lt;0.625,"Turno B",IF(F54&gt;0.625694444444444,IF(F54&lt;0.8125,"Turno A",IF(F54&gt;0.875,IF(F54&lt;0.936805555555556,"Turno C",IF(F54&gt;0.9375,IF(F54&lt;0.979166666666667,"Turno B",""),"")),"")),"")),"")),"")),""))</f>
        <v>Turno A</v>
      </c>
      <c r="L54" s="91">
        <f t="shared" si="0"/>
        <v>0.3125</v>
      </c>
    </row>
    <row r="55" spans="1:12" s="40" customFormat="1">
      <c r="A55">
        <v>6010169</v>
      </c>
      <c r="B55" t="s">
        <v>553</v>
      </c>
      <c r="C55" t="s">
        <v>806</v>
      </c>
      <c r="D55" t="s">
        <v>810</v>
      </c>
      <c r="E55" t="s">
        <v>1440</v>
      </c>
      <c r="F55" s="78">
        <v>0.29017361111111112</v>
      </c>
      <c r="G55" t="s">
        <v>1405</v>
      </c>
      <c r="H55" t="s">
        <v>1335</v>
      </c>
      <c r="I55" s="88" t="str">
        <f>VLOOKUP(A55,Base!A:B,2,0)</f>
        <v>06.010.169-8</v>
      </c>
      <c r="J55" s="99" t="str">
        <f>VLOOKUP(A55,Base!A:F,6,0)</f>
        <v>GUILLERMO  PINO  QUINTANILLA</v>
      </c>
      <c r="K55" s="89" t="str">
        <f>IFERROR(IF(VLOOKUP(I55,Ingreso!K:P,6,0)=0,"Sin turtno ing",VLOOKUP(I55,Ingreso!K:P,6,0)),IF(F55&gt;0.25,IF(F55&lt;0.311805555555556,"Turno A",IF(F55&gt;0.3125,IF(F55&lt;0.354166666666667,"Turno C",IF(F55&gt;0.583333333333333,IF(F55&lt;0.625,"Turno B",IF(F55&gt;0.625694444444444,IF(F55&lt;0.8125,"Turno A",IF(F55&gt;0.875,IF(F55&lt;0.936805555555556,"Turno C",IF(F55&gt;0.9375,IF(F55&lt;0.979166666666667,"Turno B",""),"")),"")),"")),"")),"")),""))</f>
        <v>Turno A</v>
      </c>
      <c r="L55" s="91">
        <f t="shared" si="0"/>
        <v>0.3125</v>
      </c>
    </row>
    <row r="56" spans="1:12" s="40" customFormat="1">
      <c r="A56">
        <v>6010169</v>
      </c>
      <c r="B56" t="s">
        <v>553</v>
      </c>
      <c r="C56" t="s">
        <v>806</v>
      </c>
      <c r="D56" t="s">
        <v>810</v>
      </c>
      <c r="E56" t="s">
        <v>1441</v>
      </c>
      <c r="F56" s="78">
        <v>0.63498842592592586</v>
      </c>
      <c r="G56" t="s">
        <v>1406</v>
      </c>
      <c r="H56" t="s">
        <v>1336</v>
      </c>
      <c r="I56" s="88" t="str">
        <f>VLOOKUP(A56,Base!A:B,2,0)</f>
        <v>06.010.169-8</v>
      </c>
      <c r="J56" s="99" t="str">
        <f>VLOOKUP(A56,Base!A:F,6,0)</f>
        <v>GUILLERMO  PINO  QUINTANILLA</v>
      </c>
      <c r="K56" s="89" t="str">
        <f>IFERROR(IF(VLOOKUP(I56,Ingreso!K:P,6,0)=0,"Sin turtno ing",VLOOKUP(I56,Ingreso!K:P,6,0)),IF(F56&gt;0.25,IF(F56&lt;0.311805555555556,"Turno A",IF(F56&gt;0.3125,IF(F56&lt;0.354166666666667,"Turno C",IF(F56&gt;0.583333333333333,IF(F56&lt;0.625,"Turno B",IF(F56&gt;0.625694444444444,IF(F56&lt;0.8125,"Turno A",IF(F56&gt;0.875,IF(F56&lt;0.936805555555556,"Turno C",IF(F56&gt;0.9375,IF(F56&lt;0.979166666666667,"Turno B",""),"")),"")),"")),"")),"")),""))</f>
        <v>Turno A</v>
      </c>
      <c r="L56" s="91">
        <f t="shared" si="0"/>
        <v>0.3125</v>
      </c>
    </row>
    <row r="57" spans="1:12" s="40" customFormat="1">
      <c r="A57">
        <v>6010169</v>
      </c>
      <c r="B57" t="s">
        <v>553</v>
      </c>
      <c r="C57" t="s">
        <v>806</v>
      </c>
      <c r="D57" t="s">
        <v>810</v>
      </c>
      <c r="E57" t="s">
        <v>1441</v>
      </c>
      <c r="F57" s="78">
        <v>0.28947916666666668</v>
      </c>
      <c r="G57" t="s">
        <v>1405</v>
      </c>
      <c r="H57" t="s">
        <v>1335</v>
      </c>
      <c r="I57" s="88" t="str">
        <f>VLOOKUP(A57,Base!A:B,2,0)</f>
        <v>06.010.169-8</v>
      </c>
      <c r="J57" s="99" t="str">
        <f>VLOOKUP(A57,Base!A:F,6,0)</f>
        <v>GUILLERMO  PINO  QUINTANILLA</v>
      </c>
      <c r="K57" s="89" t="str">
        <f>IFERROR(IF(VLOOKUP(I57,Ingreso!K:P,6,0)=0,"Sin turtno ing",VLOOKUP(I57,Ingreso!K:P,6,0)),IF(F57&gt;0.25,IF(F57&lt;0.311805555555556,"Turno A",IF(F57&gt;0.3125,IF(F57&lt;0.354166666666667,"Turno C",IF(F57&gt;0.583333333333333,IF(F57&lt;0.625,"Turno B",IF(F57&gt;0.625694444444444,IF(F57&lt;0.8125,"Turno A",IF(F57&gt;0.875,IF(F57&lt;0.936805555555556,"Turno C",IF(F57&gt;0.9375,IF(F57&lt;0.979166666666667,"Turno B",""),"")),"")),"")),"")),"")),""))</f>
        <v>Turno A</v>
      </c>
      <c r="L57" s="91">
        <f t="shared" si="0"/>
        <v>0.3125</v>
      </c>
    </row>
    <row r="58" spans="1:12" s="40" customFormat="1">
      <c r="A58">
        <v>6010169</v>
      </c>
      <c r="B58" t="s">
        <v>553</v>
      </c>
      <c r="C58" t="s">
        <v>806</v>
      </c>
      <c r="D58" t="s">
        <v>810</v>
      </c>
      <c r="E58" t="s">
        <v>1437</v>
      </c>
      <c r="F58" s="78">
        <v>0.73158564814814808</v>
      </c>
      <c r="G58" t="s">
        <v>1406</v>
      </c>
      <c r="H58" t="s">
        <v>1336</v>
      </c>
      <c r="I58" s="88" t="str">
        <f>VLOOKUP(A58,Base!A:B,2,0)</f>
        <v>06.010.169-8</v>
      </c>
      <c r="J58" s="99" t="str">
        <f>VLOOKUP(A58,Base!A:F,6,0)</f>
        <v>GUILLERMO  PINO  QUINTANILLA</v>
      </c>
      <c r="K58" s="89" t="str">
        <f>IFERROR(IF(VLOOKUP(I58,Ingreso!K:P,6,0)=0,"Sin turtno ing",VLOOKUP(I58,Ingreso!K:P,6,0)),IF(F58&gt;0.25,IF(F58&lt;0.311805555555556,"Turno A",IF(F58&gt;0.3125,IF(F58&lt;0.354166666666667,"Turno C",IF(F58&gt;0.583333333333333,IF(F58&lt;0.625,"Turno B",IF(F58&gt;0.625694444444444,IF(F58&lt;0.8125,"Turno A",IF(F58&gt;0.875,IF(F58&lt;0.936805555555556,"Turno C",IF(F58&gt;0.9375,IF(F58&lt;0.979166666666667,"Turno B",""),"")),"")),"")),"")),"")),""))</f>
        <v>Turno A</v>
      </c>
      <c r="L58" s="91">
        <f t="shared" si="0"/>
        <v>0.3125</v>
      </c>
    </row>
    <row r="59" spans="1:12" s="40" customFormat="1">
      <c r="A59">
        <v>6010169</v>
      </c>
      <c r="B59" t="s">
        <v>553</v>
      </c>
      <c r="C59" t="s">
        <v>806</v>
      </c>
      <c r="D59" t="s">
        <v>810</v>
      </c>
      <c r="E59" t="s">
        <v>1437</v>
      </c>
      <c r="F59" s="78">
        <v>0.2907986111111111</v>
      </c>
      <c r="G59" t="s">
        <v>1405</v>
      </c>
      <c r="H59" t="s">
        <v>1335</v>
      </c>
      <c r="I59" s="88" t="str">
        <f>VLOOKUP(A59,Base!A:B,2,0)</f>
        <v>06.010.169-8</v>
      </c>
      <c r="J59" s="99" t="str">
        <f>VLOOKUP(A59,Base!A:F,6,0)</f>
        <v>GUILLERMO  PINO  QUINTANILLA</v>
      </c>
      <c r="K59" s="89" t="str">
        <f>IFERROR(IF(VLOOKUP(I59,Ingreso!K:P,6,0)=0,"Sin turtno ing",VLOOKUP(I59,Ingreso!K:P,6,0)),IF(F59&gt;0.25,IF(F59&lt;0.311805555555556,"Turno A",IF(F59&gt;0.3125,IF(F59&lt;0.354166666666667,"Turno C",IF(F59&gt;0.583333333333333,IF(F59&lt;0.625,"Turno B",IF(F59&gt;0.625694444444444,IF(F59&lt;0.8125,"Turno A",IF(F59&gt;0.875,IF(F59&lt;0.936805555555556,"Turno C",IF(F59&gt;0.9375,IF(F59&lt;0.979166666666667,"Turno B",""),"")),"")),"")),"")),"")),""))</f>
        <v>Turno A</v>
      </c>
      <c r="L59" s="91">
        <f t="shared" si="0"/>
        <v>0.3125</v>
      </c>
    </row>
    <row r="60" spans="1:12" s="40" customFormat="1">
      <c r="A60">
        <v>6010169</v>
      </c>
      <c r="B60" t="s">
        <v>553</v>
      </c>
      <c r="C60" t="s">
        <v>806</v>
      </c>
      <c r="D60" t="s">
        <v>810</v>
      </c>
      <c r="E60" t="s">
        <v>1438</v>
      </c>
      <c r="F60" s="78">
        <v>0.73138888888888898</v>
      </c>
      <c r="G60" t="s">
        <v>1406</v>
      </c>
      <c r="H60" t="s">
        <v>1336</v>
      </c>
      <c r="I60" s="88" t="str">
        <f>VLOOKUP(A60,Base!A:B,2,0)</f>
        <v>06.010.169-8</v>
      </c>
      <c r="J60" s="99" t="str">
        <f>VLOOKUP(A60,Base!A:F,6,0)</f>
        <v>GUILLERMO  PINO  QUINTANILLA</v>
      </c>
      <c r="K60" s="89" t="str">
        <f>IFERROR(IF(VLOOKUP(I60,Ingreso!K:P,6,0)=0,"Sin turtno ing",VLOOKUP(I60,Ingreso!K:P,6,0)),IF(F60&gt;0.25,IF(F60&lt;0.311805555555556,"Turno A",IF(F60&gt;0.3125,IF(F60&lt;0.354166666666667,"Turno C",IF(F60&gt;0.583333333333333,IF(F60&lt;0.625,"Turno B",IF(F60&gt;0.625694444444444,IF(F60&lt;0.8125,"Turno A",IF(F60&gt;0.875,IF(F60&lt;0.936805555555556,"Turno C",IF(F60&gt;0.9375,IF(F60&lt;0.979166666666667,"Turno B",""),"")),"")),"")),"")),"")),""))</f>
        <v>Turno A</v>
      </c>
      <c r="L60" s="91">
        <f t="shared" si="0"/>
        <v>0.3125</v>
      </c>
    </row>
    <row r="61" spans="1:12" s="40" customFormat="1">
      <c r="A61">
        <v>6010169</v>
      </c>
      <c r="B61" t="s">
        <v>553</v>
      </c>
      <c r="C61" t="s">
        <v>806</v>
      </c>
      <c r="D61" t="s">
        <v>810</v>
      </c>
      <c r="E61" t="s">
        <v>1438</v>
      </c>
      <c r="F61" s="78">
        <v>0.28979166666666667</v>
      </c>
      <c r="G61" t="s">
        <v>1405</v>
      </c>
      <c r="H61" t="s">
        <v>1335</v>
      </c>
      <c r="I61" s="88" t="str">
        <f>VLOOKUP(A61,Base!A:B,2,0)</f>
        <v>06.010.169-8</v>
      </c>
      <c r="J61" s="99" t="str">
        <f>VLOOKUP(A61,Base!A:F,6,0)</f>
        <v>GUILLERMO  PINO  QUINTANILLA</v>
      </c>
      <c r="K61" s="89" t="str">
        <f>IFERROR(IF(VLOOKUP(I61,Ingreso!K:P,6,0)=0,"Sin turtno ing",VLOOKUP(I61,Ingreso!K:P,6,0)),IF(F61&gt;0.25,IF(F61&lt;0.311805555555556,"Turno A",IF(F61&gt;0.3125,IF(F61&lt;0.354166666666667,"Turno C",IF(F61&gt;0.583333333333333,IF(F61&lt;0.625,"Turno B",IF(F61&gt;0.625694444444444,IF(F61&lt;0.8125,"Turno A",IF(F61&gt;0.875,IF(F61&lt;0.936805555555556,"Turno C",IF(F61&gt;0.9375,IF(F61&lt;0.979166666666667,"Turno B",""),"")),"")),"")),"")),"")),""))</f>
        <v>Turno A</v>
      </c>
      <c r="L61" s="91">
        <f t="shared" si="0"/>
        <v>0.3125</v>
      </c>
    </row>
    <row r="62" spans="1:12" s="40" customFormat="1">
      <c r="A62">
        <v>6010169</v>
      </c>
      <c r="B62" t="s">
        <v>553</v>
      </c>
      <c r="C62" t="s">
        <v>806</v>
      </c>
      <c r="D62" t="s">
        <v>810</v>
      </c>
      <c r="E62" t="s">
        <v>1439</v>
      </c>
      <c r="F62" s="78">
        <v>0.73421296296296301</v>
      </c>
      <c r="G62" t="s">
        <v>1406</v>
      </c>
      <c r="H62" t="s">
        <v>1336</v>
      </c>
      <c r="I62" s="88" t="str">
        <f>VLOOKUP(A62,Base!A:B,2,0)</f>
        <v>06.010.169-8</v>
      </c>
      <c r="J62" s="99" t="str">
        <f>VLOOKUP(A62,Base!A:F,6,0)</f>
        <v>GUILLERMO  PINO  QUINTANILLA</v>
      </c>
      <c r="K62" s="89" t="str">
        <f>IFERROR(IF(VLOOKUP(I62,Ingreso!K:P,6,0)=0,"Sin turtno ing",VLOOKUP(I62,Ingreso!K:P,6,0)),IF(F62&gt;0.25,IF(F62&lt;0.311805555555556,"Turno A",IF(F62&gt;0.3125,IF(F62&lt;0.354166666666667,"Turno C",IF(F62&gt;0.583333333333333,IF(F62&lt;0.625,"Turno B",IF(F62&gt;0.625694444444444,IF(F62&lt;0.8125,"Turno A",IF(F62&gt;0.875,IF(F62&lt;0.936805555555556,"Turno C",IF(F62&gt;0.9375,IF(F62&lt;0.979166666666667,"Turno B",""),"")),"")),"")),"")),"")),""))</f>
        <v>Turno A</v>
      </c>
      <c r="L62" s="91">
        <f t="shared" si="0"/>
        <v>0.3125</v>
      </c>
    </row>
    <row r="63" spans="1:12" s="40" customFormat="1">
      <c r="A63">
        <v>6010169</v>
      </c>
      <c r="B63" t="s">
        <v>553</v>
      </c>
      <c r="C63" t="s">
        <v>806</v>
      </c>
      <c r="D63" t="s">
        <v>810</v>
      </c>
      <c r="E63" t="s">
        <v>1439</v>
      </c>
      <c r="F63" s="78">
        <v>0.28847222222222224</v>
      </c>
      <c r="G63" t="s">
        <v>1405</v>
      </c>
      <c r="H63" t="s">
        <v>1335</v>
      </c>
      <c r="I63" s="88" t="str">
        <f>VLOOKUP(A63,Base!A:B,2,0)</f>
        <v>06.010.169-8</v>
      </c>
      <c r="J63" s="99" t="str">
        <f>VLOOKUP(A63,Base!A:F,6,0)</f>
        <v>GUILLERMO  PINO  QUINTANILLA</v>
      </c>
      <c r="K63" s="89" t="str">
        <f>IFERROR(IF(VLOOKUP(I63,Ingreso!K:P,6,0)=0,"Sin turtno ing",VLOOKUP(I63,Ingreso!K:P,6,0)),IF(F63&gt;0.25,IF(F63&lt;0.311805555555556,"Turno A",IF(F63&gt;0.3125,IF(F63&lt;0.354166666666667,"Turno C",IF(F63&gt;0.583333333333333,IF(F63&lt;0.625,"Turno B",IF(F63&gt;0.625694444444444,IF(F63&lt;0.8125,"Turno A",IF(F63&gt;0.875,IF(F63&lt;0.936805555555556,"Turno C",IF(F63&gt;0.9375,IF(F63&lt;0.979166666666667,"Turno B",""),"")),"")),"")),"")),"")),""))</f>
        <v>Turno A</v>
      </c>
      <c r="L63" s="91">
        <f t="shared" si="0"/>
        <v>0.3125</v>
      </c>
    </row>
    <row r="64" spans="1:12" s="40" customFormat="1">
      <c r="A64">
        <v>6143912</v>
      </c>
      <c r="B64" t="s">
        <v>297</v>
      </c>
      <c r="C64" t="s">
        <v>295</v>
      </c>
      <c r="D64" t="s">
        <v>296</v>
      </c>
      <c r="E64" t="s">
        <v>1440</v>
      </c>
      <c r="F64" s="78">
        <v>0.7351388888888889</v>
      </c>
      <c r="G64" t="s">
        <v>1406</v>
      </c>
      <c r="H64" t="s">
        <v>1336</v>
      </c>
      <c r="I64" s="88" t="str">
        <f>VLOOKUP(A64,Base!A:B,2,0)</f>
        <v>06.143.912-9</v>
      </c>
      <c r="J64" s="99" t="str">
        <f>VLOOKUP(A64,Base!A:F,6,0)</f>
        <v>ARTURO BERNABE  CURIN  MILLAN</v>
      </c>
      <c r="K64" s="89" t="str">
        <f>IFERROR(IF(VLOOKUP(I64,Ingreso!K:P,6,0)=0,"Sin turtno ing",VLOOKUP(I64,Ingreso!K:P,6,0)),IF(F64&gt;0.25,IF(F64&lt;0.311805555555556,"Turno A",IF(F64&gt;0.3125,IF(F64&lt;0.354166666666667,"Turno C",IF(F64&gt;0.583333333333333,IF(F64&lt;0.625,"Turno B",IF(F64&gt;0.625694444444444,IF(F64&lt;0.8125,"Turno A",IF(F64&gt;0.875,IF(F64&lt;0.936805555555556,"Turno C",IF(F64&gt;0.9375,IF(F64&lt;0.979166666666667,"Turno B",""),"")),"")),"")),"")),"")),""))</f>
        <v>Turno A</v>
      </c>
      <c r="L64" s="91">
        <f t="shared" si="0"/>
        <v>0.3125</v>
      </c>
    </row>
    <row r="65" spans="1:12" s="40" customFormat="1">
      <c r="A65">
        <v>6143912</v>
      </c>
      <c r="B65" t="s">
        <v>297</v>
      </c>
      <c r="C65" t="s">
        <v>295</v>
      </c>
      <c r="D65" t="s">
        <v>296</v>
      </c>
      <c r="E65" t="s">
        <v>1440</v>
      </c>
      <c r="F65" s="78">
        <v>0.29596064814814815</v>
      </c>
      <c r="G65" t="s">
        <v>1405</v>
      </c>
      <c r="H65" t="s">
        <v>1335</v>
      </c>
      <c r="I65" s="88" t="str">
        <f>VLOOKUP(A65,Base!A:B,2,0)</f>
        <v>06.143.912-9</v>
      </c>
      <c r="J65" s="99" t="str">
        <f>VLOOKUP(A65,Base!A:F,6,0)</f>
        <v>ARTURO BERNABE  CURIN  MILLAN</v>
      </c>
      <c r="K65" s="89" t="str">
        <f>IFERROR(IF(VLOOKUP(I65,Ingreso!K:P,6,0)=0,"Sin turtno ing",VLOOKUP(I65,Ingreso!K:P,6,0)),IF(F65&gt;0.25,IF(F65&lt;0.311805555555556,"Turno A",IF(F65&gt;0.3125,IF(F65&lt;0.354166666666667,"Turno C",IF(F65&gt;0.583333333333333,IF(F65&lt;0.625,"Turno B",IF(F65&gt;0.625694444444444,IF(F65&lt;0.8125,"Turno A",IF(F65&gt;0.875,IF(F65&lt;0.936805555555556,"Turno C",IF(F65&gt;0.9375,IF(F65&lt;0.979166666666667,"Turno B",""),"")),"")),"")),"")),"")),""))</f>
        <v>Turno A</v>
      </c>
      <c r="L65" s="91">
        <f t="shared" si="0"/>
        <v>0.3125</v>
      </c>
    </row>
    <row r="66" spans="1:12" s="40" customFormat="1">
      <c r="A66">
        <v>6143912</v>
      </c>
      <c r="B66" t="s">
        <v>297</v>
      </c>
      <c r="C66" t="s">
        <v>295</v>
      </c>
      <c r="D66" t="s">
        <v>296</v>
      </c>
      <c r="E66" t="s">
        <v>1437</v>
      </c>
      <c r="F66" s="78">
        <v>0.73293981481481474</v>
      </c>
      <c r="G66" t="s">
        <v>1406</v>
      </c>
      <c r="H66" t="s">
        <v>1336</v>
      </c>
      <c r="I66" s="88" t="str">
        <f>VLOOKUP(A66,Base!A:B,2,0)</f>
        <v>06.143.912-9</v>
      </c>
      <c r="J66" s="99" t="str">
        <f>VLOOKUP(A66,Base!A:F,6,0)</f>
        <v>ARTURO BERNABE  CURIN  MILLAN</v>
      </c>
      <c r="K66" s="89" t="str">
        <f>IFERROR(IF(VLOOKUP(I66,Ingreso!K:P,6,0)=0,"Sin turtno ing",VLOOKUP(I66,Ingreso!K:P,6,0)),IF(F66&gt;0.25,IF(F66&lt;0.311805555555556,"Turno A",IF(F66&gt;0.3125,IF(F66&lt;0.354166666666667,"Turno C",IF(F66&gt;0.583333333333333,IF(F66&lt;0.625,"Turno B",IF(F66&gt;0.625694444444444,IF(F66&lt;0.8125,"Turno A",IF(F66&gt;0.875,IF(F66&lt;0.936805555555556,"Turno C",IF(F66&gt;0.9375,IF(F66&lt;0.979166666666667,"Turno B",""),"")),"")),"")),"")),"")),""))</f>
        <v>Turno A</v>
      </c>
      <c r="L66" s="91">
        <f t="shared" si="0"/>
        <v>0.3125</v>
      </c>
    </row>
    <row r="67" spans="1:12" s="40" customFormat="1">
      <c r="A67">
        <v>6143912</v>
      </c>
      <c r="B67" t="s">
        <v>297</v>
      </c>
      <c r="C67" t="s">
        <v>295</v>
      </c>
      <c r="D67" t="s">
        <v>296</v>
      </c>
      <c r="E67" t="s">
        <v>1437</v>
      </c>
      <c r="F67" s="78">
        <v>0.29412037037037037</v>
      </c>
      <c r="G67" t="s">
        <v>1405</v>
      </c>
      <c r="H67" t="s">
        <v>1335</v>
      </c>
      <c r="I67" s="88" t="str">
        <f>VLOOKUP(A67,Base!A:B,2,0)</f>
        <v>06.143.912-9</v>
      </c>
      <c r="J67" s="99" t="str">
        <f>VLOOKUP(A67,Base!A:F,6,0)</f>
        <v>ARTURO BERNABE  CURIN  MILLAN</v>
      </c>
      <c r="K67" s="89" t="str">
        <f>IFERROR(IF(VLOOKUP(I67,Ingreso!K:P,6,0)=0,"Sin turtno ing",VLOOKUP(I67,Ingreso!K:P,6,0)),IF(F67&gt;0.25,IF(F67&lt;0.311805555555556,"Turno A",IF(F67&gt;0.3125,IF(F67&lt;0.354166666666667,"Turno C",IF(F67&gt;0.583333333333333,IF(F67&lt;0.625,"Turno B",IF(F67&gt;0.625694444444444,IF(F67&lt;0.8125,"Turno A",IF(F67&gt;0.875,IF(F67&lt;0.936805555555556,"Turno C",IF(F67&gt;0.9375,IF(F67&lt;0.979166666666667,"Turno B",""),"")),"")),"")),"")),"")),""))</f>
        <v>Turno A</v>
      </c>
      <c r="L67" s="91">
        <f t="shared" ref="L67:L130" si="1">VLOOKUP(K67,$S$3:$T$7,2,0)</f>
        <v>0.3125</v>
      </c>
    </row>
    <row r="68" spans="1:12" s="40" customFormat="1">
      <c r="A68">
        <v>6143912</v>
      </c>
      <c r="B68" t="s">
        <v>297</v>
      </c>
      <c r="C68" t="s">
        <v>295</v>
      </c>
      <c r="D68" t="s">
        <v>296</v>
      </c>
      <c r="E68" t="s">
        <v>1438</v>
      </c>
      <c r="F68" s="78">
        <v>0.7322685185185186</v>
      </c>
      <c r="G68" t="s">
        <v>1406</v>
      </c>
      <c r="H68" t="s">
        <v>1336</v>
      </c>
      <c r="I68" s="88" t="str">
        <f>VLOOKUP(A68,Base!A:B,2,0)</f>
        <v>06.143.912-9</v>
      </c>
      <c r="J68" s="99" t="str">
        <f>VLOOKUP(A68,Base!A:F,6,0)</f>
        <v>ARTURO BERNABE  CURIN  MILLAN</v>
      </c>
      <c r="K68" s="89" t="str">
        <f>IFERROR(IF(VLOOKUP(I68,Ingreso!K:P,6,0)=0,"Sin turtno ing",VLOOKUP(I68,Ingreso!K:P,6,0)),IF(F68&gt;0.25,IF(F68&lt;0.311805555555556,"Turno A",IF(F68&gt;0.3125,IF(F68&lt;0.354166666666667,"Turno C",IF(F68&gt;0.583333333333333,IF(F68&lt;0.625,"Turno B",IF(F68&gt;0.625694444444444,IF(F68&lt;0.8125,"Turno A",IF(F68&gt;0.875,IF(F68&lt;0.936805555555556,"Turno C",IF(F68&gt;0.9375,IF(F68&lt;0.979166666666667,"Turno B",""),"")),"")),"")),"")),"")),""))</f>
        <v>Turno A</v>
      </c>
      <c r="L68" s="91">
        <f t="shared" si="1"/>
        <v>0.3125</v>
      </c>
    </row>
    <row r="69" spans="1:12" s="40" customFormat="1">
      <c r="A69">
        <v>6143912</v>
      </c>
      <c r="B69" t="s">
        <v>297</v>
      </c>
      <c r="C69" t="s">
        <v>295</v>
      </c>
      <c r="D69" t="s">
        <v>296</v>
      </c>
      <c r="E69" t="s">
        <v>1438</v>
      </c>
      <c r="F69" s="78">
        <v>0.28986111111111112</v>
      </c>
      <c r="G69" t="s">
        <v>1405</v>
      </c>
      <c r="H69" t="s">
        <v>1335</v>
      </c>
      <c r="I69" s="88" t="str">
        <f>VLOOKUP(A69,Base!A:B,2,0)</f>
        <v>06.143.912-9</v>
      </c>
      <c r="J69" s="99" t="str">
        <f>VLOOKUP(A69,Base!A:F,6,0)</f>
        <v>ARTURO BERNABE  CURIN  MILLAN</v>
      </c>
      <c r="K69" s="89" t="str">
        <f>IFERROR(IF(VLOOKUP(I69,Ingreso!K:P,6,0)=0,"Sin turtno ing",VLOOKUP(I69,Ingreso!K:P,6,0)),IF(F69&gt;0.25,IF(F69&lt;0.311805555555556,"Turno A",IF(F69&gt;0.3125,IF(F69&lt;0.354166666666667,"Turno C",IF(F69&gt;0.583333333333333,IF(F69&lt;0.625,"Turno B",IF(F69&gt;0.625694444444444,IF(F69&lt;0.8125,"Turno A",IF(F69&gt;0.875,IF(F69&lt;0.936805555555556,"Turno C",IF(F69&gt;0.9375,IF(F69&lt;0.979166666666667,"Turno B",""),"")),"")),"")),"")),"")),""))</f>
        <v>Turno A</v>
      </c>
      <c r="L69" s="91">
        <f t="shared" si="1"/>
        <v>0.3125</v>
      </c>
    </row>
    <row r="70" spans="1:12" s="40" customFormat="1">
      <c r="A70">
        <v>6143912</v>
      </c>
      <c r="B70" t="s">
        <v>297</v>
      </c>
      <c r="C70" t="s">
        <v>295</v>
      </c>
      <c r="D70" t="s">
        <v>296</v>
      </c>
      <c r="E70" t="s">
        <v>1439</v>
      </c>
      <c r="F70" s="78">
        <v>0.73184027777777771</v>
      </c>
      <c r="G70" t="s">
        <v>1406</v>
      </c>
      <c r="H70" t="s">
        <v>1336</v>
      </c>
      <c r="I70" s="88" t="str">
        <f>VLOOKUP(A70,Base!A:B,2,0)</f>
        <v>06.143.912-9</v>
      </c>
      <c r="J70" s="99" t="str">
        <f>VLOOKUP(A70,Base!A:F,6,0)</f>
        <v>ARTURO BERNABE  CURIN  MILLAN</v>
      </c>
      <c r="K70" s="89" t="str">
        <f>IFERROR(IF(VLOOKUP(I70,Ingreso!K:P,6,0)=0,"Sin turtno ing",VLOOKUP(I70,Ingreso!K:P,6,0)),IF(F70&gt;0.25,IF(F70&lt;0.311805555555556,"Turno A",IF(F70&gt;0.3125,IF(F70&lt;0.354166666666667,"Turno C",IF(F70&gt;0.583333333333333,IF(F70&lt;0.625,"Turno B",IF(F70&gt;0.625694444444444,IF(F70&lt;0.8125,"Turno A",IF(F70&gt;0.875,IF(F70&lt;0.936805555555556,"Turno C",IF(F70&gt;0.9375,IF(F70&lt;0.979166666666667,"Turno B",""),"")),"")),"")),"")),"")),""))</f>
        <v>Turno A</v>
      </c>
      <c r="L70" s="91">
        <f t="shared" si="1"/>
        <v>0.3125</v>
      </c>
    </row>
    <row r="71" spans="1:12" s="40" customFormat="1">
      <c r="A71">
        <v>6143912</v>
      </c>
      <c r="B71" t="s">
        <v>297</v>
      </c>
      <c r="C71" t="s">
        <v>295</v>
      </c>
      <c r="D71" t="s">
        <v>296</v>
      </c>
      <c r="E71" t="s">
        <v>1439</v>
      </c>
      <c r="F71" s="78">
        <v>0.29435185185185186</v>
      </c>
      <c r="G71" t="s">
        <v>1405</v>
      </c>
      <c r="H71" t="s">
        <v>1335</v>
      </c>
      <c r="I71" s="88" t="str">
        <f>VLOOKUP(A71,Base!A:B,2,0)</f>
        <v>06.143.912-9</v>
      </c>
      <c r="J71" s="99" t="str">
        <f>VLOOKUP(A71,Base!A:F,6,0)</f>
        <v>ARTURO BERNABE  CURIN  MILLAN</v>
      </c>
      <c r="K71" s="89" t="str">
        <f>IFERROR(IF(VLOOKUP(I71,Ingreso!K:P,6,0)=0,"Sin turtno ing",VLOOKUP(I71,Ingreso!K:P,6,0)),IF(F71&gt;0.25,IF(F71&lt;0.311805555555556,"Turno A",IF(F71&gt;0.3125,IF(F71&lt;0.354166666666667,"Turno C",IF(F71&gt;0.583333333333333,IF(F71&lt;0.625,"Turno B",IF(F71&gt;0.625694444444444,IF(F71&lt;0.8125,"Turno A",IF(F71&gt;0.875,IF(F71&lt;0.936805555555556,"Turno C",IF(F71&gt;0.9375,IF(F71&lt;0.979166666666667,"Turno B",""),"")),"")),"")),"")),"")),""))</f>
        <v>Turno A</v>
      </c>
      <c r="L71" s="91">
        <f t="shared" si="1"/>
        <v>0.3125</v>
      </c>
    </row>
    <row r="72" spans="1:12" s="40" customFormat="1">
      <c r="A72">
        <v>6187914</v>
      </c>
      <c r="B72" t="s">
        <v>393</v>
      </c>
      <c r="C72" t="s">
        <v>115</v>
      </c>
      <c r="D72" t="s">
        <v>387</v>
      </c>
      <c r="E72" t="s">
        <v>1440</v>
      </c>
      <c r="F72" s="78">
        <v>0.32218750000000002</v>
      </c>
      <c r="G72" t="s">
        <v>1406</v>
      </c>
      <c r="H72" t="s">
        <v>1336</v>
      </c>
      <c r="I72" s="88" t="str">
        <f>VLOOKUP(A72,Base!A:B,2,0)</f>
        <v>06.187.914-5</v>
      </c>
      <c r="J72" s="99" t="str">
        <f>VLOOKUP(A72,Base!A:F,6,0)</f>
        <v>PATRICIA  FUENTES  YAÑEZ</v>
      </c>
      <c r="K72" s="89" t="str">
        <f>IFERROR(IF(VLOOKUP(I72,Ingreso!K:P,6,0)=0,"Sin turtno ing",VLOOKUP(I72,Ingreso!K:P,6,0)),IF(F72&gt;0.25,IF(F72&lt;0.311805555555556,"Turno A",IF(F72&gt;0.3125,IF(F72&lt;0.354166666666667,"Turno C",IF(F72&gt;0.583333333333333,IF(F72&lt;0.625,"Turno B",IF(F72&gt;0.625694444444444,IF(F72&lt;0.8125,"Turno A",IF(F72&gt;0.875,IF(F72&lt;0.936805555555556,"Turno C",IF(F72&gt;0.9375,IF(F72&lt;0.979166666666667,"Turno B",""),"")),"")),"")),"")),"")),""))</f>
        <v>Turno C</v>
      </c>
      <c r="L72" s="91">
        <f t="shared" si="1"/>
        <v>0.375</v>
      </c>
    </row>
    <row r="73" spans="1:12" s="40" customFormat="1">
      <c r="A73">
        <v>6187914</v>
      </c>
      <c r="B73" t="s">
        <v>393</v>
      </c>
      <c r="C73" t="s">
        <v>115</v>
      </c>
      <c r="D73" t="s">
        <v>387</v>
      </c>
      <c r="E73" t="s">
        <v>1440</v>
      </c>
      <c r="F73" s="78">
        <v>0.92042824074074081</v>
      </c>
      <c r="G73" t="s">
        <v>1405</v>
      </c>
      <c r="H73" t="s">
        <v>1335</v>
      </c>
      <c r="I73" s="88" t="str">
        <f>VLOOKUP(A73,Base!A:B,2,0)</f>
        <v>06.187.914-5</v>
      </c>
      <c r="J73" s="99" t="str">
        <f>VLOOKUP(A73,Base!A:F,6,0)</f>
        <v>PATRICIA  FUENTES  YAÑEZ</v>
      </c>
      <c r="K73" s="89" t="str">
        <f>IFERROR(IF(VLOOKUP(I73,Ingreso!K:P,6,0)=0,"Sin turtno ing",VLOOKUP(I73,Ingreso!K:P,6,0)),IF(F73&gt;0.25,IF(F73&lt;0.311805555555556,"Turno A",IF(F73&gt;0.3125,IF(F73&lt;0.354166666666667,"Turno C",IF(F73&gt;0.583333333333333,IF(F73&lt;0.625,"Turno B",IF(F73&gt;0.625694444444444,IF(F73&lt;0.8125,"Turno A",IF(F73&gt;0.875,IF(F73&lt;0.936805555555556,"Turno C",IF(F73&gt;0.9375,IF(F73&lt;0.979166666666667,"Turno B",""),"")),"")),"")),"")),"")),""))</f>
        <v>Turno C</v>
      </c>
      <c r="L73" s="91">
        <f t="shared" si="1"/>
        <v>0.375</v>
      </c>
    </row>
    <row r="74" spans="1:12" s="40" customFormat="1">
      <c r="A74">
        <v>6187914</v>
      </c>
      <c r="B74" t="s">
        <v>393</v>
      </c>
      <c r="C74" t="s">
        <v>115</v>
      </c>
      <c r="D74" t="s">
        <v>387</v>
      </c>
      <c r="E74" t="s">
        <v>1441</v>
      </c>
      <c r="F74" s="78">
        <v>0.32341435185185186</v>
      </c>
      <c r="G74" t="s">
        <v>1406</v>
      </c>
      <c r="H74" t="s">
        <v>1336</v>
      </c>
      <c r="I74" s="88" t="str">
        <f>VLOOKUP(A74,Base!A:B,2,0)</f>
        <v>06.187.914-5</v>
      </c>
      <c r="J74" s="99" t="str">
        <f>VLOOKUP(A74,Base!A:F,6,0)</f>
        <v>PATRICIA  FUENTES  YAÑEZ</v>
      </c>
      <c r="K74" s="89" t="str">
        <f>IFERROR(IF(VLOOKUP(I74,Ingreso!K:P,6,0)=0,"Sin turtno ing",VLOOKUP(I74,Ingreso!K:P,6,0)),IF(F74&gt;0.25,IF(F74&lt;0.311805555555556,"Turno A",IF(F74&gt;0.3125,IF(F74&lt;0.354166666666667,"Turno C",IF(F74&gt;0.583333333333333,IF(F74&lt;0.625,"Turno B",IF(F74&gt;0.625694444444444,IF(F74&lt;0.8125,"Turno A",IF(F74&gt;0.875,IF(F74&lt;0.936805555555556,"Turno C",IF(F74&gt;0.9375,IF(F74&lt;0.979166666666667,"Turno B",""),"")),"")),"")),"")),"")),""))</f>
        <v>Turno C</v>
      </c>
      <c r="L74" s="91">
        <f t="shared" si="1"/>
        <v>0.375</v>
      </c>
    </row>
    <row r="75" spans="1:12" s="40" customFormat="1">
      <c r="A75">
        <v>6187914</v>
      </c>
      <c r="B75" t="s">
        <v>393</v>
      </c>
      <c r="C75" t="s">
        <v>115</v>
      </c>
      <c r="D75" t="s">
        <v>387</v>
      </c>
      <c r="E75" t="s">
        <v>1437</v>
      </c>
      <c r="F75" s="78">
        <v>0.91806712962962955</v>
      </c>
      <c r="G75" t="s">
        <v>1405</v>
      </c>
      <c r="H75" t="s">
        <v>1335</v>
      </c>
      <c r="I75" s="88" t="str">
        <f>VLOOKUP(A75,Base!A:B,2,0)</f>
        <v>06.187.914-5</v>
      </c>
      <c r="J75" s="99" t="str">
        <f>VLOOKUP(A75,Base!A:F,6,0)</f>
        <v>PATRICIA  FUENTES  YAÑEZ</v>
      </c>
      <c r="K75" s="89" t="str">
        <f>IFERROR(IF(VLOOKUP(I75,Ingreso!K:P,6,0)=0,"Sin turtno ing",VLOOKUP(I75,Ingreso!K:P,6,0)),IF(F75&gt;0.25,IF(F75&lt;0.311805555555556,"Turno A",IF(F75&gt;0.3125,IF(F75&lt;0.354166666666667,"Turno C",IF(F75&gt;0.583333333333333,IF(F75&lt;0.625,"Turno B",IF(F75&gt;0.625694444444444,IF(F75&lt;0.8125,"Turno A",IF(F75&gt;0.875,IF(F75&lt;0.936805555555556,"Turno C",IF(F75&gt;0.9375,IF(F75&lt;0.979166666666667,"Turno B",""),"")),"")),"")),"")),"")),""))</f>
        <v>Turno C</v>
      </c>
      <c r="L75" s="91">
        <f t="shared" si="1"/>
        <v>0.375</v>
      </c>
    </row>
    <row r="76" spans="1:12" s="40" customFormat="1">
      <c r="A76">
        <v>6187914</v>
      </c>
      <c r="B76" t="s">
        <v>393</v>
      </c>
      <c r="C76" t="s">
        <v>115</v>
      </c>
      <c r="D76" t="s">
        <v>387</v>
      </c>
      <c r="E76" t="s">
        <v>1438</v>
      </c>
      <c r="F76" s="78">
        <v>0.32155092592592593</v>
      </c>
      <c r="G76" t="s">
        <v>1406</v>
      </c>
      <c r="H76" t="s">
        <v>1336</v>
      </c>
      <c r="I76" s="88" t="str">
        <f>VLOOKUP(A76,Base!A:B,2,0)</f>
        <v>06.187.914-5</v>
      </c>
      <c r="J76" s="99" t="str">
        <f>VLOOKUP(A76,Base!A:F,6,0)</f>
        <v>PATRICIA  FUENTES  YAÑEZ</v>
      </c>
      <c r="K76" s="89" t="str">
        <f>IFERROR(IF(VLOOKUP(I76,Ingreso!K:P,6,0)=0,"Sin turtno ing",VLOOKUP(I76,Ingreso!K:P,6,0)),IF(F76&gt;0.25,IF(F76&lt;0.311805555555556,"Turno A",IF(F76&gt;0.3125,IF(F76&lt;0.354166666666667,"Turno C",IF(F76&gt;0.583333333333333,IF(F76&lt;0.625,"Turno B",IF(F76&gt;0.625694444444444,IF(F76&lt;0.8125,"Turno A",IF(F76&gt;0.875,IF(F76&lt;0.936805555555556,"Turno C",IF(F76&gt;0.9375,IF(F76&lt;0.979166666666667,"Turno B",""),"")),"")),"")),"")),"")),""))</f>
        <v>Turno C</v>
      </c>
      <c r="L76" s="91">
        <f t="shared" si="1"/>
        <v>0.375</v>
      </c>
    </row>
    <row r="77" spans="1:12" s="40" customFormat="1">
      <c r="A77">
        <v>6187914</v>
      </c>
      <c r="B77" t="s">
        <v>393</v>
      </c>
      <c r="C77" t="s">
        <v>115</v>
      </c>
      <c r="D77" t="s">
        <v>387</v>
      </c>
      <c r="E77" t="s">
        <v>1438</v>
      </c>
      <c r="F77" s="78">
        <v>0.91990740740740751</v>
      </c>
      <c r="G77" t="s">
        <v>1405</v>
      </c>
      <c r="H77" t="s">
        <v>1335</v>
      </c>
      <c r="I77" s="88" t="str">
        <f>VLOOKUP(A77,Base!A:B,2,0)</f>
        <v>06.187.914-5</v>
      </c>
      <c r="J77" s="99" t="str">
        <f>VLOOKUP(A77,Base!A:F,6,0)</f>
        <v>PATRICIA  FUENTES  YAÑEZ</v>
      </c>
      <c r="K77" s="89" t="str">
        <f>IFERROR(IF(VLOOKUP(I77,Ingreso!K:P,6,0)=0,"Sin turtno ing",VLOOKUP(I77,Ingreso!K:P,6,0)),IF(F77&gt;0.25,IF(F77&lt;0.311805555555556,"Turno A",IF(F77&gt;0.3125,IF(F77&lt;0.354166666666667,"Turno C",IF(F77&gt;0.583333333333333,IF(F77&lt;0.625,"Turno B",IF(F77&gt;0.625694444444444,IF(F77&lt;0.8125,"Turno A",IF(F77&gt;0.875,IF(F77&lt;0.936805555555556,"Turno C",IF(F77&gt;0.9375,IF(F77&lt;0.979166666666667,"Turno B",""),"")),"")),"")),"")),"")),""))</f>
        <v>Turno C</v>
      </c>
      <c r="L77" s="91">
        <f t="shared" si="1"/>
        <v>0.375</v>
      </c>
    </row>
    <row r="78" spans="1:12" s="40" customFormat="1">
      <c r="A78">
        <v>6187914</v>
      </c>
      <c r="B78" t="s">
        <v>393</v>
      </c>
      <c r="C78" t="s">
        <v>115</v>
      </c>
      <c r="D78" t="s">
        <v>387</v>
      </c>
      <c r="E78" t="s">
        <v>1439</v>
      </c>
      <c r="F78" s="78">
        <v>0.32165509259259256</v>
      </c>
      <c r="G78" t="s">
        <v>1406</v>
      </c>
      <c r="H78" t="s">
        <v>1336</v>
      </c>
      <c r="I78" s="88" t="str">
        <f>VLOOKUP(A78,Base!A:B,2,0)</f>
        <v>06.187.914-5</v>
      </c>
      <c r="J78" s="99" t="str">
        <f>VLOOKUP(A78,Base!A:F,6,0)</f>
        <v>PATRICIA  FUENTES  YAÑEZ</v>
      </c>
      <c r="K78" s="89" t="str">
        <f>IFERROR(IF(VLOOKUP(I78,Ingreso!K:P,6,0)=0,"Sin turtno ing",VLOOKUP(I78,Ingreso!K:P,6,0)),IF(F78&gt;0.25,IF(F78&lt;0.311805555555556,"Turno A",IF(F78&gt;0.3125,IF(F78&lt;0.354166666666667,"Turno C",IF(F78&gt;0.583333333333333,IF(F78&lt;0.625,"Turno B",IF(F78&gt;0.625694444444444,IF(F78&lt;0.8125,"Turno A",IF(F78&gt;0.875,IF(F78&lt;0.936805555555556,"Turno C",IF(F78&gt;0.9375,IF(F78&lt;0.979166666666667,"Turno B",""),"")),"")),"")),"")),"")),""))</f>
        <v>Turno C</v>
      </c>
      <c r="L78" s="91">
        <f t="shared" si="1"/>
        <v>0.375</v>
      </c>
    </row>
    <row r="79" spans="1:12" s="40" customFormat="1">
      <c r="A79">
        <v>6187914</v>
      </c>
      <c r="B79" t="s">
        <v>393</v>
      </c>
      <c r="C79" t="s">
        <v>115</v>
      </c>
      <c r="D79" t="s">
        <v>387</v>
      </c>
      <c r="E79" t="s">
        <v>1439</v>
      </c>
      <c r="F79" s="78">
        <v>0.91795138888888894</v>
      </c>
      <c r="G79" t="s">
        <v>1405</v>
      </c>
      <c r="H79" t="s">
        <v>1335</v>
      </c>
      <c r="I79" s="88" t="str">
        <f>VLOOKUP(A79,Base!A:B,2,0)</f>
        <v>06.187.914-5</v>
      </c>
      <c r="J79" s="99" t="str">
        <f>VLOOKUP(A79,Base!A:F,6,0)</f>
        <v>PATRICIA  FUENTES  YAÑEZ</v>
      </c>
      <c r="K79" s="89" t="str">
        <f>IFERROR(IF(VLOOKUP(I79,Ingreso!K:P,6,0)=0,"Sin turtno ing",VLOOKUP(I79,Ingreso!K:P,6,0)),IF(F79&gt;0.25,IF(F79&lt;0.311805555555556,"Turno A",IF(F79&gt;0.3125,IF(F79&lt;0.354166666666667,"Turno C",IF(F79&gt;0.583333333333333,IF(F79&lt;0.625,"Turno B",IF(F79&gt;0.625694444444444,IF(F79&lt;0.8125,"Turno A",IF(F79&gt;0.875,IF(F79&lt;0.936805555555556,"Turno C",IF(F79&gt;0.9375,IF(F79&lt;0.979166666666667,"Turno B",""),"")),"")),"")),"")),"")),""))</f>
        <v>Turno C</v>
      </c>
      <c r="L79" s="91">
        <f t="shared" si="1"/>
        <v>0.375</v>
      </c>
    </row>
    <row r="80" spans="1:12" s="40" customFormat="1">
      <c r="A80">
        <v>6326657</v>
      </c>
      <c r="B80" t="s">
        <v>353</v>
      </c>
      <c r="C80" t="s">
        <v>343</v>
      </c>
      <c r="D80" t="s">
        <v>352</v>
      </c>
      <c r="E80" t="s">
        <v>1440</v>
      </c>
      <c r="F80" s="78">
        <v>0.62444444444444447</v>
      </c>
      <c r="G80" t="s">
        <v>1406</v>
      </c>
      <c r="H80" t="s">
        <v>1336</v>
      </c>
      <c r="I80" s="88" t="str">
        <f>VLOOKUP(A80,Base!A:B,2,0)</f>
        <v>06.326.657-4</v>
      </c>
      <c r="J80" s="99" t="str">
        <f>VLOOKUP(A80,Base!A:F,6,0)</f>
        <v>FERNANDO  DURAN  SOTO</v>
      </c>
      <c r="K80" s="89" t="str">
        <f>IFERROR(IF(VLOOKUP(I80,Ingreso!K:P,6,0)=0,"Sin turtno ing",VLOOKUP(I80,Ingreso!K:P,6,0)),IF(F80&gt;0.25,IF(F80&lt;0.311805555555556,"Turno A",IF(F80&gt;0.3125,IF(F80&lt;0.354166666666667,"Turno C",IF(F80&gt;0.583333333333333,IF(F80&lt;0.625,"Turno B",IF(F80&gt;0.625694444444444,IF(F80&lt;0.8125,"Turno A",IF(F80&gt;0.875,IF(F80&lt;0.936805555555556,"Turno C",IF(F80&gt;0.9375,IF(F80&lt;0.979166666666667,"Turno B",""),"")),"")),"")),"")),"")),""))</f>
        <v>Turno B</v>
      </c>
      <c r="L80" s="91">
        <f t="shared" si="1"/>
        <v>0.3125</v>
      </c>
    </row>
    <row r="81" spans="1:12" s="40" customFormat="1">
      <c r="A81">
        <v>6326657</v>
      </c>
      <c r="B81" t="s">
        <v>353</v>
      </c>
      <c r="C81" t="s">
        <v>343</v>
      </c>
      <c r="D81" t="s">
        <v>352</v>
      </c>
      <c r="E81" t="s">
        <v>1440</v>
      </c>
      <c r="F81" s="78">
        <v>0.29841435185185183</v>
      </c>
      <c r="G81" t="s">
        <v>1405</v>
      </c>
      <c r="H81" t="s">
        <v>1335</v>
      </c>
      <c r="I81" s="88" t="str">
        <f>VLOOKUP(A81,Base!A:B,2,0)</f>
        <v>06.326.657-4</v>
      </c>
      <c r="J81" s="99" t="str">
        <f>VLOOKUP(A81,Base!A:F,6,0)</f>
        <v>FERNANDO  DURAN  SOTO</v>
      </c>
      <c r="K81" s="89" t="str">
        <f>IFERROR(IF(VLOOKUP(I81,Ingreso!K:P,6,0)=0,"Sin turtno ing",VLOOKUP(I81,Ingreso!K:P,6,0)),IF(F81&gt;0.25,IF(F81&lt;0.311805555555556,"Turno A",IF(F81&gt;0.3125,IF(F81&lt;0.354166666666667,"Turno C",IF(F81&gt;0.583333333333333,IF(F81&lt;0.625,"Turno B",IF(F81&gt;0.625694444444444,IF(F81&lt;0.8125,"Turno A",IF(F81&gt;0.875,IF(F81&lt;0.936805555555556,"Turno C",IF(F81&gt;0.9375,IF(F81&lt;0.979166666666667,"Turno B",""),"")),"")),"")),"")),"")),""))</f>
        <v>Turno A</v>
      </c>
      <c r="L81" s="91">
        <f t="shared" si="1"/>
        <v>0.3125</v>
      </c>
    </row>
    <row r="82" spans="1:12" s="40" customFormat="1">
      <c r="A82">
        <v>6326657</v>
      </c>
      <c r="B82" t="s">
        <v>353</v>
      </c>
      <c r="C82" t="s">
        <v>343</v>
      </c>
      <c r="D82" t="s">
        <v>352</v>
      </c>
      <c r="E82" t="s">
        <v>1441</v>
      </c>
      <c r="F82" s="78">
        <v>0.62203703703703705</v>
      </c>
      <c r="G82" t="s">
        <v>1406</v>
      </c>
      <c r="H82" t="s">
        <v>1336</v>
      </c>
      <c r="I82" s="88" t="str">
        <f>VLOOKUP(A82,Base!A:B,2,0)</f>
        <v>06.326.657-4</v>
      </c>
      <c r="J82" s="99" t="str">
        <f>VLOOKUP(A82,Base!A:F,6,0)</f>
        <v>FERNANDO  DURAN  SOTO</v>
      </c>
      <c r="K82" s="89" t="str">
        <f>IFERROR(IF(VLOOKUP(I82,Ingreso!K:P,6,0)=0,"Sin turtno ing",VLOOKUP(I82,Ingreso!K:P,6,0)),IF(F82&gt;0.25,IF(F82&lt;0.311805555555556,"Turno A",IF(F82&gt;0.3125,IF(F82&lt;0.354166666666667,"Turno C",IF(F82&gt;0.583333333333333,IF(F82&lt;0.625,"Turno B",IF(F82&gt;0.625694444444444,IF(F82&lt;0.8125,"Turno A",IF(F82&gt;0.875,IF(F82&lt;0.936805555555556,"Turno C",IF(F82&gt;0.9375,IF(F82&lt;0.979166666666667,"Turno B",""),"")),"")),"")),"")),"")),""))</f>
        <v>Turno B</v>
      </c>
      <c r="L82" s="91">
        <f t="shared" si="1"/>
        <v>0.3125</v>
      </c>
    </row>
    <row r="83" spans="1:12" s="40" customFormat="1">
      <c r="A83">
        <v>6326657</v>
      </c>
      <c r="B83" t="s">
        <v>353</v>
      </c>
      <c r="C83" t="s">
        <v>343</v>
      </c>
      <c r="D83" t="s">
        <v>352</v>
      </c>
      <c r="E83" t="s">
        <v>1441</v>
      </c>
      <c r="F83" s="78">
        <v>0.30062499999999998</v>
      </c>
      <c r="G83" t="s">
        <v>1405</v>
      </c>
      <c r="H83" t="s">
        <v>1335</v>
      </c>
      <c r="I83" s="88" t="str">
        <f>VLOOKUP(A83,Base!A:B,2,0)</f>
        <v>06.326.657-4</v>
      </c>
      <c r="J83" s="99" t="str">
        <f>VLOOKUP(A83,Base!A:F,6,0)</f>
        <v>FERNANDO  DURAN  SOTO</v>
      </c>
      <c r="K83" s="89" t="str">
        <f>IFERROR(IF(VLOOKUP(I83,Ingreso!K:P,6,0)=0,"Sin turtno ing",VLOOKUP(I83,Ingreso!K:P,6,0)),IF(F83&gt;0.25,IF(F83&lt;0.311805555555556,"Turno A",IF(F83&gt;0.3125,IF(F83&lt;0.354166666666667,"Turno C",IF(F83&gt;0.583333333333333,IF(F83&lt;0.625,"Turno B",IF(F83&gt;0.625694444444444,IF(F83&lt;0.8125,"Turno A",IF(F83&gt;0.875,IF(F83&lt;0.936805555555556,"Turno C",IF(F83&gt;0.9375,IF(F83&lt;0.979166666666667,"Turno B",""),"")),"")),"")),"")),"")),""))</f>
        <v>Turno A</v>
      </c>
      <c r="L83" s="91">
        <f t="shared" si="1"/>
        <v>0.3125</v>
      </c>
    </row>
    <row r="84" spans="1:12" s="40" customFormat="1">
      <c r="A84">
        <v>6326657</v>
      </c>
      <c r="B84" t="s">
        <v>353</v>
      </c>
      <c r="C84" t="s">
        <v>343</v>
      </c>
      <c r="D84" t="s">
        <v>352</v>
      </c>
      <c r="E84" t="s">
        <v>1437</v>
      </c>
      <c r="F84" s="78">
        <v>0.62241898148148145</v>
      </c>
      <c r="G84" t="s">
        <v>1406</v>
      </c>
      <c r="H84" t="s">
        <v>1336</v>
      </c>
      <c r="I84" s="88" t="str">
        <f>VLOOKUP(A84,Base!A:B,2,0)</f>
        <v>06.326.657-4</v>
      </c>
      <c r="J84" s="99" t="str">
        <f>VLOOKUP(A84,Base!A:F,6,0)</f>
        <v>FERNANDO  DURAN  SOTO</v>
      </c>
      <c r="K84" s="89" t="str">
        <f>IFERROR(IF(VLOOKUP(I84,Ingreso!K:P,6,0)=0,"Sin turtno ing",VLOOKUP(I84,Ingreso!K:P,6,0)),IF(F84&gt;0.25,IF(F84&lt;0.311805555555556,"Turno A",IF(F84&gt;0.3125,IF(F84&lt;0.354166666666667,"Turno C",IF(F84&gt;0.583333333333333,IF(F84&lt;0.625,"Turno B",IF(F84&gt;0.625694444444444,IF(F84&lt;0.8125,"Turno A",IF(F84&gt;0.875,IF(F84&lt;0.936805555555556,"Turno C",IF(F84&gt;0.9375,IF(F84&lt;0.979166666666667,"Turno B",""),"")),"")),"")),"")),"")),""))</f>
        <v>Turno B</v>
      </c>
      <c r="L84" s="91">
        <f t="shared" si="1"/>
        <v>0.3125</v>
      </c>
    </row>
    <row r="85" spans="1:12" s="40" customFormat="1">
      <c r="A85">
        <v>6326657</v>
      </c>
      <c r="B85" t="s">
        <v>353</v>
      </c>
      <c r="C85" t="s">
        <v>343</v>
      </c>
      <c r="D85" t="s">
        <v>352</v>
      </c>
      <c r="E85" t="s">
        <v>1437</v>
      </c>
      <c r="F85" s="78">
        <v>0.2977083333333333</v>
      </c>
      <c r="G85" t="s">
        <v>1405</v>
      </c>
      <c r="H85" t="s">
        <v>1335</v>
      </c>
      <c r="I85" s="88" t="str">
        <f>VLOOKUP(A85,Base!A:B,2,0)</f>
        <v>06.326.657-4</v>
      </c>
      <c r="J85" s="99" t="str">
        <f>VLOOKUP(A85,Base!A:F,6,0)</f>
        <v>FERNANDO  DURAN  SOTO</v>
      </c>
      <c r="K85" s="89" t="str">
        <f>IFERROR(IF(VLOOKUP(I85,Ingreso!K:P,6,0)=0,"Sin turtno ing",VLOOKUP(I85,Ingreso!K:P,6,0)),IF(F85&gt;0.25,IF(F85&lt;0.311805555555556,"Turno A",IF(F85&gt;0.3125,IF(F85&lt;0.354166666666667,"Turno C",IF(F85&gt;0.583333333333333,IF(F85&lt;0.625,"Turno B",IF(F85&gt;0.625694444444444,IF(F85&lt;0.8125,"Turno A",IF(F85&gt;0.875,IF(F85&lt;0.936805555555556,"Turno C",IF(F85&gt;0.9375,IF(F85&lt;0.979166666666667,"Turno B",""),"")),"")),"")),"")),"")),""))</f>
        <v>Turno A</v>
      </c>
      <c r="L85" s="91">
        <f t="shared" si="1"/>
        <v>0.3125</v>
      </c>
    </row>
    <row r="86" spans="1:12" s="40" customFormat="1">
      <c r="A86">
        <v>6326657</v>
      </c>
      <c r="B86" t="s">
        <v>353</v>
      </c>
      <c r="C86" t="s">
        <v>343</v>
      </c>
      <c r="D86" t="s">
        <v>352</v>
      </c>
      <c r="E86" t="s">
        <v>1438</v>
      </c>
      <c r="F86" s="78">
        <v>0.62597222222222226</v>
      </c>
      <c r="G86" t="s">
        <v>1406</v>
      </c>
      <c r="H86" t="s">
        <v>1336</v>
      </c>
      <c r="I86" s="88" t="str">
        <f>VLOOKUP(A86,Base!A:B,2,0)</f>
        <v>06.326.657-4</v>
      </c>
      <c r="J86" s="99" t="str">
        <f>VLOOKUP(A86,Base!A:F,6,0)</f>
        <v>FERNANDO  DURAN  SOTO</v>
      </c>
      <c r="K86" s="89" t="str">
        <f>IFERROR(IF(VLOOKUP(I86,Ingreso!K:P,6,0)=0,"Sin turtno ing",VLOOKUP(I86,Ingreso!K:P,6,0)),IF(F86&gt;0.25,IF(F86&lt;0.311805555555556,"Turno A",IF(F86&gt;0.3125,IF(F86&lt;0.354166666666667,"Turno C",IF(F86&gt;0.583333333333333,IF(F86&lt;0.625,"Turno B",IF(F86&gt;0.625694444444444,IF(F86&lt;0.8125,"Turno A",IF(F86&gt;0.875,IF(F86&lt;0.936805555555556,"Turno C",IF(F86&gt;0.9375,IF(F86&lt;0.979166666666667,"Turno B",""),"")),"")),"")),"")),"")),""))</f>
        <v>Turno A</v>
      </c>
      <c r="L86" s="91">
        <f t="shared" si="1"/>
        <v>0.3125</v>
      </c>
    </row>
    <row r="87" spans="1:12" s="40" customFormat="1">
      <c r="A87">
        <v>6326657</v>
      </c>
      <c r="B87" t="s">
        <v>353</v>
      </c>
      <c r="C87" t="s">
        <v>343</v>
      </c>
      <c r="D87" t="s">
        <v>352</v>
      </c>
      <c r="E87" t="s">
        <v>1438</v>
      </c>
      <c r="F87" s="78">
        <v>0.29638888888888887</v>
      </c>
      <c r="G87" t="s">
        <v>1405</v>
      </c>
      <c r="H87" t="s">
        <v>1335</v>
      </c>
      <c r="I87" s="88" t="str">
        <f>VLOOKUP(A87,Base!A:B,2,0)</f>
        <v>06.326.657-4</v>
      </c>
      <c r="J87" s="99" t="str">
        <f>VLOOKUP(A87,Base!A:F,6,0)</f>
        <v>FERNANDO  DURAN  SOTO</v>
      </c>
      <c r="K87" s="89" t="str">
        <f>IFERROR(IF(VLOOKUP(I87,Ingreso!K:P,6,0)=0,"Sin turtno ing",VLOOKUP(I87,Ingreso!K:P,6,0)),IF(F87&gt;0.25,IF(F87&lt;0.311805555555556,"Turno A",IF(F87&gt;0.3125,IF(F87&lt;0.354166666666667,"Turno C",IF(F87&gt;0.583333333333333,IF(F87&lt;0.625,"Turno B",IF(F87&gt;0.625694444444444,IF(F87&lt;0.8125,"Turno A",IF(F87&gt;0.875,IF(F87&lt;0.936805555555556,"Turno C",IF(F87&gt;0.9375,IF(F87&lt;0.979166666666667,"Turno B",""),"")),"")),"")),"")),"")),""))</f>
        <v>Turno A</v>
      </c>
      <c r="L87" s="91">
        <f t="shared" si="1"/>
        <v>0.3125</v>
      </c>
    </row>
    <row r="88" spans="1:12" s="40" customFormat="1">
      <c r="A88">
        <v>6326657</v>
      </c>
      <c r="B88" t="s">
        <v>353</v>
      </c>
      <c r="C88" t="s">
        <v>343</v>
      </c>
      <c r="D88" t="s">
        <v>352</v>
      </c>
      <c r="E88" t="s">
        <v>1439</v>
      </c>
      <c r="F88" s="78">
        <v>0.62399305555555562</v>
      </c>
      <c r="G88" t="s">
        <v>1406</v>
      </c>
      <c r="H88" t="s">
        <v>1336</v>
      </c>
      <c r="I88" s="88" t="str">
        <f>VLOOKUP(A88,Base!A:B,2,0)</f>
        <v>06.326.657-4</v>
      </c>
      <c r="J88" s="99" t="str">
        <f>VLOOKUP(A88,Base!A:F,6,0)</f>
        <v>FERNANDO  DURAN  SOTO</v>
      </c>
      <c r="K88" s="89" t="str">
        <f>IFERROR(IF(VLOOKUP(I88,Ingreso!K:P,6,0)=0,"Sin turtno ing",VLOOKUP(I88,Ingreso!K:P,6,0)),IF(F88&gt;0.25,IF(F88&lt;0.311805555555556,"Turno A",IF(F88&gt;0.3125,IF(F88&lt;0.354166666666667,"Turno C",IF(F88&gt;0.583333333333333,IF(F88&lt;0.625,"Turno B",IF(F88&gt;0.625694444444444,IF(F88&lt;0.8125,"Turno A",IF(F88&gt;0.875,IF(F88&lt;0.936805555555556,"Turno C",IF(F88&gt;0.9375,IF(F88&lt;0.979166666666667,"Turno B",""),"")),"")),"")),"")),"")),""))</f>
        <v>Turno B</v>
      </c>
      <c r="L88" s="91">
        <f t="shared" si="1"/>
        <v>0.3125</v>
      </c>
    </row>
    <row r="89" spans="1:12" s="40" customFormat="1">
      <c r="A89">
        <v>6326657</v>
      </c>
      <c r="B89" t="s">
        <v>353</v>
      </c>
      <c r="C89" t="s">
        <v>343</v>
      </c>
      <c r="D89" t="s">
        <v>352</v>
      </c>
      <c r="E89" t="s">
        <v>1439</v>
      </c>
      <c r="F89" s="78">
        <v>0.29883101851851851</v>
      </c>
      <c r="G89" t="s">
        <v>1405</v>
      </c>
      <c r="H89" t="s">
        <v>1335</v>
      </c>
      <c r="I89" s="88" t="str">
        <f>VLOOKUP(A89,Base!A:B,2,0)</f>
        <v>06.326.657-4</v>
      </c>
      <c r="J89" s="99" t="str">
        <f>VLOOKUP(A89,Base!A:F,6,0)</f>
        <v>FERNANDO  DURAN  SOTO</v>
      </c>
      <c r="K89" s="89" t="str">
        <f>IFERROR(IF(VLOOKUP(I89,Ingreso!K:P,6,0)=0,"Sin turtno ing",VLOOKUP(I89,Ingreso!K:P,6,0)),IF(F89&gt;0.25,IF(F89&lt;0.311805555555556,"Turno A",IF(F89&gt;0.3125,IF(F89&lt;0.354166666666667,"Turno C",IF(F89&gt;0.583333333333333,IF(F89&lt;0.625,"Turno B",IF(F89&gt;0.625694444444444,IF(F89&lt;0.8125,"Turno A",IF(F89&gt;0.875,IF(F89&lt;0.936805555555556,"Turno C",IF(F89&gt;0.9375,IF(F89&lt;0.979166666666667,"Turno B",""),"")),"")),"")),"")),"")),""))</f>
        <v>Turno A</v>
      </c>
      <c r="L89" s="91">
        <f t="shared" si="1"/>
        <v>0.3125</v>
      </c>
    </row>
    <row r="90" spans="1:12" s="40" customFormat="1">
      <c r="A90">
        <v>6434911</v>
      </c>
      <c r="B90" t="s">
        <v>1408</v>
      </c>
      <c r="C90" t="s">
        <v>16</v>
      </c>
      <c r="D90" t="s">
        <v>17</v>
      </c>
      <c r="E90" t="s">
        <v>1407</v>
      </c>
      <c r="F90" s="78">
        <v>0</v>
      </c>
      <c r="G90"/>
      <c r="H90"/>
      <c r="I90" s="88" t="str">
        <f>VLOOKUP(A90,Base!A:B,2,0)</f>
        <v>06.434.911-2</v>
      </c>
      <c r="J90" s="99" t="str">
        <f>VLOOKUP(A90,Base!A:F,6,0)</f>
        <v>EDUARDO   ABARCA  JARA</v>
      </c>
      <c r="K90" s="89" t="str">
        <f>IFERROR(IF(VLOOKUP(I90,Ingreso!K:P,6,0)=0,"Sin turtno ing",VLOOKUP(I90,Ingreso!K:P,6,0)),IF(F90&gt;0.25,IF(F90&lt;0.311805555555556,"Turno A",IF(F90&gt;0.3125,IF(F90&lt;0.354166666666667,"Turno C",IF(F90&gt;0.583333333333333,IF(F90&lt;0.625,"Turno B",IF(F90&gt;0.625694444444444,IF(F90&lt;0.8125,"Turno A",IF(F90&gt;0.875,IF(F90&lt;0.936805555555556,"Turno C",IF(F90&gt;0.9375,IF(F90&lt;0.979166666666667,"Turno B",""),"")),"")),"")),"")),"")),""))</f>
        <v/>
      </c>
      <c r="L90" s="91" t="e">
        <f t="shared" si="1"/>
        <v>#N/A</v>
      </c>
    </row>
    <row r="91" spans="1:12" s="40" customFormat="1">
      <c r="A91">
        <v>6467952</v>
      </c>
      <c r="B91" t="s">
        <v>1028</v>
      </c>
      <c r="C91" t="s">
        <v>1019</v>
      </c>
      <c r="D91" t="s">
        <v>717</v>
      </c>
      <c r="E91" t="s">
        <v>1440</v>
      </c>
      <c r="F91" s="78">
        <v>0.94914351851851853</v>
      </c>
      <c r="G91" t="s">
        <v>1406</v>
      </c>
      <c r="H91" t="s">
        <v>1336</v>
      </c>
      <c r="I91" s="88" t="str">
        <f>VLOOKUP(A91,Base!A:B,2,0)</f>
        <v>06.467.952-K</v>
      </c>
      <c r="J91" s="99" t="str">
        <f>VLOOKUP(A91,Base!A:F,6,0)</f>
        <v>ORLANDINO GUMERCINDO  TAPIA  OLIVARES</v>
      </c>
      <c r="K91" s="89" t="str">
        <f>IFERROR(IF(VLOOKUP(I91,Ingreso!K:P,6,0)=0,"Sin turtno ing",VLOOKUP(I91,Ingreso!K:P,6,0)),IF(F91&gt;0.25,IF(F91&lt;0.311805555555556,"Turno A",IF(F91&gt;0.3125,IF(F91&lt;0.354166666666667,"Turno C",IF(F91&gt;0.583333333333333,IF(F91&lt;0.625,"Turno B",IF(F91&gt;0.625694444444444,IF(F91&lt;0.8125,"Turno A",IF(F91&gt;0.875,IF(F91&lt;0.936805555555556,"Turno C",IF(F91&gt;0.9375,IF(F91&lt;0.979166666666667,"Turno B",""),"")),"")),"")),"")),"")),""))</f>
        <v>Turno B</v>
      </c>
      <c r="L91" s="91">
        <f t="shared" si="1"/>
        <v>0.3125</v>
      </c>
    </row>
    <row r="92" spans="1:12" s="40" customFormat="1">
      <c r="A92">
        <v>6467952</v>
      </c>
      <c r="B92" t="s">
        <v>1028</v>
      </c>
      <c r="C92" t="s">
        <v>1019</v>
      </c>
      <c r="D92" t="s">
        <v>717</v>
      </c>
      <c r="E92" t="s">
        <v>1440</v>
      </c>
      <c r="F92" s="78">
        <v>0.60729166666666667</v>
      </c>
      <c r="G92" t="s">
        <v>1405</v>
      </c>
      <c r="H92" t="s">
        <v>1335</v>
      </c>
      <c r="I92" s="88" t="str">
        <f>VLOOKUP(A92,Base!A:B,2,0)</f>
        <v>06.467.952-K</v>
      </c>
      <c r="J92" s="99" t="str">
        <f>VLOOKUP(A92,Base!A:F,6,0)</f>
        <v>ORLANDINO GUMERCINDO  TAPIA  OLIVARES</v>
      </c>
      <c r="K92" s="89" t="str">
        <f>IFERROR(IF(VLOOKUP(I92,Ingreso!K:P,6,0)=0,"Sin turtno ing",VLOOKUP(I92,Ingreso!K:P,6,0)),IF(F92&gt;0.25,IF(F92&lt;0.311805555555556,"Turno A",IF(F92&gt;0.3125,IF(F92&lt;0.354166666666667,"Turno C",IF(F92&gt;0.583333333333333,IF(F92&lt;0.625,"Turno B",IF(F92&gt;0.625694444444444,IF(F92&lt;0.8125,"Turno A",IF(F92&gt;0.875,IF(F92&lt;0.936805555555556,"Turno C",IF(F92&gt;0.9375,IF(F92&lt;0.979166666666667,"Turno B",""),"")),"")),"")),"")),"")),""))</f>
        <v>Turno B</v>
      </c>
      <c r="L92" s="91">
        <f t="shared" si="1"/>
        <v>0.3125</v>
      </c>
    </row>
    <row r="93" spans="1:12" s="40" customFormat="1">
      <c r="A93">
        <v>6467952</v>
      </c>
      <c r="B93" t="s">
        <v>1028</v>
      </c>
      <c r="C93" t="s">
        <v>1019</v>
      </c>
      <c r="D93" t="s">
        <v>717</v>
      </c>
      <c r="E93" t="s">
        <v>1441</v>
      </c>
      <c r="F93" s="78">
        <v>0.9483449074074074</v>
      </c>
      <c r="G93" t="s">
        <v>1406</v>
      </c>
      <c r="H93" t="s">
        <v>1336</v>
      </c>
      <c r="I93" s="88" t="str">
        <f>VLOOKUP(A93,Base!A:B,2,0)</f>
        <v>06.467.952-K</v>
      </c>
      <c r="J93" s="99" t="str">
        <f>VLOOKUP(A93,Base!A:F,6,0)</f>
        <v>ORLANDINO GUMERCINDO  TAPIA  OLIVARES</v>
      </c>
      <c r="K93" s="89" t="str">
        <f>IFERROR(IF(VLOOKUP(I93,Ingreso!K:P,6,0)=0,"Sin turtno ing",VLOOKUP(I93,Ingreso!K:P,6,0)),IF(F93&gt;0.25,IF(F93&lt;0.311805555555556,"Turno A",IF(F93&gt;0.3125,IF(F93&lt;0.354166666666667,"Turno C",IF(F93&gt;0.583333333333333,IF(F93&lt;0.625,"Turno B",IF(F93&gt;0.625694444444444,IF(F93&lt;0.8125,"Turno A",IF(F93&gt;0.875,IF(F93&lt;0.936805555555556,"Turno C",IF(F93&gt;0.9375,IF(F93&lt;0.979166666666667,"Turno B",""),"")),"")),"")),"")),"")),""))</f>
        <v>Turno B</v>
      </c>
      <c r="L93" s="91">
        <f t="shared" si="1"/>
        <v>0.3125</v>
      </c>
    </row>
    <row r="94" spans="1:12" s="40" customFormat="1">
      <c r="A94">
        <v>6467952</v>
      </c>
      <c r="B94" t="s">
        <v>1028</v>
      </c>
      <c r="C94" t="s">
        <v>1019</v>
      </c>
      <c r="D94" t="s">
        <v>717</v>
      </c>
      <c r="E94" t="s">
        <v>1441</v>
      </c>
      <c r="F94" s="78">
        <v>0.61099537037037044</v>
      </c>
      <c r="G94" t="s">
        <v>1405</v>
      </c>
      <c r="H94" t="s">
        <v>1335</v>
      </c>
      <c r="I94" s="88" t="str">
        <f>VLOOKUP(A94,Base!A:B,2,0)</f>
        <v>06.467.952-K</v>
      </c>
      <c r="J94" s="99" t="str">
        <f>VLOOKUP(A94,Base!A:F,6,0)</f>
        <v>ORLANDINO GUMERCINDO  TAPIA  OLIVARES</v>
      </c>
      <c r="K94" s="89" t="str">
        <f>IFERROR(IF(VLOOKUP(I94,Ingreso!K:P,6,0)=0,"Sin turtno ing",VLOOKUP(I94,Ingreso!K:P,6,0)),IF(F94&gt;0.25,IF(F94&lt;0.311805555555556,"Turno A",IF(F94&gt;0.3125,IF(F94&lt;0.354166666666667,"Turno C",IF(F94&gt;0.583333333333333,IF(F94&lt;0.625,"Turno B",IF(F94&gt;0.625694444444444,IF(F94&lt;0.8125,"Turno A",IF(F94&gt;0.875,IF(F94&lt;0.936805555555556,"Turno C",IF(F94&gt;0.9375,IF(F94&lt;0.979166666666667,"Turno B",""),"")),"")),"")),"")),"")),""))</f>
        <v>Turno B</v>
      </c>
      <c r="L94" s="91">
        <f t="shared" si="1"/>
        <v>0.3125</v>
      </c>
    </row>
    <row r="95" spans="1:12" s="40" customFormat="1">
      <c r="A95">
        <v>6467952</v>
      </c>
      <c r="B95" t="s">
        <v>1028</v>
      </c>
      <c r="C95" t="s">
        <v>1019</v>
      </c>
      <c r="D95" t="s">
        <v>717</v>
      </c>
      <c r="E95" t="s">
        <v>1437</v>
      </c>
      <c r="F95" s="78">
        <v>0.94981481481481478</v>
      </c>
      <c r="G95" t="s">
        <v>1406</v>
      </c>
      <c r="H95" t="s">
        <v>1336</v>
      </c>
      <c r="I95" s="88" t="str">
        <f>VLOOKUP(A95,Base!A:B,2,0)</f>
        <v>06.467.952-K</v>
      </c>
      <c r="J95" s="99" t="str">
        <f>VLOOKUP(A95,Base!A:F,6,0)</f>
        <v>ORLANDINO GUMERCINDO  TAPIA  OLIVARES</v>
      </c>
      <c r="K95" s="89" t="str">
        <f>IFERROR(IF(VLOOKUP(I95,Ingreso!K:P,6,0)=0,"Sin turtno ing",VLOOKUP(I95,Ingreso!K:P,6,0)),IF(F95&gt;0.25,IF(F95&lt;0.311805555555556,"Turno A",IF(F95&gt;0.3125,IF(F95&lt;0.354166666666667,"Turno C",IF(F95&gt;0.583333333333333,IF(F95&lt;0.625,"Turno B",IF(F95&gt;0.625694444444444,IF(F95&lt;0.8125,"Turno A",IF(F95&gt;0.875,IF(F95&lt;0.936805555555556,"Turno C",IF(F95&gt;0.9375,IF(F95&lt;0.979166666666667,"Turno B",""),"")),"")),"")),"")),"")),""))</f>
        <v>Turno B</v>
      </c>
      <c r="L95" s="91">
        <f t="shared" si="1"/>
        <v>0.3125</v>
      </c>
    </row>
    <row r="96" spans="1:12" s="40" customFormat="1">
      <c r="A96">
        <v>6467952</v>
      </c>
      <c r="B96" t="s">
        <v>1028</v>
      </c>
      <c r="C96" t="s">
        <v>1019</v>
      </c>
      <c r="D96" t="s">
        <v>717</v>
      </c>
      <c r="E96" t="s">
        <v>1437</v>
      </c>
      <c r="F96" s="78">
        <v>0.60898148148148146</v>
      </c>
      <c r="G96" t="s">
        <v>1405</v>
      </c>
      <c r="H96" t="s">
        <v>1335</v>
      </c>
      <c r="I96" s="88" t="str">
        <f>VLOOKUP(A96,Base!A:B,2,0)</f>
        <v>06.467.952-K</v>
      </c>
      <c r="J96" s="99" t="str">
        <f>VLOOKUP(A96,Base!A:F,6,0)</f>
        <v>ORLANDINO GUMERCINDO  TAPIA  OLIVARES</v>
      </c>
      <c r="K96" s="89" t="str">
        <f>IFERROR(IF(VLOOKUP(I96,Ingreso!K:P,6,0)=0,"Sin turtno ing",VLOOKUP(I96,Ingreso!K:P,6,0)),IF(F96&gt;0.25,IF(F96&lt;0.311805555555556,"Turno A",IF(F96&gt;0.3125,IF(F96&lt;0.354166666666667,"Turno C",IF(F96&gt;0.583333333333333,IF(F96&lt;0.625,"Turno B",IF(F96&gt;0.625694444444444,IF(F96&lt;0.8125,"Turno A",IF(F96&gt;0.875,IF(F96&lt;0.936805555555556,"Turno C",IF(F96&gt;0.9375,IF(F96&lt;0.979166666666667,"Turno B",""),"")),"")),"")),"")),"")),""))</f>
        <v>Turno B</v>
      </c>
      <c r="L96" s="91">
        <f t="shared" si="1"/>
        <v>0.3125</v>
      </c>
    </row>
    <row r="97" spans="1:12" s="40" customFormat="1">
      <c r="A97">
        <v>6467952</v>
      </c>
      <c r="B97" t="s">
        <v>1028</v>
      </c>
      <c r="C97" t="s">
        <v>1019</v>
      </c>
      <c r="D97" t="s">
        <v>717</v>
      </c>
      <c r="E97" t="s">
        <v>1438</v>
      </c>
      <c r="F97" s="78">
        <v>0.94625000000000004</v>
      </c>
      <c r="G97" t="s">
        <v>1406</v>
      </c>
      <c r="H97" t="s">
        <v>1336</v>
      </c>
      <c r="I97" s="88" t="str">
        <f>VLOOKUP(A97,Base!A:B,2,0)</f>
        <v>06.467.952-K</v>
      </c>
      <c r="J97" s="99" t="str">
        <f>VLOOKUP(A97,Base!A:F,6,0)</f>
        <v>ORLANDINO GUMERCINDO  TAPIA  OLIVARES</v>
      </c>
      <c r="K97" s="89" t="str">
        <f>IFERROR(IF(VLOOKUP(I97,Ingreso!K:P,6,0)=0,"Sin turtno ing",VLOOKUP(I97,Ingreso!K:P,6,0)),IF(F97&gt;0.25,IF(F97&lt;0.311805555555556,"Turno A",IF(F97&gt;0.3125,IF(F97&lt;0.354166666666667,"Turno C",IF(F97&gt;0.583333333333333,IF(F97&lt;0.625,"Turno B",IF(F97&gt;0.625694444444444,IF(F97&lt;0.8125,"Turno A",IF(F97&gt;0.875,IF(F97&lt;0.936805555555556,"Turno C",IF(F97&gt;0.9375,IF(F97&lt;0.979166666666667,"Turno B",""),"")),"")),"")),"")),"")),""))</f>
        <v>Turno B</v>
      </c>
      <c r="L97" s="91">
        <f t="shared" si="1"/>
        <v>0.3125</v>
      </c>
    </row>
    <row r="98" spans="1:12" s="40" customFormat="1">
      <c r="A98">
        <v>6467952</v>
      </c>
      <c r="B98" t="s">
        <v>1028</v>
      </c>
      <c r="C98" t="s">
        <v>1019</v>
      </c>
      <c r="D98" t="s">
        <v>717</v>
      </c>
      <c r="E98" t="s">
        <v>1438</v>
      </c>
      <c r="F98" s="78">
        <v>0.60859953703703706</v>
      </c>
      <c r="G98" t="s">
        <v>1405</v>
      </c>
      <c r="H98" t="s">
        <v>1335</v>
      </c>
      <c r="I98" s="88" t="str">
        <f>VLOOKUP(A98,Base!A:B,2,0)</f>
        <v>06.467.952-K</v>
      </c>
      <c r="J98" s="99" t="str">
        <f>VLOOKUP(A98,Base!A:F,6,0)</f>
        <v>ORLANDINO GUMERCINDO  TAPIA  OLIVARES</v>
      </c>
      <c r="K98" s="89" t="str">
        <f>IFERROR(IF(VLOOKUP(I98,Ingreso!K:P,6,0)=0,"Sin turtno ing",VLOOKUP(I98,Ingreso!K:P,6,0)),IF(F98&gt;0.25,IF(F98&lt;0.311805555555556,"Turno A",IF(F98&gt;0.3125,IF(F98&lt;0.354166666666667,"Turno C",IF(F98&gt;0.583333333333333,IF(F98&lt;0.625,"Turno B",IF(F98&gt;0.625694444444444,IF(F98&lt;0.8125,"Turno A",IF(F98&gt;0.875,IF(F98&lt;0.936805555555556,"Turno C",IF(F98&gt;0.9375,IF(F98&lt;0.979166666666667,"Turno B",""),"")),"")),"")),"")),"")),""))</f>
        <v>Turno B</v>
      </c>
      <c r="L98" s="91">
        <f t="shared" si="1"/>
        <v>0.3125</v>
      </c>
    </row>
    <row r="99" spans="1:12" s="40" customFormat="1">
      <c r="A99">
        <v>6467952</v>
      </c>
      <c r="B99" t="s">
        <v>1028</v>
      </c>
      <c r="C99" t="s">
        <v>1019</v>
      </c>
      <c r="D99" t="s">
        <v>717</v>
      </c>
      <c r="E99" t="s">
        <v>1439</v>
      </c>
      <c r="F99" s="78">
        <v>0.94724537037037038</v>
      </c>
      <c r="G99" t="s">
        <v>1406</v>
      </c>
      <c r="H99" t="s">
        <v>1336</v>
      </c>
      <c r="I99" s="88" t="str">
        <f>VLOOKUP(A99,Base!A:B,2,0)</f>
        <v>06.467.952-K</v>
      </c>
      <c r="J99" s="99" t="str">
        <f>VLOOKUP(A99,Base!A:F,6,0)</f>
        <v>ORLANDINO GUMERCINDO  TAPIA  OLIVARES</v>
      </c>
      <c r="K99" s="89" t="str">
        <f>IFERROR(IF(VLOOKUP(I99,Ingreso!K:P,6,0)=0,"Sin turtno ing",VLOOKUP(I99,Ingreso!K:P,6,0)),IF(F99&gt;0.25,IF(F99&lt;0.311805555555556,"Turno A",IF(F99&gt;0.3125,IF(F99&lt;0.354166666666667,"Turno C",IF(F99&gt;0.583333333333333,IF(F99&lt;0.625,"Turno B",IF(F99&gt;0.625694444444444,IF(F99&lt;0.8125,"Turno A",IF(F99&gt;0.875,IF(F99&lt;0.936805555555556,"Turno C",IF(F99&gt;0.9375,IF(F99&lt;0.979166666666667,"Turno B",""),"")),"")),"")),"")),"")),""))</f>
        <v>Turno B</v>
      </c>
      <c r="L99" s="91">
        <f t="shared" si="1"/>
        <v>0.3125</v>
      </c>
    </row>
    <row r="100" spans="1:12" s="40" customFormat="1">
      <c r="A100">
        <v>6467952</v>
      </c>
      <c r="B100" t="s">
        <v>1028</v>
      </c>
      <c r="C100" t="s">
        <v>1019</v>
      </c>
      <c r="D100" t="s">
        <v>717</v>
      </c>
      <c r="E100" t="s">
        <v>1439</v>
      </c>
      <c r="F100" s="78">
        <v>0.60835648148148147</v>
      </c>
      <c r="G100" t="s">
        <v>1405</v>
      </c>
      <c r="H100" t="s">
        <v>1335</v>
      </c>
      <c r="I100" s="88" t="str">
        <f>VLOOKUP(A100,Base!A:B,2,0)</f>
        <v>06.467.952-K</v>
      </c>
      <c r="J100" s="99" t="str">
        <f>VLOOKUP(A100,Base!A:F,6,0)</f>
        <v>ORLANDINO GUMERCINDO  TAPIA  OLIVARES</v>
      </c>
      <c r="K100" s="89" t="str">
        <f>IFERROR(IF(VLOOKUP(I100,Ingreso!K:P,6,0)=0,"Sin turtno ing",VLOOKUP(I100,Ingreso!K:P,6,0)),IF(F100&gt;0.25,IF(F100&lt;0.311805555555556,"Turno A",IF(F100&gt;0.3125,IF(F100&lt;0.354166666666667,"Turno C",IF(F100&gt;0.583333333333333,IF(F100&lt;0.625,"Turno B",IF(F100&gt;0.625694444444444,IF(F100&lt;0.8125,"Turno A",IF(F100&gt;0.875,IF(F100&lt;0.936805555555556,"Turno C",IF(F100&gt;0.9375,IF(F100&lt;0.979166666666667,"Turno B",""),"")),"")),"")),"")),"")),""))</f>
        <v>Turno B</v>
      </c>
      <c r="L100" s="91">
        <f t="shared" si="1"/>
        <v>0.3125</v>
      </c>
    </row>
    <row r="101" spans="1:12" s="40" customFormat="1">
      <c r="A101">
        <v>6528911</v>
      </c>
      <c r="B101" t="s">
        <v>257</v>
      </c>
      <c r="C101" t="s">
        <v>806</v>
      </c>
      <c r="D101" t="s">
        <v>25</v>
      </c>
      <c r="E101" t="s">
        <v>1440</v>
      </c>
      <c r="F101" s="78">
        <v>0.63481481481481483</v>
      </c>
      <c r="G101" t="s">
        <v>1406</v>
      </c>
      <c r="H101" t="s">
        <v>1336</v>
      </c>
      <c r="I101" s="88" t="str">
        <f>VLOOKUP(A101,Base!A:B,2,0)</f>
        <v>06.528.911-3</v>
      </c>
      <c r="J101" s="99" t="str">
        <f>VLOOKUP(A101,Base!A:F,6,0)</f>
        <v>CARLOS  PINO  MARTINEZ</v>
      </c>
      <c r="K101" s="89" t="str">
        <f>IFERROR(IF(VLOOKUP(I101,Ingreso!K:P,6,0)=0,"Sin turtno ing",VLOOKUP(I101,Ingreso!K:P,6,0)),IF(F101&gt;0.25,IF(F101&lt;0.311805555555556,"Turno A",IF(F101&gt;0.3125,IF(F101&lt;0.354166666666667,"Turno C",IF(F101&gt;0.583333333333333,IF(F101&lt;0.625,"Turno B",IF(F101&gt;0.625694444444444,IF(F101&lt;0.8125,"Turno A",IF(F101&gt;0.875,IF(F101&lt;0.936805555555556,"Turno C",IF(F101&gt;0.9375,IF(F101&lt;0.979166666666667,"Turno B",""),"")),"")),"")),"")),"")),""))</f>
        <v>Turno A</v>
      </c>
      <c r="L101" s="91">
        <f t="shared" si="1"/>
        <v>0.3125</v>
      </c>
    </row>
    <row r="102" spans="1:12" s="40" customFormat="1">
      <c r="A102">
        <v>6528911</v>
      </c>
      <c r="B102" t="s">
        <v>257</v>
      </c>
      <c r="C102" t="s">
        <v>806</v>
      </c>
      <c r="D102" t="s">
        <v>25</v>
      </c>
      <c r="E102" t="s">
        <v>1440</v>
      </c>
      <c r="F102" s="78">
        <v>0.29371527777777778</v>
      </c>
      <c r="G102" t="s">
        <v>1405</v>
      </c>
      <c r="H102" t="s">
        <v>1335</v>
      </c>
      <c r="I102" s="88" t="str">
        <f>VLOOKUP(A102,Base!A:B,2,0)</f>
        <v>06.528.911-3</v>
      </c>
      <c r="J102" s="99" t="str">
        <f>VLOOKUP(A102,Base!A:F,6,0)</f>
        <v>CARLOS  PINO  MARTINEZ</v>
      </c>
      <c r="K102" s="89" t="str">
        <f>IFERROR(IF(VLOOKUP(I102,Ingreso!K:P,6,0)=0,"Sin turtno ing",VLOOKUP(I102,Ingreso!K:P,6,0)),IF(F102&gt;0.25,IF(F102&lt;0.311805555555556,"Turno A",IF(F102&gt;0.3125,IF(F102&lt;0.354166666666667,"Turno C",IF(F102&gt;0.583333333333333,IF(F102&lt;0.625,"Turno B",IF(F102&gt;0.625694444444444,IF(F102&lt;0.8125,"Turno A",IF(F102&gt;0.875,IF(F102&lt;0.936805555555556,"Turno C",IF(F102&gt;0.9375,IF(F102&lt;0.979166666666667,"Turno B",""),"")),"")),"")),"")),"")),""))</f>
        <v>Turno A</v>
      </c>
      <c r="L102" s="91">
        <f t="shared" si="1"/>
        <v>0.3125</v>
      </c>
    </row>
    <row r="103" spans="1:12" s="40" customFormat="1">
      <c r="A103">
        <v>6528911</v>
      </c>
      <c r="B103" t="s">
        <v>257</v>
      </c>
      <c r="C103" t="s">
        <v>806</v>
      </c>
      <c r="D103" t="s">
        <v>25</v>
      </c>
      <c r="E103" t="s">
        <v>1441</v>
      </c>
      <c r="F103" s="78">
        <v>0.62826388888888884</v>
      </c>
      <c r="G103" t="s">
        <v>1406</v>
      </c>
      <c r="H103" t="s">
        <v>1336</v>
      </c>
      <c r="I103" s="88" t="str">
        <f>VLOOKUP(A103,Base!A:B,2,0)</f>
        <v>06.528.911-3</v>
      </c>
      <c r="J103" s="99" t="str">
        <f>VLOOKUP(A103,Base!A:F,6,0)</f>
        <v>CARLOS  PINO  MARTINEZ</v>
      </c>
      <c r="K103" s="89" t="str">
        <f>IFERROR(IF(VLOOKUP(I103,Ingreso!K:P,6,0)=0,"Sin turtno ing",VLOOKUP(I103,Ingreso!K:P,6,0)),IF(F103&gt;0.25,IF(F103&lt;0.311805555555556,"Turno A",IF(F103&gt;0.3125,IF(F103&lt;0.354166666666667,"Turno C",IF(F103&gt;0.583333333333333,IF(F103&lt;0.625,"Turno B",IF(F103&gt;0.625694444444444,IF(F103&lt;0.8125,"Turno A",IF(F103&gt;0.875,IF(F103&lt;0.936805555555556,"Turno C",IF(F103&gt;0.9375,IF(F103&lt;0.979166666666667,"Turno B",""),"")),"")),"")),"")),"")),""))</f>
        <v>Turno A</v>
      </c>
      <c r="L103" s="91">
        <f t="shared" si="1"/>
        <v>0.3125</v>
      </c>
    </row>
    <row r="104" spans="1:12" s="40" customFormat="1">
      <c r="A104">
        <v>6528911</v>
      </c>
      <c r="B104" t="s">
        <v>257</v>
      </c>
      <c r="C104" t="s">
        <v>806</v>
      </c>
      <c r="D104" t="s">
        <v>25</v>
      </c>
      <c r="E104" t="s">
        <v>1441</v>
      </c>
      <c r="F104" s="78">
        <v>0.29196759259259258</v>
      </c>
      <c r="G104" t="s">
        <v>1405</v>
      </c>
      <c r="H104" t="s">
        <v>1335</v>
      </c>
      <c r="I104" s="88" t="str">
        <f>VLOOKUP(A104,Base!A:B,2,0)</f>
        <v>06.528.911-3</v>
      </c>
      <c r="J104" s="99" t="str">
        <f>VLOOKUP(A104,Base!A:F,6,0)</f>
        <v>CARLOS  PINO  MARTINEZ</v>
      </c>
      <c r="K104" s="89" t="str">
        <f>IFERROR(IF(VLOOKUP(I104,Ingreso!K:P,6,0)=0,"Sin turtno ing",VLOOKUP(I104,Ingreso!K:P,6,0)),IF(F104&gt;0.25,IF(F104&lt;0.311805555555556,"Turno A",IF(F104&gt;0.3125,IF(F104&lt;0.354166666666667,"Turno C",IF(F104&gt;0.583333333333333,IF(F104&lt;0.625,"Turno B",IF(F104&gt;0.625694444444444,IF(F104&lt;0.8125,"Turno A",IF(F104&gt;0.875,IF(F104&lt;0.936805555555556,"Turno C",IF(F104&gt;0.9375,IF(F104&lt;0.979166666666667,"Turno B",""),"")),"")),"")),"")),"")),""))</f>
        <v>Turno A</v>
      </c>
      <c r="L104" s="91">
        <f t="shared" si="1"/>
        <v>0.3125</v>
      </c>
    </row>
    <row r="105" spans="1:12" s="40" customFormat="1">
      <c r="A105">
        <v>6528911</v>
      </c>
      <c r="B105" t="s">
        <v>257</v>
      </c>
      <c r="C105" t="s">
        <v>806</v>
      </c>
      <c r="D105" t="s">
        <v>25</v>
      </c>
      <c r="E105" t="s">
        <v>1437</v>
      </c>
      <c r="F105" s="78">
        <v>0.63185185185185189</v>
      </c>
      <c r="G105" t="s">
        <v>1406</v>
      </c>
      <c r="H105" t="s">
        <v>1336</v>
      </c>
      <c r="I105" s="88" t="str">
        <f>VLOOKUP(A105,Base!A:B,2,0)</f>
        <v>06.528.911-3</v>
      </c>
      <c r="J105" s="99" t="str">
        <f>VLOOKUP(A105,Base!A:F,6,0)</f>
        <v>CARLOS  PINO  MARTINEZ</v>
      </c>
      <c r="K105" s="89" t="str">
        <f>IFERROR(IF(VLOOKUP(I105,Ingreso!K:P,6,0)=0,"Sin turtno ing",VLOOKUP(I105,Ingreso!K:P,6,0)),IF(F105&gt;0.25,IF(F105&lt;0.311805555555556,"Turno A",IF(F105&gt;0.3125,IF(F105&lt;0.354166666666667,"Turno C",IF(F105&gt;0.583333333333333,IF(F105&lt;0.625,"Turno B",IF(F105&gt;0.625694444444444,IF(F105&lt;0.8125,"Turno A",IF(F105&gt;0.875,IF(F105&lt;0.936805555555556,"Turno C",IF(F105&gt;0.9375,IF(F105&lt;0.979166666666667,"Turno B",""),"")),"")),"")),"")),"")),""))</f>
        <v>Turno A</v>
      </c>
      <c r="L105" s="91">
        <f t="shared" si="1"/>
        <v>0.3125</v>
      </c>
    </row>
    <row r="106" spans="1:12" s="40" customFormat="1">
      <c r="A106">
        <v>6528911</v>
      </c>
      <c r="B106" t="s">
        <v>257</v>
      </c>
      <c r="C106" t="s">
        <v>806</v>
      </c>
      <c r="D106" t="s">
        <v>25</v>
      </c>
      <c r="E106" t="s">
        <v>1437</v>
      </c>
      <c r="F106" s="78">
        <v>0.29363425925925929</v>
      </c>
      <c r="G106" t="s">
        <v>1405</v>
      </c>
      <c r="H106" t="s">
        <v>1335</v>
      </c>
      <c r="I106" s="88" t="str">
        <f>VLOOKUP(A106,Base!A:B,2,0)</f>
        <v>06.528.911-3</v>
      </c>
      <c r="J106" s="99" t="str">
        <f>VLOOKUP(A106,Base!A:F,6,0)</f>
        <v>CARLOS  PINO  MARTINEZ</v>
      </c>
      <c r="K106" s="89" t="str">
        <f>IFERROR(IF(VLOOKUP(I106,Ingreso!K:P,6,0)=0,"Sin turtno ing",VLOOKUP(I106,Ingreso!K:P,6,0)),IF(F106&gt;0.25,IF(F106&lt;0.311805555555556,"Turno A",IF(F106&gt;0.3125,IF(F106&lt;0.354166666666667,"Turno C",IF(F106&gt;0.583333333333333,IF(F106&lt;0.625,"Turno B",IF(F106&gt;0.625694444444444,IF(F106&lt;0.8125,"Turno A",IF(F106&gt;0.875,IF(F106&lt;0.936805555555556,"Turno C",IF(F106&gt;0.9375,IF(F106&lt;0.979166666666667,"Turno B",""),"")),"")),"")),"")),"")),""))</f>
        <v>Turno A</v>
      </c>
      <c r="L106" s="91">
        <f t="shared" si="1"/>
        <v>0.3125</v>
      </c>
    </row>
    <row r="107" spans="1:12" s="40" customFormat="1">
      <c r="A107">
        <v>6528911</v>
      </c>
      <c r="B107" t="s">
        <v>257</v>
      </c>
      <c r="C107" t="s">
        <v>806</v>
      </c>
      <c r="D107" t="s">
        <v>25</v>
      </c>
      <c r="E107" t="s">
        <v>1438</v>
      </c>
      <c r="F107" s="78">
        <v>0.62966435185185188</v>
      </c>
      <c r="G107" t="s">
        <v>1406</v>
      </c>
      <c r="H107" t="s">
        <v>1336</v>
      </c>
      <c r="I107" s="88" t="str">
        <f>VLOOKUP(A107,Base!A:B,2,0)</f>
        <v>06.528.911-3</v>
      </c>
      <c r="J107" s="99" t="str">
        <f>VLOOKUP(A107,Base!A:F,6,0)</f>
        <v>CARLOS  PINO  MARTINEZ</v>
      </c>
      <c r="K107" s="89" t="str">
        <f>IFERROR(IF(VLOOKUP(I107,Ingreso!K:P,6,0)=0,"Sin turtno ing",VLOOKUP(I107,Ingreso!K:P,6,0)),IF(F107&gt;0.25,IF(F107&lt;0.311805555555556,"Turno A",IF(F107&gt;0.3125,IF(F107&lt;0.354166666666667,"Turno C",IF(F107&gt;0.583333333333333,IF(F107&lt;0.625,"Turno B",IF(F107&gt;0.625694444444444,IF(F107&lt;0.8125,"Turno A",IF(F107&gt;0.875,IF(F107&lt;0.936805555555556,"Turno C",IF(F107&gt;0.9375,IF(F107&lt;0.979166666666667,"Turno B",""),"")),"")),"")),"")),"")),""))</f>
        <v>Turno A</v>
      </c>
      <c r="L107" s="91">
        <f t="shared" si="1"/>
        <v>0.3125</v>
      </c>
    </row>
    <row r="108" spans="1:12" s="40" customFormat="1">
      <c r="A108">
        <v>6528911</v>
      </c>
      <c r="B108" t="s">
        <v>257</v>
      </c>
      <c r="C108" t="s">
        <v>806</v>
      </c>
      <c r="D108" t="s">
        <v>25</v>
      </c>
      <c r="E108" t="s">
        <v>1438</v>
      </c>
      <c r="F108" s="78">
        <v>0.29181712962962963</v>
      </c>
      <c r="G108" t="s">
        <v>1405</v>
      </c>
      <c r="H108" t="s">
        <v>1335</v>
      </c>
      <c r="I108" s="88" t="str">
        <f>VLOOKUP(A108,Base!A:B,2,0)</f>
        <v>06.528.911-3</v>
      </c>
      <c r="J108" s="99" t="str">
        <f>VLOOKUP(A108,Base!A:F,6,0)</f>
        <v>CARLOS  PINO  MARTINEZ</v>
      </c>
      <c r="K108" s="89" t="str">
        <f>IFERROR(IF(VLOOKUP(I108,Ingreso!K:P,6,0)=0,"Sin turtno ing",VLOOKUP(I108,Ingreso!K:P,6,0)),IF(F108&gt;0.25,IF(F108&lt;0.311805555555556,"Turno A",IF(F108&gt;0.3125,IF(F108&lt;0.354166666666667,"Turno C",IF(F108&gt;0.583333333333333,IF(F108&lt;0.625,"Turno B",IF(F108&gt;0.625694444444444,IF(F108&lt;0.8125,"Turno A",IF(F108&gt;0.875,IF(F108&lt;0.936805555555556,"Turno C",IF(F108&gt;0.9375,IF(F108&lt;0.979166666666667,"Turno B",""),"")),"")),"")),"")),"")),""))</f>
        <v>Turno A</v>
      </c>
      <c r="L108" s="91">
        <f t="shared" si="1"/>
        <v>0.3125</v>
      </c>
    </row>
    <row r="109" spans="1:12" s="40" customFormat="1">
      <c r="A109">
        <v>6528911</v>
      </c>
      <c r="B109" t="s">
        <v>257</v>
      </c>
      <c r="C109" t="s">
        <v>806</v>
      </c>
      <c r="D109" t="s">
        <v>25</v>
      </c>
      <c r="E109" t="s">
        <v>1439</v>
      </c>
      <c r="F109" s="78">
        <v>0.62782407407407403</v>
      </c>
      <c r="G109" t="s">
        <v>1406</v>
      </c>
      <c r="H109" t="s">
        <v>1336</v>
      </c>
      <c r="I109" s="88" t="str">
        <f>VLOOKUP(A109,Base!A:B,2,0)</f>
        <v>06.528.911-3</v>
      </c>
      <c r="J109" s="99" t="str">
        <f>VLOOKUP(A109,Base!A:F,6,0)</f>
        <v>CARLOS  PINO  MARTINEZ</v>
      </c>
      <c r="K109" s="89" t="str">
        <f>IFERROR(IF(VLOOKUP(I109,Ingreso!K:P,6,0)=0,"Sin turtno ing",VLOOKUP(I109,Ingreso!K:P,6,0)),IF(F109&gt;0.25,IF(F109&lt;0.311805555555556,"Turno A",IF(F109&gt;0.3125,IF(F109&lt;0.354166666666667,"Turno C",IF(F109&gt;0.583333333333333,IF(F109&lt;0.625,"Turno B",IF(F109&gt;0.625694444444444,IF(F109&lt;0.8125,"Turno A",IF(F109&gt;0.875,IF(F109&lt;0.936805555555556,"Turno C",IF(F109&gt;0.9375,IF(F109&lt;0.979166666666667,"Turno B",""),"")),"")),"")),"")),"")),""))</f>
        <v>Turno A</v>
      </c>
      <c r="L109" s="91">
        <f t="shared" si="1"/>
        <v>0.3125</v>
      </c>
    </row>
    <row r="110" spans="1:12" s="40" customFormat="1">
      <c r="A110">
        <v>6528911</v>
      </c>
      <c r="B110" t="s">
        <v>257</v>
      </c>
      <c r="C110" t="s">
        <v>806</v>
      </c>
      <c r="D110" t="s">
        <v>25</v>
      </c>
      <c r="E110" t="s">
        <v>1439</v>
      </c>
      <c r="F110" s="78">
        <v>0.29171296296296295</v>
      </c>
      <c r="G110" t="s">
        <v>1405</v>
      </c>
      <c r="H110" t="s">
        <v>1335</v>
      </c>
      <c r="I110" s="88" t="str">
        <f>VLOOKUP(A110,Base!A:B,2,0)</f>
        <v>06.528.911-3</v>
      </c>
      <c r="J110" s="99" t="str">
        <f>VLOOKUP(A110,Base!A:F,6,0)</f>
        <v>CARLOS  PINO  MARTINEZ</v>
      </c>
      <c r="K110" s="89" t="str">
        <f>IFERROR(IF(VLOOKUP(I110,Ingreso!K:P,6,0)=0,"Sin turtno ing",VLOOKUP(I110,Ingreso!K:P,6,0)),IF(F110&gt;0.25,IF(F110&lt;0.311805555555556,"Turno A",IF(F110&gt;0.3125,IF(F110&lt;0.354166666666667,"Turno C",IF(F110&gt;0.583333333333333,IF(F110&lt;0.625,"Turno B",IF(F110&gt;0.625694444444444,IF(F110&lt;0.8125,"Turno A",IF(F110&gt;0.875,IF(F110&lt;0.936805555555556,"Turno C",IF(F110&gt;0.9375,IF(F110&lt;0.979166666666667,"Turno B",""),"")),"")),"")),"")),"")),""))</f>
        <v>Turno A</v>
      </c>
      <c r="L110" s="91">
        <f t="shared" si="1"/>
        <v>0.3125</v>
      </c>
    </row>
    <row r="111" spans="1:12" s="40" customFormat="1">
      <c r="A111">
        <v>6646724</v>
      </c>
      <c r="B111" t="s">
        <v>180</v>
      </c>
      <c r="C111" t="s">
        <v>126</v>
      </c>
      <c r="D111" t="s">
        <v>770</v>
      </c>
      <c r="E111" t="s">
        <v>1440</v>
      </c>
      <c r="F111" s="78">
        <v>0.9483449074074074</v>
      </c>
      <c r="G111" t="s">
        <v>1406</v>
      </c>
      <c r="H111" t="s">
        <v>1336</v>
      </c>
      <c r="I111" s="88" t="str">
        <f>VLOOKUP(A111,Base!A:B,2,0)</f>
        <v>06.646.724-4</v>
      </c>
      <c r="J111" s="99" t="str">
        <f>VLOOKUP(A111,Base!A:F,6,0)</f>
        <v>JUAN RAMON  PALMA  SEREÑO</v>
      </c>
      <c r="K111" s="89" t="str">
        <f>IFERROR(IF(VLOOKUP(I111,Ingreso!K:P,6,0)=0,"Sin turtno ing",VLOOKUP(I111,Ingreso!K:P,6,0)),IF(F111&gt;0.25,IF(F111&lt;0.311805555555556,"Turno A",IF(F111&gt;0.3125,IF(F111&lt;0.354166666666667,"Turno C",IF(F111&gt;0.583333333333333,IF(F111&lt;0.625,"Turno B",IF(F111&gt;0.625694444444444,IF(F111&lt;0.8125,"Turno A",IF(F111&gt;0.875,IF(F111&lt;0.936805555555556,"Turno C",IF(F111&gt;0.9375,IF(F111&lt;0.979166666666667,"Turno B",""),"")),"")),"")),"")),"")),""))</f>
        <v>Turno B</v>
      </c>
      <c r="L111" s="91">
        <f t="shared" si="1"/>
        <v>0.3125</v>
      </c>
    </row>
    <row r="112" spans="1:12" s="40" customFormat="1">
      <c r="A112">
        <v>6646724</v>
      </c>
      <c r="B112" t="s">
        <v>180</v>
      </c>
      <c r="C112" t="s">
        <v>126</v>
      </c>
      <c r="D112" t="s">
        <v>770</v>
      </c>
      <c r="E112" t="s">
        <v>1440</v>
      </c>
      <c r="F112" s="78">
        <v>0.59924768518518523</v>
      </c>
      <c r="G112" t="s">
        <v>1405</v>
      </c>
      <c r="H112" t="s">
        <v>1335</v>
      </c>
      <c r="I112" s="88" t="str">
        <f>VLOOKUP(A112,Base!A:B,2,0)</f>
        <v>06.646.724-4</v>
      </c>
      <c r="J112" s="99" t="str">
        <f>VLOOKUP(A112,Base!A:F,6,0)</f>
        <v>JUAN RAMON  PALMA  SEREÑO</v>
      </c>
      <c r="K112" s="89" t="str">
        <f>IFERROR(IF(VLOOKUP(I112,Ingreso!K:P,6,0)=0,"Sin turtno ing",VLOOKUP(I112,Ingreso!K:P,6,0)),IF(F112&gt;0.25,IF(F112&lt;0.311805555555556,"Turno A",IF(F112&gt;0.3125,IF(F112&lt;0.354166666666667,"Turno C",IF(F112&gt;0.583333333333333,IF(F112&lt;0.625,"Turno B",IF(F112&gt;0.625694444444444,IF(F112&lt;0.8125,"Turno A",IF(F112&gt;0.875,IF(F112&lt;0.936805555555556,"Turno C",IF(F112&gt;0.9375,IF(F112&lt;0.979166666666667,"Turno B",""),"")),"")),"")),"")),"")),""))</f>
        <v>Turno B</v>
      </c>
      <c r="L112" s="91">
        <f t="shared" si="1"/>
        <v>0.3125</v>
      </c>
    </row>
    <row r="113" spans="1:12" s="40" customFormat="1">
      <c r="A113">
        <v>6646724</v>
      </c>
      <c r="B113" t="s">
        <v>180</v>
      </c>
      <c r="C113" t="s">
        <v>126</v>
      </c>
      <c r="D113" t="s">
        <v>770</v>
      </c>
      <c r="E113" t="s">
        <v>1441</v>
      </c>
      <c r="F113" s="78">
        <v>0.93785879629629632</v>
      </c>
      <c r="G113" t="s">
        <v>1406</v>
      </c>
      <c r="H113" t="s">
        <v>1336</v>
      </c>
      <c r="I113" s="88" t="str">
        <f>VLOOKUP(A113,Base!A:B,2,0)</f>
        <v>06.646.724-4</v>
      </c>
      <c r="J113" s="99" t="str">
        <f>VLOOKUP(A113,Base!A:F,6,0)</f>
        <v>JUAN RAMON  PALMA  SEREÑO</v>
      </c>
      <c r="K113" s="89" t="str">
        <f>IFERROR(IF(VLOOKUP(I113,Ingreso!K:P,6,0)=0,"Sin turtno ing",VLOOKUP(I113,Ingreso!K:P,6,0)),IF(F113&gt;0.25,IF(F113&lt;0.311805555555556,"Turno A",IF(F113&gt;0.3125,IF(F113&lt;0.354166666666667,"Turno C",IF(F113&gt;0.583333333333333,IF(F113&lt;0.625,"Turno B",IF(F113&gt;0.625694444444444,IF(F113&lt;0.8125,"Turno A",IF(F113&gt;0.875,IF(F113&lt;0.936805555555556,"Turno C",IF(F113&gt;0.9375,IF(F113&lt;0.979166666666667,"Turno B",""),"")),"")),"")),"")),"")),""))</f>
        <v>Turno B</v>
      </c>
      <c r="L113" s="91">
        <f t="shared" si="1"/>
        <v>0.3125</v>
      </c>
    </row>
    <row r="114" spans="1:12" s="40" customFormat="1">
      <c r="A114">
        <v>6646724</v>
      </c>
      <c r="B114" t="s">
        <v>180</v>
      </c>
      <c r="C114" t="s">
        <v>126</v>
      </c>
      <c r="D114" t="s">
        <v>770</v>
      </c>
      <c r="E114" t="s">
        <v>1441</v>
      </c>
      <c r="F114" s="78">
        <v>0.60611111111111116</v>
      </c>
      <c r="G114" t="s">
        <v>1405</v>
      </c>
      <c r="H114" t="s">
        <v>1335</v>
      </c>
      <c r="I114" s="88" t="str">
        <f>VLOOKUP(A114,Base!A:B,2,0)</f>
        <v>06.646.724-4</v>
      </c>
      <c r="J114" s="99" t="str">
        <f>VLOOKUP(A114,Base!A:F,6,0)</f>
        <v>JUAN RAMON  PALMA  SEREÑO</v>
      </c>
      <c r="K114" s="89" t="str">
        <f>IFERROR(IF(VLOOKUP(I114,Ingreso!K:P,6,0)=0,"Sin turtno ing",VLOOKUP(I114,Ingreso!K:P,6,0)),IF(F114&gt;0.25,IF(F114&lt;0.311805555555556,"Turno A",IF(F114&gt;0.3125,IF(F114&lt;0.354166666666667,"Turno C",IF(F114&gt;0.583333333333333,IF(F114&lt;0.625,"Turno B",IF(F114&gt;0.625694444444444,IF(F114&lt;0.8125,"Turno A",IF(F114&gt;0.875,IF(F114&lt;0.936805555555556,"Turno C",IF(F114&gt;0.9375,IF(F114&lt;0.979166666666667,"Turno B",""),"")),"")),"")),"")),"")),""))</f>
        <v>Turno B</v>
      </c>
      <c r="L114" s="91">
        <f t="shared" si="1"/>
        <v>0.3125</v>
      </c>
    </row>
    <row r="115" spans="1:12" s="40" customFormat="1">
      <c r="A115">
        <v>6646724</v>
      </c>
      <c r="B115" t="s">
        <v>180</v>
      </c>
      <c r="C115" t="s">
        <v>126</v>
      </c>
      <c r="D115" t="s">
        <v>770</v>
      </c>
      <c r="E115" t="s">
        <v>1437</v>
      </c>
      <c r="F115" s="78">
        <v>0.95032407407407404</v>
      </c>
      <c r="G115" t="s">
        <v>1406</v>
      </c>
      <c r="H115" t="s">
        <v>1336</v>
      </c>
      <c r="I115" s="88" t="str">
        <f>VLOOKUP(A115,Base!A:B,2,0)</f>
        <v>06.646.724-4</v>
      </c>
      <c r="J115" s="99" t="str">
        <f>VLOOKUP(A115,Base!A:F,6,0)</f>
        <v>JUAN RAMON  PALMA  SEREÑO</v>
      </c>
      <c r="K115" s="89" t="str">
        <f>IFERROR(IF(VLOOKUP(I115,Ingreso!K:P,6,0)=0,"Sin turtno ing",VLOOKUP(I115,Ingreso!K:P,6,0)),IF(F115&gt;0.25,IF(F115&lt;0.311805555555556,"Turno A",IF(F115&gt;0.3125,IF(F115&lt;0.354166666666667,"Turno C",IF(F115&gt;0.583333333333333,IF(F115&lt;0.625,"Turno B",IF(F115&gt;0.625694444444444,IF(F115&lt;0.8125,"Turno A",IF(F115&gt;0.875,IF(F115&lt;0.936805555555556,"Turno C",IF(F115&gt;0.9375,IF(F115&lt;0.979166666666667,"Turno B",""),"")),"")),"")),"")),"")),""))</f>
        <v>Turno B</v>
      </c>
      <c r="L115" s="91">
        <f t="shared" si="1"/>
        <v>0.3125</v>
      </c>
    </row>
    <row r="116" spans="1:12" s="40" customFormat="1">
      <c r="A116">
        <v>6646724</v>
      </c>
      <c r="B116" t="s">
        <v>180</v>
      </c>
      <c r="C116" t="s">
        <v>126</v>
      </c>
      <c r="D116" t="s">
        <v>770</v>
      </c>
      <c r="E116" t="s">
        <v>1437</v>
      </c>
      <c r="F116" s="78">
        <v>0.59739583333333335</v>
      </c>
      <c r="G116" t="s">
        <v>1405</v>
      </c>
      <c r="H116" t="s">
        <v>1335</v>
      </c>
      <c r="I116" s="88" t="str">
        <f>VLOOKUP(A116,Base!A:B,2,0)</f>
        <v>06.646.724-4</v>
      </c>
      <c r="J116" s="99" t="str">
        <f>VLOOKUP(A116,Base!A:F,6,0)</f>
        <v>JUAN RAMON  PALMA  SEREÑO</v>
      </c>
      <c r="K116" s="89" t="str">
        <f>IFERROR(IF(VLOOKUP(I116,Ingreso!K:P,6,0)=0,"Sin turtno ing",VLOOKUP(I116,Ingreso!K:P,6,0)),IF(F116&gt;0.25,IF(F116&lt;0.311805555555556,"Turno A",IF(F116&gt;0.3125,IF(F116&lt;0.354166666666667,"Turno C",IF(F116&gt;0.583333333333333,IF(F116&lt;0.625,"Turno B",IF(F116&gt;0.625694444444444,IF(F116&lt;0.8125,"Turno A",IF(F116&gt;0.875,IF(F116&lt;0.936805555555556,"Turno C",IF(F116&gt;0.9375,IF(F116&lt;0.979166666666667,"Turno B",""),"")),"")),"")),"")),"")),""))</f>
        <v>Turno B</v>
      </c>
      <c r="L116" s="91">
        <f t="shared" si="1"/>
        <v>0.3125</v>
      </c>
    </row>
    <row r="117" spans="1:12" s="40" customFormat="1">
      <c r="A117">
        <v>6646724</v>
      </c>
      <c r="B117" t="s">
        <v>180</v>
      </c>
      <c r="C117" t="s">
        <v>126</v>
      </c>
      <c r="D117" t="s">
        <v>770</v>
      </c>
      <c r="E117" t="s">
        <v>1438</v>
      </c>
      <c r="F117" s="78">
        <v>0.93909722222222225</v>
      </c>
      <c r="G117" t="s">
        <v>1406</v>
      </c>
      <c r="H117" t="s">
        <v>1336</v>
      </c>
      <c r="I117" s="88" t="str">
        <f>VLOOKUP(A117,Base!A:B,2,0)</f>
        <v>06.646.724-4</v>
      </c>
      <c r="J117" s="99" t="str">
        <f>VLOOKUP(A117,Base!A:F,6,0)</f>
        <v>JUAN RAMON  PALMA  SEREÑO</v>
      </c>
      <c r="K117" s="89" t="str">
        <f>IFERROR(IF(VLOOKUP(I117,Ingreso!K:P,6,0)=0,"Sin turtno ing",VLOOKUP(I117,Ingreso!K:P,6,0)),IF(F117&gt;0.25,IF(F117&lt;0.311805555555556,"Turno A",IF(F117&gt;0.3125,IF(F117&lt;0.354166666666667,"Turno C",IF(F117&gt;0.583333333333333,IF(F117&lt;0.625,"Turno B",IF(F117&gt;0.625694444444444,IF(F117&lt;0.8125,"Turno A",IF(F117&gt;0.875,IF(F117&lt;0.936805555555556,"Turno C",IF(F117&gt;0.9375,IF(F117&lt;0.979166666666667,"Turno B",""),"")),"")),"")),"")),"")),""))</f>
        <v>Turno B</v>
      </c>
      <c r="L117" s="91">
        <f t="shared" si="1"/>
        <v>0.3125</v>
      </c>
    </row>
    <row r="118" spans="1:12" s="40" customFormat="1">
      <c r="A118">
        <v>6646724</v>
      </c>
      <c r="B118" t="s">
        <v>180</v>
      </c>
      <c r="C118" t="s">
        <v>126</v>
      </c>
      <c r="D118" t="s">
        <v>770</v>
      </c>
      <c r="E118" t="s">
        <v>1438</v>
      </c>
      <c r="F118" s="78">
        <v>0.61016203703703698</v>
      </c>
      <c r="G118" t="s">
        <v>1405</v>
      </c>
      <c r="H118" t="s">
        <v>1335</v>
      </c>
      <c r="I118" s="88" t="str">
        <f>VLOOKUP(A118,Base!A:B,2,0)</f>
        <v>06.646.724-4</v>
      </c>
      <c r="J118" s="99" t="str">
        <f>VLOOKUP(A118,Base!A:F,6,0)</f>
        <v>JUAN RAMON  PALMA  SEREÑO</v>
      </c>
      <c r="K118" s="89" t="str">
        <f>IFERROR(IF(VLOOKUP(I118,Ingreso!K:P,6,0)=0,"Sin turtno ing",VLOOKUP(I118,Ingreso!K:P,6,0)),IF(F118&gt;0.25,IF(F118&lt;0.311805555555556,"Turno A",IF(F118&gt;0.3125,IF(F118&lt;0.354166666666667,"Turno C",IF(F118&gt;0.583333333333333,IF(F118&lt;0.625,"Turno B",IF(F118&gt;0.625694444444444,IF(F118&lt;0.8125,"Turno A",IF(F118&gt;0.875,IF(F118&lt;0.936805555555556,"Turno C",IF(F118&gt;0.9375,IF(F118&lt;0.979166666666667,"Turno B",""),"")),"")),"")),"")),"")),""))</f>
        <v>Turno B</v>
      </c>
      <c r="L118" s="91">
        <f t="shared" si="1"/>
        <v>0.3125</v>
      </c>
    </row>
    <row r="119" spans="1:12" s="40" customFormat="1">
      <c r="A119">
        <v>6646724</v>
      </c>
      <c r="B119" t="s">
        <v>180</v>
      </c>
      <c r="C119" t="s">
        <v>126</v>
      </c>
      <c r="D119" t="s">
        <v>770</v>
      </c>
      <c r="E119" t="s">
        <v>1439</v>
      </c>
      <c r="F119" s="78">
        <v>0.95038194444444446</v>
      </c>
      <c r="G119" t="s">
        <v>1406</v>
      </c>
      <c r="H119" t="s">
        <v>1336</v>
      </c>
      <c r="I119" s="88" t="str">
        <f>VLOOKUP(A119,Base!A:B,2,0)</f>
        <v>06.646.724-4</v>
      </c>
      <c r="J119" s="99" t="str">
        <f>VLOOKUP(A119,Base!A:F,6,0)</f>
        <v>JUAN RAMON  PALMA  SEREÑO</v>
      </c>
      <c r="K119" s="89" t="str">
        <f>IFERROR(IF(VLOOKUP(I119,Ingreso!K:P,6,0)=0,"Sin turtno ing",VLOOKUP(I119,Ingreso!K:P,6,0)),IF(F119&gt;0.25,IF(F119&lt;0.311805555555556,"Turno A",IF(F119&gt;0.3125,IF(F119&lt;0.354166666666667,"Turno C",IF(F119&gt;0.583333333333333,IF(F119&lt;0.625,"Turno B",IF(F119&gt;0.625694444444444,IF(F119&lt;0.8125,"Turno A",IF(F119&gt;0.875,IF(F119&lt;0.936805555555556,"Turno C",IF(F119&gt;0.9375,IF(F119&lt;0.979166666666667,"Turno B",""),"")),"")),"")),"")),"")),""))</f>
        <v>Turno B</v>
      </c>
      <c r="L119" s="91">
        <f t="shared" si="1"/>
        <v>0.3125</v>
      </c>
    </row>
    <row r="120" spans="1:12" s="40" customFormat="1">
      <c r="A120">
        <v>6646724</v>
      </c>
      <c r="B120" t="s">
        <v>180</v>
      </c>
      <c r="C120" t="s">
        <v>126</v>
      </c>
      <c r="D120" t="s">
        <v>770</v>
      </c>
      <c r="E120" t="s">
        <v>1439</v>
      </c>
      <c r="F120" s="78">
        <v>0.5978472222222222</v>
      </c>
      <c r="G120" t="s">
        <v>1405</v>
      </c>
      <c r="H120" t="s">
        <v>1335</v>
      </c>
      <c r="I120" s="88" t="str">
        <f>VLOOKUP(A120,Base!A:B,2,0)</f>
        <v>06.646.724-4</v>
      </c>
      <c r="J120" s="99" t="str">
        <f>VLOOKUP(A120,Base!A:F,6,0)</f>
        <v>JUAN RAMON  PALMA  SEREÑO</v>
      </c>
      <c r="K120" s="89" t="str">
        <f>IFERROR(IF(VLOOKUP(I120,Ingreso!K:P,6,0)=0,"Sin turtno ing",VLOOKUP(I120,Ingreso!K:P,6,0)),IF(F120&gt;0.25,IF(F120&lt;0.311805555555556,"Turno A",IF(F120&gt;0.3125,IF(F120&lt;0.354166666666667,"Turno C",IF(F120&gt;0.583333333333333,IF(F120&lt;0.625,"Turno B",IF(F120&gt;0.625694444444444,IF(F120&lt;0.8125,"Turno A",IF(F120&gt;0.875,IF(F120&lt;0.936805555555556,"Turno C",IF(F120&gt;0.9375,IF(F120&lt;0.979166666666667,"Turno B",""),"")),"")),"")),"")),"")),""))</f>
        <v>Turno B</v>
      </c>
      <c r="L120" s="91">
        <f t="shared" si="1"/>
        <v>0.3125</v>
      </c>
    </row>
    <row r="121" spans="1:12" s="40" customFormat="1">
      <c r="A121">
        <v>6933508</v>
      </c>
      <c r="B121" t="s">
        <v>180</v>
      </c>
      <c r="C121" t="s">
        <v>178</v>
      </c>
      <c r="D121" t="s">
        <v>179</v>
      </c>
      <c r="E121" t="s">
        <v>1407</v>
      </c>
      <c r="F121" s="78">
        <v>0</v>
      </c>
      <c r="G121"/>
      <c r="H121"/>
      <c r="I121" s="88" t="str">
        <f>VLOOKUP(A121,Base!A:B,2,0)</f>
        <v>06.933.508-K</v>
      </c>
      <c r="J121" s="99" t="str">
        <f>VLOOKUP(A121,Base!A:F,6,0)</f>
        <v>JUAN RAMON  CABELLO  DIAZ</v>
      </c>
      <c r="K121" s="89" t="str">
        <f>IFERROR(IF(VLOOKUP(I121,Ingreso!K:P,6,0)=0,"Sin turtno ing",VLOOKUP(I121,Ingreso!K:P,6,0)),IF(F121&gt;0.25,IF(F121&lt;0.311805555555556,"Turno A",IF(F121&gt;0.3125,IF(F121&lt;0.354166666666667,"Turno C",IF(F121&gt;0.583333333333333,IF(F121&lt;0.625,"Turno B",IF(F121&gt;0.625694444444444,IF(F121&lt;0.8125,"Turno A",IF(F121&gt;0.875,IF(F121&lt;0.936805555555556,"Turno C",IF(F121&gt;0.9375,IF(F121&lt;0.979166666666667,"Turno B",""),"")),"")),"")),"")),"")),""))</f>
        <v/>
      </c>
      <c r="L121" s="91" t="e">
        <f t="shared" si="1"/>
        <v>#N/A</v>
      </c>
    </row>
    <row r="122" spans="1:12" s="40" customFormat="1">
      <c r="A122">
        <v>6940813</v>
      </c>
      <c r="B122" t="s">
        <v>816</v>
      </c>
      <c r="C122" t="s">
        <v>814</v>
      </c>
      <c r="D122" t="s">
        <v>815</v>
      </c>
      <c r="E122" t="s">
        <v>1440</v>
      </c>
      <c r="F122" s="78">
        <v>0.64650462962962962</v>
      </c>
      <c r="G122" t="s">
        <v>1406</v>
      </c>
      <c r="H122" t="s">
        <v>1336</v>
      </c>
      <c r="I122" s="88" t="str">
        <f>VLOOKUP(A122,Base!A:B,2,0)</f>
        <v>06.940.813-3</v>
      </c>
      <c r="J122" s="99" t="str">
        <f>VLOOKUP(A122,Base!A:F,6,0)</f>
        <v>ISAIAS  PLAZA  ALFARO</v>
      </c>
      <c r="K122" s="89" t="str">
        <f>IFERROR(IF(VLOOKUP(I122,Ingreso!K:P,6,0)=0,"Sin turtno ing",VLOOKUP(I122,Ingreso!K:P,6,0)),IF(F122&gt;0.25,IF(F122&lt;0.311805555555556,"Turno A",IF(F122&gt;0.3125,IF(F122&lt;0.354166666666667,"Turno C",IF(F122&gt;0.583333333333333,IF(F122&lt;0.625,"Turno B",IF(F122&gt;0.625694444444444,IF(F122&lt;0.8125,"Turno A",IF(F122&gt;0.875,IF(F122&lt;0.936805555555556,"Turno C",IF(F122&gt;0.9375,IF(F122&lt;0.979166666666667,"Turno B",""),"")),"")),"")),"")),"")),""))</f>
        <v>Turno A</v>
      </c>
      <c r="L122" s="91">
        <f t="shared" si="1"/>
        <v>0.3125</v>
      </c>
    </row>
    <row r="123" spans="1:12" s="40" customFormat="1">
      <c r="A123">
        <v>6940813</v>
      </c>
      <c r="B123" t="s">
        <v>816</v>
      </c>
      <c r="C123" t="s">
        <v>814</v>
      </c>
      <c r="D123" t="s">
        <v>815</v>
      </c>
      <c r="E123" t="s">
        <v>1440</v>
      </c>
      <c r="F123" s="78">
        <v>0.29995370370370372</v>
      </c>
      <c r="G123" t="s">
        <v>1405</v>
      </c>
      <c r="H123" t="s">
        <v>1335</v>
      </c>
      <c r="I123" s="88" t="str">
        <f>VLOOKUP(A123,Base!A:B,2,0)</f>
        <v>06.940.813-3</v>
      </c>
      <c r="J123" s="99" t="str">
        <f>VLOOKUP(A123,Base!A:F,6,0)</f>
        <v>ISAIAS  PLAZA  ALFARO</v>
      </c>
      <c r="K123" s="89" t="str">
        <f>IFERROR(IF(VLOOKUP(I123,Ingreso!K:P,6,0)=0,"Sin turtno ing",VLOOKUP(I123,Ingreso!K:P,6,0)),IF(F123&gt;0.25,IF(F123&lt;0.311805555555556,"Turno A",IF(F123&gt;0.3125,IF(F123&lt;0.354166666666667,"Turno C",IF(F123&gt;0.583333333333333,IF(F123&lt;0.625,"Turno B",IF(F123&gt;0.625694444444444,IF(F123&lt;0.8125,"Turno A",IF(F123&gt;0.875,IF(F123&lt;0.936805555555556,"Turno C",IF(F123&gt;0.9375,IF(F123&lt;0.979166666666667,"Turno B",""),"")),"")),"")),"")),"")),""))</f>
        <v>Turno A</v>
      </c>
      <c r="L123" s="91">
        <f t="shared" si="1"/>
        <v>0.3125</v>
      </c>
    </row>
    <row r="124" spans="1:12" s="40" customFormat="1">
      <c r="A124">
        <v>6940813</v>
      </c>
      <c r="B124" t="s">
        <v>816</v>
      </c>
      <c r="C124" t="s">
        <v>814</v>
      </c>
      <c r="D124" t="s">
        <v>815</v>
      </c>
      <c r="E124" t="s">
        <v>1441</v>
      </c>
      <c r="F124" s="78">
        <v>0.63997685185185182</v>
      </c>
      <c r="G124" t="s">
        <v>1406</v>
      </c>
      <c r="H124" t="s">
        <v>1336</v>
      </c>
      <c r="I124" s="88" t="str">
        <f>VLOOKUP(A124,Base!A:B,2,0)</f>
        <v>06.940.813-3</v>
      </c>
      <c r="J124" s="99" t="str">
        <f>VLOOKUP(A124,Base!A:F,6,0)</f>
        <v>ISAIAS  PLAZA  ALFARO</v>
      </c>
      <c r="K124" s="89" t="str">
        <f>IFERROR(IF(VLOOKUP(I124,Ingreso!K:P,6,0)=0,"Sin turtno ing",VLOOKUP(I124,Ingreso!K:P,6,0)),IF(F124&gt;0.25,IF(F124&lt;0.311805555555556,"Turno A",IF(F124&gt;0.3125,IF(F124&lt;0.354166666666667,"Turno C",IF(F124&gt;0.583333333333333,IF(F124&lt;0.625,"Turno B",IF(F124&gt;0.625694444444444,IF(F124&lt;0.8125,"Turno A",IF(F124&gt;0.875,IF(F124&lt;0.936805555555556,"Turno C",IF(F124&gt;0.9375,IF(F124&lt;0.979166666666667,"Turno B",""),"")),"")),"")),"")),"")),""))</f>
        <v>Turno A</v>
      </c>
      <c r="L124" s="91">
        <f t="shared" si="1"/>
        <v>0.3125</v>
      </c>
    </row>
    <row r="125" spans="1:12" s="40" customFormat="1">
      <c r="A125">
        <v>6940813</v>
      </c>
      <c r="B125" t="s">
        <v>816</v>
      </c>
      <c r="C125" t="s">
        <v>814</v>
      </c>
      <c r="D125" t="s">
        <v>815</v>
      </c>
      <c r="E125" t="s">
        <v>1441</v>
      </c>
      <c r="F125" s="78">
        <v>0.2936111111111111</v>
      </c>
      <c r="G125" t="s">
        <v>1405</v>
      </c>
      <c r="H125" t="s">
        <v>1335</v>
      </c>
      <c r="I125" s="88" t="str">
        <f>VLOOKUP(A125,Base!A:B,2,0)</f>
        <v>06.940.813-3</v>
      </c>
      <c r="J125" s="99" t="str">
        <f>VLOOKUP(A125,Base!A:F,6,0)</f>
        <v>ISAIAS  PLAZA  ALFARO</v>
      </c>
      <c r="K125" s="89" t="str">
        <f>IFERROR(IF(VLOOKUP(I125,Ingreso!K:P,6,0)=0,"Sin turtno ing",VLOOKUP(I125,Ingreso!K:P,6,0)),IF(F125&gt;0.25,IF(F125&lt;0.311805555555556,"Turno A",IF(F125&gt;0.3125,IF(F125&lt;0.354166666666667,"Turno C",IF(F125&gt;0.583333333333333,IF(F125&lt;0.625,"Turno B",IF(F125&gt;0.625694444444444,IF(F125&lt;0.8125,"Turno A",IF(F125&gt;0.875,IF(F125&lt;0.936805555555556,"Turno C",IF(F125&gt;0.9375,IF(F125&lt;0.979166666666667,"Turno B",""),"")),"")),"")),"")),"")),""))</f>
        <v>Turno A</v>
      </c>
      <c r="L125" s="91">
        <f t="shared" si="1"/>
        <v>0.3125</v>
      </c>
    </row>
    <row r="126" spans="1:12" s="40" customFormat="1">
      <c r="A126">
        <v>6940813</v>
      </c>
      <c r="B126" t="s">
        <v>816</v>
      </c>
      <c r="C126" t="s">
        <v>814</v>
      </c>
      <c r="D126" t="s">
        <v>815</v>
      </c>
      <c r="E126" t="s">
        <v>1437</v>
      </c>
      <c r="F126" s="78">
        <v>0.65149305555555559</v>
      </c>
      <c r="G126" t="s">
        <v>1406</v>
      </c>
      <c r="H126" t="s">
        <v>1336</v>
      </c>
      <c r="I126" s="88" t="str">
        <f>VLOOKUP(A126,Base!A:B,2,0)</f>
        <v>06.940.813-3</v>
      </c>
      <c r="J126" s="99" t="str">
        <f>VLOOKUP(A126,Base!A:F,6,0)</f>
        <v>ISAIAS  PLAZA  ALFARO</v>
      </c>
      <c r="K126" s="89" t="str">
        <f>IFERROR(IF(VLOOKUP(I126,Ingreso!K:P,6,0)=0,"Sin turtno ing",VLOOKUP(I126,Ingreso!K:P,6,0)),IF(F126&gt;0.25,IF(F126&lt;0.311805555555556,"Turno A",IF(F126&gt;0.3125,IF(F126&lt;0.354166666666667,"Turno C",IF(F126&gt;0.583333333333333,IF(F126&lt;0.625,"Turno B",IF(F126&gt;0.625694444444444,IF(F126&lt;0.8125,"Turno A",IF(F126&gt;0.875,IF(F126&lt;0.936805555555556,"Turno C",IF(F126&gt;0.9375,IF(F126&lt;0.979166666666667,"Turno B",""),"")),"")),"")),"")),"")),""))</f>
        <v>Turno A</v>
      </c>
      <c r="L126" s="91">
        <f t="shared" si="1"/>
        <v>0.3125</v>
      </c>
    </row>
    <row r="127" spans="1:12" s="40" customFormat="1">
      <c r="A127">
        <v>6940813</v>
      </c>
      <c r="B127" t="s">
        <v>816</v>
      </c>
      <c r="C127" t="s">
        <v>814</v>
      </c>
      <c r="D127" t="s">
        <v>815</v>
      </c>
      <c r="E127" t="s">
        <v>1437</v>
      </c>
      <c r="F127" s="78">
        <v>0.29234953703703703</v>
      </c>
      <c r="G127" t="s">
        <v>1405</v>
      </c>
      <c r="H127" t="s">
        <v>1335</v>
      </c>
      <c r="I127" s="88" t="str">
        <f>VLOOKUP(A127,Base!A:B,2,0)</f>
        <v>06.940.813-3</v>
      </c>
      <c r="J127" s="99" t="str">
        <f>VLOOKUP(A127,Base!A:F,6,0)</f>
        <v>ISAIAS  PLAZA  ALFARO</v>
      </c>
      <c r="K127" s="89" t="str">
        <f>IFERROR(IF(VLOOKUP(I127,Ingreso!K:P,6,0)=0,"Sin turtno ing",VLOOKUP(I127,Ingreso!K:P,6,0)),IF(F127&gt;0.25,IF(F127&lt;0.311805555555556,"Turno A",IF(F127&gt;0.3125,IF(F127&lt;0.354166666666667,"Turno C",IF(F127&gt;0.583333333333333,IF(F127&lt;0.625,"Turno B",IF(F127&gt;0.625694444444444,IF(F127&lt;0.8125,"Turno A",IF(F127&gt;0.875,IF(F127&lt;0.936805555555556,"Turno C",IF(F127&gt;0.9375,IF(F127&lt;0.979166666666667,"Turno B",""),"")),"")),"")),"")),"")),""))</f>
        <v>Turno A</v>
      </c>
      <c r="L127" s="91">
        <f t="shared" si="1"/>
        <v>0.3125</v>
      </c>
    </row>
    <row r="128" spans="1:12" s="40" customFormat="1">
      <c r="A128">
        <v>6940813</v>
      </c>
      <c r="B128" t="s">
        <v>816</v>
      </c>
      <c r="C128" t="s">
        <v>814</v>
      </c>
      <c r="D128" t="s">
        <v>815</v>
      </c>
      <c r="E128" t="s">
        <v>1438</v>
      </c>
      <c r="F128" s="78">
        <v>0.63574074074074072</v>
      </c>
      <c r="G128" t="s">
        <v>1406</v>
      </c>
      <c r="H128" t="s">
        <v>1336</v>
      </c>
      <c r="I128" s="88" t="str">
        <f>VLOOKUP(A128,Base!A:B,2,0)</f>
        <v>06.940.813-3</v>
      </c>
      <c r="J128" s="99" t="str">
        <f>VLOOKUP(A128,Base!A:F,6,0)</f>
        <v>ISAIAS  PLAZA  ALFARO</v>
      </c>
      <c r="K128" s="89" t="str">
        <f>IFERROR(IF(VLOOKUP(I128,Ingreso!K:P,6,0)=0,"Sin turtno ing",VLOOKUP(I128,Ingreso!K:P,6,0)),IF(F128&gt;0.25,IF(F128&lt;0.311805555555556,"Turno A",IF(F128&gt;0.3125,IF(F128&lt;0.354166666666667,"Turno C",IF(F128&gt;0.583333333333333,IF(F128&lt;0.625,"Turno B",IF(F128&gt;0.625694444444444,IF(F128&lt;0.8125,"Turno A",IF(F128&gt;0.875,IF(F128&lt;0.936805555555556,"Turno C",IF(F128&gt;0.9375,IF(F128&lt;0.979166666666667,"Turno B",""),"")),"")),"")),"")),"")),""))</f>
        <v>Turno A</v>
      </c>
      <c r="L128" s="91">
        <f t="shared" si="1"/>
        <v>0.3125</v>
      </c>
    </row>
    <row r="129" spans="1:12" s="40" customFormat="1">
      <c r="A129">
        <v>6940813</v>
      </c>
      <c r="B129" t="s">
        <v>816</v>
      </c>
      <c r="C129" t="s">
        <v>814</v>
      </c>
      <c r="D129" t="s">
        <v>815</v>
      </c>
      <c r="E129" t="s">
        <v>1438</v>
      </c>
      <c r="F129" s="78">
        <v>0.29619212962962965</v>
      </c>
      <c r="G129" t="s">
        <v>1405</v>
      </c>
      <c r="H129" t="s">
        <v>1335</v>
      </c>
      <c r="I129" s="88" t="str">
        <f>VLOOKUP(A129,Base!A:B,2,0)</f>
        <v>06.940.813-3</v>
      </c>
      <c r="J129" s="99" t="str">
        <f>VLOOKUP(A129,Base!A:F,6,0)</f>
        <v>ISAIAS  PLAZA  ALFARO</v>
      </c>
      <c r="K129" s="89" t="str">
        <f>IFERROR(IF(VLOOKUP(I129,Ingreso!K:P,6,0)=0,"Sin turtno ing",VLOOKUP(I129,Ingreso!K:P,6,0)),IF(F129&gt;0.25,IF(F129&lt;0.311805555555556,"Turno A",IF(F129&gt;0.3125,IF(F129&lt;0.354166666666667,"Turno C",IF(F129&gt;0.583333333333333,IF(F129&lt;0.625,"Turno B",IF(F129&gt;0.625694444444444,IF(F129&lt;0.8125,"Turno A",IF(F129&gt;0.875,IF(F129&lt;0.936805555555556,"Turno C",IF(F129&gt;0.9375,IF(F129&lt;0.979166666666667,"Turno B",""),"")),"")),"")),"")),"")),""))</f>
        <v>Turno A</v>
      </c>
      <c r="L129" s="91">
        <f t="shared" si="1"/>
        <v>0.3125</v>
      </c>
    </row>
    <row r="130" spans="1:12" s="40" customFormat="1">
      <c r="A130">
        <v>6940813</v>
      </c>
      <c r="B130" t="s">
        <v>816</v>
      </c>
      <c r="C130" t="s">
        <v>814</v>
      </c>
      <c r="D130" t="s">
        <v>815</v>
      </c>
      <c r="E130" t="s">
        <v>1439</v>
      </c>
      <c r="F130" s="78">
        <v>0.65921296296296295</v>
      </c>
      <c r="G130" t="s">
        <v>1406</v>
      </c>
      <c r="H130" t="s">
        <v>1336</v>
      </c>
      <c r="I130" s="88" t="str">
        <f>VLOOKUP(A130,Base!A:B,2,0)</f>
        <v>06.940.813-3</v>
      </c>
      <c r="J130" s="99" t="str">
        <f>VLOOKUP(A130,Base!A:F,6,0)</f>
        <v>ISAIAS  PLAZA  ALFARO</v>
      </c>
      <c r="K130" s="89" t="str">
        <f>IFERROR(IF(VLOOKUP(I130,Ingreso!K:P,6,0)=0,"Sin turtno ing",VLOOKUP(I130,Ingreso!K:P,6,0)),IF(F130&gt;0.25,IF(F130&lt;0.311805555555556,"Turno A",IF(F130&gt;0.3125,IF(F130&lt;0.354166666666667,"Turno C",IF(F130&gt;0.583333333333333,IF(F130&lt;0.625,"Turno B",IF(F130&gt;0.625694444444444,IF(F130&lt;0.8125,"Turno A",IF(F130&gt;0.875,IF(F130&lt;0.936805555555556,"Turno C",IF(F130&gt;0.9375,IF(F130&lt;0.979166666666667,"Turno B",""),"")),"")),"")),"")),"")),""))</f>
        <v>Turno A</v>
      </c>
      <c r="L130" s="91">
        <f t="shared" si="1"/>
        <v>0.3125</v>
      </c>
    </row>
    <row r="131" spans="1:12" s="40" customFormat="1">
      <c r="A131">
        <v>6940813</v>
      </c>
      <c r="B131" t="s">
        <v>816</v>
      </c>
      <c r="C131" t="s">
        <v>814</v>
      </c>
      <c r="D131" t="s">
        <v>815</v>
      </c>
      <c r="E131" t="s">
        <v>1439</v>
      </c>
      <c r="F131" s="78">
        <v>0.29348379629629628</v>
      </c>
      <c r="G131" t="s">
        <v>1405</v>
      </c>
      <c r="H131" t="s">
        <v>1335</v>
      </c>
      <c r="I131" s="88" t="str">
        <f>VLOOKUP(A131,Base!A:B,2,0)</f>
        <v>06.940.813-3</v>
      </c>
      <c r="J131" s="99" t="str">
        <f>VLOOKUP(A131,Base!A:F,6,0)</f>
        <v>ISAIAS  PLAZA  ALFARO</v>
      </c>
      <c r="K131" s="89" t="str">
        <f>IFERROR(IF(VLOOKUP(I131,Ingreso!K:P,6,0)=0,"Sin turtno ing",VLOOKUP(I131,Ingreso!K:P,6,0)),IF(F131&gt;0.25,IF(F131&lt;0.311805555555556,"Turno A",IF(F131&gt;0.3125,IF(F131&lt;0.354166666666667,"Turno C",IF(F131&gt;0.583333333333333,IF(F131&lt;0.625,"Turno B",IF(F131&gt;0.625694444444444,IF(F131&lt;0.8125,"Turno A",IF(F131&gt;0.875,IF(F131&lt;0.936805555555556,"Turno C",IF(F131&gt;0.9375,IF(F131&lt;0.979166666666667,"Turno B",""),"")),"")),"")),"")),"")),""))</f>
        <v>Turno A</v>
      </c>
      <c r="L131" s="91">
        <f t="shared" ref="L131:L194" si="2">VLOOKUP(K131,$S$3:$T$7,2,0)</f>
        <v>0.3125</v>
      </c>
    </row>
    <row r="132" spans="1:12" s="40" customFormat="1">
      <c r="A132">
        <v>7009784</v>
      </c>
      <c r="B132" t="s">
        <v>956</v>
      </c>
      <c r="C132" t="s">
        <v>791</v>
      </c>
      <c r="D132" t="s">
        <v>955</v>
      </c>
      <c r="E132" t="s">
        <v>1440</v>
      </c>
      <c r="F132" s="78">
        <v>0.31381944444444443</v>
      </c>
      <c r="G132" t="s">
        <v>1406</v>
      </c>
      <c r="H132" t="s">
        <v>1336</v>
      </c>
      <c r="I132" s="88" t="str">
        <f>VLOOKUP(A132,Base!A:B,2,0)</f>
        <v>07.009.784-2</v>
      </c>
      <c r="J132" s="99" t="str">
        <f>VLOOKUP(A132,Base!A:F,6,0)</f>
        <v>HECTOR ENRIQUE  SALAZAR  VIDELA</v>
      </c>
      <c r="K132" s="89" t="str">
        <f>IFERROR(IF(VLOOKUP(I132,Ingreso!K:P,6,0)=0,"Sin turtno ing",VLOOKUP(I132,Ingreso!K:P,6,0)),IF(F132&gt;0.25,IF(F132&lt;0.311805555555556,"Turno A",IF(F132&gt;0.3125,IF(F132&lt;0.354166666666667,"Turno C",IF(F132&gt;0.583333333333333,IF(F132&lt;0.625,"Turno B",IF(F132&gt;0.625694444444444,IF(F132&lt;0.8125,"Turno A",IF(F132&gt;0.875,IF(F132&lt;0.936805555555556,"Turno C",IF(F132&gt;0.9375,IF(F132&lt;0.979166666666667,"Turno B",""),"")),"")),"")),"")),"")),""))</f>
        <v>Turno C</v>
      </c>
      <c r="L132" s="91">
        <f t="shared" si="2"/>
        <v>0.375</v>
      </c>
    </row>
    <row r="133" spans="1:12" s="40" customFormat="1">
      <c r="A133">
        <v>7009784</v>
      </c>
      <c r="B133" t="s">
        <v>956</v>
      </c>
      <c r="C133" t="s">
        <v>791</v>
      </c>
      <c r="D133" t="s">
        <v>955</v>
      </c>
      <c r="E133" t="s">
        <v>1440</v>
      </c>
      <c r="F133" s="78">
        <v>0.92090277777777774</v>
      </c>
      <c r="G133" t="s">
        <v>1405</v>
      </c>
      <c r="H133" t="s">
        <v>1335</v>
      </c>
      <c r="I133" s="88" t="str">
        <f>VLOOKUP(A133,Base!A:B,2,0)</f>
        <v>07.009.784-2</v>
      </c>
      <c r="J133" s="99" t="str">
        <f>VLOOKUP(A133,Base!A:F,6,0)</f>
        <v>HECTOR ENRIQUE  SALAZAR  VIDELA</v>
      </c>
      <c r="K133" s="89" t="str">
        <f>IFERROR(IF(VLOOKUP(I133,Ingreso!K:P,6,0)=0,"Sin turtno ing",VLOOKUP(I133,Ingreso!K:P,6,0)),IF(F133&gt;0.25,IF(F133&lt;0.311805555555556,"Turno A",IF(F133&gt;0.3125,IF(F133&lt;0.354166666666667,"Turno C",IF(F133&gt;0.583333333333333,IF(F133&lt;0.625,"Turno B",IF(F133&gt;0.625694444444444,IF(F133&lt;0.8125,"Turno A",IF(F133&gt;0.875,IF(F133&lt;0.936805555555556,"Turno C",IF(F133&gt;0.9375,IF(F133&lt;0.979166666666667,"Turno B",""),"")),"")),"")),"")),"")),""))</f>
        <v>Turno C</v>
      </c>
      <c r="L133" s="91">
        <f t="shared" si="2"/>
        <v>0.375</v>
      </c>
    </row>
    <row r="134" spans="1:12" s="40" customFormat="1">
      <c r="A134">
        <v>7009784</v>
      </c>
      <c r="B134" t="s">
        <v>956</v>
      </c>
      <c r="C134" t="s">
        <v>791</v>
      </c>
      <c r="D134" t="s">
        <v>955</v>
      </c>
      <c r="E134" t="s">
        <v>1441</v>
      </c>
      <c r="F134" s="78">
        <v>0.31274305555555554</v>
      </c>
      <c r="G134" t="s">
        <v>1406</v>
      </c>
      <c r="H134" t="s">
        <v>1336</v>
      </c>
      <c r="I134" s="88" t="str">
        <f>VLOOKUP(A134,Base!A:B,2,0)</f>
        <v>07.009.784-2</v>
      </c>
      <c r="J134" s="99" t="str">
        <f>VLOOKUP(A134,Base!A:F,6,0)</f>
        <v>HECTOR ENRIQUE  SALAZAR  VIDELA</v>
      </c>
      <c r="K134" s="89" t="str">
        <f>IFERROR(IF(VLOOKUP(I134,Ingreso!K:P,6,0)=0,"Sin turtno ing",VLOOKUP(I134,Ingreso!K:P,6,0)),IF(F134&gt;0.25,IF(F134&lt;0.311805555555556,"Turno A",IF(F134&gt;0.3125,IF(F134&lt;0.354166666666667,"Turno C",IF(F134&gt;0.583333333333333,IF(F134&lt;0.625,"Turno B",IF(F134&gt;0.625694444444444,IF(F134&lt;0.8125,"Turno A",IF(F134&gt;0.875,IF(F134&lt;0.936805555555556,"Turno C",IF(F134&gt;0.9375,IF(F134&lt;0.979166666666667,"Turno B",""),"")),"")),"")),"")),"")),""))</f>
        <v>Turno C</v>
      </c>
      <c r="L134" s="91">
        <f t="shared" si="2"/>
        <v>0.375</v>
      </c>
    </row>
    <row r="135" spans="1:12" s="40" customFormat="1">
      <c r="A135">
        <v>7009784</v>
      </c>
      <c r="B135" t="s">
        <v>956</v>
      </c>
      <c r="C135" t="s">
        <v>791</v>
      </c>
      <c r="D135" t="s">
        <v>955</v>
      </c>
      <c r="E135" t="s">
        <v>1437</v>
      </c>
      <c r="F135" s="78">
        <v>0.91831018518518526</v>
      </c>
      <c r="G135" t="s">
        <v>1405</v>
      </c>
      <c r="H135" t="s">
        <v>1335</v>
      </c>
      <c r="I135" s="88" t="str">
        <f>VLOOKUP(A135,Base!A:B,2,0)</f>
        <v>07.009.784-2</v>
      </c>
      <c r="J135" s="99" t="str">
        <f>VLOOKUP(A135,Base!A:F,6,0)</f>
        <v>HECTOR ENRIQUE  SALAZAR  VIDELA</v>
      </c>
      <c r="K135" s="89" t="str">
        <f>IFERROR(IF(VLOOKUP(I135,Ingreso!K:P,6,0)=0,"Sin turtno ing",VLOOKUP(I135,Ingreso!K:P,6,0)),IF(F135&gt;0.25,IF(F135&lt;0.311805555555556,"Turno A",IF(F135&gt;0.3125,IF(F135&lt;0.354166666666667,"Turno C",IF(F135&gt;0.583333333333333,IF(F135&lt;0.625,"Turno B",IF(F135&gt;0.625694444444444,IF(F135&lt;0.8125,"Turno A",IF(F135&gt;0.875,IF(F135&lt;0.936805555555556,"Turno C",IF(F135&gt;0.9375,IF(F135&lt;0.979166666666667,"Turno B",""),"")),"")),"")),"")),"")),""))</f>
        <v>Turno C</v>
      </c>
      <c r="L135" s="91">
        <f t="shared" si="2"/>
        <v>0.375</v>
      </c>
    </row>
    <row r="136" spans="1:12" s="40" customFormat="1">
      <c r="A136">
        <v>7009784</v>
      </c>
      <c r="B136" t="s">
        <v>956</v>
      </c>
      <c r="C136" t="s">
        <v>791</v>
      </c>
      <c r="D136" t="s">
        <v>955</v>
      </c>
      <c r="E136" t="s">
        <v>1438</v>
      </c>
      <c r="F136" s="78">
        <v>0.31664351851851852</v>
      </c>
      <c r="G136" t="s">
        <v>1406</v>
      </c>
      <c r="H136" t="s">
        <v>1336</v>
      </c>
      <c r="I136" s="88" t="str">
        <f>VLOOKUP(A136,Base!A:B,2,0)</f>
        <v>07.009.784-2</v>
      </c>
      <c r="J136" s="99" t="str">
        <f>VLOOKUP(A136,Base!A:F,6,0)</f>
        <v>HECTOR ENRIQUE  SALAZAR  VIDELA</v>
      </c>
      <c r="K136" s="89" t="str">
        <f>IFERROR(IF(VLOOKUP(I136,Ingreso!K:P,6,0)=0,"Sin turtno ing",VLOOKUP(I136,Ingreso!K:P,6,0)),IF(F136&gt;0.25,IF(F136&lt;0.311805555555556,"Turno A",IF(F136&gt;0.3125,IF(F136&lt;0.354166666666667,"Turno C",IF(F136&gt;0.583333333333333,IF(F136&lt;0.625,"Turno B",IF(F136&gt;0.625694444444444,IF(F136&lt;0.8125,"Turno A",IF(F136&gt;0.875,IF(F136&lt;0.936805555555556,"Turno C",IF(F136&gt;0.9375,IF(F136&lt;0.979166666666667,"Turno B",""),"")),"")),"")),"")),"")),""))</f>
        <v>Turno C</v>
      </c>
      <c r="L136" s="91">
        <f t="shared" si="2"/>
        <v>0.375</v>
      </c>
    </row>
    <row r="137" spans="1:12" s="40" customFormat="1">
      <c r="A137">
        <v>7009784</v>
      </c>
      <c r="B137" t="s">
        <v>956</v>
      </c>
      <c r="C137" t="s">
        <v>791</v>
      </c>
      <c r="D137" t="s">
        <v>955</v>
      </c>
      <c r="E137" t="s">
        <v>1438</v>
      </c>
      <c r="F137" s="78">
        <v>0.92049768518518515</v>
      </c>
      <c r="G137" t="s">
        <v>1405</v>
      </c>
      <c r="H137" t="s">
        <v>1335</v>
      </c>
      <c r="I137" s="88" t="str">
        <f>VLOOKUP(A137,Base!A:B,2,0)</f>
        <v>07.009.784-2</v>
      </c>
      <c r="J137" s="99" t="str">
        <f>VLOOKUP(A137,Base!A:F,6,0)</f>
        <v>HECTOR ENRIQUE  SALAZAR  VIDELA</v>
      </c>
      <c r="K137" s="89" t="str">
        <f>IFERROR(IF(VLOOKUP(I137,Ingreso!K:P,6,0)=0,"Sin turtno ing",VLOOKUP(I137,Ingreso!K:P,6,0)),IF(F137&gt;0.25,IF(F137&lt;0.311805555555556,"Turno A",IF(F137&gt;0.3125,IF(F137&lt;0.354166666666667,"Turno C",IF(F137&gt;0.583333333333333,IF(F137&lt;0.625,"Turno B",IF(F137&gt;0.625694444444444,IF(F137&lt;0.8125,"Turno A",IF(F137&gt;0.875,IF(F137&lt;0.936805555555556,"Turno C",IF(F137&gt;0.9375,IF(F137&lt;0.979166666666667,"Turno B",""),"")),"")),"")),"")),"")),""))</f>
        <v>Turno C</v>
      </c>
      <c r="L137" s="91">
        <f t="shared" si="2"/>
        <v>0.375</v>
      </c>
    </row>
    <row r="138" spans="1:12" s="40" customFormat="1">
      <c r="A138">
        <v>7009784</v>
      </c>
      <c r="B138" t="s">
        <v>956</v>
      </c>
      <c r="C138" t="s">
        <v>791</v>
      </c>
      <c r="D138" t="s">
        <v>955</v>
      </c>
      <c r="E138" t="s">
        <v>1439</v>
      </c>
      <c r="F138" s="78">
        <v>0.31468750000000001</v>
      </c>
      <c r="G138" t="s">
        <v>1406</v>
      </c>
      <c r="H138" t="s">
        <v>1336</v>
      </c>
      <c r="I138" s="88" t="str">
        <f>VLOOKUP(A138,Base!A:B,2,0)</f>
        <v>07.009.784-2</v>
      </c>
      <c r="J138" s="99" t="str">
        <f>VLOOKUP(A138,Base!A:F,6,0)</f>
        <v>HECTOR ENRIQUE  SALAZAR  VIDELA</v>
      </c>
      <c r="K138" s="89" t="str">
        <f>IFERROR(IF(VLOOKUP(I138,Ingreso!K:P,6,0)=0,"Sin turtno ing",VLOOKUP(I138,Ingreso!K:P,6,0)),IF(F138&gt;0.25,IF(F138&lt;0.311805555555556,"Turno A",IF(F138&gt;0.3125,IF(F138&lt;0.354166666666667,"Turno C",IF(F138&gt;0.583333333333333,IF(F138&lt;0.625,"Turno B",IF(F138&gt;0.625694444444444,IF(F138&lt;0.8125,"Turno A",IF(F138&gt;0.875,IF(F138&lt;0.936805555555556,"Turno C",IF(F138&gt;0.9375,IF(F138&lt;0.979166666666667,"Turno B",""),"")),"")),"")),"")),"")),""))</f>
        <v>Turno C</v>
      </c>
      <c r="L138" s="91">
        <f t="shared" si="2"/>
        <v>0.375</v>
      </c>
    </row>
    <row r="139" spans="1:12" s="40" customFormat="1">
      <c r="A139">
        <v>7009784</v>
      </c>
      <c r="B139" t="s">
        <v>956</v>
      </c>
      <c r="C139" t="s">
        <v>791</v>
      </c>
      <c r="D139" t="s">
        <v>955</v>
      </c>
      <c r="E139" t="s">
        <v>1439</v>
      </c>
      <c r="F139" s="78">
        <v>0.91895833333333332</v>
      </c>
      <c r="G139" t="s">
        <v>1405</v>
      </c>
      <c r="H139" t="s">
        <v>1335</v>
      </c>
      <c r="I139" s="88" t="str">
        <f>VLOOKUP(A139,Base!A:B,2,0)</f>
        <v>07.009.784-2</v>
      </c>
      <c r="J139" s="99" t="str">
        <f>VLOOKUP(A139,Base!A:F,6,0)</f>
        <v>HECTOR ENRIQUE  SALAZAR  VIDELA</v>
      </c>
      <c r="K139" s="89" t="str">
        <f>IFERROR(IF(VLOOKUP(I139,Ingreso!K:P,6,0)=0,"Sin turtno ing",VLOOKUP(I139,Ingreso!K:P,6,0)),IF(F139&gt;0.25,IF(F139&lt;0.311805555555556,"Turno A",IF(F139&gt;0.3125,IF(F139&lt;0.354166666666667,"Turno C",IF(F139&gt;0.583333333333333,IF(F139&lt;0.625,"Turno B",IF(F139&gt;0.625694444444444,IF(F139&lt;0.8125,"Turno A",IF(F139&gt;0.875,IF(F139&lt;0.936805555555556,"Turno C",IF(F139&gt;0.9375,IF(F139&lt;0.979166666666667,"Turno B",""),"")),"")),"")),"")),"")),""))</f>
        <v>Turno C</v>
      </c>
      <c r="L139" s="91">
        <f t="shared" si="2"/>
        <v>0.375</v>
      </c>
    </row>
    <row r="140" spans="1:12" s="40" customFormat="1">
      <c r="A140">
        <v>7023216</v>
      </c>
      <c r="B140" t="s">
        <v>399</v>
      </c>
      <c r="C140" t="s">
        <v>397</v>
      </c>
      <c r="D140" t="s">
        <v>398</v>
      </c>
      <c r="E140" t="s">
        <v>1440</v>
      </c>
      <c r="F140" s="78">
        <v>0.64005787037037043</v>
      </c>
      <c r="G140" t="s">
        <v>1406</v>
      </c>
      <c r="H140" t="s">
        <v>1336</v>
      </c>
      <c r="I140" s="88" t="str">
        <f>VLOOKUP(A140,Base!A:B,2,0)</f>
        <v>07.023.216-2</v>
      </c>
      <c r="J140" s="99" t="str">
        <f>VLOOKUP(A140,Base!A:F,6,0)</f>
        <v>FIDEL  FUENZALIDA  ADASME</v>
      </c>
      <c r="K140" s="89" t="str">
        <f>IFERROR(IF(VLOOKUP(I140,Ingreso!K:P,6,0)=0,"Sin turtno ing",VLOOKUP(I140,Ingreso!K:P,6,0)),IF(F140&gt;0.25,IF(F140&lt;0.311805555555556,"Turno A",IF(F140&gt;0.3125,IF(F140&lt;0.354166666666667,"Turno C",IF(F140&gt;0.583333333333333,IF(F140&lt;0.625,"Turno B",IF(F140&gt;0.625694444444444,IF(F140&lt;0.8125,"Turno A",IF(F140&gt;0.875,IF(F140&lt;0.936805555555556,"Turno C",IF(F140&gt;0.9375,IF(F140&lt;0.979166666666667,"Turno B",""),"")),"")),"")),"")),"")),""))</f>
        <v>Turno A</v>
      </c>
      <c r="L140" s="91">
        <f t="shared" si="2"/>
        <v>0.3125</v>
      </c>
    </row>
    <row r="141" spans="1:12" s="40" customFormat="1">
      <c r="A141">
        <v>7023216</v>
      </c>
      <c r="B141" t="s">
        <v>399</v>
      </c>
      <c r="C141" t="s">
        <v>397</v>
      </c>
      <c r="D141" t="s">
        <v>398</v>
      </c>
      <c r="E141" t="s">
        <v>1440</v>
      </c>
      <c r="F141" s="78">
        <v>0.29428240740740741</v>
      </c>
      <c r="G141" t="s">
        <v>1405</v>
      </c>
      <c r="H141" t="s">
        <v>1335</v>
      </c>
      <c r="I141" s="88" t="str">
        <f>VLOOKUP(A141,Base!A:B,2,0)</f>
        <v>07.023.216-2</v>
      </c>
      <c r="J141" s="99" t="str">
        <f>VLOOKUP(A141,Base!A:F,6,0)</f>
        <v>FIDEL  FUENZALIDA  ADASME</v>
      </c>
      <c r="K141" s="89" t="str">
        <f>IFERROR(IF(VLOOKUP(I141,Ingreso!K:P,6,0)=0,"Sin turtno ing",VLOOKUP(I141,Ingreso!K:P,6,0)),IF(F141&gt;0.25,IF(F141&lt;0.311805555555556,"Turno A",IF(F141&gt;0.3125,IF(F141&lt;0.354166666666667,"Turno C",IF(F141&gt;0.583333333333333,IF(F141&lt;0.625,"Turno B",IF(F141&gt;0.625694444444444,IF(F141&lt;0.8125,"Turno A",IF(F141&gt;0.875,IF(F141&lt;0.936805555555556,"Turno C",IF(F141&gt;0.9375,IF(F141&lt;0.979166666666667,"Turno B",""),"")),"")),"")),"")),"")),""))</f>
        <v>Turno A</v>
      </c>
      <c r="L141" s="91">
        <f t="shared" si="2"/>
        <v>0.3125</v>
      </c>
    </row>
    <row r="142" spans="1:12" s="40" customFormat="1">
      <c r="A142">
        <v>7023216</v>
      </c>
      <c r="B142" t="s">
        <v>399</v>
      </c>
      <c r="C142" t="s">
        <v>397</v>
      </c>
      <c r="D142" t="s">
        <v>398</v>
      </c>
      <c r="E142" t="s">
        <v>1441</v>
      </c>
      <c r="F142" s="78">
        <v>0.64035879629629633</v>
      </c>
      <c r="G142" t="s">
        <v>1406</v>
      </c>
      <c r="H142" t="s">
        <v>1336</v>
      </c>
      <c r="I142" s="88" t="str">
        <f>VLOOKUP(A142,Base!A:B,2,0)</f>
        <v>07.023.216-2</v>
      </c>
      <c r="J142" s="99" t="str">
        <f>VLOOKUP(A142,Base!A:F,6,0)</f>
        <v>FIDEL  FUENZALIDA  ADASME</v>
      </c>
      <c r="K142" s="89" t="str">
        <f>IFERROR(IF(VLOOKUP(I142,Ingreso!K:P,6,0)=0,"Sin turtno ing",VLOOKUP(I142,Ingreso!K:P,6,0)),IF(F142&gt;0.25,IF(F142&lt;0.311805555555556,"Turno A",IF(F142&gt;0.3125,IF(F142&lt;0.354166666666667,"Turno C",IF(F142&gt;0.583333333333333,IF(F142&lt;0.625,"Turno B",IF(F142&gt;0.625694444444444,IF(F142&lt;0.8125,"Turno A",IF(F142&gt;0.875,IF(F142&lt;0.936805555555556,"Turno C",IF(F142&gt;0.9375,IF(F142&lt;0.979166666666667,"Turno B",""),"")),"")),"")),"")),"")),""))</f>
        <v>Turno A</v>
      </c>
      <c r="L142" s="91">
        <f t="shared" si="2"/>
        <v>0.3125</v>
      </c>
    </row>
    <row r="143" spans="1:12" s="40" customFormat="1">
      <c r="A143">
        <v>7023216</v>
      </c>
      <c r="B143" t="s">
        <v>399</v>
      </c>
      <c r="C143" t="s">
        <v>397</v>
      </c>
      <c r="D143" t="s">
        <v>398</v>
      </c>
      <c r="E143" t="s">
        <v>1441</v>
      </c>
      <c r="F143" s="78">
        <v>0.29378472222222224</v>
      </c>
      <c r="G143" t="s">
        <v>1405</v>
      </c>
      <c r="H143" t="s">
        <v>1335</v>
      </c>
      <c r="I143" s="88" t="str">
        <f>VLOOKUP(A143,Base!A:B,2,0)</f>
        <v>07.023.216-2</v>
      </c>
      <c r="J143" s="99" t="str">
        <f>VLOOKUP(A143,Base!A:F,6,0)</f>
        <v>FIDEL  FUENZALIDA  ADASME</v>
      </c>
      <c r="K143" s="89" t="str">
        <f>IFERROR(IF(VLOOKUP(I143,Ingreso!K:P,6,0)=0,"Sin turtno ing",VLOOKUP(I143,Ingreso!K:P,6,0)),IF(F143&gt;0.25,IF(F143&lt;0.311805555555556,"Turno A",IF(F143&gt;0.3125,IF(F143&lt;0.354166666666667,"Turno C",IF(F143&gt;0.583333333333333,IF(F143&lt;0.625,"Turno B",IF(F143&gt;0.625694444444444,IF(F143&lt;0.8125,"Turno A",IF(F143&gt;0.875,IF(F143&lt;0.936805555555556,"Turno C",IF(F143&gt;0.9375,IF(F143&lt;0.979166666666667,"Turno B",""),"")),"")),"")),"")),"")),""))</f>
        <v>Turno A</v>
      </c>
      <c r="L143" s="91">
        <f t="shared" si="2"/>
        <v>0.3125</v>
      </c>
    </row>
    <row r="144" spans="1:12" s="40" customFormat="1">
      <c r="A144">
        <v>7023216</v>
      </c>
      <c r="B144" t="s">
        <v>399</v>
      </c>
      <c r="C144" t="s">
        <v>397</v>
      </c>
      <c r="D144" t="s">
        <v>398</v>
      </c>
      <c r="E144" t="s">
        <v>1437</v>
      </c>
      <c r="F144" s="78">
        <v>0.63696759259259261</v>
      </c>
      <c r="G144" t="s">
        <v>1406</v>
      </c>
      <c r="H144" t="s">
        <v>1336</v>
      </c>
      <c r="I144" s="88" t="str">
        <f>VLOOKUP(A144,Base!A:B,2,0)</f>
        <v>07.023.216-2</v>
      </c>
      <c r="J144" s="99" t="str">
        <f>VLOOKUP(A144,Base!A:F,6,0)</f>
        <v>FIDEL  FUENZALIDA  ADASME</v>
      </c>
      <c r="K144" s="89" t="str">
        <f>IFERROR(IF(VLOOKUP(I144,Ingreso!K:P,6,0)=0,"Sin turtno ing",VLOOKUP(I144,Ingreso!K:P,6,0)),IF(F144&gt;0.25,IF(F144&lt;0.311805555555556,"Turno A",IF(F144&gt;0.3125,IF(F144&lt;0.354166666666667,"Turno C",IF(F144&gt;0.583333333333333,IF(F144&lt;0.625,"Turno B",IF(F144&gt;0.625694444444444,IF(F144&lt;0.8125,"Turno A",IF(F144&gt;0.875,IF(F144&lt;0.936805555555556,"Turno C",IF(F144&gt;0.9375,IF(F144&lt;0.979166666666667,"Turno B",""),"")),"")),"")),"")),"")),""))</f>
        <v>Turno A</v>
      </c>
      <c r="L144" s="91">
        <f t="shared" si="2"/>
        <v>0.3125</v>
      </c>
    </row>
    <row r="145" spans="1:12" s="40" customFormat="1">
      <c r="A145">
        <v>7023216</v>
      </c>
      <c r="B145" t="s">
        <v>399</v>
      </c>
      <c r="C145" t="s">
        <v>397</v>
      </c>
      <c r="D145" t="s">
        <v>398</v>
      </c>
      <c r="E145" t="s">
        <v>1437</v>
      </c>
      <c r="F145" s="78">
        <v>0.2951273148148148</v>
      </c>
      <c r="G145" t="s">
        <v>1405</v>
      </c>
      <c r="H145" t="s">
        <v>1335</v>
      </c>
      <c r="I145" s="88" t="str">
        <f>VLOOKUP(A145,Base!A:B,2,0)</f>
        <v>07.023.216-2</v>
      </c>
      <c r="J145" s="99" t="str">
        <f>VLOOKUP(A145,Base!A:F,6,0)</f>
        <v>FIDEL  FUENZALIDA  ADASME</v>
      </c>
      <c r="K145" s="89" t="str">
        <f>IFERROR(IF(VLOOKUP(I145,Ingreso!K:P,6,0)=0,"Sin turtno ing",VLOOKUP(I145,Ingreso!K:P,6,0)),IF(F145&gt;0.25,IF(F145&lt;0.311805555555556,"Turno A",IF(F145&gt;0.3125,IF(F145&lt;0.354166666666667,"Turno C",IF(F145&gt;0.583333333333333,IF(F145&lt;0.625,"Turno B",IF(F145&gt;0.625694444444444,IF(F145&lt;0.8125,"Turno A",IF(F145&gt;0.875,IF(F145&lt;0.936805555555556,"Turno C",IF(F145&gt;0.9375,IF(F145&lt;0.979166666666667,"Turno B",""),"")),"")),"")),"")),"")),""))</f>
        <v>Turno A</v>
      </c>
      <c r="L145" s="91">
        <f t="shared" si="2"/>
        <v>0.3125</v>
      </c>
    </row>
    <row r="146" spans="1:12" s="40" customFormat="1">
      <c r="A146">
        <v>7023216</v>
      </c>
      <c r="B146" t="s">
        <v>399</v>
      </c>
      <c r="C146" t="s">
        <v>397</v>
      </c>
      <c r="D146" t="s">
        <v>398</v>
      </c>
      <c r="E146" t="s">
        <v>1438</v>
      </c>
      <c r="F146" s="78">
        <v>0.63593749999999993</v>
      </c>
      <c r="G146" t="s">
        <v>1406</v>
      </c>
      <c r="H146" t="s">
        <v>1336</v>
      </c>
      <c r="I146" s="88" t="str">
        <f>VLOOKUP(A146,Base!A:B,2,0)</f>
        <v>07.023.216-2</v>
      </c>
      <c r="J146" s="99" t="str">
        <f>VLOOKUP(A146,Base!A:F,6,0)</f>
        <v>FIDEL  FUENZALIDA  ADASME</v>
      </c>
      <c r="K146" s="89" t="str">
        <f>IFERROR(IF(VLOOKUP(I146,Ingreso!K:P,6,0)=0,"Sin turtno ing",VLOOKUP(I146,Ingreso!K:P,6,0)),IF(F146&gt;0.25,IF(F146&lt;0.311805555555556,"Turno A",IF(F146&gt;0.3125,IF(F146&lt;0.354166666666667,"Turno C",IF(F146&gt;0.583333333333333,IF(F146&lt;0.625,"Turno B",IF(F146&gt;0.625694444444444,IF(F146&lt;0.8125,"Turno A",IF(F146&gt;0.875,IF(F146&lt;0.936805555555556,"Turno C",IF(F146&gt;0.9375,IF(F146&lt;0.979166666666667,"Turno B",""),"")),"")),"")),"")),"")),""))</f>
        <v>Turno A</v>
      </c>
      <c r="L146" s="91">
        <f t="shared" si="2"/>
        <v>0.3125</v>
      </c>
    </row>
    <row r="147" spans="1:12" s="40" customFormat="1">
      <c r="A147">
        <v>7023216</v>
      </c>
      <c r="B147" t="s">
        <v>399</v>
      </c>
      <c r="C147" t="s">
        <v>397</v>
      </c>
      <c r="D147" t="s">
        <v>398</v>
      </c>
      <c r="E147" t="s">
        <v>1438</v>
      </c>
      <c r="F147" s="78">
        <v>0.2950578703703704</v>
      </c>
      <c r="G147" t="s">
        <v>1405</v>
      </c>
      <c r="H147" t="s">
        <v>1335</v>
      </c>
      <c r="I147" s="88" t="str">
        <f>VLOOKUP(A147,Base!A:B,2,0)</f>
        <v>07.023.216-2</v>
      </c>
      <c r="J147" s="99" t="str">
        <f>VLOOKUP(A147,Base!A:F,6,0)</f>
        <v>FIDEL  FUENZALIDA  ADASME</v>
      </c>
      <c r="K147" s="89" t="str">
        <f>IFERROR(IF(VLOOKUP(I147,Ingreso!K:P,6,0)=0,"Sin turtno ing",VLOOKUP(I147,Ingreso!K:P,6,0)),IF(F147&gt;0.25,IF(F147&lt;0.311805555555556,"Turno A",IF(F147&gt;0.3125,IF(F147&lt;0.354166666666667,"Turno C",IF(F147&gt;0.583333333333333,IF(F147&lt;0.625,"Turno B",IF(F147&gt;0.625694444444444,IF(F147&lt;0.8125,"Turno A",IF(F147&gt;0.875,IF(F147&lt;0.936805555555556,"Turno C",IF(F147&gt;0.9375,IF(F147&lt;0.979166666666667,"Turno B",""),"")),"")),"")),"")),"")),""))</f>
        <v>Turno A</v>
      </c>
      <c r="L147" s="91">
        <f t="shared" si="2"/>
        <v>0.3125</v>
      </c>
    </row>
    <row r="148" spans="1:12" s="40" customFormat="1">
      <c r="A148">
        <v>7023216</v>
      </c>
      <c r="B148" t="s">
        <v>399</v>
      </c>
      <c r="C148" t="s">
        <v>397</v>
      </c>
      <c r="D148" t="s">
        <v>398</v>
      </c>
      <c r="E148" t="s">
        <v>1439</v>
      </c>
      <c r="F148" s="78">
        <v>0.63797453703703699</v>
      </c>
      <c r="G148" t="s">
        <v>1406</v>
      </c>
      <c r="H148" t="s">
        <v>1336</v>
      </c>
      <c r="I148" s="88" t="str">
        <f>VLOOKUP(A148,Base!A:B,2,0)</f>
        <v>07.023.216-2</v>
      </c>
      <c r="J148" s="99" t="str">
        <f>VLOOKUP(A148,Base!A:F,6,0)</f>
        <v>FIDEL  FUENZALIDA  ADASME</v>
      </c>
      <c r="K148" s="89" t="str">
        <f>IFERROR(IF(VLOOKUP(I148,Ingreso!K:P,6,0)=0,"Sin turtno ing",VLOOKUP(I148,Ingreso!K:P,6,0)),IF(F148&gt;0.25,IF(F148&lt;0.311805555555556,"Turno A",IF(F148&gt;0.3125,IF(F148&lt;0.354166666666667,"Turno C",IF(F148&gt;0.583333333333333,IF(F148&lt;0.625,"Turno B",IF(F148&gt;0.625694444444444,IF(F148&lt;0.8125,"Turno A",IF(F148&gt;0.875,IF(F148&lt;0.936805555555556,"Turno C",IF(F148&gt;0.9375,IF(F148&lt;0.979166666666667,"Turno B",""),"")),"")),"")),"")),"")),""))</f>
        <v>Turno A</v>
      </c>
      <c r="L148" s="91">
        <f t="shared" si="2"/>
        <v>0.3125</v>
      </c>
    </row>
    <row r="149" spans="1:12" s="40" customFormat="1">
      <c r="A149">
        <v>7023216</v>
      </c>
      <c r="B149" t="s">
        <v>399</v>
      </c>
      <c r="C149" t="s">
        <v>397</v>
      </c>
      <c r="D149" t="s">
        <v>398</v>
      </c>
      <c r="E149" t="s">
        <v>1439</v>
      </c>
      <c r="F149" s="78">
        <v>0.29378472222222224</v>
      </c>
      <c r="G149" t="s">
        <v>1405</v>
      </c>
      <c r="H149" t="s">
        <v>1335</v>
      </c>
      <c r="I149" s="88" t="str">
        <f>VLOOKUP(A149,Base!A:B,2,0)</f>
        <v>07.023.216-2</v>
      </c>
      <c r="J149" s="99" t="str">
        <f>VLOOKUP(A149,Base!A:F,6,0)</f>
        <v>FIDEL  FUENZALIDA  ADASME</v>
      </c>
      <c r="K149" s="89" t="str">
        <f>IFERROR(IF(VLOOKUP(I149,Ingreso!K:P,6,0)=0,"Sin turtno ing",VLOOKUP(I149,Ingreso!K:P,6,0)),IF(F149&gt;0.25,IF(F149&lt;0.311805555555556,"Turno A",IF(F149&gt;0.3125,IF(F149&lt;0.354166666666667,"Turno C",IF(F149&gt;0.583333333333333,IF(F149&lt;0.625,"Turno B",IF(F149&gt;0.625694444444444,IF(F149&lt;0.8125,"Turno A",IF(F149&gt;0.875,IF(F149&lt;0.936805555555556,"Turno C",IF(F149&gt;0.9375,IF(F149&lt;0.979166666666667,"Turno B",""),"")),"")),"")),"")),"")),""))</f>
        <v>Turno A</v>
      </c>
      <c r="L149" s="91">
        <f t="shared" si="2"/>
        <v>0.3125</v>
      </c>
    </row>
    <row r="150" spans="1:12" s="40" customFormat="1">
      <c r="A150">
        <v>7481602</v>
      </c>
      <c r="B150" t="s">
        <v>701</v>
      </c>
      <c r="C150" t="s">
        <v>687</v>
      </c>
      <c r="D150" t="s">
        <v>700</v>
      </c>
      <c r="E150" t="s">
        <v>1440</v>
      </c>
      <c r="F150" s="78">
        <v>0.63674768518518521</v>
      </c>
      <c r="G150" t="s">
        <v>1406</v>
      </c>
      <c r="H150" t="s">
        <v>1336</v>
      </c>
      <c r="I150" s="88" t="str">
        <f>VLOOKUP(A150,Base!A:B,2,0)</f>
        <v>07.481.602-9</v>
      </c>
      <c r="J150" s="99" t="str">
        <f>VLOOKUP(A150,Base!A:F,6,0)</f>
        <v>JORGE PATRICIO  NARVAI  RIVERA</v>
      </c>
      <c r="K150" s="89" t="str">
        <f>IFERROR(IF(VLOOKUP(I150,Ingreso!K:P,6,0)=0,"Sin turtno ing",VLOOKUP(I150,Ingreso!K:P,6,0)),IF(F150&gt;0.25,IF(F150&lt;0.311805555555556,"Turno A",IF(F150&gt;0.3125,IF(F150&lt;0.354166666666667,"Turno C",IF(F150&gt;0.583333333333333,IF(F150&lt;0.625,"Turno B",IF(F150&gt;0.625694444444444,IF(F150&lt;0.8125,"Turno A",IF(F150&gt;0.875,IF(F150&lt;0.936805555555556,"Turno C",IF(F150&gt;0.9375,IF(F150&lt;0.979166666666667,"Turno B",""),"")),"")),"")),"")),"")),""))</f>
        <v>Turno A</v>
      </c>
      <c r="L150" s="91">
        <f t="shared" si="2"/>
        <v>0.3125</v>
      </c>
    </row>
    <row r="151" spans="1:12" s="40" customFormat="1">
      <c r="A151">
        <v>7481602</v>
      </c>
      <c r="B151" t="s">
        <v>701</v>
      </c>
      <c r="C151" t="s">
        <v>687</v>
      </c>
      <c r="D151" t="s">
        <v>700</v>
      </c>
      <c r="E151" t="s">
        <v>1440</v>
      </c>
      <c r="F151" s="78">
        <v>0.2958912037037037</v>
      </c>
      <c r="G151" t="s">
        <v>1405</v>
      </c>
      <c r="H151" t="s">
        <v>1335</v>
      </c>
      <c r="I151" s="88" t="str">
        <f>VLOOKUP(A151,Base!A:B,2,0)</f>
        <v>07.481.602-9</v>
      </c>
      <c r="J151" s="99" t="str">
        <f>VLOOKUP(A151,Base!A:F,6,0)</f>
        <v>JORGE PATRICIO  NARVAI  RIVERA</v>
      </c>
      <c r="K151" s="89" t="str">
        <f>IFERROR(IF(VLOOKUP(I151,Ingreso!K:P,6,0)=0,"Sin turtno ing",VLOOKUP(I151,Ingreso!K:P,6,0)),IF(F151&gt;0.25,IF(F151&lt;0.311805555555556,"Turno A",IF(F151&gt;0.3125,IF(F151&lt;0.354166666666667,"Turno C",IF(F151&gt;0.583333333333333,IF(F151&lt;0.625,"Turno B",IF(F151&gt;0.625694444444444,IF(F151&lt;0.8125,"Turno A",IF(F151&gt;0.875,IF(F151&lt;0.936805555555556,"Turno C",IF(F151&gt;0.9375,IF(F151&lt;0.979166666666667,"Turno B",""),"")),"")),"")),"")),"")),""))</f>
        <v>Turno A</v>
      </c>
      <c r="L151" s="91">
        <f t="shared" si="2"/>
        <v>0.3125</v>
      </c>
    </row>
    <row r="152" spans="1:12" s="40" customFormat="1">
      <c r="A152">
        <v>7481602</v>
      </c>
      <c r="B152" t="s">
        <v>701</v>
      </c>
      <c r="C152" t="s">
        <v>687</v>
      </c>
      <c r="D152" t="s">
        <v>700</v>
      </c>
      <c r="E152" t="s">
        <v>1441</v>
      </c>
      <c r="F152" s="78">
        <v>0.63850694444444445</v>
      </c>
      <c r="G152" t="s">
        <v>1406</v>
      </c>
      <c r="H152" t="s">
        <v>1336</v>
      </c>
      <c r="I152" s="88" t="str">
        <f>VLOOKUP(A152,Base!A:B,2,0)</f>
        <v>07.481.602-9</v>
      </c>
      <c r="J152" s="99" t="str">
        <f>VLOOKUP(A152,Base!A:F,6,0)</f>
        <v>JORGE PATRICIO  NARVAI  RIVERA</v>
      </c>
      <c r="K152" s="89" t="str">
        <f>IFERROR(IF(VLOOKUP(I152,Ingreso!K:P,6,0)=0,"Sin turtno ing",VLOOKUP(I152,Ingreso!K:P,6,0)),IF(F152&gt;0.25,IF(F152&lt;0.311805555555556,"Turno A",IF(F152&gt;0.3125,IF(F152&lt;0.354166666666667,"Turno C",IF(F152&gt;0.583333333333333,IF(F152&lt;0.625,"Turno B",IF(F152&gt;0.625694444444444,IF(F152&lt;0.8125,"Turno A",IF(F152&gt;0.875,IF(F152&lt;0.936805555555556,"Turno C",IF(F152&gt;0.9375,IF(F152&lt;0.979166666666667,"Turno B",""),"")),"")),"")),"")),"")),""))</f>
        <v>Turno A</v>
      </c>
      <c r="L152" s="91">
        <f t="shared" si="2"/>
        <v>0.3125</v>
      </c>
    </row>
    <row r="153" spans="1:12" s="40" customFormat="1">
      <c r="A153">
        <v>7481602</v>
      </c>
      <c r="B153" t="s">
        <v>701</v>
      </c>
      <c r="C153" t="s">
        <v>687</v>
      </c>
      <c r="D153" t="s">
        <v>700</v>
      </c>
      <c r="E153" t="s">
        <v>1441</v>
      </c>
      <c r="F153" s="78">
        <v>0.29009259259259262</v>
      </c>
      <c r="G153" t="s">
        <v>1405</v>
      </c>
      <c r="H153" t="s">
        <v>1335</v>
      </c>
      <c r="I153" s="88" t="str">
        <f>VLOOKUP(A153,Base!A:B,2,0)</f>
        <v>07.481.602-9</v>
      </c>
      <c r="J153" s="99" t="str">
        <f>VLOOKUP(A153,Base!A:F,6,0)</f>
        <v>JORGE PATRICIO  NARVAI  RIVERA</v>
      </c>
      <c r="K153" s="89" t="str">
        <f>IFERROR(IF(VLOOKUP(I153,Ingreso!K:P,6,0)=0,"Sin turtno ing",VLOOKUP(I153,Ingreso!K:P,6,0)),IF(F153&gt;0.25,IF(F153&lt;0.311805555555556,"Turno A",IF(F153&gt;0.3125,IF(F153&lt;0.354166666666667,"Turno C",IF(F153&gt;0.583333333333333,IF(F153&lt;0.625,"Turno B",IF(F153&gt;0.625694444444444,IF(F153&lt;0.8125,"Turno A",IF(F153&gt;0.875,IF(F153&lt;0.936805555555556,"Turno C",IF(F153&gt;0.9375,IF(F153&lt;0.979166666666667,"Turno B",""),"")),"")),"")),"")),"")),""))</f>
        <v>Turno A</v>
      </c>
      <c r="L153" s="91">
        <f t="shared" si="2"/>
        <v>0.3125</v>
      </c>
    </row>
    <row r="154" spans="1:12" s="40" customFormat="1">
      <c r="A154">
        <v>7481602</v>
      </c>
      <c r="B154" t="s">
        <v>701</v>
      </c>
      <c r="C154" t="s">
        <v>687</v>
      </c>
      <c r="D154" t="s">
        <v>700</v>
      </c>
      <c r="E154" t="s">
        <v>1437</v>
      </c>
      <c r="F154" s="78">
        <v>0.63598379629629631</v>
      </c>
      <c r="G154" t="s">
        <v>1406</v>
      </c>
      <c r="H154" t="s">
        <v>1336</v>
      </c>
      <c r="I154" s="88" t="str">
        <f>VLOOKUP(A154,Base!A:B,2,0)</f>
        <v>07.481.602-9</v>
      </c>
      <c r="J154" s="99" t="str">
        <f>VLOOKUP(A154,Base!A:F,6,0)</f>
        <v>JORGE PATRICIO  NARVAI  RIVERA</v>
      </c>
      <c r="K154" s="89" t="str">
        <f>IFERROR(IF(VLOOKUP(I154,Ingreso!K:P,6,0)=0,"Sin turtno ing",VLOOKUP(I154,Ingreso!K:P,6,0)),IF(F154&gt;0.25,IF(F154&lt;0.311805555555556,"Turno A",IF(F154&gt;0.3125,IF(F154&lt;0.354166666666667,"Turno C",IF(F154&gt;0.583333333333333,IF(F154&lt;0.625,"Turno B",IF(F154&gt;0.625694444444444,IF(F154&lt;0.8125,"Turno A",IF(F154&gt;0.875,IF(F154&lt;0.936805555555556,"Turno C",IF(F154&gt;0.9375,IF(F154&lt;0.979166666666667,"Turno B",""),"")),"")),"")),"")),"")),""))</f>
        <v>Turno A</v>
      </c>
      <c r="L154" s="91">
        <f t="shared" si="2"/>
        <v>0.3125</v>
      </c>
    </row>
    <row r="155" spans="1:12" s="40" customFormat="1">
      <c r="A155">
        <v>7481602</v>
      </c>
      <c r="B155" t="s">
        <v>701</v>
      </c>
      <c r="C155" t="s">
        <v>687</v>
      </c>
      <c r="D155" t="s">
        <v>700</v>
      </c>
      <c r="E155" t="s">
        <v>1437</v>
      </c>
      <c r="F155" s="78">
        <v>0.29101851851851851</v>
      </c>
      <c r="G155" t="s">
        <v>1405</v>
      </c>
      <c r="H155" t="s">
        <v>1335</v>
      </c>
      <c r="I155" s="88" t="str">
        <f>VLOOKUP(A155,Base!A:B,2,0)</f>
        <v>07.481.602-9</v>
      </c>
      <c r="J155" s="99" t="str">
        <f>VLOOKUP(A155,Base!A:F,6,0)</f>
        <v>JORGE PATRICIO  NARVAI  RIVERA</v>
      </c>
      <c r="K155" s="89" t="str">
        <f>IFERROR(IF(VLOOKUP(I155,Ingreso!K:P,6,0)=0,"Sin turtno ing",VLOOKUP(I155,Ingreso!K:P,6,0)),IF(F155&gt;0.25,IF(F155&lt;0.311805555555556,"Turno A",IF(F155&gt;0.3125,IF(F155&lt;0.354166666666667,"Turno C",IF(F155&gt;0.583333333333333,IF(F155&lt;0.625,"Turno B",IF(F155&gt;0.625694444444444,IF(F155&lt;0.8125,"Turno A",IF(F155&gt;0.875,IF(F155&lt;0.936805555555556,"Turno C",IF(F155&gt;0.9375,IF(F155&lt;0.979166666666667,"Turno B",""),"")),"")),"")),"")),"")),""))</f>
        <v>Turno A</v>
      </c>
      <c r="L155" s="91">
        <f t="shared" si="2"/>
        <v>0.3125</v>
      </c>
    </row>
    <row r="156" spans="1:12" s="40" customFormat="1">
      <c r="A156">
        <v>7481602</v>
      </c>
      <c r="B156" t="s">
        <v>701</v>
      </c>
      <c r="C156" t="s">
        <v>687</v>
      </c>
      <c r="D156" t="s">
        <v>700</v>
      </c>
      <c r="E156" t="s">
        <v>1438</v>
      </c>
      <c r="F156" s="78">
        <v>0.63557870370370373</v>
      </c>
      <c r="G156" t="s">
        <v>1406</v>
      </c>
      <c r="H156" t="s">
        <v>1336</v>
      </c>
      <c r="I156" s="88" t="str">
        <f>VLOOKUP(A156,Base!A:B,2,0)</f>
        <v>07.481.602-9</v>
      </c>
      <c r="J156" s="99" t="str">
        <f>VLOOKUP(A156,Base!A:F,6,0)</f>
        <v>JORGE PATRICIO  NARVAI  RIVERA</v>
      </c>
      <c r="K156" s="89" t="str">
        <f>IFERROR(IF(VLOOKUP(I156,Ingreso!K:P,6,0)=0,"Sin turtno ing",VLOOKUP(I156,Ingreso!K:P,6,0)),IF(F156&gt;0.25,IF(F156&lt;0.311805555555556,"Turno A",IF(F156&gt;0.3125,IF(F156&lt;0.354166666666667,"Turno C",IF(F156&gt;0.583333333333333,IF(F156&lt;0.625,"Turno B",IF(F156&gt;0.625694444444444,IF(F156&lt;0.8125,"Turno A",IF(F156&gt;0.875,IF(F156&lt;0.936805555555556,"Turno C",IF(F156&gt;0.9375,IF(F156&lt;0.979166666666667,"Turno B",""),"")),"")),"")),"")),"")),""))</f>
        <v>Turno A</v>
      </c>
      <c r="L156" s="91">
        <f t="shared" si="2"/>
        <v>0.3125</v>
      </c>
    </row>
    <row r="157" spans="1:12" s="40" customFormat="1">
      <c r="A157">
        <v>7481602</v>
      </c>
      <c r="B157" t="s">
        <v>701</v>
      </c>
      <c r="C157" t="s">
        <v>687</v>
      </c>
      <c r="D157" t="s">
        <v>700</v>
      </c>
      <c r="E157" t="s">
        <v>1438</v>
      </c>
      <c r="F157" s="78">
        <v>0.29024305555555557</v>
      </c>
      <c r="G157" t="s">
        <v>1405</v>
      </c>
      <c r="H157" t="s">
        <v>1335</v>
      </c>
      <c r="I157" s="88" t="str">
        <f>VLOOKUP(A157,Base!A:B,2,0)</f>
        <v>07.481.602-9</v>
      </c>
      <c r="J157" s="99" t="str">
        <f>VLOOKUP(A157,Base!A:F,6,0)</f>
        <v>JORGE PATRICIO  NARVAI  RIVERA</v>
      </c>
      <c r="K157" s="89" t="str">
        <f>IFERROR(IF(VLOOKUP(I157,Ingreso!K:P,6,0)=0,"Sin turtno ing",VLOOKUP(I157,Ingreso!K:P,6,0)),IF(F157&gt;0.25,IF(F157&lt;0.311805555555556,"Turno A",IF(F157&gt;0.3125,IF(F157&lt;0.354166666666667,"Turno C",IF(F157&gt;0.583333333333333,IF(F157&lt;0.625,"Turno B",IF(F157&gt;0.625694444444444,IF(F157&lt;0.8125,"Turno A",IF(F157&gt;0.875,IF(F157&lt;0.936805555555556,"Turno C",IF(F157&gt;0.9375,IF(F157&lt;0.979166666666667,"Turno B",""),"")),"")),"")),"")),"")),""))</f>
        <v>Turno A</v>
      </c>
      <c r="L157" s="91">
        <f t="shared" si="2"/>
        <v>0.3125</v>
      </c>
    </row>
    <row r="158" spans="1:12" s="40" customFormat="1">
      <c r="A158">
        <v>7481602</v>
      </c>
      <c r="B158" t="s">
        <v>701</v>
      </c>
      <c r="C158" t="s">
        <v>687</v>
      </c>
      <c r="D158" t="s">
        <v>700</v>
      </c>
      <c r="E158" t="s">
        <v>1439</v>
      </c>
      <c r="F158" s="78">
        <v>0.63444444444444448</v>
      </c>
      <c r="G158" t="s">
        <v>1406</v>
      </c>
      <c r="H158" t="s">
        <v>1336</v>
      </c>
      <c r="I158" s="88" t="str">
        <f>VLOOKUP(A158,Base!A:B,2,0)</f>
        <v>07.481.602-9</v>
      </c>
      <c r="J158" s="99" t="str">
        <f>VLOOKUP(A158,Base!A:F,6,0)</f>
        <v>JORGE PATRICIO  NARVAI  RIVERA</v>
      </c>
      <c r="K158" s="89" t="str">
        <f>IFERROR(IF(VLOOKUP(I158,Ingreso!K:P,6,0)=0,"Sin turtno ing",VLOOKUP(I158,Ingreso!K:P,6,0)),IF(F158&gt;0.25,IF(F158&lt;0.311805555555556,"Turno A",IF(F158&gt;0.3125,IF(F158&lt;0.354166666666667,"Turno C",IF(F158&gt;0.583333333333333,IF(F158&lt;0.625,"Turno B",IF(F158&gt;0.625694444444444,IF(F158&lt;0.8125,"Turno A",IF(F158&gt;0.875,IF(F158&lt;0.936805555555556,"Turno C",IF(F158&gt;0.9375,IF(F158&lt;0.979166666666667,"Turno B",""),"")),"")),"")),"")),"")),""))</f>
        <v>Turno A</v>
      </c>
      <c r="L158" s="91">
        <f t="shared" si="2"/>
        <v>0.3125</v>
      </c>
    </row>
    <row r="159" spans="1:12" s="40" customFormat="1">
      <c r="A159">
        <v>7481602</v>
      </c>
      <c r="B159" t="s">
        <v>701</v>
      </c>
      <c r="C159" t="s">
        <v>687</v>
      </c>
      <c r="D159" t="s">
        <v>700</v>
      </c>
      <c r="E159" t="s">
        <v>1439</v>
      </c>
      <c r="F159" s="78">
        <v>0.29506944444444444</v>
      </c>
      <c r="G159" t="s">
        <v>1405</v>
      </c>
      <c r="H159" t="s">
        <v>1335</v>
      </c>
      <c r="I159" s="88" t="str">
        <f>VLOOKUP(A159,Base!A:B,2,0)</f>
        <v>07.481.602-9</v>
      </c>
      <c r="J159" s="99" t="str">
        <f>VLOOKUP(A159,Base!A:F,6,0)</f>
        <v>JORGE PATRICIO  NARVAI  RIVERA</v>
      </c>
      <c r="K159" s="89" t="str">
        <f>IFERROR(IF(VLOOKUP(I159,Ingreso!K:P,6,0)=0,"Sin turtno ing",VLOOKUP(I159,Ingreso!K:P,6,0)),IF(F159&gt;0.25,IF(F159&lt;0.311805555555556,"Turno A",IF(F159&gt;0.3125,IF(F159&lt;0.354166666666667,"Turno C",IF(F159&gt;0.583333333333333,IF(F159&lt;0.625,"Turno B",IF(F159&gt;0.625694444444444,IF(F159&lt;0.8125,"Turno A",IF(F159&gt;0.875,IF(F159&lt;0.936805555555556,"Turno C",IF(F159&gt;0.9375,IF(F159&lt;0.979166666666667,"Turno B",""),"")),"")),"")),"")),"")),""))</f>
        <v>Turno A</v>
      </c>
      <c r="L159" s="91">
        <f t="shared" si="2"/>
        <v>0.3125</v>
      </c>
    </row>
    <row r="160" spans="1:12" s="40" customFormat="1">
      <c r="A160">
        <v>7717451</v>
      </c>
      <c r="B160" t="s">
        <v>245</v>
      </c>
      <c r="C160" t="s">
        <v>244</v>
      </c>
      <c r="D160" t="s">
        <v>69</v>
      </c>
      <c r="E160" t="s">
        <v>1440</v>
      </c>
      <c r="F160" s="78">
        <v>0.54636574074074074</v>
      </c>
      <c r="G160" t="s">
        <v>1406</v>
      </c>
      <c r="H160" t="s">
        <v>1336</v>
      </c>
      <c r="I160" s="88" t="str">
        <f>VLOOKUP(A160,Base!A:B,2,0)</f>
        <v>07.717.451-6</v>
      </c>
      <c r="J160" s="99" t="str">
        <f>VLOOKUP(A160,Base!A:F,6,0)</f>
        <v>JUAN FCO.  CERNA  CONTRERAS</v>
      </c>
      <c r="K160" s="89" t="str">
        <f>IFERROR(IF(VLOOKUP(I160,Ingreso!K:P,6,0)=0,"Sin turtno ing",VLOOKUP(I160,Ingreso!K:P,6,0)),IF(F160&gt;0.25,IF(F160&lt;0.311805555555556,"Turno A",IF(F160&gt;0.3125,IF(F160&lt;0.354166666666667,"Turno C",IF(F160&gt;0.583333333333333,IF(F160&lt;0.625,"Turno B",IF(F160&gt;0.625694444444444,IF(F160&lt;0.8125,"Turno A",IF(F160&gt;0.875,IF(F160&lt;0.936805555555556,"Turno C",IF(F160&gt;0.9375,IF(F160&lt;0.979166666666667,"Turno B",""),"")),"")),"")),"")),"")),""))</f>
        <v/>
      </c>
      <c r="L160" s="91" t="e">
        <f t="shared" si="2"/>
        <v>#N/A</v>
      </c>
    </row>
    <row r="161" spans="1:12" s="40" customFormat="1">
      <c r="A161">
        <v>7717451</v>
      </c>
      <c r="B161" t="s">
        <v>245</v>
      </c>
      <c r="C161" t="s">
        <v>244</v>
      </c>
      <c r="D161" t="s">
        <v>69</v>
      </c>
      <c r="E161" t="s">
        <v>1440</v>
      </c>
      <c r="F161" s="78">
        <v>0.2721412037037037</v>
      </c>
      <c r="G161" t="s">
        <v>1405</v>
      </c>
      <c r="H161" t="s">
        <v>1335</v>
      </c>
      <c r="I161" s="88" t="str">
        <f>VLOOKUP(A161,Base!A:B,2,0)</f>
        <v>07.717.451-6</v>
      </c>
      <c r="J161" s="99" t="str">
        <f>VLOOKUP(A161,Base!A:F,6,0)</f>
        <v>JUAN FCO.  CERNA  CONTRERAS</v>
      </c>
      <c r="K161" s="89" t="str">
        <f>IFERROR(IF(VLOOKUP(I161,Ingreso!K:P,6,0)=0,"Sin turtno ing",VLOOKUP(I161,Ingreso!K:P,6,0)),IF(F161&gt;0.25,IF(F161&lt;0.311805555555556,"Turno A",IF(F161&gt;0.3125,IF(F161&lt;0.354166666666667,"Turno C",IF(F161&gt;0.583333333333333,IF(F161&lt;0.625,"Turno B",IF(F161&gt;0.625694444444444,IF(F161&lt;0.8125,"Turno A",IF(F161&gt;0.875,IF(F161&lt;0.936805555555556,"Turno C",IF(F161&gt;0.9375,IF(F161&lt;0.979166666666667,"Turno B",""),"")),"")),"")),"")),"")),""))</f>
        <v>Turno A</v>
      </c>
      <c r="L161" s="91">
        <f t="shared" si="2"/>
        <v>0.3125</v>
      </c>
    </row>
    <row r="162" spans="1:12" s="40" customFormat="1">
      <c r="A162">
        <v>7717451</v>
      </c>
      <c r="B162" t="s">
        <v>245</v>
      </c>
      <c r="C162" t="s">
        <v>244</v>
      </c>
      <c r="D162" t="s">
        <v>69</v>
      </c>
      <c r="E162" t="s">
        <v>1437</v>
      </c>
      <c r="F162" s="78">
        <v>0.71990740740740744</v>
      </c>
      <c r="G162" t="s">
        <v>1406</v>
      </c>
      <c r="H162" t="s">
        <v>1336</v>
      </c>
      <c r="I162" s="88" t="str">
        <f>VLOOKUP(A162,Base!A:B,2,0)</f>
        <v>07.717.451-6</v>
      </c>
      <c r="J162" s="99" t="str">
        <f>VLOOKUP(A162,Base!A:F,6,0)</f>
        <v>JUAN FCO.  CERNA  CONTRERAS</v>
      </c>
      <c r="K162" s="89" t="str">
        <f>IFERROR(IF(VLOOKUP(I162,Ingreso!K:P,6,0)=0,"Sin turtno ing",VLOOKUP(I162,Ingreso!K:P,6,0)),IF(F162&gt;0.25,IF(F162&lt;0.311805555555556,"Turno A",IF(F162&gt;0.3125,IF(F162&lt;0.354166666666667,"Turno C",IF(F162&gt;0.583333333333333,IF(F162&lt;0.625,"Turno B",IF(F162&gt;0.625694444444444,IF(F162&lt;0.8125,"Turno A",IF(F162&gt;0.875,IF(F162&lt;0.936805555555556,"Turno C",IF(F162&gt;0.9375,IF(F162&lt;0.979166666666667,"Turno B",""),"")),"")),"")),"")),"")),""))</f>
        <v>Turno A</v>
      </c>
      <c r="L162" s="91">
        <f t="shared" si="2"/>
        <v>0.3125</v>
      </c>
    </row>
    <row r="163" spans="1:12" s="40" customFormat="1">
      <c r="A163">
        <v>7717451</v>
      </c>
      <c r="B163" t="s">
        <v>245</v>
      </c>
      <c r="C163" t="s">
        <v>244</v>
      </c>
      <c r="D163" t="s">
        <v>69</v>
      </c>
      <c r="E163" t="s">
        <v>1437</v>
      </c>
      <c r="F163" s="78">
        <v>0.2736689814814815</v>
      </c>
      <c r="G163" t="s">
        <v>1405</v>
      </c>
      <c r="H163" t="s">
        <v>1335</v>
      </c>
      <c r="I163" s="88" t="str">
        <f>VLOOKUP(A163,Base!A:B,2,0)</f>
        <v>07.717.451-6</v>
      </c>
      <c r="J163" s="99" t="str">
        <f>VLOOKUP(A163,Base!A:F,6,0)</f>
        <v>JUAN FCO.  CERNA  CONTRERAS</v>
      </c>
      <c r="K163" s="89" t="str">
        <f>IFERROR(IF(VLOOKUP(I163,Ingreso!K:P,6,0)=0,"Sin turtno ing",VLOOKUP(I163,Ingreso!K:P,6,0)),IF(F163&gt;0.25,IF(F163&lt;0.311805555555556,"Turno A",IF(F163&gt;0.3125,IF(F163&lt;0.354166666666667,"Turno C",IF(F163&gt;0.583333333333333,IF(F163&lt;0.625,"Turno B",IF(F163&gt;0.625694444444444,IF(F163&lt;0.8125,"Turno A",IF(F163&gt;0.875,IF(F163&lt;0.936805555555556,"Turno C",IF(F163&gt;0.9375,IF(F163&lt;0.979166666666667,"Turno B",""),"")),"")),"")),"")),"")),""))</f>
        <v>Turno A</v>
      </c>
      <c r="L163" s="91">
        <f t="shared" si="2"/>
        <v>0.3125</v>
      </c>
    </row>
    <row r="164" spans="1:12" s="40" customFormat="1">
      <c r="A164">
        <v>7717451</v>
      </c>
      <c r="B164" t="s">
        <v>245</v>
      </c>
      <c r="C164" t="s">
        <v>244</v>
      </c>
      <c r="D164" t="s">
        <v>69</v>
      </c>
      <c r="E164" t="s">
        <v>1438</v>
      </c>
      <c r="F164" s="78">
        <v>0.71480324074074064</v>
      </c>
      <c r="G164" t="s">
        <v>1406</v>
      </c>
      <c r="H164" t="s">
        <v>1336</v>
      </c>
      <c r="I164" s="88" t="str">
        <f>VLOOKUP(A164,Base!A:B,2,0)</f>
        <v>07.717.451-6</v>
      </c>
      <c r="J164" s="99" t="str">
        <f>VLOOKUP(A164,Base!A:F,6,0)</f>
        <v>JUAN FCO.  CERNA  CONTRERAS</v>
      </c>
      <c r="K164" s="89" t="str">
        <f>IFERROR(IF(VLOOKUP(I164,Ingreso!K:P,6,0)=0,"Sin turtno ing",VLOOKUP(I164,Ingreso!K:P,6,0)),IF(F164&gt;0.25,IF(F164&lt;0.311805555555556,"Turno A",IF(F164&gt;0.3125,IF(F164&lt;0.354166666666667,"Turno C",IF(F164&gt;0.583333333333333,IF(F164&lt;0.625,"Turno B",IF(F164&gt;0.625694444444444,IF(F164&lt;0.8125,"Turno A",IF(F164&gt;0.875,IF(F164&lt;0.936805555555556,"Turno C",IF(F164&gt;0.9375,IF(F164&lt;0.979166666666667,"Turno B",""),"")),"")),"")),"")),"")),""))</f>
        <v>Turno A</v>
      </c>
      <c r="L164" s="91">
        <f t="shared" si="2"/>
        <v>0.3125</v>
      </c>
    </row>
    <row r="165" spans="1:12" s="40" customFormat="1">
      <c r="A165">
        <v>7717451</v>
      </c>
      <c r="B165" t="s">
        <v>245</v>
      </c>
      <c r="C165" t="s">
        <v>244</v>
      </c>
      <c r="D165" t="s">
        <v>69</v>
      </c>
      <c r="E165" t="s">
        <v>1438</v>
      </c>
      <c r="F165" s="78">
        <v>0.26953703703703702</v>
      </c>
      <c r="G165" t="s">
        <v>1405</v>
      </c>
      <c r="H165" t="s">
        <v>1335</v>
      </c>
      <c r="I165" s="88" t="str">
        <f>VLOOKUP(A165,Base!A:B,2,0)</f>
        <v>07.717.451-6</v>
      </c>
      <c r="J165" s="99" t="str">
        <f>VLOOKUP(A165,Base!A:F,6,0)</f>
        <v>JUAN FCO.  CERNA  CONTRERAS</v>
      </c>
      <c r="K165" s="89" t="str">
        <f>IFERROR(IF(VLOOKUP(I165,Ingreso!K:P,6,0)=0,"Sin turtno ing",VLOOKUP(I165,Ingreso!K:P,6,0)),IF(F165&gt;0.25,IF(F165&lt;0.311805555555556,"Turno A",IF(F165&gt;0.3125,IF(F165&lt;0.354166666666667,"Turno C",IF(F165&gt;0.583333333333333,IF(F165&lt;0.625,"Turno B",IF(F165&gt;0.625694444444444,IF(F165&lt;0.8125,"Turno A",IF(F165&gt;0.875,IF(F165&lt;0.936805555555556,"Turno C",IF(F165&gt;0.9375,IF(F165&lt;0.979166666666667,"Turno B",""),"")),"")),"")),"")),"")),""))</f>
        <v>Turno A</v>
      </c>
      <c r="L165" s="91">
        <f t="shared" si="2"/>
        <v>0.3125</v>
      </c>
    </row>
    <row r="166" spans="1:12" s="40" customFormat="1">
      <c r="A166">
        <v>7717451</v>
      </c>
      <c r="B166" t="s">
        <v>245</v>
      </c>
      <c r="C166" t="s">
        <v>244</v>
      </c>
      <c r="D166" t="s">
        <v>69</v>
      </c>
      <c r="E166" t="s">
        <v>1439</v>
      </c>
      <c r="F166" s="78">
        <v>0.72032407407407406</v>
      </c>
      <c r="G166" t="s">
        <v>1406</v>
      </c>
      <c r="H166" t="s">
        <v>1336</v>
      </c>
      <c r="I166" s="88" t="str">
        <f>VLOOKUP(A166,Base!A:B,2,0)</f>
        <v>07.717.451-6</v>
      </c>
      <c r="J166" s="99" t="str">
        <f>VLOOKUP(A166,Base!A:F,6,0)</f>
        <v>JUAN FCO.  CERNA  CONTRERAS</v>
      </c>
      <c r="K166" s="89" t="str">
        <f>IFERROR(IF(VLOOKUP(I166,Ingreso!K:P,6,0)=0,"Sin turtno ing",VLOOKUP(I166,Ingreso!K:P,6,0)),IF(F166&gt;0.25,IF(F166&lt;0.311805555555556,"Turno A",IF(F166&gt;0.3125,IF(F166&lt;0.354166666666667,"Turno C",IF(F166&gt;0.583333333333333,IF(F166&lt;0.625,"Turno B",IF(F166&gt;0.625694444444444,IF(F166&lt;0.8125,"Turno A",IF(F166&gt;0.875,IF(F166&lt;0.936805555555556,"Turno C",IF(F166&gt;0.9375,IF(F166&lt;0.979166666666667,"Turno B",""),"")),"")),"")),"")),"")),""))</f>
        <v>Turno A</v>
      </c>
      <c r="L166" s="91">
        <f t="shared" si="2"/>
        <v>0.3125</v>
      </c>
    </row>
    <row r="167" spans="1:12" s="40" customFormat="1">
      <c r="A167">
        <v>7717451</v>
      </c>
      <c r="B167" t="s">
        <v>245</v>
      </c>
      <c r="C167" t="s">
        <v>244</v>
      </c>
      <c r="D167" t="s">
        <v>69</v>
      </c>
      <c r="E167" t="s">
        <v>1439</v>
      </c>
      <c r="F167" s="78">
        <v>0.27342592592592591</v>
      </c>
      <c r="G167" t="s">
        <v>1405</v>
      </c>
      <c r="H167" t="s">
        <v>1335</v>
      </c>
      <c r="I167" s="88" t="str">
        <f>VLOOKUP(A167,Base!A:B,2,0)</f>
        <v>07.717.451-6</v>
      </c>
      <c r="J167" s="99" t="str">
        <f>VLOOKUP(A167,Base!A:F,6,0)</f>
        <v>JUAN FCO.  CERNA  CONTRERAS</v>
      </c>
      <c r="K167" s="89" t="str">
        <f>IFERROR(IF(VLOOKUP(I167,Ingreso!K:P,6,0)=0,"Sin turtno ing",VLOOKUP(I167,Ingreso!K:P,6,0)),IF(F167&gt;0.25,IF(F167&lt;0.311805555555556,"Turno A",IF(F167&gt;0.3125,IF(F167&lt;0.354166666666667,"Turno C",IF(F167&gt;0.583333333333333,IF(F167&lt;0.625,"Turno B",IF(F167&gt;0.625694444444444,IF(F167&lt;0.8125,"Turno A",IF(F167&gt;0.875,IF(F167&lt;0.936805555555556,"Turno C",IF(F167&gt;0.9375,IF(F167&lt;0.979166666666667,"Turno B",""),"")),"")),"")),"")),"")),""))</f>
        <v>Turno A</v>
      </c>
      <c r="L167" s="91">
        <f t="shared" si="2"/>
        <v>0.3125</v>
      </c>
    </row>
    <row r="168" spans="1:12" s="40" customFormat="1">
      <c r="A168">
        <v>7721223</v>
      </c>
      <c r="B168" t="s">
        <v>838</v>
      </c>
      <c r="C168" t="s">
        <v>837</v>
      </c>
      <c r="D168" t="s">
        <v>748</v>
      </c>
      <c r="E168" t="s">
        <v>1440</v>
      </c>
      <c r="F168" s="78">
        <v>0.63111111111111107</v>
      </c>
      <c r="G168" t="s">
        <v>1406</v>
      </c>
      <c r="H168" t="s">
        <v>1336</v>
      </c>
      <c r="I168" s="88" t="str">
        <f>VLOOKUP(A168,Base!A:B,2,0)</f>
        <v>07.721.223-K</v>
      </c>
      <c r="J168" s="99" t="str">
        <f>VLOOKUP(A168,Base!A:F,6,0)</f>
        <v>JOSE MANUEL  QUIROZ  VENEGAS</v>
      </c>
      <c r="K168" s="89" t="str">
        <f>IFERROR(IF(VLOOKUP(I168,Ingreso!K:P,6,0)=0,"Sin turtno ing",VLOOKUP(I168,Ingreso!K:P,6,0)),IF(F168&gt;0.25,IF(F168&lt;0.311805555555556,"Turno A",IF(F168&gt;0.3125,IF(F168&lt;0.354166666666667,"Turno C",IF(F168&gt;0.583333333333333,IF(F168&lt;0.625,"Turno B",IF(F168&gt;0.625694444444444,IF(F168&lt;0.8125,"Turno A",IF(F168&gt;0.875,IF(F168&lt;0.936805555555556,"Turno C",IF(F168&gt;0.9375,IF(F168&lt;0.979166666666667,"Turno B",""),"")),"")),"")),"")),"")),""))</f>
        <v>Sin turtno ing</v>
      </c>
      <c r="L168" s="91" t="e">
        <f t="shared" si="2"/>
        <v>#N/A</v>
      </c>
    </row>
    <row r="169" spans="1:12" s="40" customFormat="1">
      <c r="A169">
        <v>7721223</v>
      </c>
      <c r="B169" t="s">
        <v>838</v>
      </c>
      <c r="C169" t="s">
        <v>837</v>
      </c>
      <c r="D169" t="s">
        <v>748</v>
      </c>
      <c r="E169" t="s">
        <v>1440</v>
      </c>
      <c r="F169" s="78">
        <v>0.27535879629629628</v>
      </c>
      <c r="G169" t="s">
        <v>1405</v>
      </c>
      <c r="H169" t="s">
        <v>1335</v>
      </c>
      <c r="I169" s="88" t="str">
        <f>VLOOKUP(A169,Base!A:B,2,0)</f>
        <v>07.721.223-K</v>
      </c>
      <c r="J169" s="99" t="str">
        <f>VLOOKUP(A169,Base!A:F,6,0)</f>
        <v>JOSE MANUEL  QUIROZ  VENEGAS</v>
      </c>
      <c r="K169" s="89" t="str">
        <f>IFERROR(IF(VLOOKUP(I169,Ingreso!K:P,6,0)=0,"Sin turtno ing",VLOOKUP(I169,Ingreso!K:P,6,0)),IF(F169&gt;0.25,IF(F169&lt;0.311805555555556,"Turno A",IF(F169&gt;0.3125,IF(F169&lt;0.354166666666667,"Turno C",IF(F169&gt;0.583333333333333,IF(F169&lt;0.625,"Turno B",IF(F169&gt;0.625694444444444,IF(F169&lt;0.8125,"Turno A",IF(F169&gt;0.875,IF(F169&lt;0.936805555555556,"Turno C",IF(F169&gt;0.9375,IF(F169&lt;0.979166666666667,"Turno B",""),"")),"")),"")),"")),"")),""))</f>
        <v>Sin turtno ing</v>
      </c>
      <c r="L169" s="91" t="e">
        <f t="shared" si="2"/>
        <v>#N/A</v>
      </c>
    </row>
    <row r="170" spans="1:12" s="40" customFormat="1">
      <c r="A170">
        <v>7721223</v>
      </c>
      <c r="B170" t="s">
        <v>838</v>
      </c>
      <c r="C170" t="s">
        <v>837</v>
      </c>
      <c r="D170" t="s">
        <v>748</v>
      </c>
      <c r="E170" t="s">
        <v>1441</v>
      </c>
      <c r="F170" s="78">
        <v>0.62965277777777773</v>
      </c>
      <c r="G170" t="s">
        <v>1406</v>
      </c>
      <c r="H170" t="s">
        <v>1336</v>
      </c>
      <c r="I170" s="88" t="str">
        <f>VLOOKUP(A170,Base!A:B,2,0)</f>
        <v>07.721.223-K</v>
      </c>
      <c r="J170" s="99" t="str">
        <f>VLOOKUP(A170,Base!A:F,6,0)</f>
        <v>JOSE MANUEL  QUIROZ  VENEGAS</v>
      </c>
      <c r="K170" s="89" t="str">
        <f>IFERROR(IF(VLOOKUP(I170,Ingreso!K:P,6,0)=0,"Sin turtno ing",VLOOKUP(I170,Ingreso!K:P,6,0)),IF(F170&gt;0.25,IF(F170&lt;0.311805555555556,"Turno A",IF(F170&gt;0.3125,IF(F170&lt;0.354166666666667,"Turno C",IF(F170&gt;0.583333333333333,IF(F170&lt;0.625,"Turno B",IF(F170&gt;0.625694444444444,IF(F170&lt;0.8125,"Turno A",IF(F170&gt;0.875,IF(F170&lt;0.936805555555556,"Turno C",IF(F170&gt;0.9375,IF(F170&lt;0.979166666666667,"Turno B",""),"")),"")),"")),"")),"")),""))</f>
        <v>Sin turtno ing</v>
      </c>
      <c r="L170" s="91" t="e">
        <f t="shared" si="2"/>
        <v>#N/A</v>
      </c>
    </row>
    <row r="171" spans="1:12" s="40" customFormat="1">
      <c r="A171">
        <v>7721223</v>
      </c>
      <c r="B171" t="s">
        <v>838</v>
      </c>
      <c r="C171" t="s">
        <v>837</v>
      </c>
      <c r="D171" t="s">
        <v>748</v>
      </c>
      <c r="E171" t="s">
        <v>1441</v>
      </c>
      <c r="F171" s="78">
        <v>0.28282407407407406</v>
      </c>
      <c r="G171" t="s">
        <v>1405</v>
      </c>
      <c r="H171" t="s">
        <v>1335</v>
      </c>
      <c r="I171" s="88" t="str">
        <f>VLOOKUP(A171,Base!A:B,2,0)</f>
        <v>07.721.223-K</v>
      </c>
      <c r="J171" s="99" t="str">
        <f>VLOOKUP(A171,Base!A:F,6,0)</f>
        <v>JOSE MANUEL  QUIROZ  VENEGAS</v>
      </c>
      <c r="K171" s="89" t="str">
        <f>IFERROR(IF(VLOOKUP(I171,Ingreso!K:P,6,0)=0,"Sin turtno ing",VLOOKUP(I171,Ingreso!K:P,6,0)),IF(F171&gt;0.25,IF(F171&lt;0.311805555555556,"Turno A",IF(F171&gt;0.3125,IF(F171&lt;0.354166666666667,"Turno C",IF(F171&gt;0.583333333333333,IF(F171&lt;0.625,"Turno B",IF(F171&gt;0.625694444444444,IF(F171&lt;0.8125,"Turno A",IF(F171&gt;0.875,IF(F171&lt;0.936805555555556,"Turno C",IF(F171&gt;0.9375,IF(F171&lt;0.979166666666667,"Turno B",""),"")),"")),"")),"")),"")),""))</f>
        <v>Sin turtno ing</v>
      </c>
      <c r="L171" s="91" t="e">
        <f t="shared" si="2"/>
        <v>#N/A</v>
      </c>
    </row>
    <row r="172" spans="1:12" s="40" customFormat="1">
      <c r="A172">
        <v>7721223</v>
      </c>
      <c r="B172" t="s">
        <v>838</v>
      </c>
      <c r="C172" t="s">
        <v>837</v>
      </c>
      <c r="D172" t="s">
        <v>748</v>
      </c>
      <c r="E172" t="s">
        <v>1437</v>
      </c>
      <c r="F172" s="78">
        <v>0.63094907407407408</v>
      </c>
      <c r="G172" t="s">
        <v>1406</v>
      </c>
      <c r="H172" t="s">
        <v>1336</v>
      </c>
      <c r="I172" s="88" t="str">
        <f>VLOOKUP(A172,Base!A:B,2,0)</f>
        <v>07.721.223-K</v>
      </c>
      <c r="J172" s="99" t="str">
        <f>VLOOKUP(A172,Base!A:F,6,0)</f>
        <v>JOSE MANUEL  QUIROZ  VENEGAS</v>
      </c>
      <c r="K172" s="89" t="str">
        <f>IFERROR(IF(VLOOKUP(I172,Ingreso!K:P,6,0)=0,"Sin turtno ing",VLOOKUP(I172,Ingreso!K:P,6,0)),IF(F172&gt;0.25,IF(F172&lt;0.311805555555556,"Turno A",IF(F172&gt;0.3125,IF(F172&lt;0.354166666666667,"Turno C",IF(F172&gt;0.583333333333333,IF(F172&lt;0.625,"Turno B",IF(F172&gt;0.625694444444444,IF(F172&lt;0.8125,"Turno A",IF(F172&gt;0.875,IF(F172&lt;0.936805555555556,"Turno C",IF(F172&gt;0.9375,IF(F172&lt;0.979166666666667,"Turno B",""),"")),"")),"")),"")),"")),""))</f>
        <v>Sin turtno ing</v>
      </c>
      <c r="L172" s="91" t="e">
        <f t="shared" si="2"/>
        <v>#N/A</v>
      </c>
    </row>
    <row r="173" spans="1:12" s="40" customFormat="1">
      <c r="A173">
        <v>7721223</v>
      </c>
      <c r="B173" t="s">
        <v>838</v>
      </c>
      <c r="C173" t="s">
        <v>837</v>
      </c>
      <c r="D173" t="s">
        <v>748</v>
      </c>
      <c r="E173" t="s">
        <v>1437</v>
      </c>
      <c r="F173" s="78">
        <v>0.27599537037037036</v>
      </c>
      <c r="G173" t="s">
        <v>1405</v>
      </c>
      <c r="H173" t="s">
        <v>1335</v>
      </c>
      <c r="I173" s="88" t="str">
        <f>VLOOKUP(A173,Base!A:B,2,0)</f>
        <v>07.721.223-K</v>
      </c>
      <c r="J173" s="99" t="str">
        <f>VLOOKUP(A173,Base!A:F,6,0)</f>
        <v>JOSE MANUEL  QUIROZ  VENEGAS</v>
      </c>
      <c r="K173" s="89" t="str">
        <f>IFERROR(IF(VLOOKUP(I173,Ingreso!K:P,6,0)=0,"Sin turtno ing",VLOOKUP(I173,Ingreso!K:P,6,0)),IF(F173&gt;0.25,IF(F173&lt;0.311805555555556,"Turno A",IF(F173&gt;0.3125,IF(F173&lt;0.354166666666667,"Turno C",IF(F173&gt;0.583333333333333,IF(F173&lt;0.625,"Turno B",IF(F173&gt;0.625694444444444,IF(F173&lt;0.8125,"Turno A",IF(F173&gt;0.875,IF(F173&lt;0.936805555555556,"Turno C",IF(F173&gt;0.9375,IF(F173&lt;0.979166666666667,"Turno B",""),"")),"")),"")),"")),"")),""))</f>
        <v>Sin turtno ing</v>
      </c>
      <c r="L173" s="91" t="e">
        <f t="shared" si="2"/>
        <v>#N/A</v>
      </c>
    </row>
    <row r="174" spans="1:12" s="40" customFormat="1">
      <c r="A174">
        <v>7721223</v>
      </c>
      <c r="B174" t="s">
        <v>838</v>
      </c>
      <c r="C174" t="s">
        <v>837</v>
      </c>
      <c r="D174" t="s">
        <v>748</v>
      </c>
      <c r="E174" t="s">
        <v>1438</v>
      </c>
      <c r="F174" s="78">
        <v>0.62890046296296298</v>
      </c>
      <c r="G174" t="s">
        <v>1406</v>
      </c>
      <c r="H174" t="s">
        <v>1336</v>
      </c>
      <c r="I174" s="88" t="str">
        <f>VLOOKUP(A174,Base!A:B,2,0)</f>
        <v>07.721.223-K</v>
      </c>
      <c r="J174" s="99" t="str">
        <f>VLOOKUP(A174,Base!A:F,6,0)</f>
        <v>JOSE MANUEL  QUIROZ  VENEGAS</v>
      </c>
      <c r="K174" s="89" t="str">
        <f>IFERROR(IF(VLOOKUP(I174,Ingreso!K:P,6,0)=0,"Sin turtno ing",VLOOKUP(I174,Ingreso!K:P,6,0)),IF(F174&gt;0.25,IF(F174&lt;0.311805555555556,"Turno A",IF(F174&gt;0.3125,IF(F174&lt;0.354166666666667,"Turno C",IF(F174&gt;0.583333333333333,IF(F174&lt;0.625,"Turno B",IF(F174&gt;0.625694444444444,IF(F174&lt;0.8125,"Turno A",IF(F174&gt;0.875,IF(F174&lt;0.936805555555556,"Turno C",IF(F174&gt;0.9375,IF(F174&lt;0.979166666666667,"Turno B",""),"")),"")),"")),"")),"")),""))</f>
        <v>Sin turtno ing</v>
      </c>
      <c r="L174" s="91" t="e">
        <f t="shared" si="2"/>
        <v>#N/A</v>
      </c>
    </row>
    <row r="175" spans="1:12" s="40" customFormat="1">
      <c r="A175">
        <v>7721223</v>
      </c>
      <c r="B175" t="s">
        <v>838</v>
      </c>
      <c r="C175" t="s">
        <v>837</v>
      </c>
      <c r="D175" t="s">
        <v>748</v>
      </c>
      <c r="E175" t="s">
        <v>1438</v>
      </c>
      <c r="F175" s="78">
        <v>0.27999999999999997</v>
      </c>
      <c r="G175" t="s">
        <v>1405</v>
      </c>
      <c r="H175" t="s">
        <v>1335</v>
      </c>
      <c r="I175" s="88" t="str">
        <f>VLOOKUP(A175,Base!A:B,2,0)</f>
        <v>07.721.223-K</v>
      </c>
      <c r="J175" s="99" t="str">
        <f>VLOOKUP(A175,Base!A:F,6,0)</f>
        <v>JOSE MANUEL  QUIROZ  VENEGAS</v>
      </c>
      <c r="K175" s="89" t="str">
        <f>IFERROR(IF(VLOOKUP(I175,Ingreso!K:P,6,0)=0,"Sin turtno ing",VLOOKUP(I175,Ingreso!K:P,6,0)),IF(F175&gt;0.25,IF(F175&lt;0.311805555555556,"Turno A",IF(F175&gt;0.3125,IF(F175&lt;0.354166666666667,"Turno C",IF(F175&gt;0.583333333333333,IF(F175&lt;0.625,"Turno B",IF(F175&gt;0.625694444444444,IF(F175&lt;0.8125,"Turno A",IF(F175&gt;0.875,IF(F175&lt;0.936805555555556,"Turno C",IF(F175&gt;0.9375,IF(F175&lt;0.979166666666667,"Turno B",""),"")),"")),"")),"")),"")),""))</f>
        <v>Sin turtno ing</v>
      </c>
      <c r="L175" s="91" t="e">
        <f t="shared" si="2"/>
        <v>#N/A</v>
      </c>
    </row>
    <row r="176" spans="1:12" s="40" customFormat="1">
      <c r="A176">
        <v>7721223</v>
      </c>
      <c r="B176" t="s">
        <v>838</v>
      </c>
      <c r="C176" t="s">
        <v>837</v>
      </c>
      <c r="D176" t="s">
        <v>748</v>
      </c>
      <c r="E176" t="s">
        <v>1439</v>
      </c>
      <c r="F176" s="78">
        <v>0.63043981481481481</v>
      </c>
      <c r="G176" t="s">
        <v>1406</v>
      </c>
      <c r="H176" t="s">
        <v>1336</v>
      </c>
      <c r="I176" s="88" t="str">
        <f>VLOOKUP(A176,Base!A:B,2,0)</f>
        <v>07.721.223-K</v>
      </c>
      <c r="J176" s="99" t="str">
        <f>VLOOKUP(A176,Base!A:F,6,0)</f>
        <v>JOSE MANUEL  QUIROZ  VENEGAS</v>
      </c>
      <c r="K176" s="89" t="str">
        <f>IFERROR(IF(VLOOKUP(I176,Ingreso!K:P,6,0)=0,"Sin turtno ing",VLOOKUP(I176,Ingreso!K:P,6,0)),IF(F176&gt;0.25,IF(F176&lt;0.311805555555556,"Turno A",IF(F176&gt;0.3125,IF(F176&lt;0.354166666666667,"Turno C",IF(F176&gt;0.583333333333333,IF(F176&lt;0.625,"Turno B",IF(F176&gt;0.625694444444444,IF(F176&lt;0.8125,"Turno A",IF(F176&gt;0.875,IF(F176&lt;0.936805555555556,"Turno C",IF(F176&gt;0.9375,IF(F176&lt;0.979166666666667,"Turno B",""),"")),"")),"")),"")),"")),""))</f>
        <v>Sin turtno ing</v>
      </c>
      <c r="L176" s="91" t="e">
        <f t="shared" si="2"/>
        <v>#N/A</v>
      </c>
    </row>
    <row r="177" spans="1:12" s="40" customFormat="1">
      <c r="A177">
        <v>7721223</v>
      </c>
      <c r="B177" t="s">
        <v>838</v>
      </c>
      <c r="C177" t="s">
        <v>837</v>
      </c>
      <c r="D177" t="s">
        <v>748</v>
      </c>
      <c r="E177" t="s">
        <v>1439</v>
      </c>
      <c r="F177" s="78">
        <v>0.27990740740740744</v>
      </c>
      <c r="G177" t="s">
        <v>1405</v>
      </c>
      <c r="H177" t="s">
        <v>1335</v>
      </c>
      <c r="I177" s="88" t="str">
        <f>VLOOKUP(A177,Base!A:B,2,0)</f>
        <v>07.721.223-K</v>
      </c>
      <c r="J177" s="99" t="str">
        <f>VLOOKUP(A177,Base!A:F,6,0)</f>
        <v>JOSE MANUEL  QUIROZ  VENEGAS</v>
      </c>
      <c r="K177" s="89" t="str">
        <f>IFERROR(IF(VLOOKUP(I177,Ingreso!K:P,6,0)=0,"Sin turtno ing",VLOOKUP(I177,Ingreso!K:P,6,0)),IF(F177&gt;0.25,IF(F177&lt;0.311805555555556,"Turno A",IF(F177&gt;0.3125,IF(F177&lt;0.354166666666667,"Turno C",IF(F177&gt;0.583333333333333,IF(F177&lt;0.625,"Turno B",IF(F177&gt;0.625694444444444,IF(F177&lt;0.8125,"Turno A",IF(F177&gt;0.875,IF(F177&lt;0.936805555555556,"Turno C",IF(F177&gt;0.9375,IF(F177&lt;0.979166666666667,"Turno B",""),"")),"")),"")),"")),"")),""))</f>
        <v>Sin turtno ing</v>
      </c>
      <c r="L177" s="91" t="e">
        <f t="shared" si="2"/>
        <v>#N/A</v>
      </c>
    </row>
    <row r="178" spans="1:12" s="40" customFormat="1">
      <c r="A178">
        <v>7760886</v>
      </c>
      <c r="B178" t="s">
        <v>56</v>
      </c>
      <c r="C178" t="s">
        <v>54</v>
      </c>
      <c r="D178" t="s">
        <v>55</v>
      </c>
      <c r="E178" t="s">
        <v>1440</v>
      </c>
      <c r="F178" s="78">
        <v>0.76768518518518514</v>
      </c>
      <c r="G178" t="s">
        <v>1406</v>
      </c>
      <c r="H178" t="s">
        <v>1336</v>
      </c>
      <c r="I178" s="88" t="str">
        <f>VLOOKUP(A178,Base!A:B,2,0)</f>
        <v>07.760.886-9</v>
      </c>
      <c r="J178" s="99" t="str">
        <f>VLOOKUP(A178,Base!A:F,6,0)</f>
        <v>OSCAR ALFREDO  ALBORNOZ  ROA</v>
      </c>
      <c r="K178" s="89" t="str">
        <f>IFERROR(IF(VLOOKUP(I178,Ingreso!K:P,6,0)=0,"Sin turtno ing",VLOOKUP(I178,Ingreso!K:P,6,0)),IF(F178&gt;0.25,IF(F178&lt;0.311805555555556,"Turno A",IF(F178&gt;0.3125,IF(F178&lt;0.354166666666667,"Turno C",IF(F178&gt;0.583333333333333,IF(F178&lt;0.625,"Turno B",IF(F178&gt;0.625694444444444,IF(F178&lt;0.8125,"Turno A",IF(F178&gt;0.875,IF(F178&lt;0.936805555555556,"Turno C",IF(F178&gt;0.9375,IF(F178&lt;0.979166666666667,"Turno B",""),"")),"")),"")),"")),"")),""))</f>
        <v>Sin turtno ing</v>
      </c>
      <c r="L178" s="91" t="e">
        <f t="shared" si="2"/>
        <v>#N/A</v>
      </c>
    </row>
    <row r="179" spans="1:12" s="40" customFormat="1">
      <c r="A179">
        <v>7760886</v>
      </c>
      <c r="B179" t="s">
        <v>56</v>
      </c>
      <c r="C179" t="s">
        <v>54</v>
      </c>
      <c r="D179" t="s">
        <v>55</v>
      </c>
      <c r="E179" t="s">
        <v>1440</v>
      </c>
      <c r="F179" s="78">
        <v>0.34288194444444442</v>
      </c>
      <c r="G179" t="s">
        <v>1405</v>
      </c>
      <c r="H179" t="s">
        <v>1335</v>
      </c>
      <c r="I179" s="88" t="str">
        <f>VLOOKUP(A179,Base!A:B,2,0)</f>
        <v>07.760.886-9</v>
      </c>
      <c r="J179" s="99" t="str">
        <f>VLOOKUP(A179,Base!A:F,6,0)</f>
        <v>OSCAR ALFREDO  ALBORNOZ  ROA</v>
      </c>
      <c r="K179" s="89" t="str">
        <f>IFERROR(IF(VLOOKUP(I179,Ingreso!K:P,6,0)=0,"Sin turtno ing",VLOOKUP(I179,Ingreso!K:P,6,0)),IF(F179&gt;0.25,IF(F179&lt;0.311805555555556,"Turno A",IF(F179&gt;0.3125,IF(F179&lt;0.354166666666667,"Turno C",IF(F179&gt;0.583333333333333,IF(F179&lt;0.625,"Turno B",IF(F179&gt;0.625694444444444,IF(F179&lt;0.8125,"Turno A",IF(F179&gt;0.875,IF(F179&lt;0.936805555555556,"Turno C",IF(F179&gt;0.9375,IF(F179&lt;0.979166666666667,"Turno B",""),"")),"")),"")),"")),"")),""))</f>
        <v>Sin turtno ing</v>
      </c>
      <c r="L179" s="91" t="e">
        <f t="shared" si="2"/>
        <v>#N/A</v>
      </c>
    </row>
    <row r="180" spans="1:12" s="40" customFormat="1">
      <c r="A180">
        <v>7760886</v>
      </c>
      <c r="B180" t="s">
        <v>56</v>
      </c>
      <c r="C180" t="s">
        <v>54</v>
      </c>
      <c r="D180" t="s">
        <v>55</v>
      </c>
      <c r="E180" t="s">
        <v>1437</v>
      </c>
      <c r="F180" s="78">
        <v>0.37381944444444443</v>
      </c>
      <c r="G180" t="s">
        <v>1406</v>
      </c>
      <c r="H180" t="s">
        <v>1336</v>
      </c>
      <c r="I180" s="88" t="str">
        <f>VLOOKUP(A180,Base!A:B,2,0)</f>
        <v>07.760.886-9</v>
      </c>
      <c r="J180" s="99" t="str">
        <f>VLOOKUP(A180,Base!A:F,6,0)</f>
        <v>OSCAR ALFREDO  ALBORNOZ  ROA</v>
      </c>
      <c r="K180" s="89" t="str">
        <f>IFERROR(IF(VLOOKUP(I180,Ingreso!K:P,6,0)=0,"Sin turtno ing",VLOOKUP(I180,Ingreso!K:P,6,0)),IF(F180&gt;0.25,IF(F180&lt;0.311805555555556,"Turno A",IF(F180&gt;0.3125,IF(F180&lt;0.354166666666667,"Turno C",IF(F180&gt;0.583333333333333,IF(F180&lt;0.625,"Turno B",IF(F180&gt;0.625694444444444,IF(F180&lt;0.8125,"Turno A",IF(F180&gt;0.875,IF(F180&lt;0.936805555555556,"Turno C",IF(F180&gt;0.9375,IF(F180&lt;0.979166666666667,"Turno B",""),"")),"")),"")),"")),"")),""))</f>
        <v>Sin turtno ing</v>
      </c>
      <c r="L180" s="91" t="e">
        <f t="shared" si="2"/>
        <v>#N/A</v>
      </c>
    </row>
    <row r="181" spans="1:12" s="40" customFormat="1">
      <c r="A181">
        <v>7760886</v>
      </c>
      <c r="B181" t="s">
        <v>56</v>
      </c>
      <c r="C181" t="s">
        <v>54</v>
      </c>
      <c r="D181" t="s">
        <v>55</v>
      </c>
      <c r="E181" t="s">
        <v>1437</v>
      </c>
      <c r="F181" s="78">
        <v>0.30738425925925927</v>
      </c>
      <c r="G181" t="s">
        <v>1405</v>
      </c>
      <c r="H181" t="s">
        <v>1335</v>
      </c>
      <c r="I181" s="88" t="str">
        <f>VLOOKUP(A181,Base!A:B,2,0)</f>
        <v>07.760.886-9</v>
      </c>
      <c r="J181" s="99" t="str">
        <f>VLOOKUP(A181,Base!A:F,6,0)</f>
        <v>OSCAR ALFREDO  ALBORNOZ  ROA</v>
      </c>
      <c r="K181" s="89" t="str">
        <f>IFERROR(IF(VLOOKUP(I181,Ingreso!K:P,6,0)=0,"Sin turtno ing",VLOOKUP(I181,Ingreso!K:P,6,0)),IF(F181&gt;0.25,IF(F181&lt;0.311805555555556,"Turno A",IF(F181&gt;0.3125,IF(F181&lt;0.354166666666667,"Turno C",IF(F181&gt;0.583333333333333,IF(F181&lt;0.625,"Turno B",IF(F181&gt;0.625694444444444,IF(F181&lt;0.8125,"Turno A",IF(F181&gt;0.875,IF(F181&lt;0.936805555555556,"Turno C",IF(F181&gt;0.9375,IF(F181&lt;0.979166666666667,"Turno B",""),"")),"")),"")),"")),"")),""))</f>
        <v>Sin turtno ing</v>
      </c>
      <c r="L181" s="91" t="e">
        <f t="shared" si="2"/>
        <v>#N/A</v>
      </c>
    </row>
    <row r="182" spans="1:12" s="40" customFormat="1">
      <c r="A182">
        <v>7760886</v>
      </c>
      <c r="B182" t="s">
        <v>56</v>
      </c>
      <c r="C182" t="s">
        <v>54</v>
      </c>
      <c r="D182" t="s">
        <v>55</v>
      </c>
      <c r="E182" t="s">
        <v>1438</v>
      </c>
      <c r="F182" s="78">
        <v>0.72506944444444443</v>
      </c>
      <c r="G182" t="s">
        <v>1406</v>
      </c>
      <c r="H182" t="s">
        <v>1336</v>
      </c>
      <c r="I182" s="88" t="str">
        <f>VLOOKUP(A182,Base!A:B,2,0)</f>
        <v>07.760.886-9</v>
      </c>
      <c r="J182" s="99" t="str">
        <f>VLOOKUP(A182,Base!A:F,6,0)</f>
        <v>OSCAR ALFREDO  ALBORNOZ  ROA</v>
      </c>
      <c r="K182" s="89" t="str">
        <f>IFERROR(IF(VLOOKUP(I182,Ingreso!K:P,6,0)=0,"Sin turtno ing",VLOOKUP(I182,Ingreso!K:P,6,0)),IF(F182&gt;0.25,IF(F182&lt;0.311805555555556,"Turno A",IF(F182&gt;0.3125,IF(F182&lt;0.354166666666667,"Turno C",IF(F182&gt;0.583333333333333,IF(F182&lt;0.625,"Turno B",IF(F182&gt;0.625694444444444,IF(F182&lt;0.8125,"Turno A",IF(F182&gt;0.875,IF(F182&lt;0.936805555555556,"Turno C",IF(F182&gt;0.9375,IF(F182&lt;0.979166666666667,"Turno B",""),"")),"")),"")),"")),"")),""))</f>
        <v>Sin turtno ing</v>
      </c>
      <c r="L182" s="91" t="e">
        <f t="shared" si="2"/>
        <v>#N/A</v>
      </c>
    </row>
    <row r="183" spans="1:12" s="40" customFormat="1">
      <c r="A183">
        <v>7760886</v>
      </c>
      <c r="B183" t="s">
        <v>56</v>
      </c>
      <c r="C183" t="s">
        <v>54</v>
      </c>
      <c r="D183" t="s">
        <v>55</v>
      </c>
      <c r="E183" t="s">
        <v>1438</v>
      </c>
      <c r="F183" s="78">
        <v>0.30072916666666666</v>
      </c>
      <c r="G183" t="s">
        <v>1405</v>
      </c>
      <c r="H183" t="s">
        <v>1335</v>
      </c>
      <c r="I183" s="88" t="str">
        <f>VLOOKUP(A183,Base!A:B,2,0)</f>
        <v>07.760.886-9</v>
      </c>
      <c r="J183" s="99" t="str">
        <f>VLOOKUP(A183,Base!A:F,6,0)</f>
        <v>OSCAR ALFREDO  ALBORNOZ  ROA</v>
      </c>
      <c r="K183" s="89" t="str">
        <f>IFERROR(IF(VLOOKUP(I183,Ingreso!K:P,6,0)=0,"Sin turtno ing",VLOOKUP(I183,Ingreso!K:P,6,0)),IF(F183&gt;0.25,IF(F183&lt;0.311805555555556,"Turno A",IF(F183&gt;0.3125,IF(F183&lt;0.354166666666667,"Turno C",IF(F183&gt;0.583333333333333,IF(F183&lt;0.625,"Turno B",IF(F183&gt;0.625694444444444,IF(F183&lt;0.8125,"Turno A",IF(F183&gt;0.875,IF(F183&lt;0.936805555555556,"Turno C",IF(F183&gt;0.9375,IF(F183&lt;0.979166666666667,"Turno B",""),"")),"")),"")),"")),"")),""))</f>
        <v>Sin turtno ing</v>
      </c>
      <c r="L183" s="91" t="e">
        <f t="shared" si="2"/>
        <v>#N/A</v>
      </c>
    </row>
    <row r="184" spans="1:12" s="40" customFormat="1">
      <c r="A184">
        <v>7760886</v>
      </c>
      <c r="B184" t="s">
        <v>56</v>
      </c>
      <c r="C184" t="s">
        <v>54</v>
      </c>
      <c r="D184" t="s">
        <v>55</v>
      </c>
      <c r="E184" t="s">
        <v>1439</v>
      </c>
      <c r="F184" s="78">
        <v>0.81023148148148139</v>
      </c>
      <c r="G184" t="s">
        <v>1406</v>
      </c>
      <c r="H184" t="s">
        <v>1336</v>
      </c>
      <c r="I184" s="88" t="str">
        <f>VLOOKUP(A184,Base!A:B,2,0)</f>
        <v>07.760.886-9</v>
      </c>
      <c r="J184" s="99" t="str">
        <f>VLOOKUP(A184,Base!A:F,6,0)</f>
        <v>OSCAR ALFREDO  ALBORNOZ  ROA</v>
      </c>
      <c r="K184" s="89" t="str">
        <f>IFERROR(IF(VLOOKUP(I184,Ingreso!K:P,6,0)=0,"Sin turtno ing",VLOOKUP(I184,Ingreso!K:P,6,0)),IF(F184&gt;0.25,IF(F184&lt;0.311805555555556,"Turno A",IF(F184&gt;0.3125,IF(F184&lt;0.354166666666667,"Turno C",IF(F184&gt;0.583333333333333,IF(F184&lt;0.625,"Turno B",IF(F184&gt;0.625694444444444,IF(F184&lt;0.8125,"Turno A",IF(F184&gt;0.875,IF(F184&lt;0.936805555555556,"Turno C",IF(F184&gt;0.9375,IF(F184&lt;0.979166666666667,"Turno B",""),"")),"")),"")),"")),"")),""))</f>
        <v>Sin turtno ing</v>
      </c>
      <c r="L184" s="91" t="e">
        <f t="shared" si="2"/>
        <v>#N/A</v>
      </c>
    </row>
    <row r="185" spans="1:12" s="40" customFormat="1">
      <c r="A185">
        <v>7760886</v>
      </c>
      <c r="B185" t="s">
        <v>56</v>
      </c>
      <c r="C185" t="s">
        <v>54</v>
      </c>
      <c r="D185" t="s">
        <v>55</v>
      </c>
      <c r="E185" t="s">
        <v>1439</v>
      </c>
      <c r="F185" s="78">
        <v>0.54583333333333328</v>
      </c>
      <c r="G185" t="s">
        <v>1405</v>
      </c>
      <c r="H185" t="s">
        <v>1335</v>
      </c>
      <c r="I185" s="88" t="str">
        <f>VLOOKUP(A185,Base!A:B,2,0)</f>
        <v>07.760.886-9</v>
      </c>
      <c r="J185" s="99" t="str">
        <f>VLOOKUP(A185,Base!A:F,6,0)</f>
        <v>OSCAR ALFREDO  ALBORNOZ  ROA</v>
      </c>
      <c r="K185" s="89" t="str">
        <f>IFERROR(IF(VLOOKUP(I185,Ingreso!K:P,6,0)=0,"Sin turtno ing",VLOOKUP(I185,Ingreso!K:P,6,0)),IF(F185&gt;0.25,IF(F185&lt;0.311805555555556,"Turno A",IF(F185&gt;0.3125,IF(F185&lt;0.354166666666667,"Turno C",IF(F185&gt;0.583333333333333,IF(F185&lt;0.625,"Turno B",IF(F185&gt;0.625694444444444,IF(F185&lt;0.8125,"Turno A",IF(F185&gt;0.875,IF(F185&lt;0.936805555555556,"Turno C",IF(F185&gt;0.9375,IF(F185&lt;0.979166666666667,"Turno B",""),"")),"")),"")),"")),"")),""))</f>
        <v>Sin turtno ing</v>
      </c>
      <c r="L185" s="91" t="e">
        <f t="shared" si="2"/>
        <v>#N/A</v>
      </c>
    </row>
    <row r="186" spans="1:12" s="40" customFormat="1">
      <c r="A186">
        <v>7807741</v>
      </c>
      <c r="B186" t="s">
        <v>1093</v>
      </c>
      <c r="C186" t="s">
        <v>943</v>
      </c>
      <c r="D186" t="s">
        <v>185</v>
      </c>
      <c r="E186" t="s">
        <v>1440</v>
      </c>
      <c r="F186" s="78">
        <v>0.93638888888888883</v>
      </c>
      <c r="G186" t="s">
        <v>1406</v>
      </c>
      <c r="H186" t="s">
        <v>1336</v>
      </c>
      <c r="I186" s="88" t="str">
        <f>VLOOKUP(A186,Base!A:B,2,0)</f>
        <v>07.807.741-7</v>
      </c>
      <c r="J186" s="99" t="str">
        <f>VLOOKUP(A186,Base!A:F,6,0)</f>
        <v>RUBEN A  VIDAL  ORMAZABAL</v>
      </c>
      <c r="K186" s="89" t="str">
        <f>IFERROR(IF(VLOOKUP(I186,Ingreso!K:P,6,0)=0,"Sin turtno ing",VLOOKUP(I186,Ingreso!K:P,6,0)),IF(F186&gt;0.25,IF(F186&lt;0.311805555555556,"Turno A",IF(F186&gt;0.3125,IF(F186&lt;0.354166666666667,"Turno C",IF(F186&gt;0.583333333333333,IF(F186&lt;0.625,"Turno B",IF(F186&gt;0.625694444444444,IF(F186&lt;0.8125,"Turno A",IF(F186&gt;0.875,IF(F186&lt;0.936805555555556,"Turno C",IF(F186&gt;0.9375,IF(F186&lt;0.979166666666667,"Turno B",""),"")),"")),"")),"")),"")),""))</f>
        <v>Turno C</v>
      </c>
      <c r="L186" s="91">
        <f t="shared" si="2"/>
        <v>0.375</v>
      </c>
    </row>
    <row r="187" spans="1:12" s="40" customFormat="1">
      <c r="A187">
        <v>7807741</v>
      </c>
      <c r="B187" t="s">
        <v>1093</v>
      </c>
      <c r="C187" t="s">
        <v>943</v>
      </c>
      <c r="D187" t="s">
        <v>185</v>
      </c>
      <c r="E187" t="s">
        <v>1440</v>
      </c>
      <c r="F187" s="78">
        <v>0.61201388888888886</v>
      </c>
      <c r="G187" t="s">
        <v>1405</v>
      </c>
      <c r="H187" t="s">
        <v>1335</v>
      </c>
      <c r="I187" s="88" t="str">
        <f>VLOOKUP(A187,Base!A:B,2,0)</f>
        <v>07.807.741-7</v>
      </c>
      <c r="J187" s="99" t="str">
        <f>VLOOKUP(A187,Base!A:F,6,0)</f>
        <v>RUBEN A  VIDAL  ORMAZABAL</v>
      </c>
      <c r="K187" s="89" t="str">
        <f>IFERROR(IF(VLOOKUP(I187,Ingreso!K:P,6,0)=0,"Sin turtno ing",VLOOKUP(I187,Ingreso!K:P,6,0)),IF(F187&gt;0.25,IF(F187&lt;0.311805555555556,"Turno A",IF(F187&gt;0.3125,IF(F187&lt;0.354166666666667,"Turno C",IF(F187&gt;0.583333333333333,IF(F187&lt;0.625,"Turno B",IF(F187&gt;0.625694444444444,IF(F187&lt;0.8125,"Turno A",IF(F187&gt;0.875,IF(F187&lt;0.936805555555556,"Turno C",IF(F187&gt;0.9375,IF(F187&lt;0.979166666666667,"Turno B",""),"")),"")),"")),"")),"")),""))</f>
        <v>Turno B</v>
      </c>
      <c r="L187" s="91">
        <f t="shared" si="2"/>
        <v>0.3125</v>
      </c>
    </row>
    <row r="188" spans="1:12" s="40" customFormat="1">
      <c r="A188">
        <v>7807741</v>
      </c>
      <c r="B188" t="s">
        <v>1093</v>
      </c>
      <c r="C188" t="s">
        <v>943</v>
      </c>
      <c r="D188" t="s">
        <v>185</v>
      </c>
      <c r="E188" t="s">
        <v>1441</v>
      </c>
      <c r="F188" s="78">
        <v>0.9375</v>
      </c>
      <c r="G188" t="s">
        <v>1406</v>
      </c>
      <c r="H188" t="s">
        <v>1336</v>
      </c>
      <c r="I188" s="88" t="str">
        <f>VLOOKUP(A188,Base!A:B,2,0)</f>
        <v>07.807.741-7</v>
      </c>
      <c r="J188" s="99" t="str">
        <f>VLOOKUP(A188,Base!A:F,6,0)</f>
        <v>RUBEN A  VIDAL  ORMAZABAL</v>
      </c>
      <c r="K188" s="89" t="str">
        <f>IFERROR(IF(VLOOKUP(I188,Ingreso!K:P,6,0)=0,"Sin turtno ing",VLOOKUP(I188,Ingreso!K:P,6,0)),IF(F188&gt;0.25,IF(F188&lt;0.311805555555556,"Turno A",IF(F188&gt;0.3125,IF(F188&lt;0.354166666666667,"Turno C",IF(F188&gt;0.583333333333333,IF(F188&lt;0.625,"Turno B",IF(F188&gt;0.625694444444444,IF(F188&lt;0.8125,"Turno A",IF(F188&gt;0.875,IF(F188&lt;0.936805555555556,"Turno C",IF(F188&gt;0.9375,IF(F188&lt;0.979166666666667,"Turno B",""),"")),"")),"")),"")),"")),""))</f>
        <v/>
      </c>
      <c r="L188" s="91" t="e">
        <f t="shared" si="2"/>
        <v>#N/A</v>
      </c>
    </row>
    <row r="189" spans="1:12" s="40" customFormat="1">
      <c r="A189">
        <v>7807741</v>
      </c>
      <c r="B189" t="s">
        <v>1093</v>
      </c>
      <c r="C189" t="s">
        <v>943</v>
      </c>
      <c r="D189" t="s">
        <v>185</v>
      </c>
      <c r="E189" t="s">
        <v>1441</v>
      </c>
      <c r="F189" s="78">
        <v>0.61537037037037035</v>
      </c>
      <c r="G189" t="s">
        <v>1405</v>
      </c>
      <c r="H189" t="s">
        <v>1335</v>
      </c>
      <c r="I189" s="88" t="str">
        <f>VLOOKUP(A189,Base!A:B,2,0)</f>
        <v>07.807.741-7</v>
      </c>
      <c r="J189" s="99" t="str">
        <f>VLOOKUP(A189,Base!A:F,6,0)</f>
        <v>RUBEN A  VIDAL  ORMAZABAL</v>
      </c>
      <c r="K189" s="89" t="str">
        <f>IFERROR(IF(VLOOKUP(I189,Ingreso!K:P,6,0)=0,"Sin turtno ing",VLOOKUP(I189,Ingreso!K:P,6,0)),IF(F189&gt;0.25,IF(F189&lt;0.311805555555556,"Turno A",IF(F189&gt;0.3125,IF(F189&lt;0.354166666666667,"Turno C",IF(F189&gt;0.583333333333333,IF(F189&lt;0.625,"Turno B",IF(F189&gt;0.625694444444444,IF(F189&lt;0.8125,"Turno A",IF(F189&gt;0.875,IF(F189&lt;0.936805555555556,"Turno C",IF(F189&gt;0.9375,IF(F189&lt;0.979166666666667,"Turno B",""),"")),"")),"")),"")),"")),""))</f>
        <v>Turno B</v>
      </c>
      <c r="L189" s="91">
        <f t="shared" si="2"/>
        <v>0.3125</v>
      </c>
    </row>
    <row r="190" spans="1:12" s="40" customFormat="1">
      <c r="A190">
        <v>7807741</v>
      </c>
      <c r="B190" t="s">
        <v>1093</v>
      </c>
      <c r="C190" t="s">
        <v>943</v>
      </c>
      <c r="D190" t="s">
        <v>185</v>
      </c>
      <c r="E190" t="s">
        <v>1437</v>
      </c>
      <c r="F190" s="78">
        <v>0.93758101851851849</v>
      </c>
      <c r="G190" t="s">
        <v>1406</v>
      </c>
      <c r="H190" t="s">
        <v>1336</v>
      </c>
      <c r="I190" s="88" t="str">
        <f>VLOOKUP(A190,Base!A:B,2,0)</f>
        <v>07.807.741-7</v>
      </c>
      <c r="J190" s="99" t="str">
        <f>VLOOKUP(A190,Base!A:F,6,0)</f>
        <v>RUBEN A  VIDAL  ORMAZABAL</v>
      </c>
      <c r="K190" s="89" t="str">
        <f>IFERROR(IF(VLOOKUP(I190,Ingreso!K:P,6,0)=0,"Sin turtno ing",VLOOKUP(I190,Ingreso!K:P,6,0)),IF(F190&gt;0.25,IF(F190&lt;0.311805555555556,"Turno A",IF(F190&gt;0.3125,IF(F190&lt;0.354166666666667,"Turno C",IF(F190&gt;0.583333333333333,IF(F190&lt;0.625,"Turno B",IF(F190&gt;0.625694444444444,IF(F190&lt;0.8125,"Turno A",IF(F190&gt;0.875,IF(F190&lt;0.936805555555556,"Turno C",IF(F190&gt;0.9375,IF(F190&lt;0.979166666666667,"Turno B",""),"")),"")),"")),"")),"")),""))</f>
        <v>Turno B</v>
      </c>
      <c r="L190" s="91">
        <f t="shared" si="2"/>
        <v>0.3125</v>
      </c>
    </row>
    <row r="191" spans="1:12" s="40" customFormat="1">
      <c r="A191">
        <v>7807741</v>
      </c>
      <c r="B191" t="s">
        <v>1093</v>
      </c>
      <c r="C191" t="s">
        <v>943</v>
      </c>
      <c r="D191" t="s">
        <v>185</v>
      </c>
      <c r="E191" t="s">
        <v>1437</v>
      </c>
      <c r="F191" s="78">
        <v>0.61299768518518516</v>
      </c>
      <c r="G191" t="s">
        <v>1405</v>
      </c>
      <c r="H191" t="s">
        <v>1335</v>
      </c>
      <c r="I191" s="88" t="str">
        <f>VLOOKUP(A191,Base!A:B,2,0)</f>
        <v>07.807.741-7</v>
      </c>
      <c r="J191" s="99" t="str">
        <f>VLOOKUP(A191,Base!A:F,6,0)</f>
        <v>RUBEN A  VIDAL  ORMAZABAL</v>
      </c>
      <c r="K191" s="89" t="str">
        <f>IFERROR(IF(VLOOKUP(I191,Ingreso!K:P,6,0)=0,"Sin turtno ing",VLOOKUP(I191,Ingreso!K:P,6,0)),IF(F191&gt;0.25,IF(F191&lt;0.311805555555556,"Turno A",IF(F191&gt;0.3125,IF(F191&lt;0.354166666666667,"Turno C",IF(F191&gt;0.583333333333333,IF(F191&lt;0.625,"Turno B",IF(F191&gt;0.625694444444444,IF(F191&lt;0.8125,"Turno A",IF(F191&gt;0.875,IF(F191&lt;0.936805555555556,"Turno C",IF(F191&gt;0.9375,IF(F191&lt;0.979166666666667,"Turno B",""),"")),"")),"")),"")),"")),""))</f>
        <v>Turno B</v>
      </c>
      <c r="L191" s="91">
        <f t="shared" si="2"/>
        <v>0.3125</v>
      </c>
    </row>
    <row r="192" spans="1:12" s="40" customFormat="1">
      <c r="A192">
        <v>7807741</v>
      </c>
      <c r="B192" t="s">
        <v>1093</v>
      </c>
      <c r="C192" t="s">
        <v>943</v>
      </c>
      <c r="D192" t="s">
        <v>185</v>
      </c>
      <c r="E192" t="s">
        <v>1438</v>
      </c>
      <c r="F192" s="78">
        <v>0.9366782407407408</v>
      </c>
      <c r="G192" t="s">
        <v>1406</v>
      </c>
      <c r="H192" t="s">
        <v>1336</v>
      </c>
      <c r="I192" s="88" t="str">
        <f>VLOOKUP(A192,Base!A:B,2,0)</f>
        <v>07.807.741-7</v>
      </c>
      <c r="J192" s="99" t="str">
        <f>VLOOKUP(A192,Base!A:F,6,0)</f>
        <v>RUBEN A  VIDAL  ORMAZABAL</v>
      </c>
      <c r="K192" s="89" t="str">
        <f>IFERROR(IF(VLOOKUP(I192,Ingreso!K:P,6,0)=0,"Sin turtno ing",VLOOKUP(I192,Ingreso!K:P,6,0)),IF(F192&gt;0.25,IF(F192&lt;0.311805555555556,"Turno A",IF(F192&gt;0.3125,IF(F192&lt;0.354166666666667,"Turno C",IF(F192&gt;0.583333333333333,IF(F192&lt;0.625,"Turno B",IF(F192&gt;0.625694444444444,IF(F192&lt;0.8125,"Turno A",IF(F192&gt;0.875,IF(F192&lt;0.936805555555556,"Turno C",IF(F192&gt;0.9375,IF(F192&lt;0.979166666666667,"Turno B",""),"")),"")),"")),"")),"")),""))</f>
        <v>Turno C</v>
      </c>
      <c r="L192" s="91">
        <f t="shared" si="2"/>
        <v>0.375</v>
      </c>
    </row>
    <row r="193" spans="1:12" s="40" customFormat="1">
      <c r="A193">
        <v>7807741</v>
      </c>
      <c r="B193" t="s">
        <v>1093</v>
      </c>
      <c r="C193" t="s">
        <v>943</v>
      </c>
      <c r="D193" t="s">
        <v>185</v>
      </c>
      <c r="E193" t="s">
        <v>1438</v>
      </c>
      <c r="F193" s="78">
        <v>0.61200231481481482</v>
      </c>
      <c r="G193" t="s">
        <v>1405</v>
      </c>
      <c r="H193" t="s">
        <v>1335</v>
      </c>
      <c r="I193" s="88" t="str">
        <f>VLOOKUP(A193,Base!A:B,2,0)</f>
        <v>07.807.741-7</v>
      </c>
      <c r="J193" s="99" t="str">
        <f>VLOOKUP(A193,Base!A:F,6,0)</f>
        <v>RUBEN A  VIDAL  ORMAZABAL</v>
      </c>
      <c r="K193" s="89" t="str">
        <f>IFERROR(IF(VLOOKUP(I193,Ingreso!K:P,6,0)=0,"Sin turtno ing",VLOOKUP(I193,Ingreso!K:P,6,0)),IF(F193&gt;0.25,IF(F193&lt;0.311805555555556,"Turno A",IF(F193&gt;0.3125,IF(F193&lt;0.354166666666667,"Turno C",IF(F193&gt;0.583333333333333,IF(F193&lt;0.625,"Turno B",IF(F193&gt;0.625694444444444,IF(F193&lt;0.8125,"Turno A",IF(F193&gt;0.875,IF(F193&lt;0.936805555555556,"Turno C",IF(F193&gt;0.9375,IF(F193&lt;0.979166666666667,"Turno B",""),"")),"")),"")),"")),"")),""))</f>
        <v>Turno B</v>
      </c>
      <c r="L193" s="91">
        <f t="shared" si="2"/>
        <v>0.3125</v>
      </c>
    </row>
    <row r="194" spans="1:12" s="40" customFormat="1">
      <c r="A194">
        <v>7807741</v>
      </c>
      <c r="B194" t="s">
        <v>1093</v>
      </c>
      <c r="C194" t="s">
        <v>943</v>
      </c>
      <c r="D194" t="s">
        <v>185</v>
      </c>
      <c r="E194" t="s">
        <v>1439</v>
      </c>
      <c r="F194" s="78">
        <v>0.93776620370370367</v>
      </c>
      <c r="G194" t="s">
        <v>1406</v>
      </c>
      <c r="H194" t="s">
        <v>1336</v>
      </c>
      <c r="I194" s="88" t="str">
        <f>VLOOKUP(A194,Base!A:B,2,0)</f>
        <v>07.807.741-7</v>
      </c>
      <c r="J194" s="99" t="str">
        <f>VLOOKUP(A194,Base!A:F,6,0)</f>
        <v>RUBEN A  VIDAL  ORMAZABAL</v>
      </c>
      <c r="K194" s="89" t="str">
        <f>IFERROR(IF(VLOOKUP(I194,Ingreso!K:P,6,0)=0,"Sin turtno ing",VLOOKUP(I194,Ingreso!K:P,6,0)),IF(F194&gt;0.25,IF(F194&lt;0.311805555555556,"Turno A",IF(F194&gt;0.3125,IF(F194&lt;0.354166666666667,"Turno C",IF(F194&gt;0.583333333333333,IF(F194&lt;0.625,"Turno B",IF(F194&gt;0.625694444444444,IF(F194&lt;0.8125,"Turno A",IF(F194&gt;0.875,IF(F194&lt;0.936805555555556,"Turno C",IF(F194&gt;0.9375,IF(F194&lt;0.979166666666667,"Turno B",""),"")),"")),"")),"")),"")),""))</f>
        <v>Turno B</v>
      </c>
      <c r="L194" s="91">
        <f t="shared" si="2"/>
        <v>0.3125</v>
      </c>
    </row>
    <row r="195" spans="1:12" s="40" customFormat="1">
      <c r="A195">
        <v>7807741</v>
      </c>
      <c r="B195" t="s">
        <v>1093</v>
      </c>
      <c r="C195" t="s">
        <v>943</v>
      </c>
      <c r="D195" t="s">
        <v>185</v>
      </c>
      <c r="E195" t="s">
        <v>1439</v>
      </c>
      <c r="F195" s="78">
        <v>0.61197916666666663</v>
      </c>
      <c r="G195" t="s">
        <v>1405</v>
      </c>
      <c r="H195" t="s">
        <v>1335</v>
      </c>
      <c r="I195" s="88" t="str">
        <f>VLOOKUP(A195,Base!A:B,2,0)</f>
        <v>07.807.741-7</v>
      </c>
      <c r="J195" s="99" t="str">
        <f>VLOOKUP(A195,Base!A:F,6,0)</f>
        <v>RUBEN A  VIDAL  ORMAZABAL</v>
      </c>
      <c r="K195" s="89" t="str">
        <f>IFERROR(IF(VLOOKUP(I195,Ingreso!K:P,6,0)=0,"Sin turtno ing",VLOOKUP(I195,Ingreso!K:P,6,0)),IF(F195&gt;0.25,IF(F195&lt;0.311805555555556,"Turno A",IF(F195&gt;0.3125,IF(F195&lt;0.354166666666667,"Turno C",IF(F195&gt;0.583333333333333,IF(F195&lt;0.625,"Turno B",IF(F195&gt;0.625694444444444,IF(F195&lt;0.8125,"Turno A",IF(F195&gt;0.875,IF(F195&lt;0.936805555555556,"Turno C",IF(F195&gt;0.9375,IF(F195&lt;0.979166666666667,"Turno B",""),"")),"")),"")),"")),"")),""))</f>
        <v>Turno B</v>
      </c>
      <c r="L195" s="91">
        <f t="shared" ref="L195:L258" si="3">VLOOKUP(K195,$S$3:$T$7,2,0)</f>
        <v>0.3125</v>
      </c>
    </row>
    <row r="196" spans="1:12" s="40" customFormat="1">
      <c r="A196">
        <v>7815068</v>
      </c>
      <c r="B196" t="s">
        <v>1171</v>
      </c>
      <c r="C196" t="s">
        <v>1170</v>
      </c>
      <c r="D196" t="s">
        <v>343</v>
      </c>
      <c r="E196" t="s">
        <v>1440</v>
      </c>
      <c r="F196" s="78">
        <v>0.32462962962962966</v>
      </c>
      <c r="G196" t="s">
        <v>1406</v>
      </c>
      <c r="H196" t="s">
        <v>1336</v>
      </c>
      <c r="I196" s="88" t="str">
        <f>VLOOKUP(A196,Base!A:B,2,0)</f>
        <v>07.815.068-8</v>
      </c>
      <c r="J196" s="99" t="str">
        <f>VLOOKUP(A196,Base!A:F,6,0)</f>
        <v>ANA MARITZA  JORQUERA  DURAN</v>
      </c>
      <c r="K196" s="89" t="str">
        <f>IFERROR(IF(VLOOKUP(I196,Ingreso!K:P,6,0)=0,"Sin turtno ing",VLOOKUP(I196,Ingreso!K:P,6,0)),IF(F196&gt;0.25,IF(F196&lt;0.311805555555556,"Turno A",IF(F196&gt;0.3125,IF(F196&lt;0.354166666666667,"Turno C",IF(F196&gt;0.583333333333333,IF(F196&lt;0.625,"Turno B",IF(F196&gt;0.625694444444444,IF(F196&lt;0.8125,"Turno A",IF(F196&gt;0.875,IF(F196&lt;0.936805555555556,"Turno C",IF(F196&gt;0.9375,IF(F196&lt;0.979166666666667,"Turno B",""),"")),"")),"")),"")),"")),""))</f>
        <v>Turno C</v>
      </c>
      <c r="L196" s="91">
        <f t="shared" si="3"/>
        <v>0.375</v>
      </c>
    </row>
    <row r="197" spans="1:12" s="40" customFormat="1">
      <c r="A197">
        <v>7815068</v>
      </c>
      <c r="B197" t="s">
        <v>1171</v>
      </c>
      <c r="C197" t="s">
        <v>1170</v>
      </c>
      <c r="D197" t="s">
        <v>343</v>
      </c>
      <c r="E197" t="s">
        <v>1440</v>
      </c>
      <c r="F197" s="78">
        <v>0.79802083333333329</v>
      </c>
      <c r="G197" t="s">
        <v>1405</v>
      </c>
      <c r="H197" t="s">
        <v>1335</v>
      </c>
      <c r="I197" s="88" t="str">
        <f>VLOOKUP(A197,Base!A:B,2,0)</f>
        <v>07.815.068-8</v>
      </c>
      <c r="J197" s="99" t="str">
        <f>VLOOKUP(A197,Base!A:F,6,0)</f>
        <v>ANA MARITZA  JORQUERA  DURAN</v>
      </c>
      <c r="K197" s="89" t="str">
        <f>IFERROR(IF(VLOOKUP(I197,Ingreso!K:P,6,0)=0,"Sin turtno ing",VLOOKUP(I197,Ingreso!K:P,6,0)),IF(F197&gt;0.25,IF(F197&lt;0.311805555555556,"Turno A",IF(F197&gt;0.3125,IF(F197&lt;0.354166666666667,"Turno C",IF(F197&gt;0.583333333333333,IF(F197&lt;0.625,"Turno B",IF(F197&gt;0.625694444444444,IF(F197&lt;0.8125,"Turno A",IF(F197&gt;0.875,IF(F197&lt;0.936805555555556,"Turno C",IF(F197&gt;0.9375,IF(F197&lt;0.979166666666667,"Turno B",""),"")),"")),"")),"")),"")),""))</f>
        <v>Turno C</v>
      </c>
      <c r="L197" s="91">
        <f t="shared" si="3"/>
        <v>0.375</v>
      </c>
    </row>
    <row r="198" spans="1:12" s="40" customFormat="1">
      <c r="A198">
        <v>7815068</v>
      </c>
      <c r="B198" t="s">
        <v>1171</v>
      </c>
      <c r="C198" t="s">
        <v>1170</v>
      </c>
      <c r="D198" t="s">
        <v>343</v>
      </c>
      <c r="E198" t="s">
        <v>1441</v>
      </c>
      <c r="F198" s="78">
        <v>0.32440972222222225</v>
      </c>
      <c r="G198" t="s">
        <v>1406</v>
      </c>
      <c r="H198" t="s">
        <v>1336</v>
      </c>
      <c r="I198" s="88" t="str">
        <f>VLOOKUP(A198,Base!A:B,2,0)</f>
        <v>07.815.068-8</v>
      </c>
      <c r="J198" s="99" t="str">
        <f>VLOOKUP(A198,Base!A:F,6,0)</f>
        <v>ANA MARITZA  JORQUERA  DURAN</v>
      </c>
      <c r="K198" s="89" t="str">
        <f>IFERROR(IF(VLOOKUP(I198,Ingreso!K:P,6,0)=0,"Sin turtno ing",VLOOKUP(I198,Ingreso!K:P,6,0)),IF(F198&gt;0.25,IF(F198&lt;0.311805555555556,"Turno A",IF(F198&gt;0.3125,IF(F198&lt;0.354166666666667,"Turno C",IF(F198&gt;0.583333333333333,IF(F198&lt;0.625,"Turno B",IF(F198&gt;0.625694444444444,IF(F198&lt;0.8125,"Turno A",IF(F198&gt;0.875,IF(F198&lt;0.936805555555556,"Turno C",IF(F198&gt;0.9375,IF(F198&lt;0.979166666666667,"Turno B",""),"")),"")),"")),"")),"")),""))</f>
        <v>Turno C</v>
      </c>
      <c r="L198" s="91">
        <f t="shared" si="3"/>
        <v>0.375</v>
      </c>
    </row>
    <row r="199" spans="1:12" s="40" customFormat="1">
      <c r="A199">
        <v>7815068</v>
      </c>
      <c r="B199" t="s">
        <v>1171</v>
      </c>
      <c r="C199" t="s">
        <v>1170</v>
      </c>
      <c r="D199" t="s">
        <v>343</v>
      </c>
      <c r="E199" t="s">
        <v>1437</v>
      </c>
      <c r="F199" s="78">
        <v>0.91760416666666667</v>
      </c>
      <c r="G199" t="s">
        <v>1405</v>
      </c>
      <c r="H199" t="s">
        <v>1335</v>
      </c>
      <c r="I199" s="88" t="str">
        <f>VLOOKUP(A199,Base!A:B,2,0)</f>
        <v>07.815.068-8</v>
      </c>
      <c r="J199" s="99" t="str">
        <f>VLOOKUP(A199,Base!A:F,6,0)</f>
        <v>ANA MARITZA  JORQUERA  DURAN</v>
      </c>
      <c r="K199" s="89" t="str">
        <f>IFERROR(IF(VLOOKUP(I199,Ingreso!K:P,6,0)=0,"Sin turtno ing",VLOOKUP(I199,Ingreso!K:P,6,0)),IF(F199&gt;0.25,IF(F199&lt;0.311805555555556,"Turno A",IF(F199&gt;0.3125,IF(F199&lt;0.354166666666667,"Turno C",IF(F199&gt;0.583333333333333,IF(F199&lt;0.625,"Turno B",IF(F199&gt;0.625694444444444,IF(F199&lt;0.8125,"Turno A",IF(F199&gt;0.875,IF(F199&lt;0.936805555555556,"Turno C",IF(F199&gt;0.9375,IF(F199&lt;0.979166666666667,"Turno B",""),"")),"")),"")),"")),"")),""))</f>
        <v>Turno C</v>
      </c>
      <c r="L199" s="91">
        <f t="shared" si="3"/>
        <v>0.375</v>
      </c>
    </row>
    <row r="200" spans="1:12" s="40" customFormat="1">
      <c r="A200">
        <v>7815068</v>
      </c>
      <c r="B200" t="s">
        <v>1171</v>
      </c>
      <c r="C200" t="s">
        <v>1170</v>
      </c>
      <c r="D200" t="s">
        <v>343</v>
      </c>
      <c r="E200" t="s">
        <v>1438</v>
      </c>
      <c r="F200" s="78">
        <v>0.32483796296296297</v>
      </c>
      <c r="G200" t="s">
        <v>1406</v>
      </c>
      <c r="H200" t="s">
        <v>1336</v>
      </c>
      <c r="I200" s="88" t="str">
        <f>VLOOKUP(A200,Base!A:B,2,0)</f>
        <v>07.815.068-8</v>
      </c>
      <c r="J200" s="99" t="str">
        <f>VLOOKUP(A200,Base!A:F,6,0)</f>
        <v>ANA MARITZA  JORQUERA  DURAN</v>
      </c>
      <c r="K200" s="89" t="str">
        <f>IFERROR(IF(VLOOKUP(I200,Ingreso!K:P,6,0)=0,"Sin turtno ing",VLOOKUP(I200,Ingreso!K:P,6,0)),IF(F200&gt;0.25,IF(F200&lt;0.311805555555556,"Turno A",IF(F200&gt;0.3125,IF(F200&lt;0.354166666666667,"Turno C",IF(F200&gt;0.583333333333333,IF(F200&lt;0.625,"Turno B",IF(F200&gt;0.625694444444444,IF(F200&lt;0.8125,"Turno A",IF(F200&gt;0.875,IF(F200&lt;0.936805555555556,"Turno C",IF(F200&gt;0.9375,IF(F200&lt;0.979166666666667,"Turno B",""),"")),"")),"")),"")),"")),""))</f>
        <v>Turno C</v>
      </c>
      <c r="L200" s="91">
        <f t="shared" si="3"/>
        <v>0.375</v>
      </c>
    </row>
    <row r="201" spans="1:12" s="40" customFormat="1">
      <c r="A201">
        <v>7815068</v>
      </c>
      <c r="B201" t="s">
        <v>1171</v>
      </c>
      <c r="C201" t="s">
        <v>1170</v>
      </c>
      <c r="D201" t="s">
        <v>343</v>
      </c>
      <c r="E201" t="s">
        <v>1438</v>
      </c>
      <c r="F201" s="78">
        <v>0.91900462962962959</v>
      </c>
      <c r="G201" t="s">
        <v>1405</v>
      </c>
      <c r="H201" t="s">
        <v>1335</v>
      </c>
      <c r="I201" s="88" t="str">
        <f>VLOOKUP(A201,Base!A:B,2,0)</f>
        <v>07.815.068-8</v>
      </c>
      <c r="J201" s="99" t="str">
        <f>VLOOKUP(A201,Base!A:F,6,0)</f>
        <v>ANA MARITZA  JORQUERA  DURAN</v>
      </c>
      <c r="K201" s="89" t="str">
        <f>IFERROR(IF(VLOOKUP(I201,Ingreso!K:P,6,0)=0,"Sin turtno ing",VLOOKUP(I201,Ingreso!K:P,6,0)),IF(F201&gt;0.25,IF(F201&lt;0.311805555555556,"Turno A",IF(F201&gt;0.3125,IF(F201&lt;0.354166666666667,"Turno C",IF(F201&gt;0.583333333333333,IF(F201&lt;0.625,"Turno B",IF(F201&gt;0.625694444444444,IF(F201&lt;0.8125,"Turno A",IF(F201&gt;0.875,IF(F201&lt;0.936805555555556,"Turno C",IF(F201&gt;0.9375,IF(F201&lt;0.979166666666667,"Turno B",""),"")),"")),"")),"")),"")),""))</f>
        <v>Turno C</v>
      </c>
      <c r="L201" s="91">
        <f t="shared" si="3"/>
        <v>0.375</v>
      </c>
    </row>
    <row r="202" spans="1:12" s="40" customFormat="1">
      <c r="A202">
        <v>7815068</v>
      </c>
      <c r="B202" t="s">
        <v>1171</v>
      </c>
      <c r="C202" t="s">
        <v>1170</v>
      </c>
      <c r="D202" t="s">
        <v>343</v>
      </c>
      <c r="E202" t="s">
        <v>1439</v>
      </c>
      <c r="F202" s="78">
        <v>0.32560185185185186</v>
      </c>
      <c r="G202" t="s">
        <v>1406</v>
      </c>
      <c r="H202" t="s">
        <v>1336</v>
      </c>
      <c r="I202" s="88" t="str">
        <f>VLOOKUP(A202,Base!A:B,2,0)</f>
        <v>07.815.068-8</v>
      </c>
      <c r="J202" s="99" t="str">
        <f>VLOOKUP(A202,Base!A:F,6,0)</f>
        <v>ANA MARITZA  JORQUERA  DURAN</v>
      </c>
      <c r="K202" s="89" t="str">
        <f>IFERROR(IF(VLOOKUP(I202,Ingreso!K:P,6,0)=0,"Sin turtno ing",VLOOKUP(I202,Ingreso!K:P,6,0)),IF(F202&gt;0.25,IF(F202&lt;0.311805555555556,"Turno A",IF(F202&gt;0.3125,IF(F202&lt;0.354166666666667,"Turno C",IF(F202&gt;0.583333333333333,IF(F202&lt;0.625,"Turno B",IF(F202&gt;0.625694444444444,IF(F202&lt;0.8125,"Turno A",IF(F202&gt;0.875,IF(F202&lt;0.936805555555556,"Turno C",IF(F202&gt;0.9375,IF(F202&lt;0.979166666666667,"Turno B",""),"")),"")),"")),"")),"")),""))</f>
        <v>Turno C</v>
      </c>
      <c r="L202" s="91">
        <f t="shared" si="3"/>
        <v>0.375</v>
      </c>
    </row>
    <row r="203" spans="1:12" s="40" customFormat="1">
      <c r="A203">
        <v>7815068</v>
      </c>
      <c r="B203" t="s">
        <v>1171</v>
      </c>
      <c r="C203" t="s">
        <v>1170</v>
      </c>
      <c r="D203" t="s">
        <v>343</v>
      </c>
      <c r="E203" t="s">
        <v>1439</v>
      </c>
      <c r="F203" s="78">
        <v>0.80957175925925917</v>
      </c>
      <c r="G203" t="s">
        <v>1405</v>
      </c>
      <c r="H203" t="s">
        <v>1335</v>
      </c>
      <c r="I203" s="88" t="str">
        <f>VLOOKUP(A203,Base!A:B,2,0)</f>
        <v>07.815.068-8</v>
      </c>
      <c r="J203" s="99" t="str">
        <f>VLOOKUP(A203,Base!A:F,6,0)</f>
        <v>ANA MARITZA  JORQUERA  DURAN</v>
      </c>
      <c r="K203" s="89" t="str">
        <f>IFERROR(IF(VLOOKUP(I203,Ingreso!K:P,6,0)=0,"Sin turtno ing",VLOOKUP(I203,Ingreso!K:P,6,0)),IF(F203&gt;0.25,IF(F203&lt;0.311805555555556,"Turno A",IF(F203&gt;0.3125,IF(F203&lt;0.354166666666667,"Turno C",IF(F203&gt;0.583333333333333,IF(F203&lt;0.625,"Turno B",IF(F203&gt;0.625694444444444,IF(F203&lt;0.8125,"Turno A",IF(F203&gt;0.875,IF(F203&lt;0.936805555555556,"Turno C",IF(F203&gt;0.9375,IF(F203&lt;0.979166666666667,"Turno B",""),"")),"")),"")),"")),"")),""))</f>
        <v>Turno C</v>
      </c>
      <c r="L203" s="91">
        <f t="shared" si="3"/>
        <v>0.375</v>
      </c>
    </row>
    <row r="204" spans="1:12" s="40" customFormat="1">
      <c r="A204">
        <v>7815083</v>
      </c>
      <c r="B204" t="s">
        <v>771</v>
      </c>
      <c r="C204" t="s">
        <v>126</v>
      </c>
      <c r="D204" t="s">
        <v>770</v>
      </c>
      <c r="E204" t="s">
        <v>1407</v>
      </c>
      <c r="F204" s="78">
        <v>0</v>
      </c>
      <c r="G204"/>
      <c r="H204"/>
      <c r="I204" s="88" t="str">
        <f>VLOOKUP(A204,Base!A:B,2,0)</f>
        <v>07.815.083-1</v>
      </c>
      <c r="J204" s="99" t="str">
        <f>VLOOKUP(A204,Base!A:F,6,0)</f>
        <v>ELOY ENRIQUE  PALMA  SEREÑO</v>
      </c>
      <c r="K204" s="89" t="str">
        <f>IFERROR(IF(VLOOKUP(I204,Ingreso!K:P,6,0)=0,"Sin turtno ing",VLOOKUP(I204,Ingreso!K:P,6,0)),IF(F204&gt;0.25,IF(F204&lt;0.311805555555556,"Turno A",IF(F204&gt;0.3125,IF(F204&lt;0.354166666666667,"Turno C",IF(F204&gt;0.583333333333333,IF(F204&lt;0.625,"Turno B",IF(F204&gt;0.625694444444444,IF(F204&lt;0.8125,"Turno A",IF(F204&gt;0.875,IF(F204&lt;0.936805555555556,"Turno C",IF(F204&gt;0.9375,IF(F204&lt;0.979166666666667,"Turno B",""),"")),"")),"")),"")),"")),""))</f>
        <v/>
      </c>
      <c r="L204" s="91" t="e">
        <f t="shared" si="3"/>
        <v>#N/A</v>
      </c>
    </row>
    <row r="205" spans="1:12" s="40" customFormat="1">
      <c r="A205">
        <v>7815607</v>
      </c>
      <c r="B205" t="s">
        <v>291</v>
      </c>
      <c r="C205" t="s">
        <v>289</v>
      </c>
      <c r="D205" t="s">
        <v>290</v>
      </c>
      <c r="E205" t="s">
        <v>1440</v>
      </c>
      <c r="F205" s="78">
        <v>0.95118055555555558</v>
      </c>
      <c r="G205" t="s">
        <v>1406</v>
      </c>
      <c r="H205" t="s">
        <v>1336</v>
      </c>
      <c r="I205" s="88" t="str">
        <f>VLOOKUP(A205,Base!A:B,2,0)</f>
        <v>07.815.607-4</v>
      </c>
      <c r="J205" s="99" t="str">
        <f>VLOOKUP(A205,Base!A:F,6,0)</f>
        <v>PATRICIO HERNAN  CUEVAS  ORDENES</v>
      </c>
      <c r="K205" s="89" t="str">
        <f>IFERROR(IF(VLOOKUP(I205,Ingreso!K:P,6,0)=0,"Sin turtno ing",VLOOKUP(I205,Ingreso!K:P,6,0)),IF(F205&gt;0.25,IF(F205&lt;0.311805555555556,"Turno A",IF(F205&gt;0.3125,IF(F205&lt;0.354166666666667,"Turno C",IF(F205&gt;0.583333333333333,IF(F205&lt;0.625,"Turno B",IF(F205&gt;0.625694444444444,IF(F205&lt;0.8125,"Turno A",IF(F205&gt;0.875,IF(F205&lt;0.936805555555556,"Turno C",IF(F205&gt;0.9375,IF(F205&lt;0.979166666666667,"Turno B",""),"")),"")),"")),"")),"")),""))</f>
        <v>Turno B</v>
      </c>
      <c r="L205" s="91">
        <f t="shared" si="3"/>
        <v>0.3125</v>
      </c>
    </row>
    <row r="206" spans="1:12" s="40" customFormat="1">
      <c r="A206">
        <v>7815607</v>
      </c>
      <c r="B206" t="s">
        <v>291</v>
      </c>
      <c r="C206" t="s">
        <v>289</v>
      </c>
      <c r="D206" t="s">
        <v>290</v>
      </c>
      <c r="E206" t="s">
        <v>1440</v>
      </c>
      <c r="F206" s="78">
        <v>0.60598379629629628</v>
      </c>
      <c r="G206" t="s">
        <v>1405</v>
      </c>
      <c r="H206" t="s">
        <v>1335</v>
      </c>
      <c r="I206" s="88" t="str">
        <f>VLOOKUP(A206,Base!A:B,2,0)</f>
        <v>07.815.607-4</v>
      </c>
      <c r="J206" s="99" t="str">
        <f>VLOOKUP(A206,Base!A:F,6,0)</f>
        <v>PATRICIO HERNAN  CUEVAS  ORDENES</v>
      </c>
      <c r="K206" s="89" t="str">
        <f>IFERROR(IF(VLOOKUP(I206,Ingreso!K:P,6,0)=0,"Sin turtno ing",VLOOKUP(I206,Ingreso!K:P,6,0)),IF(F206&gt;0.25,IF(F206&lt;0.311805555555556,"Turno A",IF(F206&gt;0.3125,IF(F206&lt;0.354166666666667,"Turno C",IF(F206&gt;0.583333333333333,IF(F206&lt;0.625,"Turno B",IF(F206&gt;0.625694444444444,IF(F206&lt;0.8125,"Turno A",IF(F206&gt;0.875,IF(F206&lt;0.936805555555556,"Turno C",IF(F206&gt;0.9375,IF(F206&lt;0.979166666666667,"Turno B",""),"")),"")),"")),"")),"")),""))</f>
        <v>Turno B</v>
      </c>
      <c r="L206" s="91">
        <f t="shared" si="3"/>
        <v>0.3125</v>
      </c>
    </row>
    <row r="207" spans="1:12" s="40" customFormat="1">
      <c r="A207">
        <v>7815607</v>
      </c>
      <c r="B207" t="s">
        <v>291</v>
      </c>
      <c r="C207" t="s">
        <v>289</v>
      </c>
      <c r="D207" t="s">
        <v>290</v>
      </c>
      <c r="E207" t="s">
        <v>1441</v>
      </c>
      <c r="F207" s="78">
        <v>0.94224537037037026</v>
      </c>
      <c r="G207" t="s">
        <v>1406</v>
      </c>
      <c r="H207" t="s">
        <v>1336</v>
      </c>
      <c r="I207" s="88" t="str">
        <f>VLOOKUP(A207,Base!A:B,2,0)</f>
        <v>07.815.607-4</v>
      </c>
      <c r="J207" s="99" t="str">
        <f>VLOOKUP(A207,Base!A:F,6,0)</f>
        <v>PATRICIO HERNAN  CUEVAS  ORDENES</v>
      </c>
      <c r="K207" s="89" t="str">
        <f>IFERROR(IF(VLOOKUP(I207,Ingreso!K:P,6,0)=0,"Sin turtno ing",VLOOKUP(I207,Ingreso!K:P,6,0)),IF(F207&gt;0.25,IF(F207&lt;0.311805555555556,"Turno A",IF(F207&gt;0.3125,IF(F207&lt;0.354166666666667,"Turno C",IF(F207&gt;0.583333333333333,IF(F207&lt;0.625,"Turno B",IF(F207&gt;0.625694444444444,IF(F207&lt;0.8125,"Turno A",IF(F207&gt;0.875,IF(F207&lt;0.936805555555556,"Turno C",IF(F207&gt;0.9375,IF(F207&lt;0.979166666666667,"Turno B",""),"")),"")),"")),"")),"")),""))</f>
        <v>Turno B</v>
      </c>
      <c r="L207" s="91">
        <f t="shared" si="3"/>
        <v>0.3125</v>
      </c>
    </row>
    <row r="208" spans="1:12" s="40" customFormat="1">
      <c r="A208">
        <v>7815607</v>
      </c>
      <c r="B208" t="s">
        <v>291</v>
      </c>
      <c r="C208" t="s">
        <v>289</v>
      </c>
      <c r="D208" t="s">
        <v>290</v>
      </c>
      <c r="E208" t="s">
        <v>1441</v>
      </c>
      <c r="F208" s="78">
        <v>0.60815972222222225</v>
      </c>
      <c r="G208" t="s">
        <v>1405</v>
      </c>
      <c r="H208" t="s">
        <v>1335</v>
      </c>
      <c r="I208" s="88" t="str">
        <f>VLOOKUP(A208,Base!A:B,2,0)</f>
        <v>07.815.607-4</v>
      </c>
      <c r="J208" s="99" t="str">
        <f>VLOOKUP(A208,Base!A:F,6,0)</f>
        <v>PATRICIO HERNAN  CUEVAS  ORDENES</v>
      </c>
      <c r="K208" s="89" t="str">
        <f>IFERROR(IF(VLOOKUP(I208,Ingreso!K:P,6,0)=0,"Sin turtno ing",VLOOKUP(I208,Ingreso!K:P,6,0)),IF(F208&gt;0.25,IF(F208&lt;0.311805555555556,"Turno A",IF(F208&gt;0.3125,IF(F208&lt;0.354166666666667,"Turno C",IF(F208&gt;0.583333333333333,IF(F208&lt;0.625,"Turno B",IF(F208&gt;0.625694444444444,IF(F208&lt;0.8125,"Turno A",IF(F208&gt;0.875,IF(F208&lt;0.936805555555556,"Turno C",IF(F208&gt;0.9375,IF(F208&lt;0.979166666666667,"Turno B",""),"")),"")),"")),"")),"")),""))</f>
        <v>Turno B</v>
      </c>
      <c r="L208" s="91">
        <f t="shared" si="3"/>
        <v>0.3125</v>
      </c>
    </row>
    <row r="209" spans="1:12" s="40" customFormat="1">
      <c r="A209">
        <v>7815607</v>
      </c>
      <c r="B209" t="s">
        <v>291</v>
      </c>
      <c r="C209" t="s">
        <v>289</v>
      </c>
      <c r="D209" t="s">
        <v>290</v>
      </c>
      <c r="E209" t="s">
        <v>1437</v>
      </c>
      <c r="F209" s="78">
        <v>0.94686342592592598</v>
      </c>
      <c r="G209" t="s">
        <v>1406</v>
      </c>
      <c r="H209" t="s">
        <v>1336</v>
      </c>
      <c r="I209" s="88" t="str">
        <f>VLOOKUP(A209,Base!A:B,2,0)</f>
        <v>07.815.607-4</v>
      </c>
      <c r="J209" s="99" t="str">
        <f>VLOOKUP(A209,Base!A:F,6,0)</f>
        <v>PATRICIO HERNAN  CUEVAS  ORDENES</v>
      </c>
      <c r="K209" s="89" t="str">
        <f>IFERROR(IF(VLOOKUP(I209,Ingreso!K:P,6,0)=0,"Sin turtno ing",VLOOKUP(I209,Ingreso!K:P,6,0)),IF(F209&gt;0.25,IF(F209&lt;0.311805555555556,"Turno A",IF(F209&gt;0.3125,IF(F209&lt;0.354166666666667,"Turno C",IF(F209&gt;0.583333333333333,IF(F209&lt;0.625,"Turno B",IF(F209&gt;0.625694444444444,IF(F209&lt;0.8125,"Turno A",IF(F209&gt;0.875,IF(F209&lt;0.936805555555556,"Turno C",IF(F209&gt;0.9375,IF(F209&lt;0.979166666666667,"Turno B",""),"")),"")),"")),"")),"")),""))</f>
        <v>Turno B</v>
      </c>
      <c r="L209" s="91">
        <f t="shared" si="3"/>
        <v>0.3125</v>
      </c>
    </row>
    <row r="210" spans="1:12" s="40" customFormat="1">
      <c r="A210">
        <v>7815607</v>
      </c>
      <c r="B210" t="s">
        <v>291</v>
      </c>
      <c r="C210" t="s">
        <v>289</v>
      </c>
      <c r="D210" t="s">
        <v>290</v>
      </c>
      <c r="E210" t="s">
        <v>1437</v>
      </c>
      <c r="F210" s="78">
        <v>0.69465277777777779</v>
      </c>
      <c r="G210" t="s">
        <v>1405</v>
      </c>
      <c r="H210" t="s">
        <v>1335</v>
      </c>
      <c r="I210" s="88" t="str">
        <f>VLOOKUP(A210,Base!A:B,2,0)</f>
        <v>07.815.607-4</v>
      </c>
      <c r="J210" s="99" t="str">
        <f>VLOOKUP(A210,Base!A:F,6,0)</f>
        <v>PATRICIO HERNAN  CUEVAS  ORDENES</v>
      </c>
      <c r="K210" s="89" t="str">
        <f>IFERROR(IF(VLOOKUP(I210,Ingreso!K:P,6,0)=0,"Sin turtno ing",VLOOKUP(I210,Ingreso!K:P,6,0)),IF(F210&gt;0.25,IF(F210&lt;0.311805555555556,"Turno A",IF(F210&gt;0.3125,IF(F210&lt;0.354166666666667,"Turno C",IF(F210&gt;0.583333333333333,IF(F210&lt;0.625,"Turno B",IF(F210&gt;0.625694444444444,IF(F210&lt;0.8125,"Turno A",IF(F210&gt;0.875,IF(F210&lt;0.936805555555556,"Turno C",IF(F210&gt;0.9375,IF(F210&lt;0.979166666666667,"Turno B",""),"")),"")),"")),"")),"")),""))</f>
        <v>Turno B</v>
      </c>
      <c r="L210" s="91">
        <f t="shared" si="3"/>
        <v>0.3125</v>
      </c>
    </row>
    <row r="211" spans="1:12" s="40" customFormat="1">
      <c r="A211">
        <v>7815607</v>
      </c>
      <c r="B211" t="s">
        <v>291</v>
      </c>
      <c r="C211" t="s">
        <v>289</v>
      </c>
      <c r="D211" t="s">
        <v>290</v>
      </c>
      <c r="E211" t="s">
        <v>1438</v>
      </c>
      <c r="F211" s="78">
        <v>0.94913194444444438</v>
      </c>
      <c r="G211" t="s">
        <v>1406</v>
      </c>
      <c r="H211" t="s">
        <v>1336</v>
      </c>
      <c r="I211" s="88" t="str">
        <f>VLOOKUP(A211,Base!A:B,2,0)</f>
        <v>07.815.607-4</v>
      </c>
      <c r="J211" s="99" t="str">
        <f>VLOOKUP(A211,Base!A:F,6,0)</f>
        <v>PATRICIO HERNAN  CUEVAS  ORDENES</v>
      </c>
      <c r="K211" s="89" t="str">
        <f>IFERROR(IF(VLOOKUP(I211,Ingreso!K:P,6,0)=0,"Sin turtno ing",VLOOKUP(I211,Ingreso!K:P,6,0)),IF(F211&gt;0.25,IF(F211&lt;0.311805555555556,"Turno A",IF(F211&gt;0.3125,IF(F211&lt;0.354166666666667,"Turno C",IF(F211&gt;0.583333333333333,IF(F211&lt;0.625,"Turno B",IF(F211&gt;0.625694444444444,IF(F211&lt;0.8125,"Turno A",IF(F211&gt;0.875,IF(F211&lt;0.936805555555556,"Turno C",IF(F211&gt;0.9375,IF(F211&lt;0.979166666666667,"Turno B",""),"")),"")),"")),"")),"")),""))</f>
        <v>Turno B</v>
      </c>
      <c r="L211" s="91">
        <f t="shared" si="3"/>
        <v>0.3125</v>
      </c>
    </row>
    <row r="212" spans="1:12" s="40" customFormat="1">
      <c r="A212">
        <v>7815607</v>
      </c>
      <c r="B212" t="s">
        <v>291</v>
      </c>
      <c r="C212" t="s">
        <v>289</v>
      </c>
      <c r="D212" t="s">
        <v>290</v>
      </c>
      <c r="E212" t="s">
        <v>1438</v>
      </c>
      <c r="F212" s="78">
        <v>0.60431712962962958</v>
      </c>
      <c r="G212" t="s">
        <v>1405</v>
      </c>
      <c r="H212" t="s">
        <v>1335</v>
      </c>
      <c r="I212" s="88" t="str">
        <f>VLOOKUP(A212,Base!A:B,2,0)</f>
        <v>07.815.607-4</v>
      </c>
      <c r="J212" s="99" t="str">
        <f>VLOOKUP(A212,Base!A:F,6,0)</f>
        <v>PATRICIO HERNAN  CUEVAS  ORDENES</v>
      </c>
      <c r="K212" s="89" t="str">
        <f>IFERROR(IF(VLOOKUP(I212,Ingreso!K:P,6,0)=0,"Sin turtno ing",VLOOKUP(I212,Ingreso!K:P,6,0)),IF(F212&gt;0.25,IF(F212&lt;0.311805555555556,"Turno A",IF(F212&gt;0.3125,IF(F212&lt;0.354166666666667,"Turno C",IF(F212&gt;0.583333333333333,IF(F212&lt;0.625,"Turno B",IF(F212&gt;0.625694444444444,IF(F212&lt;0.8125,"Turno A",IF(F212&gt;0.875,IF(F212&lt;0.936805555555556,"Turno C",IF(F212&gt;0.9375,IF(F212&lt;0.979166666666667,"Turno B",""),"")),"")),"")),"")),"")),""))</f>
        <v>Turno B</v>
      </c>
      <c r="L212" s="91">
        <f t="shared" si="3"/>
        <v>0.3125</v>
      </c>
    </row>
    <row r="213" spans="1:12" s="40" customFormat="1">
      <c r="A213">
        <v>7815607</v>
      </c>
      <c r="B213" t="s">
        <v>291</v>
      </c>
      <c r="C213" t="s">
        <v>289</v>
      </c>
      <c r="D213" t="s">
        <v>290</v>
      </c>
      <c r="E213" t="s">
        <v>1439</v>
      </c>
      <c r="F213" s="78">
        <v>0.94564814814814813</v>
      </c>
      <c r="G213" t="s">
        <v>1406</v>
      </c>
      <c r="H213" t="s">
        <v>1336</v>
      </c>
      <c r="I213" s="88" t="str">
        <f>VLOOKUP(A213,Base!A:B,2,0)</f>
        <v>07.815.607-4</v>
      </c>
      <c r="J213" s="99" t="str">
        <f>VLOOKUP(A213,Base!A:F,6,0)</f>
        <v>PATRICIO HERNAN  CUEVAS  ORDENES</v>
      </c>
      <c r="K213" s="89" t="str">
        <f>IFERROR(IF(VLOOKUP(I213,Ingreso!K:P,6,0)=0,"Sin turtno ing",VLOOKUP(I213,Ingreso!K:P,6,0)),IF(F213&gt;0.25,IF(F213&lt;0.311805555555556,"Turno A",IF(F213&gt;0.3125,IF(F213&lt;0.354166666666667,"Turno C",IF(F213&gt;0.583333333333333,IF(F213&lt;0.625,"Turno B",IF(F213&gt;0.625694444444444,IF(F213&lt;0.8125,"Turno A",IF(F213&gt;0.875,IF(F213&lt;0.936805555555556,"Turno C",IF(F213&gt;0.9375,IF(F213&lt;0.979166666666667,"Turno B",""),"")),"")),"")),"")),"")),""))</f>
        <v>Turno B</v>
      </c>
      <c r="L213" s="91">
        <f t="shared" si="3"/>
        <v>0.3125</v>
      </c>
    </row>
    <row r="214" spans="1:12" s="40" customFormat="1">
      <c r="A214">
        <v>7815607</v>
      </c>
      <c r="B214" t="s">
        <v>291</v>
      </c>
      <c r="C214" t="s">
        <v>289</v>
      </c>
      <c r="D214" t="s">
        <v>290</v>
      </c>
      <c r="E214" t="s">
        <v>1439</v>
      </c>
      <c r="F214" s="78">
        <v>0.60060185185185189</v>
      </c>
      <c r="G214" t="s">
        <v>1405</v>
      </c>
      <c r="H214" t="s">
        <v>1335</v>
      </c>
      <c r="I214" s="88" t="str">
        <f>VLOOKUP(A214,Base!A:B,2,0)</f>
        <v>07.815.607-4</v>
      </c>
      <c r="J214" s="99" t="str">
        <f>VLOOKUP(A214,Base!A:F,6,0)</f>
        <v>PATRICIO HERNAN  CUEVAS  ORDENES</v>
      </c>
      <c r="K214" s="89" t="str">
        <f>IFERROR(IF(VLOOKUP(I214,Ingreso!K:P,6,0)=0,"Sin turtno ing",VLOOKUP(I214,Ingreso!K:P,6,0)),IF(F214&gt;0.25,IF(F214&lt;0.311805555555556,"Turno A",IF(F214&gt;0.3125,IF(F214&lt;0.354166666666667,"Turno C",IF(F214&gt;0.583333333333333,IF(F214&lt;0.625,"Turno B",IF(F214&gt;0.625694444444444,IF(F214&lt;0.8125,"Turno A",IF(F214&gt;0.875,IF(F214&lt;0.936805555555556,"Turno C",IF(F214&gt;0.9375,IF(F214&lt;0.979166666666667,"Turno B",""),"")),"")),"")),"")),"")),""))</f>
        <v>Turno B</v>
      </c>
      <c r="L214" s="91">
        <f t="shared" si="3"/>
        <v>0.3125</v>
      </c>
    </row>
    <row r="215" spans="1:12" s="40" customFormat="1">
      <c r="A215">
        <v>7816535</v>
      </c>
      <c r="B215" t="s">
        <v>257</v>
      </c>
      <c r="C215" t="s">
        <v>255</v>
      </c>
      <c r="D215" t="s">
        <v>256</v>
      </c>
      <c r="E215" t="s">
        <v>1440</v>
      </c>
      <c r="F215" s="78">
        <v>0.82111111111111112</v>
      </c>
      <c r="G215" t="s">
        <v>1406</v>
      </c>
      <c r="H215" t="s">
        <v>1336</v>
      </c>
      <c r="I215" s="88" t="str">
        <f>VLOOKUP(A215,Base!A:B,2,0)</f>
        <v>07.816.535-9</v>
      </c>
      <c r="J215" s="99" t="str">
        <f>VLOOKUP(A215,Base!A:F,6,0)</f>
        <v>CARLOS  CERONI  PIZARRO</v>
      </c>
      <c r="K215" s="89" t="str">
        <f>IFERROR(IF(VLOOKUP(I215,Ingreso!K:P,6,0)=0,"Sin turtno ing",VLOOKUP(I215,Ingreso!K:P,6,0)),IF(F215&gt;0.25,IF(F215&lt;0.311805555555556,"Turno A",IF(F215&gt;0.3125,IF(F215&lt;0.354166666666667,"Turno C",IF(F215&gt;0.583333333333333,IF(F215&lt;0.625,"Turno B",IF(F215&gt;0.625694444444444,IF(F215&lt;0.8125,"Turno A",IF(F215&gt;0.875,IF(F215&lt;0.936805555555556,"Turno C",IF(F215&gt;0.9375,IF(F215&lt;0.979166666666667,"Turno B",""),"")),"")),"")),"")),"")),""))</f>
        <v>Turno B</v>
      </c>
      <c r="L215" s="91">
        <f t="shared" si="3"/>
        <v>0.3125</v>
      </c>
    </row>
    <row r="216" spans="1:12" s="40" customFormat="1">
      <c r="A216">
        <v>7816535</v>
      </c>
      <c r="B216" t="s">
        <v>257</v>
      </c>
      <c r="C216" t="s">
        <v>255</v>
      </c>
      <c r="D216" t="s">
        <v>256</v>
      </c>
      <c r="E216" t="s">
        <v>1440</v>
      </c>
      <c r="F216" s="78">
        <v>0.30256944444444445</v>
      </c>
      <c r="G216" t="s">
        <v>1405</v>
      </c>
      <c r="H216" t="s">
        <v>1335</v>
      </c>
      <c r="I216" s="88" t="str">
        <f>VLOOKUP(A216,Base!A:B,2,0)</f>
        <v>07.816.535-9</v>
      </c>
      <c r="J216" s="99" t="str">
        <f>VLOOKUP(A216,Base!A:F,6,0)</f>
        <v>CARLOS  CERONI  PIZARRO</v>
      </c>
      <c r="K216" s="89" t="str">
        <f>IFERROR(IF(VLOOKUP(I216,Ingreso!K:P,6,0)=0,"Sin turtno ing",VLOOKUP(I216,Ingreso!K:P,6,0)),IF(F216&gt;0.25,IF(F216&lt;0.311805555555556,"Turno A",IF(F216&gt;0.3125,IF(F216&lt;0.354166666666667,"Turno C",IF(F216&gt;0.583333333333333,IF(F216&lt;0.625,"Turno B",IF(F216&gt;0.625694444444444,IF(F216&lt;0.8125,"Turno A",IF(F216&gt;0.875,IF(F216&lt;0.936805555555556,"Turno C",IF(F216&gt;0.9375,IF(F216&lt;0.979166666666667,"Turno B",""),"")),"")),"")),"")),"")),""))</f>
        <v>Turno B</v>
      </c>
      <c r="L216" s="91">
        <f t="shared" si="3"/>
        <v>0.3125</v>
      </c>
    </row>
    <row r="217" spans="1:12" s="40" customFormat="1">
      <c r="A217">
        <v>7816535</v>
      </c>
      <c r="B217" t="s">
        <v>257</v>
      </c>
      <c r="C217" t="s">
        <v>255</v>
      </c>
      <c r="D217" t="s">
        <v>256</v>
      </c>
      <c r="E217" t="s">
        <v>1441</v>
      </c>
      <c r="F217" s="78">
        <v>0.83677083333333335</v>
      </c>
      <c r="G217" t="s">
        <v>1406</v>
      </c>
      <c r="H217" t="s">
        <v>1336</v>
      </c>
      <c r="I217" s="88" t="str">
        <f>VLOOKUP(A217,Base!A:B,2,0)</f>
        <v>07.816.535-9</v>
      </c>
      <c r="J217" s="99" t="str">
        <f>VLOOKUP(A217,Base!A:F,6,0)</f>
        <v>CARLOS  CERONI  PIZARRO</v>
      </c>
      <c r="K217" s="89" t="str">
        <f>IFERROR(IF(VLOOKUP(I217,Ingreso!K:P,6,0)=0,"Sin turtno ing",VLOOKUP(I217,Ingreso!K:P,6,0)),IF(F217&gt;0.25,IF(F217&lt;0.311805555555556,"Turno A",IF(F217&gt;0.3125,IF(F217&lt;0.354166666666667,"Turno C",IF(F217&gt;0.583333333333333,IF(F217&lt;0.625,"Turno B",IF(F217&gt;0.625694444444444,IF(F217&lt;0.8125,"Turno A",IF(F217&gt;0.875,IF(F217&lt;0.936805555555556,"Turno C",IF(F217&gt;0.9375,IF(F217&lt;0.979166666666667,"Turno B",""),"")),"")),"")),"")),"")),""))</f>
        <v>Turno B</v>
      </c>
      <c r="L217" s="91">
        <f t="shared" si="3"/>
        <v>0.3125</v>
      </c>
    </row>
    <row r="218" spans="1:12" s="40" customFormat="1">
      <c r="A218">
        <v>7816535</v>
      </c>
      <c r="B218" t="s">
        <v>257</v>
      </c>
      <c r="C218" t="s">
        <v>255</v>
      </c>
      <c r="D218" t="s">
        <v>256</v>
      </c>
      <c r="E218" t="s">
        <v>1441</v>
      </c>
      <c r="F218" s="78">
        <v>0.31231481481481482</v>
      </c>
      <c r="G218" t="s">
        <v>1405</v>
      </c>
      <c r="H218" t="s">
        <v>1335</v>
      </c>
      <c r="I218" s="88" t="str">
        <f>VLOOKUP(A218,Base!A:B,2,0)</f>
        <v>07.816.535-9</v>
      </c>
      <c r="J218" s="99" t="str">
        <f>VLOOKUP(A218,Base!A:F,6,0)</f>
        <v>CARLOS  CERONI  PIZARRO</v>
      </c>
      <c r="K218" s="89" t="str">
        <f>IFERROR(IF(VLOOKUP(I218,Ingreso!K:P,6,0)=0,"Sin turtno ing",VLOOKUP(I218,Ingreso!K:P,6,0)),IF(F218&gt;0.25,IF(F218&lt;0.311805555555556,"Turno A",IF(F218&gt;0.3125,IF(F218&lt;0.354166666666667,"Turno C",IF(F218&gt;0.583333333333333,IF(F218&lt;0.625,"Turno B",IF(F218&gt;0.625694444444444,IF(F218&lt;0.8125,"Turno A",IF(F218&gt;0.875,IF(F218&lt;0.936805555555556,"Turno C",IF(F218&gt;0.9375,IF(F218&lt;0.979166666666667,"Turno B",""),"")),"")),"")),"")),"")),""))</f>
        <v>Turno B</v>
      </c>
      <c r="L218" s="91">
        <f t="shared" si="3"/>
        <v>0.3125</v>
      </c>
    </row>
    <row r="219" spans="1:12" s="40" customFormat="1">
      <c r="A219">
        <v>7816535</v>
      </c>
      <c r="B219" t="s">
        <v>257</v>
      </c>
      <c r="C219" t="s">
        <v>255</v>
      </c>
      <c r="D219" t="s">
        <v>256</v>
      </c>
      <c r="E219" t="s">
        <v>1437</v>
      </c>
      <c r="F219" s="78">
        <v>0.94148148148148147</v>
      </c>
      <c r="G219" t="s">
        <v>1406</v>
      </c>
      <c r="H219" t="s">
        <v>1336</v>
      </c>
      <c r="I219" s="88" t="str">
        <f>VLOOKUP(A219,Base!A:B,2,0)</f>
        <v>07.816.535-9</v>
      </c>
      <c r="J219" s="99" t="str">
        <f>VLOOKUP(A219,Base!A:F,6,0)</f>
        <v>CARLOS  CERONI  PIZARRO</v>
      </c>
      <c r="K219" s="89" t="str">
        <f>IFERROR(IF(VLOOKUP(I219,Ingreso!K:P,6,0)=0,"Sin turtno ing",VLOOKUP(I219,Ingreso!K:P,6,0)),IF(F219&gt;0.25,IF(F219&lt;0.311805555555556,"Turno A",IF(F219&gt;0.3125,IF(F219&lt;0.354166666666667,"Turno C",IF(F219&gt;0.583333333333333,IF(F219&lt;0.625,"Turno B",IF(F219&gt;0.625694444444444,IF(F219&lt;0.8125,"Turno A",IF(F219&gt;0.875,IF(F219&lt;0.936805555555556,"Turno C",IF(F219&gt;0.9375,IF(F219&lt;0.979166666666667,"Turno B",""),"")),"")),"")),"")),"")),""))</f>
        <v>Turno B</v>
      </c>
      <c r="L219" s="91">
        <f t="shared" si="3"/>
        <v>0.3125</v>
      </c>
    </row>
    <row r="220" spans="1:12" s="40" customFormat="1">
      <c r="A220">
        <v>7816535</v>
      </c>
      <c r="B220" t="s">
        <v>257</v>
      </c>
      <c r="C220" t="s">
        <v>255</v>
      </c>
      <c r="D220" t="s">
        <v>256</v>
      </c>
      <c r="E220" t="s">
        <v>1437</v>
      </c>
      <c r="F220" s="78">
        <v>0.51706018518518515</v>
      </c>
      <c r="G220" t="s">
        <v>1405</v>
      </c>
      <c r="H220" t="s">
        <v>1335</v>
      </c>
      <c r="I220" s="88" t="str">
        <f>VLOOKUP(A220,Base!A:B,2,0)</f>
        <v>07.816.535-9</v>
      </c>
      <c r="J220" s="99" t="str">
        <f>VLOOKUP(A220,Base!A:F,6,0)</f>
        <v>CARLOS  CERONI  PIZARRO</v>
      </c>
      <c r="K220" s="89" t="str">
        <f>IFERROR(IF(VLOOKUP(I220,Ingreso!K:P,6,0)=0,"Sin turtno ing",VLOOKUP(I220,Ingreso!K:P,6,0)),IF(F220&gt;0.25,IF(F220&lt;0.311805555555556,"Turno A",IF(F220&gt;0.3125,IF(F220&lt;0.354166666666667,"Turno C",IF(F220&gt;0.583333333333333,IF(F220&lt;0.625,"Turno B",IF(F220&gt;0.625694444444444,IF(F220&lt;0.8125,"Turno A",IF(F220&gt;0.875,IF(F220&lt;0.936805555555556,"Turno C",IF(F220&gt;0.9375,IF(F220&lt;0.979166666666667,"Turno B",""),"")),"")),"")),"")),"")),""))</f>
        <v>Turno B</v>
      </c>
      <c r="L220" s="91">
        <f t="shared" si="3"/>
        <v>0.3125</v>
      </c>
    </row>
    <row r="221" spans="1:12" s="40" customFormat="1">
      <c r="A221">
        <v>7816535</v>
      </c>
      <c r="B221" t="s">
        <v>257</v>
      </c>
      <c r="C221" t="s">
        <v>255</v>
      </c>
      <c r="D221" t="s">
        <v>256</v>
      </c>
      <c r="E221" t="s">
        <v>1438</v>
      </c>
      <c r="F221" s="78">
        <v>0.94068287037037035</v>
      </c>
      <c r="G221" t="s">
        <v>1406</v>
      </c>
      <c r="H221" t="s">
        <v>1336</v>
      </c>
      <c r="I221" s="88" t="str">
        <f>VLOOKUP(A221,Base!A:B,2,0)</f>
        <v>07.816.535-9</v>
      </c>
      <c r="J221" s="99" t="str">
        <f>VLOOKUP(A221,Base!A:F,6,0)</f>
        <v>CARLOS  CERONI  PIZARRO</v>
      </c>
      <c r="K221" s="89" t="str">
        <f>IFERROR(IF(VLOOKUP(I221,Ingreso!K:P,6,0)=0,"Sin turtno ing",VLOOKUP(I221,Ingreso!K:P,6,0)),IF(F221&gt;0.25,IF(F221&lt;0.311805555555556,"Turno A",IF(F221&gt;0.3125,IF(F221&lt;0.354166666666667,"Turno C",IF(F221&gt;0.583333333333333,IF(F221&lt;0.625,"Turno B",IF(F221&gt;0.625694444444444,IF(F221&lt;0.8125,"Turno A",IF(F221&gt;0.875,IF(F221&lt;0.936805555555556,"Turno C",IF(F221&gt;0.9375,IF(F221&lt;0.979166666666667,"Turno B",""),"")),"")),"")),"")),"")),""))</f>
        <v>Turno B</v>
      </c>
      <c r="L221" s="91">
        <f t="shared" si="3"/>
        <v>0.3125</v>
      </c>
    </row>
    <row r="222" spans="1:12" s="40" customFormat="1">
      <c r="A222">
        <v>7816535</v>
      </c>
      <c r="B222" t="s">
        <v>257</v>
      </c>
      <c r="C222" t="s">
        <v>255</v>
      </c>
      <c r="D222" t="s">
        <v>256</v>
      </c>
      <c r="E222" t="s">
        <v>1438</v>
      </c>
      <c r="F222" s="78">
        <v>0.50918981481481485</v>
      </c>
      <c r="G222" t="s">
        <v>1405</v>
      </c>
      <c r="H222" t="s">
        <v>1335</v>
      </c>
      <c r="I222" s="88" t="str">
        <f>VLOOKUP(A222,Base!A:B,2,0)</f>
        <v>07.816.535-9</v>
      </c>
      <c r="J222" s="99" t="str">
        <f>VLOOKUP(A222,Base!A:F,6,0)</f>
        <v>CARLOS  CERONI  PIZARRO</v>
      </c>
      <c r="K222" s="89" t="str">
        <f>IFERROR(IF(VLOOKUP(I222,Ingreso!K:P,6,0)=0,"Sin turtno ing",VLOOKUP(I222,Ingreso!K:P,6,0)),IF(F222&gt;0.25,IF(F222&lt;0.311805555555556,"Turno A",IF(F222&gt;0.3125,IF(F222&lt;0.354166666666667,"Turno C",IF(F222&gt;0.583333333333333,IF(F222&lt;0.625,"Turno B",IF(F222&gt;0.625694444444444,IF(F222&lt;0.8125,"Turno A",IF(F222&gt;0.875,IF(F222&lt;0.936805555555556,"Turno C",IF(F222&gt;0.9375,IF(F222&lt;0.979166666666667,"Turno B",""),"")),"")),"")),"")),"")),""))</f>
        <v>Turno B</v>
      </c>
      <c r="L222" s="91">
        <f t="shared" si="3"/>
        <v>0.3125</v>
      </c>
    </row>
    <row r="223" spans="1:12" s="40" customFormat="1">
      <c r="A223">
        <v>7816535</v>
      </c>
      <c r="B223" t="s">
        <v>257</v>
      </c>
      <c r="C223" t="s">
        <v>255</v>
      </c>
      <c r="D223" t="s">
        <v>256</v>
      </c>
      <c r="E223" t="s">
        <v>1439</v>
      </c>
      <c r="F223" s="78">
        <v>0.81997685185185187</v>
      </c>
      <c r="G223" t="s">
        <v>1406</v>
      </c>
      <c r="H223" t="s">
        <v>1336</v>
      </c>
      <c r="I223" s="88" t="str">
        <f>VLOOKUP(A223,Base!A:B,2,0)</f>
        <v>07.816.535-9</v>
      </c>
      <c r="J223" s="99" t="str">
        <f>VLOOKUP(A223,Base!A:F,6,0)</f>
        <v>CARLOS  CERONI  PIZARRO</v>
      </c>
      <c r="K223" s="89" t="str">
        <f>IFERROR(IF(VLOOKUP(I223,Ingreso!K:P,6,0)=0,"Sin turtno ing",VLOOKUP(I223,Ingreso!K:P,6,0)),IF(F223&gt;0.25,IF(F223&lt;0.311805555555556,"Turno A",IF(F223&gt;0.3125,IF(F223&lt;0.354166666666667,"Turno C",IF(F223&gt;0.583333333333333,IF(F223&lt;0.625,"Turno B",IF(F223&gt;0.625694444444444,IF(F223&lt;0.8125,"Turno A",IF(F223&gt;0.875,IF(F223&lt;0.936805555555556,"Turno C",IF(F223&gt;0.9375,IF(F223&lt;0.979166666666667,"Turno B",""),"")),"")),"")),"")),"")),""))</f>
        <v>Turno B</v>
      </c>
      <c r="L223" s="91">
        <f t="shared" si="3"/>
        <v>0.3125</v>
      </c>
    </row>
    <row r="224" spans="1:12" s="40" customFormat="1">
      <c r="A224">
        <v>7816535</v>
      </c>
      <c r="B224" t="s">
        <v>257</v>
      </c>
      <c r="C224" t="s">
        <v>255</v>
      </c>
      <c r="D224" t="s">
        <v>256</v>
      </c>
      <c r="E224" t="s">
        <v>1439</v>
      </c>
      <c r="F224" s="78">
        <v>0.30660879629629628</v>
      </c>
      <c r="G224" t="s">
        <v>1405</v>
      </c>
      <c r="H224" t="s">
        <v>1335</v>
      </c>
      <c r="I224" s="88" t="str">
        <f>VLOOKUP(A224,Base!A:B,2,0)</f>
        <v>07.816.535-9</v>
      </c>
      <c r="J224" s="99" t="str">
        <f>VLOOKUP(A224,Base!A:F,6,0)</f>
        <v>CARLOS  CERONI  PIZARRO</v>
      </c>
      <c r="K224" s="89" t="str">
        <f>IFERROR(IF(VLOOKUP(I224,Ingreso!K:P,6,0)=0,"Sin turtno ing",VLOOKUP(I224,Ingreso!K:P,6,0)),IF(F224&gt;0.25,IF(F224&lt;0.311805555555556,"Turno A",IF(F224&gt;0.3125,IF(F224&lt;0.354166666666667,"Turno C",IF(F224&gt;0.583333333333333,IF(F224&lt;0.625,"Turno B",IF(F224&gt;0.625694444444444,IF(F224&lt;0.8125,"Turno A",IF(F224&gt;0.875,IF(F224&lt;0.936805555555556,"Turno C",IF(F224&gt;0.9375,IF(F224&lt;0.979166666666667,"Turno B",""),"")),"")),"")),"")),"")),""))</f>
        <v>Turno B</v>
      </c>
      <c r="L224" s="91">
        <f t="shared" si="3"/>
        <v>0.3125</v>
      </c>
    </row>
    <row r="225" spans="1:12" s="40" customFormat="1">
      <c r="A225">
        <v>7816805</v>
      </c>
      <c r="B225" t="s">
        <v>1206</v>
      </c>
      <c r="C225" t="s">
        <v>569</v>
      </c>
      <c r="D225" t="s">
        <v>413</v>
      </c>
      <c r="E225" t="s">
        <v>1440</v>
      </c>
      <c r="F225" s="78">
        <v>0.70475694444444448</v>
      </c>
      <c r="G225" t="s">
        <v>1406</v>
      </c>
      <c r="H225" t="s">
        <v>1336</v>
      </c>
      <c r="I225" s="88" t="str">
        <f>VLOOKUP(A225,Base!A:B,2,0)</f>
        <v>07.816.805-6</v>
      </c>
      <c r="J225" s="99" t="str">
        <f>VLOOKUP(A225,Base!A:F,6,0)</f>
        <v>JULIO CESAR  PINTO  FLORES</v>
      </c>
      <c r="K225" s="89" t="str">
        <f>IFERROR(IF(VLOOKUP(I225,Ingreso!K:P,6,0)=0,"Sin turtno ing",VLOOKUP(I225,Ingreso!K:P,6,0)),IF(F225&gt;0.25,IF(F225&lt;0.311805555555556,"Turno A",IF(F225&gt;0.3125,IF(F225&lt;0.354166666666667,"Turno C",IF(F225&gt;0.583333333333333,IF(F225&lt;0.625,"Turno B",IF(F225&gt;0.625694444444444,IF(F225&lt;0.8125,"Turno A",IF(F225&gt;0.875,IF(F225&lt;0.936805555555556,"Turno C",IF(F225&gt;0.9375,IF(F225&lt;0.979166666666667,"Turno B",""),"")),"")),"")),"")),"")),""))</f>
        <v>Turno A</v>
      </c>
      <c r="L225" s="91">
        <f t="shared" si="3"/>
        <v>0.3125</v>
      </c>
    </row>
    <row r="226" spans="1:12" s="40" customFormat="1">
      <c r="A226">
        <v>7816805</v>
      </c>
      <c r="B226" t="s">
        <v>1206</v>
      </c>
      <c r="C226" t="s">
        <v>569</v>
      </c>
      <c r="D226" t="s">
        <v>413</v>
      </c>
      <c r="E226" t="s">
        <v>1440</v>
      </c>
      <c r="F226" s="78">
        <v>0.29108796296296297</v>
      </c>
      <c r="G226" t="s">
        <v>1405</v>
      </c>
      <c r="H226" t="s">
        <v>1335</v>
      </c>
      <c r="I226" s="88" t="str">
        <f>VLOOKUP(A226,Base!A:B,2,0)</f>
        <v>07.816.805-6</v>
      </c>
      <c r="J226" s="99" t="str">
        <f>VLOOKUP(A226,Base!A:F,6,0)</f>
        <v>JULIO CESAR  PINTO  FLORES</v>
      </c>
      <c r="K226" s="89" t="str">
        <f>IFERROR(IF(VLOOKUP(I226,Ingreso!K:P,6,0)=0,"Sin turtno ing",VLOOKUP(I226,Ingreso!K:P,6,0)),IF(F226&gt;0.25,IF(F226&lt;0.311805555555556,"Turno A",IF(F226&gt;0.3125,IF(F226&lt;0.354166666666667,"Turno C",IF(F226&gt;0.583333333333333,IF(F226&lt;0.625,"Turno B",IF(F226&gt;0.625694444444444,IF(F226&lt;0.8125,"Turno A",IF(F226&gt;0.875,IF(F226&lt;0.936805555555556,"Turno C",IF(F226&gt;0.9375,IF(F226&lt;0.979166666666667,"Turno B",""),"")),"")),"")),"")),"")),""))</f>
        <v>Turno A</v>
      </c>
      <c r="L226" s="91">
        <f t="shared" si="3"/>
        <v>0.3125</v>
      </c>
    </row>
    <row r="227" spans="1:12" s="40" customFormat="1">
      <c r="A227">
        <v>7816805</v>
      </c>
      <c r="B227" t="s">
        <v>1206</v>
      </c>
      <c r="C227" t="s">
        <v>569</v>
      </c>
      <c r="D227" t="s">
        <v>413</v>
      </c>
      <c r="E227" t="s">
        <v>1441</v>
      </c>
      <c r="F227" s="78">
        <v>0.70648148148148149</v>
      </c>
      <c r="G227" t="s">
        <v>1406</v>
      </c>
      <c r="H227" t="s">
        <v>1336</v>
      </c>
      <c r="I227" s="88" t="str">
        <f>VLOOKUP(A227,Base!A:B,2,0)</f>
        <v>07.816.805-6</v>
      </c>
      <c r="J227" s="99" t="str">
        <f>VLOOKUP(A227,Base!A:F,6,0)</f>
        <v>JULIO CESAR  PINTO  FLORES</v>
      </c>
      <c r="K227" s="89" t="str">
        <f>IFERROR(IF(VLOOKUP(I227,Ingreso!K:P,6,0)=0,"Sin turtno ing",VLOOKUP(I227,Ingreso!K:P,6,0)),IF(F227&gt;0.25,IF(F227&lt;0.311805555555556,"Turno A",IF(F227&gt;0.3125,IF(F227&lt;0.354166666666667,"Turno C",IF(F227&gt;0.583333333333333,IF(F227&lt;0.625,"Turno B",IF(F227&gt;0.625694444444444,IF(F227&lt;0.8125,"Turno A",IF(F227&gt;0.875,IF(F227&lt;0.936805555555556,"Turno C",IF(F227&gt;0.9375,IF(F227&lt;0.979166666666667,"Turno B",""),"")),"")),"")),"")),"")),""))</f>
        <v>Turno A</v>
      </c>
      <c r="L227" s="91">
        <f t="shared" si="3"/>
        <v>0.3125</v>
      </c>
    </row>
    <row r="228" spans="1:12" s="40" customFormat="1">
      <c r="A228">
        <v>7816805</v>
      </c>
      <c r="B228" t="s">
        <v>1206</v>
      </c>
      <c r="C228" t="s">
        <v>569</v>
      </c>
      <c r="D228" t="s">
        <v>413</v>
      </c>
      <c r="E228" t="s">
        <v>1441</v>
      </c>
      <c r="F228" s="78">
        <v>0.28978009259259258</v>
      </c>
      <c r="G228" t="s">
        <v>1405</v>
      </c>
      <c r="H228" t="s">
        <v>1335</v>
      </c>
      <c r="I228" s="88" t="str">
        <f>VLOOKUP(A228,Base!A:B,2,0)</f>
        <v>07.816.805-6</v>
      </c>
      <c r="J228" s="99" t="str">
        <f>VLOOKUP(A228,Base!A:F,6,0)</f>
        <v>JULIO CESAR  PINTO  FLORES</v>
      </c>
      <c r="K228" s="89" t="str">
        <f>IFERROR(IF(VLOOKUP(I228,Ingreso!K:P,6,0)=0,"Sin turtno ing",VLOOKUP(I228,Ingreso!K:P,6,0)),IF(F228&gt;0.25,IF(F228&lt;0.311805555555556,"Turno A",IF(F228&gt;0.3125,IF(F228&lt;0.354166666666667,"Turno C",IF(F228&gt;0.583333333333333,IF(F228&lt;0.625,"Turno B",IF(F228&gt;0.625694444444444,IF(F228&lt;0.8125,"Turno A",IF(F228&gt;0.875,IF(F228&lt;0.936805555555556,"Turno C",IF(F228&gt;0.9375,IF(F228&lt;0.979166666666667,"Turno B",""),"")),"")),"")),"")),"")),""))</f>
        <v>Turno A</v>
      </c>
      <c r="L228" s="91">
        <f t="shared" si="3"/>
        <v>0.3125</v>
      </c>
    </row>
    <row r="229" spans="1:12" s="40" customFormat="1">
      <c r="A229">
        <v>7816805</v>
      </c>
      <c r="B229" t="s">
        <v>1206</v>
      </c>
      <c r="C229" t="s">
        <v>569</v>
      </c>
      <c r="D229" t="s">
        <v>413</v>
      </c>
      <c r="E229" t="s">
        <v>1437</v>
      </c>
      <c r="F229" s="78">
        <v>0.72488425925925926</v>
      </c>
      <c r="G229" t="s">
        <v>1406</v>
      </c>
      <c r="H229" t="s">
        <v>1336</v>
      </c>
      <c r="I229" s="88" t="str">
        <f>VLOOKUP(A229,Base!A:B,2,0)</f>
        <v>07.816.805-6</v>
      </c>
      <c r="J229" s="99" t="str">
        <f>VLOOKUP(A229,Base!A:F,6,0)</f>
        <v>JULIO CESAR  PINTO  FLORES</v>
      </c>
      <c r="K229" s="89" t="str">
        <f>IFERROR(IF(VLOOKUP(I229,Ingreso!K:P,6,0)=0,"Sin turtno ing",VLOOKUP(I229,Ingreso!K:P,6,0)),IF(F229&gt;0.25,IF(F229&lt;0.311805555555556,"Turno A",IF(F229&gt;0.3125,IF(F229&lt;0.354166666666667,"Turno C",IF(F229&gt;0.583333333333333,IF(F229&lt;0.625,"Turno B",IF(F229&gt;0.625694444444444,IF(F229&lt;0.8125,"Turno A",IF(F229&gt;0.875,IF(F229&lt;0.936805555555556,"Turno C",IF(F229&gt;0.9375,IF(F229&lt;0.979166666666667,"Turno B",""),"")),"")),"")),"")),"")),""))</f>
        <v>Turno A</v>
      </c>
      <c r="L229" s="91">
        <f t="shared" si="3"/>
        <v>0.3125</v>
      </c>
    </row>
    <row r="230" spans="1:12" s="40" customFormat="1">
      <c r="A230">
        <v>7816805</v>
      </c>
      <c r="B230" t="s">
        <v>1206</v>
      </c>
      <c r="C230" t="s">
        <v>569</v>
      </c>
      <c r="D230" t="s">
        <v>413</v>
      </c>
      <c r="E230" t="s">
        <v>1437</v>
      </c>
      <c r="F230" s="78">
        <v>0.2895949074074074</v>
      </c>
      <c r="G230" t="s">
        <v>1405</v>
      </c>
      <c r="H230" t="s">
        <v>1335</v>
      </c>
      <c r="I230" s="88" t="str">
        <f>VLOOKUP(A230,Base!A:B,2,0)</f>
        <v>07.816.805-6</v>
      </c>
      <c r="J230" s="99" t="str">
        <f>VLOOKUP(A230,Base!A:F,6,0)</f>
        <v>JULIO CESAR  PINTO  FLORES</v>
      </c>
      <c r="K230" s="89" t="str">
        <f>IFERROR(IF(VLOOKUP(I230,Ingreso!K:P,6,0)=0,"Sin turtno ing",VLOOKUP(I230,Ingreso!K:P,6,0)),IF(F230&gt;0.25,IF(F230&lt;0.311805555555556,"Turno A",IF(F230&gt;0.3125,IF(F230&lt;0.354166666666667,"Turno C",IF(F230&gt;0.583333333333333,IF(F230&lt;0.625,"Turno B",IF(F230&gt;0.625694444444444,IF(F230&lt;0.8125,"Turno A",IF(F230&gt;0.875,IF(F230&lt;0.936805555555556,"Turno C",IF(F230&gt;0.9375,IF(F230&lt;0.979166666666667,"Turno B",""),"")),"")),"")),"")),"")),""))</f>
        <v>Turno A</v>
      </c>
      <c r="L230" s="91">
        <f t="shared" si="3"/>
        <v>0.3125</v>
      </c>
    </row>
    <row r="231" spans="1:12" s="40" customFormat="1">
      <c r="A231">
        <v>7816805</v>
      </c>
      <c r="B231" t="s">
        <v>1206</v>
      </c>
      <c r="C231" t="s">
        <v>569</v>
      </c>
      <c r="D231" t="s">
        <v>413</v>
      </c>
      <c r="E231" t="s">
        <v>1438</v>
      </c>
      <c r="F231" s="78">
        <v>0.71278935185185188</v>
      </c>
      <c r="G231" t="s">
        <v>1406</v>
      </c>
      <c r="H231" t="s">
        <v>1336</v>
      </c>
      <c r="I231" s="88" t="str">
        <f>VLOOKUP(A231,Base!A:B,2,0)</f>
        <v>07.816.805-6</v>
      </c>
      <c r="J231" s="99" t="str">
        <f>VLOOKUP(A231,Base!A:F,6,0)</f>
        <v>JULIO CESAR  PINTO  FLORES</v>
      </c>
      <c r="K231" s="89" t="str">
        <f>IFERROR(IF(VLOOKUP(I231,Ingreso!K:P,6,0)=0,"Sin turtno ing",VLOOKUP(I231,Ingreso!K:P,6,0)),IF(F231&gt;0.25,IF(F231&lt;0.311805555555556,"Turno A",IF(F231&gt;0.3125,IF(F231&lt;0.354166666666667,"Turno C",IF(F231&gt;0.583333333333333,IF(F231&lt;0.625,"Turno B",IF(F231&gt;0.625694444444444,IF(F231&lt;0.8125,"Turno A",IF(F231&gt;0.875,IF(F231&lt;0.936805555555556,"Turno C",IF(F231&gt;0.9375,IF(F231&lt;0.979166666666667,"Turno B",""),"")),"")),"")),"")),"")),""))</f>
        <v>Turno A</v>
      </c>
      <c r="L231" s="91">
        <f t="shared" si="3"/>
        <v>0.3125</v>
      </c>
    </row>
    <row r="232" spans="1:12" s="40" customFormat="1">
      <c r="A232">
        <v>7816805</v>
      </c>
      <c r="B232" t="s">
        <v>1206</v>
      </c>
      <c r="C232" t="s">
        <v>569</v>
      </c>
      <c r="D232" t="s">
        <v>413</v>
      </c>
      <c r="E232" t="s">
        <v>1438</v>
      </c>
      <c r="F232" s="78">
        <v>0.28849537037037037</v>
      </c>
      <c r="G232" t="s">
        <v>1405</v>
      </c>
      <c r="H232" t="s">
        <v>1335</v>
      </c>
      <c r="I232" s="88" t="str">
        <f>VLOOKUP(A232,Base!A:B,2,0)</f>
        <v>07.816.805-6</v>
      </c>
      <c r="J232" s="99" t="str">
        <f>VLOOKUP(A232,Base!A:F,6,0)</f>
        <v>JULIO CESAR  PINTO  FLORES</v>
      </c>
      <c r="K232" s="89" t="str">
        <f>IFERROR(IF(VLOOKUP(I232,Ingreso!K:P,6,0)=0,"Sin turtno ing",VLOOKUP(I232,Ingreso!K:P,6,0)),IF(F232&gt;0.25,IF(F232&lt;0.311805555555556,"Turno A",IF(F232&gt;0.3125,IF(F232&lt;0.354166666666667,"Turno C",IF(F232&gt;0.583333333333333,IF(F232&lt;0.625,"Turno B",IF(F232&gt;0.625694444444444,IF(F232&lt;0.8125,"Turno A",IF(F232&gt;0.875,IF(F232&lt;0.936805555555556,"Turno C",IF(F232&gt;0.9375,IF(F232&lt;0.979166666666667,"Turno B",""),"")),"")),"")),"")),"")),""))</f>
        <v>Turno A</v>
      </c>
      <c r="L232" s="91">
        <f t="shared" si="3"/>
        <v>0.3125</v>
      </c>
    </row>
    <row r="233" spans="1:12" s="40" customFormat="1">
      <c r="A233">
        <v>7816805</v>
      </c>
      <c r="B233" t="s">
        <v>1206</v>
      </c>
      <c r="C233" t="s">
        <v>569</v>
      </c>
      <c r="D233" t="s">
        <v>413</v>
      </c>
      <c r="E233" t="s">
        <v>1439</v>
      </c>
      <c r="F233" s="78">
        <v>0.72038194444444448</v>
      </c>
      <c r="G233" t="s">
        <v>1406</v>
      </c>
      <c r="H233" t="s">
        <v>1336</v>
      </c>
      <c r="I233" s="88" t="str">
        <f>VLOOKUP(A233,Base!A:B,2,0)</f>
        <v>07.816.805-6</v>
      </c>
      <c r="J233" s="99" t="str">
        <f>VLOOKUP(A233,Base!A:F,6,0)</f>
        <v>JULIO CESAR  PINTO  FLORES</v>
      </c>
      <c r="K233" s="89" t="str">
        <f>IFERROR(IF(VLOOKUP(I233,Ingreso!K:P,6,0)=0,"Sin turtno ing",VLOOKUP(I233,Ingreso!K:P,6,0)),IF(F233&gt;0.25,IF(F233&lt;0.311805555555556,"Turno A",IF(F233&gt;0.3125,IF(F233&lt;0.354166666666667,"Turno C",IF(F233&gt;0.583333333333333,IF(F233&lt;0.625,"Turno B",IF(F233&gt;0.625694444444444,IF(F233&lt;0.8125,"Turno A",IF(F233&gt;0.875,IF(F233&lt;0.936805555555556,"Turno C",IF(F233&gt;0.9375,IF(F233&lt;0.979166666666667,"Turno B",""),"")),"")),"")),"")),"")),""))</f>
        <v>Turno A</v>
      </c>
      <c r="L233" s="91">
        <f t="shared" si="3"/>
        <v>0.3125</v>
      </c>
    </row>
    <row r="234" spans="1:12" s="40" customFormat="1">
      <c r="A234">
        <v>7816805</v>
      </c>
      <c r="B234" t="s">
        <v>1206</v>
      </c>
      <c r="C234" t="s">
        <v>569</v>
      </c>
      <c r="D234" t="s">
        <v>413</v>
      </c>
      <c r="E234" t="s">
        <v>1439</v>
      </c>
      <c r="F234" s="78">
        <v>0.29129629629629633</v>
      </c>
      <c r="G234" t="s">
        <v>1405</v>
      </c>
      <c r="H234" t="s">
        <v>1335</v>
      </c>
      <c r="I234" s="88" t="str">
        <f>VLOOKUP(A234,Base!A:B,2,0)</f>
        <v>07.816.805-6</v>
      </c>
      <c r="J234" s="99" t="str">
        <f>VLOOKUP(A234,Base!A:F,6,0)</f>
        <v>JULIO CESAR  PINTO  FLORES</v>
      </c>
      <c r="K234" s="89" t="str">
        <f>IFERROR(IF(VLOOKUP(I234,Ingreso!K:P,6,0)=0,"Sin turtno ing",VLOOKUP(I234,Ingreso!K:P,6,0)),IF(F234&gt;0.25,IF(F234&lt;0.311805555555556,"Turno A",IF(F234&gt;0.3125,IF(F234&lt;0.354166666666667,"Turno C",IF(F234&gt;0.583333333333333,IF(F234&lt;0.625,"Turno B",IF(F234&gt;0.625694444444444,IF(F234&lt;0.8125,"Turno A",IF(F234&gt;0.875,IF(F234&lt;0.936805555555556,"Turno C",IF(F234&gt;0.9375,IF(F234&lt;0.979166666666667,"Turno B",""),"")),"")),"")),"")),"")),""))</f>
        <v>Turno A</v>
      </c>
      <c r="L234" s="91">
        <f t="shared" si="3"/>
        <v>0.3125</v>
      </c>
    </row>
    <row r="235" spans="1:12" s="40" customFormat="1">
      <c r="A235">
        <v>7832770</v>
      </c>
      <c r="B235" t="s">
        <v>450</v>
      </c>
      <c r="C235" t="s">
        <v>857</v>
      </c>
      <c r="D235" t="s">
        <v>403</v>
      </c>
      <c r="E235" t="s">
        <v>1440</v>
      </c>
      <c r="F235" s="78">
        <v>0.31951388888888888</v>
      </c>
      <c r="G235" t="s">
        <v>1406</v>
      </c>
      <c r="H235" t="s">
        <v>1336</v>
      </c>
      <c r="I235" s="88" t="str">
        <f>VLOOKUP(A235,Base!A:B,2,0)</f>
        <v>07.832.770-7</v>
      </c>
      <c r="J235" s="99" t="str">
        <f>VLOOKUP(A235,Base!A:F,6,0)</f>
        <v>MIGUEL  SALAS  VALENZUELA</v>
      </c>
      <c r="K235" s="89" t="str">
        <f>IFERROR(IF(VLOOKUP(I235,Ingreso!K:P,6,0)=0,"Sin turtno ing",VLOOKUP(I235,Ingreso!K:P,6,0)),IF(F235&gt;0.25,IF(F235&lt;0.311805555555556,"Turno A",IF(F235&gt;0.3125,IF(F235&lt;0.354166666666667,"Turno C",IF(F235&gt;0.583333333333333,IF(F235&lt;0.625,"Turno B",IF(F235&gt;0.625694444444444,IF(F235&lt;0.8125,"Turno A",IF(F235&gt;0.875,IF(F235&lt;0.936805555555556,"Turno C",IF(F235&gt;0.9375,IF(F235&lt;0.979166666666667,"Turno B",""),"")),"")),"")),"")),"")),""))</f>
        <v>Turno C</v>
      </c>
      <c r="L235" s="91">
        <f t="shared" si="3"/>
        <v>0.375</v>
      </c>
    </row>
    <row r="236" spans="1:12" s="40" customFormat="1">
      <c r="A236">
        <v>7832770</v>
      </c>
      <c r="B236" t="s">
        <v>450</v>
      </c>
      <c r="C236" t="s">
        <v>857</v>
      </c>
      <c r="D236" t="s">
        <v>403</v>
      </c>
      <c r="E236" t="s">
        <v>1440</v>
      </c>
      <c r="F236" s="78">
        <v>0.89424768518518516</v>
      </c>
      <c r="G236" t="s">
        <v>1405</v>
      </c>
      <c r="H236" t="s">
        <v>1335</v>
      </c>
      <c r="I236" s="88" t="str">
        <f>VLOOKUP(A236,Base!A:B,2,0)</f>
        <v>07.832.770-7</v>
      </c>
      <c r="J236" s="99" t="str">
        <f>VLOOKUP(A236,Base!A:F,6,0)</f>
        <v>MIGUEL  SALAS  VALENZUELA</v>
      </c>
      <c r="K236" s="89" t="str">
        <f>IFERROR(IF(VLOOKUP(I236,Ingreso!K:P,6,0)=0,"Sin turtno ing",VLOOKUP(I236,Ingreso!K:P,6,0)),IF(F236&gt;0.25,IF(F236&lt;0.311805555555556,"Turno A",IF(F236&gt;0.3125,IF(F236&lt;0.354166666666667,"Turno C",IF(F236&gt;0.583333333333333,IF(F236&lt;0.625,"Turno B",IF(F236&gt;0.625694444444444,IF(F236&lt;0.8125,"Turno A",IF(F236&gt;0.875,IF(F236&lt;0.936805555555556,"Turno C",IF(F236&gt;0.9375,IF(F236&lt;0.979166666666667,"Turno B",""),"")),"")),"")),"")),"")),""))</f>
        <v>Turno C</v>
      </c>
      <c r="L236" s="91">
        <f t="shared" si="3"/>
        <v>0.375</v>
      </c>
    </row>
    <row r="237" spans="1:12" s="40" customFormat="1">
      <c r="A237">
        <v>7832770</v>
      </c>
      <c r="B237" t="s">
        <v>450</v>
      </c>
      <c r="C237" t="s">
        <v>857</v>
      </c>
      <c r="D237" t="s">
        <v>403</v>
      </c>
      <c r="E237" t="s">
        <v>1441</v>
      </c>
      <c r="F237" s="78">
        <v>0.32315972222222222</v>
      </c>
      <c r="G237" t="s">
        <v>1406</v>
      </c>
      <c r="H237" t="s">
        <v>1336</v>
      </c>
      <c r="I237" s="88" t="str">
        <f>VLOOKUP(A237,Base!A:B,2,0)</f>
        <v>07.832.770-7</v>
      </c>
      <c r="J237" s="99" t="str">
        <f>VLOOKUP(A237,Base!A:F,6,0)</f>
        <v>MIGUEL  SALAS  VALENZUELA</v>
      </c>
      <c r="K237" s="89" t="str">
        <f>IFERROR(IF(VLOOKUP(I237,Ingreso!K:P,6,0)=0,"Sin turtno ing",VLOOKUP(I237,Ingreso!K:P,6,0)),IF(F237&gt;0.25,IF(F237&lt;0.311805555555556,"Turno A",IF(F237&gt;0.3125,IF(F237&lt;0.354166666666667,"Turno C",IF(F237&gt;0.583333333333333,IF(F237&lt;0.625,"Turno B",IF(F237&gt;0.625694444444444,IF(F237&lt;0.8125,"Turno A",IF(F237&gt;0.875,IF(F237&lt;0.936805555555556,"Turno C",IF(F237&gt;0.9375,IF(F237&lt;0.979166666666667,"Turno B",""),"")),"")),"")),"")),"")),""))</f>
        <v>Turno C</v>
      </c>
      <c r="L237" s="91">
        <f t="shared" si="3"/>
        <v>0.375</v>
      </c>
    </row>
    <row r="238" spans="1:12" s="40" customFormat="1">
      <c r="A238">
        <v>7832770</v>
      </c>
      <c r="B238" t="s">
        <v>450</v>
      </c>
      <c r="C238" t="s">
        <v>857</v>
      </c>
      <c r="D238" t="s">
        <v>403</v>
      </c>
      <c r="E238" t="s">
        <v>1437</v>
      </c>
      <c r="F238" s="78">
        <v>0.89026620370370368</v>
      </c>
      <c r="G238" t="s">
        <v>1405</v>
      </c>
      <c r="H238" t="s">
        <v>1335</v>
      </c>
      <c r="I238" s="88" t="str">
        <f>VLOOKUP(A238,Base!A:B,2,0)</f>
        <v>07.832.770-7</v>
      </c>
      <c r="J238" s="99" t="str">
        <f>VLOOKUP(A238,Base!A:F,6,0)</f>
        <v>MIGUEL  SALAS  VALENZUELA</v>
      </c>
      <c r="K238" s="89" t="str">
        <f>IFERROR(IF(VLOOKUP(I238,Ingreso!K:P,6,0)=0,"Sin turtno ing",VLOOKUP(I238,Ingreso!K:P,6,0)),IF(F238&gt;0.25,IF(F238&lt;0.311805555555556,"Turno A",IF(F238&gt;0.3125,IF(F238&lt;0.354166666666667,"Turno C",IF(F238&gt;0.583333333333333,IF(F238&lt;0.625,"Turno B",IF(F238&gt;0.625694444444444,IF(F238&lt;0.8125,"Turno A",IF(F238&gt;0.875,IF(F238&lt;0.936805555555556,"Turno C",IF(F238&gt;0.9375,IF(F238&lt;0.979166666666667,"Turno B",""),"")),"")),"")),"")),"")),""))</f>
        <v>Turno C</v>
      </c>
      <c r="L238" s="91">
        <f t="shared" si="3"/>
        <v>0.375</v>
      </c>
    </row>
    <row r="239" spans="1:12" s="40" customFormat="1">
      <c r="A239">
        <v>7832770</v>
      </c>
      <c r="B239" t="s">
        <v>450</v>
      </c>
      <c r="C239" t="s">
        <v>857</v>
      </c>
      <c r="D239" t="s">
        <v>403</v>
      </c>
      <c r="E239" t="s">
        <v>1438</v>
      </c>
      <c r="F239" s="78">
        <v>0.32</v>
      </c>
      <c r="G239" t="s">
        <v>1406</v>
      </c>
      <c r="H239" t="s">
        <v>1336</v>
      </c>
      <c r="I239" s="88" t="str">
        <f>VLOOKUP(A239,Base!A:B,2,0)</f>
        <v>07.832.770-7</v>
      </c>
      <c r="J239" s="99" t="str">
        <f>VLOOKUP(A239,Base!A:F,6,0)</f>
        <v>MIGUEL  SALAS  VALENZUELA</v>
      </c>
      <c r="K239" s="89" t="str">
        <f>IFERROR(IF(VLOOKUP(I239,Ingreso!K:P,6,0)=0,"Sin turtno ing",VLOOKUP(I239,Ingreso!K:P,6,0)),IF(F239&gt;0.25,IF(F239&lt;0.311805555555556,"Turno A",IF(F239&gt;0.3125,IF(F239&lt;0.354166666666667,"Turno C",IF(F239&gt;0.583333333333333,IF(F239&lt;0.625,"Turno B",IF(F239&gt;0.625694444444444,IF(F239&lt;0.8125,"Turno A",IF(F239&gt;0.875,IF(F239&lt;0.936805555555556,"Turno C",IF(F239&gt;0.9375,IF(F239&lt;0.979166666666667,"Turno B",""),"")),"")),"")),"")),"")),""))</f>
        <v>Turno C</v>
      </c>
      <c r="L239" s="91">
        <f t="shared" si="3"/>
        <v>0.375</v>
      </c>
    </row>
    <row r="240" spans="1:12" s="40" customFormat="1">
      <c r="A240">
        <v>7832770</v>
      </c>
      <c r="B240" t="s">
        <v>450</v>
      </c>
      <c r="C240" t="s">
        <v>857</v>
      </c>
      <c r="D240" t="s">
        <v>403</v>
      </c>
      <c r="E240" t="s">
        <v>1438</v>
      </c>
      <c r="F240" s="78">
        <v>0.89640046296296294</v>
      </c>
      <c r="G240" t="s">
        <v>1405</v>
      </c>
      <c r="H240" t="s">
        <v>1335</v>
      </c>
      <c r="I240" s="88" t="str">
        <f>VLOOKUP(A240,Base!A:B,2,0)</f>
        <v>07.832.770-7</v>
      </c>
      <c r="J240" s="99" t="str">
        <f>VLOOKUP(A240,Base!A:F,6,0)</f>
        <v>MIGUEL  SALAS  VALENZUELA</v>
      </c>
      <c r="K240" s="89" t="str">
        <f>IFERROR(IF(VLOOKUP(I240,Ingreso!K:P,6,0)=0,"Sin turtno ing",VLOOKUP(I240,Ingreso!K:P,6,0)),IF(F240&gt;0.25,IF(F240&lt;0.311805555555556,"Turno A",IF(F240&gt;0.3125,IF(F240&lt;0.354166666666667,"Turno C",IF(F240&gt;0.583333333333333,IF(F240&lt;0.625,"Turno B",IF(F240&gt;0.625694444444444,IF(F240&lt;0.8125,"Turno A",IF(F240&gt;0.875,IF(F240&lt;0.936805555555556,"Turno C",IF(F240&gt;0.9375,IF(F240&lt;0.979166666666667,"Turno B",""),"")),"")),"")),"")),"")),""))</f>
        <v>Turno C</v>
      </c>
      <c r="L240" s="91">
        <f t="shared" si="3"/>
        <v>0.375</v>
      </c>
    </row>
    <row r="241" spans="1:12" s="40" customFormat="1">
      <c r="A241">
        <v>7832770</v>
      </c>
      <c r="B241" t="s">
        <v>450</v>
      </c>
      <c r="C241" t="s">
        <v>857</v>
      </c>
      <c r="D241" t="s">
        <v>403</v>
      </c>
      <c r="E241" t="s">
        <v>1439</v>
      </c>
      <c r="F241" s="78">
        <v>0.32133101851851853</v>
      </c>
      <c r="G241" t="s">
        <v>1406</v>
      </c>
      <c r="H241" t="s">
        <v>1336</v>
      </c>
      <c r="I241" s="88" t="str">
        <f>VLOOKUP(A241,Base!A:B,2,0)</f>
        <v>07.832.770-7</v>
      </c>
      <c r="J241" s="99" t="str">
        <f>VLOOKUP(A241,Base!A:F,6,0)</f>
        <v>MIGUEL  SALAS  VALENZUELA</v>
      </c>
      <c r="K241" s="89" t="str">
        <f>IFERROR(IF(VLOOKUP(I241,Ingreso!K:P,6,0)=0,"Sin turtno ing",VLOOKUP(I241,Ingreso!K:P,6,0)),IF(F241&gt;0.25,IF(F241&lt;0.311805555555556,"Turno A",IF(F241&gt;0.3125,IF(F241&lt;0.354166666666667,"Turno C",IF(F241&gt;0.583333333333333,IF(F241&lt;0.625,"Turno B",IF(F241&gt;0.625694444444444,IF(F241&lt;0.8125,"Turno A",IF(F241&gt;0.875,IF(F241&lt;0.936805555555556,"Turno C",IF(F241&gt;0.9375,IF(F241&lt;0.979166666666667,"Turno B",""),"")),"")),"")),"")),"")),""))</f>
        <v>Turno C</v>
      </c>
      <c r="L241" s="91">
        <f t="shared" si="3"/>
        <v>0.375</v>
      </c>
    </row>
    <row r="242" spans="1:12" s="40" customFormat="1">
      <c r="A242">
        <v>7832770</v>
      </c>
      <c r="B242" t="s">
        <v>450</v>
      </c>
      <c r="C242" t="s">
        <v>857</v>
      </c>
      <c r="D242" t="s">
        <v>403</v>
      </c>
      <c r="E242" t="s">
        <v>1439</v>
      </c>
      <c r="F242" s="78">
        <v>0.88638888888888889</v>
      </c>
      <c r="G242" t="s">
        <v>1405</v>
      </c>
      <c r="H242" t="s">
        <v>1335</v>
      </c>
      <c r="I242" s="88" t="str">
        <f>VLOOKUP(A242,Base!A:B,2,0)</f>
        <v>07.832.770-7</v>
      </c>
      <c r="J242" s="99" t="str">
        <f>VLOOKUP(A242,Base!A:F,6,0)</f>
        <v>MIGUEL  SALAS  VALENZUELA</v>
      </c>
      <c r="K242" s="89" t="str">
        <f>IFERROR(IF(VLOOKUP(I242,Ingreso!K:P,6,0)=0,"Sin turtno ing",VLOOKUP(I242,Ingreso!K:P,6,0)),IF(F242&gt;0.25,IF(F242&lt;0.311805555555556,"Turno A",IF(F242&gt;0.3125,IF(F242&lt;0.354166666666667,"Turno C",IF(F242&gt;0.583333333333333,IF(F242&lt;0.625,"Turno B",IF(F242&gt;0.625694444444444,IF(F242&lt;0.8125,"Turno A",IF(F242&gt;0.875,IF(F242&lt;0.936805555555556,"Turno C",IF(F242&gt;0.9375,IF(F242&lt;0.979166666666667,"Turno B",""),"")),"")),"")),"")),"")),""))</f>
        <v>Turno C</v>
      </c>
      <c r="L242" s="91">
        <f t="shared" si="3"/>
        <v>0.375</v>
      </c>
    </row>
    <row r="243" spans="1:12" s="40" customFormat="1">
      <c r="A243">
        <v>7913597</v>
      </c>
      <c r="B243" t="s">
        <v>848</v>
      </c>
      <c r="C243" t="s">
        <v>580</v>
      </c>
      <c r="D243" t="s">
        <v>847</v>
      </c>
      <c r="E243" t="s">
        <v>1440</v>
      </c>
      <c r="F243" s="78">
        <v>0.94789351851851855</v>
      </c>
      <c r="G243" t="s">
        <v>1406</v>
      </c>
      <c r="H243" t="s">
        <v>1336</v>
      </c>
      <c r="I243" s="88" t="str">
        <f>VLOOKUP(A243,Base!A:B,2,0)</f>
        <v>07.913.597-6</v>
      </c>
      <c r="J243" s="99" t="str">
        <f>VLOOKUP(A243,Base!A:F,6,0)</f>
        <v>JOSE  RAMIREZ  ROJAS</v>
      </c>
      <c r="K243" s="89" t="str">
        <f>IFERROR(IF(VLOOKUP(I243,Ingreso!K:P,6,0)=0,"Sin turtno ing",VLOOKUP(I243,Ingreso!K:P,6,0)),IF(F243&gt;0.25,IF(F243&lt;0.311805555555556,"Turno A",IF(F243&gt;0.3125,IF(F243&lt;0.354166666666667,"Turno C",IF(F243&gt;0.583333333333333,IF(F243&lt;0.625,"Turno B",IF(F243&gt;0.625694444444444,IF(F243&lt;0.8125,"Turno A",IF(F243&gt;0.875,IF(F243&lt;0.936805555555556,"Turno C",IF(F243&gt;0.9375,IF(F243&lt;0.979166666666667,"Turno B",""),"")),"")),"")),"")),"")),""))</f>
        <v>Turno B</v>
      </c>
      <c r="L243" s="91">
        <f t="shared" si="3"/>
        <v>0.3125</v>
      </c>
    </row>
    <row r="244" spans="1:12" s="40" customFormat="1">
      <c r="A244">
        <v>7913597</v>
      </c>
      <c r="B244" t="s">
        <v>848</v>
      </c>
      <c r="C244" t="s">
        <v>580</v>
      </c>
      <c r="D244" t="s">
        <v>847</v>
      </c>
      <c r="E244" t="s">
        <v>1440</v>
      </c>
      <c r="F244" s="78">
        <v>0.60693287037037036</v>
      </c>
      <c r="G244" t="s">
        <v>1405</v>
      </c>
      <c r="H244" t="s">
        <v>1335</v>
      </c>
      <c r="I244" s="88" t="str">
        <f>VLOOKUP(A244,Base!A:B,2,0)</f>
        <v>07.913.597-6</v>
      </c>
      <c r="J244" s="99" t="str">
        <f>VLOOKUP(A244,Base!A:F,6,0)</f>
        <v>JOSE  RAMIREZ  ROJAS</v>
      </c>
      <c r="K244" s="89" t="str">
        <f>IFERROR(IF(VLOOKUP(I244,Ingreso!K:P,6,0)=0,"Sin turtno ing",VLOOKUP(I244,Ingreso!K:P,6,0)),IF(F244&gt;0.25,IF(F244&lt;0.311805555555556,"Turno A",IF(F244&gt;0.3125,IF(F244&lt;0.354166666666667,"Turno C",IF(F244&gt;0.583333333333333,IF(F244&lt;0.625,"Turno B",IF(F244&gt;0.625694444444444,IF(F244&lt;0.8125,"Turno A",IF(F244&gt;0.875,IF(F244&lt;0.936805555555556,"Turno C",IF(F244&gt;0.9375,IF(F244&lt;0.979166666666667,"Turno B",""),"")),"")),"")),"")),"")),""))</f>
        <v>Turno B</v>
      </c>
      <c r="L244" s="91">
        <f t="shared" si="3"/>
        <v>0.3125</v>
      </c>
    </row>
    <row r="245" spans="1:12" s="40" customFormat="1">
      <c r="A245">
        <v>7913597</v>
      </c>
      <c r="B245" t="s">
        <v>848</v>
      </c>
      <c r="C245" t="s">
        <v>580</v>
      </c>
      <c r="D245" t="s">
        <v>847</v>
      </c>
      <c r="E245" t="s">
        <v>1441</v>
      </c>
      <c r="F245" s="78">
        <v>0.94708333333333339</v>
      </c>
      <c r="G245" t="s">
        <v>1406</v>
      </c>
      <c r="H245" t="s">
        <v>1336</v>
      </c>
      <c r="I245" s="88" t="str">
        <f>VLOOKUP(A245,Base!A:B,2,0)</f>
        <v>07.913.597-6</v>
      </c>
      <c r="J245" s="99" t="str">
        <f>VLOOKUP(A245,Base!A:F,6,0)</f>
        <v>JOSE  RAMIREZ  ROJAS</v>
      </c>
      <c r="K245" s="89" t="str">
        <f>IFERROR(IF(VLOOKUP(I245,Ingreso!K:P,6,0)=0,"Sin turtno ing",VLOOKUP(I245,Ingreso!K:P,6,0)),IF(F245&gt;0.25,IF(F245&lt;0.311805555555556,"Turno A",IF(F245&gt;0.3125,IF(F245&lt;0.354166666666667,"Turno C",IF(F245&gt;0.583333333333333,IF(F245&lt;0.625,"Turno B",IF(F245&gt;0.625694444444444,IF(F245&lt;0.8125,"Turno A",IF(F245&gt;0.875,IF(F245&lt;0.936805555555556,"Turno C",IF(F245&gt;0.9375,IF(F245&lt;0.979166666666667,"Turno B",""),"")),"")),"")),"")),"")),""))</f>
        <v>Turno B</v>
      </c>
      <c r="L245" s="91">
        <f t="shared" si="3"/>
        <v>0.3125</v>
      </c>
    </row>
    <row r="246" spans="1:12" s="40" customFormat="1">
      <c r="A246">
        <v>7913597</v>
      </c>
      <c r="B246" t="s">
        <v>848</v>
      </c>
      <c r="C246" t="s">
        <v>580</v>
      </c>
      <c r="D246" t="s">
        <v>847</v>
      </c>
      <c r="E246" t="s">
        <v>1441</v>
      </c>
      <c r="F246" s="78">
        <v>0.60908564814814814</v>
      </c>
      <c r="G246" t="s">
        <v>1405</v>
      </c>
      <c r="H246" t="s">
        <v>1335</v>
      </c>
      <c r="I246" s="88" t="str">
        <f>VLOOKUP(A246,Base!A:B,2,0)</f>
        <v>07.913.597-6</v>
      </c>
      <c r="J246" s="99" t="str">
        <f>VLOOKUP(A246,Base!A:F,6,0)</f>
        <v>JOSE  RAMIREZ  ROJAS</v>
      </c>
      <c r="K246" s="89" t="str">
        <f>IFERROR(IF(VLOOKUP(I246,Ingreso!K:P,6,0)=0,"Sin turtno ing",VLOOKUP(I246,Ingreso!K:P,6,0)),IF(F246&gt;0.25,IF(F246&lt;0.311805555555556,"Turno A",IF(F246&gt;0.3125,IF(F246&lt;0.354166666666667,"Turno C",IF(F246&gt;0.583333333333333,IF(F246&lt;0.625,"Turno B",IF(F246&gt;0.625694444444444,IF(F246&lt;0.8125,"Turno A",IF(F246&gt;0.875,IF(F246&lt;0.936805555555556,"Turno C",IF(F246&gt;0.9375,IF(F246&lt;0.979166666666667,"Turno B",""),"")),"")),"")),"")),"")),""))</f>
        <v>Turno B</v>
      </c>
      <c r="L246" s="91">
        <f t="shared" si="3"/>
        <v>0.3125</v>
      </c>
    </row>
    <row r="247" spans="1:12" s="40" customFormat="1">
      <c r="A247">
        <v>7913597</v>
      </c>
      <c r="B247" t="s">
        <v>848</v>
      </c>
      <c r="C247" t="s">
        <v>580</v>
      </c>
      <c r="D247" t="s">
        <v>847</v>
      </c>
      <c r="E247" t="s">
        <v>1437</v>
      </c>
      <c r="F247" s="78">
        <v>0.94759259259259254</v>
      </c>
      <c r="G247" t="s">
        <v>1406</v>
      </c>
      <c r="H247" t="s">
        <v>1336</v>
      </c>
      <c r="I247" s="88" t="str">
        <f>VLOOKUP(A247,Base!A:B,2,0)</f>
        <v>07.913.597-6</v>
      </c>
      <c r="J247" s="99" t="str">
        <f>VLOOKUP(A247,Base!A:F,6,0)</f>
        <v>JOSE  RAMIREZ  ROJAS</v>
      </c>
      <c r="K247" s="89" t="str">
        <f>IFERROR(IF(VLOOKUP(I247,Ingreso!K:P,6,0)=0,"Sin turtno ing",VLOOKUP(I247,Ingreso!K:P,6,0)),IF(F247&gt;0.25,IF(F247&lt;0.311805555555556,"Turno A",IF(F247&gt;0.3125,IF(F247&lt;0.354166666666667,"Turno C",IF(F247&gt;0.583333333333333,IF(F247&lt;0.625,"Turno B",IF(F247&gt;0.625694444444444,IF(F247&lt;0.8125,"Turno A",IF(F247&gt;0.875,IF(F247&lt;0.936805555555556,"Turno C",IF(F247&gt;0.9375,IF(F247&lt;0.979166666666667,"Turno B",""),"")),"")),"")),"")),"")),""))</f>
        <v>Turno B</v>
      </c>
      <c r="L247" s="91">
        <f t="shared" si="3"/>
        <v>0.3125</v>
      </c>
    </row>
    <row r="248" spans="1:12" s="40" customFormat="1">
      <c r="A248">
        <v>7913597</v>
      </c>
      <c r="B248" t="s">
        <v>848</v>
      </c>
      <c r="C248" t="s">
        <v>580</v>
      </c>
      <c r="D248" t="s">
        <v>847</v>
      </c>
      <c r="E248" t="s">
        <v>1437</v>
      </c>
      <c r="F248" s="78">
        <v>0.60684027777777783</v>
      </c>
      <c r="G248" t="s">
        <v>1405</v>
      </c>
      <c r="H248" t="s">
        <v>1335</v>
      </c>
      <c r="I248" s="88" t="str">
        <f>VLOOKUP(A248,Base!A:B,2,0)</f>
        <v>07.913.597-6</v>
      </c>
      <c r="J248" s="99" t="str">
        <f>VLOOKUP(A248,Base!A:F,6,0)</f>
        <v>JOSE  RAMIREZ  ROJAS</v>
      </c>
      <c r="K248" s="89" t="str">
        <f>IFERROR(IF(VLOOKUP(I248,Ingreso!K:P,6,0)=0,"Sin turtno ing",VLOOKUP(I248,Ingreso!K:P,6,0)),IF(F248&gt;0.25,IF(F248&lt;0.311805555555556,"Turno A",IF(F248&gt;0.3125,IF(F248&lt;0.354166666666667,"Turno C",IF(F248&gt;0.583333333333333,IF(F248&lt;0.625,"Turno B",IF(F248&gt;0.625694444444444,IF(F248&lt;0.8125,"Turno A",IF(F248&gt;0.875,IF(F248&lt;0.936805555555556,"Turno C",IF(F248&gt;0.9375,IF(F248&lt;0.979166666666667,"Turno B",""),"")),"")),"")),"")),"")),""))</f>
        <v>Turno B</v>
      </c>
      <c r="L248" s="91">
        <f t="shared" si="3"/>
        <v>0.3125</v>
      </c>
    </row>
    <row r="249" spans="1:12" s="40" customFormat="1">
      <c r="A249">
        <v>7913597</v>
      </c>
      <c r="B249" t="s">
        <v>848</v>
      </c>
      <c r="C249" t="s">
        <v>580</v>
      </c>
      <c r="D249" t="s">
        <v>847</v>
      </c>
      <c r="E249" t="s">
        <v>1438</v>
      </c>
      <c r="F249" s="78">
        <v>0.94513888888888886</v>
      </c>
      <c r="G249" t="s">
        <v>1406</v>
      </c>
      <c r="H249" t="s">
        <v>1336</v>
      </c>
      <c r="I249" s="88" t="str">
        <f>VLOOKUP(A249,Base!A:B,2,0)</f>
        <v>07.913.597-6</v>
      </c>
      <c r="J249" s="99" t="str">
        <f>VLOOKUP(A249,Base!A:F,6,0)</f>
        <v>JOSE  RAMIREZ  ROJAS</v>
      </c>
      <c r="K249" s="89" t="str">
        <f>IFERROR(IF(VLOOKUP(I249,Ingreso!K:P,6,0)=0,"Sin turtno ing",VLOOKUP(I249,Ingreso!K:P,6,0)),IF(F249&gt;0.25,IF(F249&lt;0.311805555555556,"Turno A",IF(F249&gt;0.3125,IF(F249&lt;0.354166666666667,"Turno C",IF(F249&gt;0.583333333333333,IF(F249&lt;0.625,"Turno B",IF(F249&gt;0.625694444444444,IF(F249&lt;0.8125,"Turno A",IF(F249&gt;0.875,IF(F249&lt;0.936805555555556,"Turno C",IF(F249&gt;0.9375,IF(F249&lt;0.979166666666667,"Turno B",""),"")),"")),"")),"")),"")),""))</f>
        <v>Turno B</v>
      </c>
      <c r="L249" s="91">
        <f t="shared" si="3"/>
        <v>0.3125</v>
      </c>
    </row>
    <row r="250" spans="1:12" s="40" customFormat="1">
      <c r="A250">
        <v>7913597</v>
      </c>
      <c r="B250" t="s">
        <v>848</v>
      </c>
      <c r="C250" t="s">
        <v>580</v>
      </c>
      <c r="D250" t="s">
        <v>847</v>
      </c>
      <c r="E250" t="s">
        <v>1438</v>
      </c>
      <c r="F250" s="78">
        <v>0.60914351851851845</v>
      </c>
      <c r="G250" t="s">
        <v>1405</v>
      </c>
      <c r="H250" t="s">
        <v>1335</v>
      </c>
      <c r="I250" s="88" t="str">
        <f>VLOOKUP(A250,Base!A:B,2,0)</f>
        <v>07.913.597-6</v>
      </c>
      <c r="J250" s="99" t="str">
        <f>VLOOKUP(A250,Base!A:F,6,0)</f>
        <v>JOSE  RAMIREZ  ROJAS</v>
      </c>
      <c r="K250" s="89" t="str">
        <f>IFERROR(IF(VLOOKUP(I250,Ingreso!K:P,6,0)=0,"Sin turtno ing",VLOOKUP(I250,Ingreso!K:P,6,0)),IF(F250&gt;0.25,IF(F250&lt;0.311805555555556,"Turno A",IF(F250&gt;0.3125,IF(F250&lt;0.354166666666667,"Turno C",IF(F250&gt;0.583333333333333,IF(F250&lt;0.625,"Turno B",IF(F250&gt;0.625694444444444,IF(F250&lt;0.8125,"Turno A",IF(F250&gt;0.875,IF(F250&lt;0.936805555555556,"Turno C",IF(F250&gt;0.9375,IF(F250&lt;0.979166666666667,"Turno B",""),"")),"")),"")),"")),"")),""))</f>
        <v>Turno B</v>
      </c>
      <c r="L250" s="91">
        <f t="shared" si="3"/>
        <v>0.3125</v>
      </c>
    </row>
    <row r="251" spans="1:12" s="40" customFormat="1">
      <c r="A251">
        <v>7913597</v>
      </c>
      <c r="B251" t="s">
        <v>848</v>
      </c>
      <c r="C251" t="s">
        <v>580</v>
      </c>
      <c r="D251" t="s">
        <v>847</v>
      </c>
      <c r="E251" t="s">
        <v>1439</v>
      </c>
      <c r="F251" s="78">
        <v>0.94619212962962962</v>
      </c>
      <c r="G251" t="s">
        <v>1406</v>
      </c>
      <c r="H251" t="s">
        <v>1336</v>
      </c>
      <c r="I251" s="88" t="str">
        <f>VLOOKUP(A251,Base!A:B,2,0)</f>
        <v>07.913.597-6</v>
      </c>
      <c r="J251" s="99" t="str">
        <f>VLOOKUP(A251,Base!A:F,6,0)</f>
        <v>JOSE  RAMIREZ  ROJAS</v>
      </c>
      <c r="K251" s="89" t="str">
        <f>IFERROR(IF(VLOOKUP(I251,Ingreso!K:P,6,0)=0,"Sin turtno ing",VLOOKUP(I251,Ingreso!K:P,6,0)),IF(F251&gt;0.25,IF(F251&lt;0.311805555555556,"Turno A",IF(F251&gt;0.3125,IF(F251&lt;0.354166666666667,"Turno C",IF(F251&gt;0.583333333333333,IF(F251&lt;0.625,"Turno B",IF(F251&gt;0.625694444444444,IF(F251&lt;0.8125,"Turno A",IF(F251&gt;0.875,IF(F251&lt;0.936805555555556,"Turno C",IF(F251&gt;0.9375,IF(F251&lt;0.979166666666667,"Turno B",""),"")),"")),"")),"")),"")),""))</f>
        <v>Turno B</v>
      </c>
      <c r="L251" s="91">
        <f t="shared" si="3"/>
        <v>0.3125</v>
      </c>
    </row>
    <row r="252" spans="1:12" s="40" customFormat="1">
      <c r="A252">
        <v>7913597</v>
      </c>
      <c r="B252" t="s">
        <v>848</v>
      </c>
      <c r="C252" t="s">
        <v>580</v>
      </c>
      <c r="D252" t="s">
        <v>847</v>
      </c>
      <c r="E252" t="s">
        <v>1439</v>
      </c>
      <c r="F252" s="78">
        <v>0.60736111111111113</v>
      </c>
      <c r="G252" t="s">
        <v>1405</v>
      </c>
      <c r="H252" t="s">
        <v>1335</v>
      </c>
      <c r="I252" s="88" t="str">
        <f>VLOOKUP(A252,Base!A:B,2,0)</f>
        <v>07.913.597-6</v>
      </c>
      <c r="J252" s="99" t="str">
        <f>VLOOKUP(A252,Base!A:F,6,0)</f>
        <v>JOSE  RAMIREZ  ROJAS</v>
      </c>
      <c r="K252" s="89" t="str">
        <f>IFERROR(IF(VLOOKUP(I252,Ingreso!K:P,6,0)=0,"Sin turtno ing",VLOOKUP(I252,Ingreso!K:P,6,0)),IF(F252&gt;0.25,IF(F252&lt;0.311805555555556,"Turno A",IF(F252&gt;0.3125,IF(F252&lt;0.354166666666667,"Turno C",IF(F252&gt;0.583333333333333,IF(F252&lt;0.625,"Turno B",IF(F252&gt;0.625694444444444,IF(F252&lt;0.8125,"Turno A",IF(F252&gt;0.875,IF(F252&lt;0.936805555555556,"Turno C",IF(F252&gt;0.9375,IF(F252&lt;0.979166666666667,"Turno B",""),"")),"")),"")),"")),"")),""))</f>
        <v>Turno B</v>
      </c>
      <c r="L252" s="91">
        <f t="shared" si="3"/>
        <v>0.3125</v>
      </c>
    </row>
    <row r="253" spans="1:12" s="40" customFormat="1">
      <c r="A253">
        <v>7916907</v>
      </c>
      <c r="B253" t="s">
        <v>933</v>
      </c>
      <c r="C253" t="s">
        <v>528</v>
      </c>
      <c r="D253" t="s">
        <v>308</v>
      </c>
      <c r="E253" t="s">
        <v>1436</v>
      </c>
      <c r="F253" s="78">
        <v>0.99100694444444448</v>
      </c>
      <c r="G253" t="s">
        <v>1405</v>
      </c>
      <c r="H253" t="s">
        <v>1335</v>
      </c>
      <c r="I253" s="88" t="str">
        <f>VLOOKUP(A253,Base!A:B,2,0)</f>
        <v>07.916.907-2</v>
      </c>
      <c r="J253" s="99" t="str">
        <f>VLOOKUP(A253,Base!A:F,6,0)</f>
        <v>MARCOS A  RUBIO  CASTRO</v>
      </c>
      <c r="K253" s="89" t="str">
        <f>IFERROR(IF(VLOOKUP(I253,Ingreso!K:P,6,0)=0,"Sin turtno ing",VLOOKUP(I253,Ingreso!K:P,6,0)),IF(F253&gt;0.25,IF(F253&lt;0.311805555555556,"Turno A",IF(F253&gt;0.3125,IF(F253&lt;0.354166666666667,"Turno C",IF(F253&gt;0.583333333333333,IF(F253&lt;0.625,"Turno B",IF(F253&gt;0.625694444444444,IF(F253&lt;0.8125,"Turno A",IF(F253&gt;0.875,IF(F253&lt;0.936805555555556,"Turno C",IF(F253&gt;0.9375,IF(F253&lt;0.979166666666667,"Turno B",""),"")),"")),"")),"")),"")),""))</f>
        <v>Turno A</v>
      </c>
      <c r="L253" s="91">
        <f t="shared" si="3"/>
        <v>0.3125</v>
      </c>
    </row>
    <row r="254" spans="1:12" s="40" customFormat="1">
      <c r="A254">
        <v>7916907</v>
      </c>
      <c r="B254" t="s">
        <v>933</v>
      </c>
      <c r="C254" t="s">
        <v>528</v>
      </c>
      <c r="D254" t="s">
        <v>308</v>
      </c>
      <c r="E254" t="s">
        <v>1437</v>
      </c>
      <c r="F254" s="78">
        <v>0.33983796296296293</v>
      </c>
      <c r="G254" t="s">
        <v>1406</v>
      </c>
      <c r="H254" t="s">
        <v>1336</v>
      </c>
      <c r="I254" s="88" t="str">
        <f>VLOOKUP(A254,Base!A:B,2,0)</f>
        <v>07.916.907-2</v>
      </c>
      <c r="J254" s="99" t="str">
        <f>VLOOKUP(A254,Base!A:F,6,0)</f>
        <v>MARCOS A  RUBIO  CASTRO</v>
      </c>
      <c r="K254" s="89" t="str">
        <f>IFERROR(IF(VLOOKUP(I254,Ingreso!K:P,6,0)=0,"Sin turtno ing",VLOOKUP(I254,Ingreso!K:P,6,0)),IF(F254&gt;0.25,IF(F254&lt;0.311805555555556,"Turno A",IF(F254&gt;0.3125,IF(F254&lt;0.354166666666667,"Turno C",IF(F254&gt;0.583333333333333,IF(F254&lt;0.625,"Turno B",IF(F254&gt;0.625694444444444,IF(F254&lt;0.8125,"Turno A",IF(F254&gt;0.875,IF(F254&lt;0.936805555555556,"Turno C",IF(F254&gt;0.9375,IF(F254&lt;0.979166666666667,"Turno B",""),"")),"")),"")),"")),"")),""))</f>
        <v>Turno A</v>
      </c>
      <c r="L254" s="91">
        <f t="shared" si="3"/>
        <v>0.3125</v>
      </c>
    </row>
    <row r="255" spans="1:12" s="40" customFormat="1">
      <c r="A255">
        <v>7916907</v>
      </c>
      <c r="B255" t="s">
        <v>933</v>
      </c>
      <c r="C255" t="s">
        <v>528</v>
      </c>
      <c r="D255" t="s">
        <v>308</v>
      </c>
      <c r="E255" t="s">
        <v>1438</v>
      </c>
      <c r="F255" s="78">
        <v>0.78671296296296289</v>
      </c>
      <c r="G255" t="s">
        <v>1406</v>
      </c>
      <c r="H255" t="s">
        <v>1336</v>
      </c>
      <c r="I255" s="88" t="str">
        <f>VLOOKUP(A255,Base!A:B,2,0)</f>
        <v>07.916.907-2</v>
      </c>
      <c r="J255" s="99" t="str">
        <f>VLOOKUP(A255,Base!A:F,6,0)</f>
        <v>MARCOS A  RUBIO  CASTRO</v>
      </c>
      <c r="K255" s="89" t="str">
        <f>IFERROR(IF(VLOOKUP(I255,Ingreso!K:P,6,0)=0,"Sin turtno ing",VLOOKUP(I255,Ingreso!K:P,6,0)),IF(F255&gt;0.25,IF(F255&lt;0.311805555555556,"Turno A",IF(F255&gt;0.3125,IF(F255&lt;0.354166666666667,"Turno C",IF(F255&gt;0.583333333333333,IF(F255&lt;0.625,"Turno B",IF(F255&gt;0.625694444444444,IF(F255&lt;0.8125,"Turno A",IF(F255&gt;0.875,IF(F255&lt;0.936805555555556,"Turno C",IF(F255&gt;0.9375,IF(F255&lt;0.979166666666667,"Turno B",""),"")),"")),"")),"")),"")),""))</f>
        <v>Turno A</v>
      </c>
      <c r="L255" s="91">
        <f t="shared" si="3"/>
        <v>0.3125</v>
      </c>
    </row>
    <row r="256" spans="1:12" s="40" customFormat="1">
      <c r="A256">
        <v>7916907</v>
      </c>
      <c r="B256" t="s">
        <v>933</v>
      </c>
      <c r="C256" t="s">
        <v>528</v>
      </c>
      <c r="D256" t="s">
        <v>308</v>
      </c>
      <c r="E256" t="s">
        <v>1438</v>
      </c>
      <c r="F256" s="78">
        <v>0.3117361111111111</v>
      </c>
      <c r="G256" t="s">
        <v>1405</v>
      </c>
      <c r="H256" t="s">
        <v>1335</v>
      </c>
      <c r="I256" s="88" t="str">
        <f>VLOOKUP(A256,Base!A:B,2,0)</f>
        <v>07.916.907-2</v>
      </c>
      <c r="J256" s="99" t="str">
        <f>VLOOKUP(A256,Base!A:F,6,0)</f>
        <v>MARCOS A  RUBIO  CASTRO</v>
      </c>
      <c r="K256" s="89" t="str">
        <f>IFERROR(IF(VLOOKUP(I256,Ingreso!K:P,6,0)=0,"Sin turtno ing",VLOOKUP(I256,Ingreso!K:P,6,0)),IF(F256&gt;0.25,IF(F256&lt;0.311805555555556,"Turno A",IF(F256&gt;0.3125,IF(F256&lt;0.354166666666667,"Turno C",IF(F256&gt;0.583333333333333,IF(F256&lt;0.625,"Turno B",IF(F256&gt;0.625694444444444,IF(F256&lt;0.8125,"Turno A",IF(F256&gt;0.875,IF(F256&lt;0.936805555555556,"Turno C",IF(F256&gt;0.9375,IF(F256&lt;0.979166666666667,"Turno B",""),"")),"")),"")),"")),"")),""))</f>
        <v>Turno A</v>
      </c>
      <c r="L256" s="91">
        <f t="shared" si="3"/>
        <v>0.3125</v>
      </c>
    </row>
    <row r="257" spans="1:12" s="40" customFormat="1">
      <c r="A257">
        <v>7944613</v>
      </c>
      <c r="B257" t="s">
        <v>309</v>
      </c>
      <c r="C257" t="s">
        <v>179</v>
      </c>
      <c r="D257" t="s">
        <v>308</v>
      </c>
      <c r="E257" t="s">
        <v>1440</v>
      </c>
      <c r="F257" s="78">
        <v>1.6458333333333332E-2</v>
      </c>
      <c r="G257" t="s">
        <v>1406</v>
      </c>
      <c r="H257" t="s">
        <v>1336</v>
      </c>
      <c r="I257" s="88" t="str">
        <f>VLOOKUP(A257,Base!A:B,2,0)</f>
        <v>07.944.613-0</v>
      </c>
      <c r="J257" s="99" t="str">
        <f>VLOOKUP(A257,Base!A:F,6,0)</f>
        <v>MIGUEL ANGEL  DIAZ  CASTRO</v>
      </c>
      <c r="K257" s="89" t="str">
        <f>IFERROR(IF(VLOOKUP(I257,Ingreso!K:P,6,0)=0,"Sin turtno ing",VLOOKUP(I257,Ingreso!K:P,6,0)),IF(F257&gt;0.25,IF(F257&lt;0.311805555555556,"Turno A",IF(F257&gt;0.3125,IF(F257&lt;0.354166666666667,"Turno C",IF(F257&gt;0.583333333333333,IF(F257&lt;0.625,"Turno B",IF(F257&gt;0.625694444444444,IF(F257&lt;0.8125,"Turno A",IF(F257&gt;0.875,IF(F257&lt;0.936805555555556,"Turno C",IF(F257&gt;0.9375,IF(F257&lt;0.979166666666667,"Turno B",""),"")),"")),"")),"")),"")),""))</f>
        <v>Turno B</v>
      </c>
      <c r="L257" s="91">
        <f t="shared" si="3"/>
        <v>0.3125</v>
      </c>
    </row>
    <row r="258" spans="1:12" s="40" customFormat="1">
      <c r="A258">
        <v>7944613</v>
      </c>
      <c r="B258" t="s">
        <v>309</v>
      </c>
      <c r="C258" t="s">
        <v>179</v>
      </c>
      <c r="D258" t="s">
        <v>308</v>
      </c>
      <c r="E258" t="s">
        <v>1440</v>
      </c>
      <c r="F258" s="78">
        <v>0.94615740740740739</v>
      </c>
      <c r="G258" t="s">
        <v>1406</v>
      </c>
      <c r="H258" t="s">
        <v>1336</v>
      </c>
      <c r="I258" s="88" t="str">
        <f>VLOOKUP(A258,Base!A:B,2,0)</f>
        <v>07.944.613-0</v>
      </c>
      <c r="J258" s="99" t="str">
        <f>VLOOKUP(A258,Base!A:F,6,0)</f>
        <v>MIGUEL ANGEL  DIAZ  CASTRO</v>
      </c>
      <c r="K258" s="89" t="str">
        <f>IFERROR(IF(VLOOKUP(I258,Ingreso!K:P,6,0)=0,"Sin turtno ing",VLOOKUP(I258,Ingreso!K:P,6,0)),IF(F258&gt;0.25,IF(F258&lt;0.311805555555556,"Turno A",IF(F258&gt;0.3125,IF(F258&lt;0.354166666666667,"Turno C",IF(F258&gt;0.583333333333333,IF(F258&lt;0.625,"Turno B",IF(F258&gt;0.625694444444444,IF(F258&lt;0.8125,"Turno A",IF(F258&gt;0.875,IF(F258&lt;0.936805555555556,"Turno C",IF(F258&gt;0.9375,IF(F258&lt;0.979166666666667,"Turno B",""),"")),"")),"")),"")),"")),""))</f>
        <v>Turno B</v>
      </c>
      <c r="L258" s="91">
        <f t="shared" si="3"/>
        <v>0.3125</v>
      </c>
    </row>
    <row r="259" spans="1:12" s="40" customFormat="1">
      <c r="A259">
        <v>7944613</v>
      </c>
      <c r="B259" t="s">
        <v>309</v>
      </c>
      <c r="C259" t="s">
        <v>179</v>
      </c>
      <c r="D259" t="s">
        <v>308</v>
      </c>
      <c r="E259" t="s">
        <v>1440</v>
      </c>
      <c r="F259" s="78">
        <v>0.6165046296296296</v>
      </c>
      <c r="G259" t="s">
        <v>1405</v>
      </c>
      <c r="H259" t="s">
        <v>1335</v>
      </c>
      <c r="I259" s="88" t="str">
        <f>VLOOKUP(A259,Base!A:B,2,0)</f>
        <v>07.944.613-0</v>
      </c>
      <c r="J259" s="99" t="str">
        <f>VLOOKUP(A259,Base!A:F,6,0)</f>
        <v>MIGUEL ANGEL  DIAZ  CASTRO</v>
      </c>
      <c r="K259" s="89" t="str">
        <f>IFERROR(IF(VLOOKUP(I259,Ingreso!K:P,6,0)=0,"Sin turtno ing",VLOOKUP(I259,Ingreso!K:P,6,0)),IF(F259&gt;0.25,IF(F259&lt;0.311805555555556,"Turno A",IF(F259&gt;0.3125,IF(F259&lt;0.354166666666667,"Turno C",IF(F259&gt;0.583333333333333,IF(F259&lt;0.625,"Turno B",IF(F259&gt;0.625694444444444,IF(F259&lt;0.8125,"Turno A",IF(F259&gt;0.875,IF(F259&lt;0.936805555555556,"Turno C",IF(F259&gt;0.9375,IF(F259&lt;0.979166666666667,"Turno B",""),"")),"")),"")),"")),"")),""))</f>
        <v>Turno B</v>
      </c>
      <c r="L259" s="91">
        <f t="shared" ref="L259:L322" si="4">VLOOKUP(K259,$S$3:$T$7,2,0)</f>
        <v>0.3125</v>
      </c>
    </row>
    <row r="260" spans="1:12" s="40" customFormat="1">
      <c r="A260">
        <v>7944613</v>
      </c>
      <c r="B260" t="s">
        <v>309</v>
      </c>
      <c r="C260" t="s">
        <v>179</v>
      </c>
      <c r="D260" t="s">
        <v>308</v>
      </c>
      <c r="E260" t="s">
        <v>1441</v>
      </c>
      <c r="F260" s="78">
        <v>0.91520833333333329</v>
      </c>
      <c r="G260" t="s">
        <v>1406</v>
      </c>
      <c r="H260" t="s">
        <v>1336</v>
      </c>
      <c r="I260" s="88" t="str">
        <f>VLOOKUP(A260,Base!A:B,2,0)</f>
        <v>07.944.613-0</v>
      </c>
      <c r="J260" s="99" t="str">
        <f>VLOOKUP(A260,Base!A:F,6,0)</f>
        <v>MIGUEL ANGEL  DIAZ  CASTRO</v>
      </c>
      <c r="K260" s="89" t="str">
        <f>IFERROR(IF(VLOOKUP(I260,Ingreso!K:P,6,0)=0,"Sin turtno ing",VLOOKUP(I260,Ingreso!K:P,6,0)),IF(F260&gt;0.25,IF(F260&lt;0.311805555555556,"Turno A",IF(F260&gt;0.3125,IF(F260&lt;0.354166666666667,"Turno C",IF(F260&gt;0.583333333333333,IF(F260&lt;0.625,"Turno B",IF(F260&gt;0.625694444444444,IF(F260&lt;0.8125,"Turno A",IF(F260&gt;0.875,IF(F260&lt;0.936805555555556,"Turno C",IF(F260&gt;0.9375,IF(F260&lt;0.979166666666667,"Turno B",""),"")),"")),"")),"")),"")),""))</f>
        <v>Turno B</v>
      </c>
      <c r="L260" s="91">
        <f t="shared" si="4"/>
        <v>0.3125</v>
      </c>
    </row>
    <row r="261" spans="1:12" s="40" customFormat="1">
      <c r="A261">
        <v>7944613</v>
      </c>
      <c r="B261" t="s">
        <v>309</v>
      </c>
      <c r="C261" t="s">
        <v>179</v>
      </c>
      <c r="D261" t="s">
        <v>308</v>
      </c>
      <c r="E261" t="s">
        <v>1441</v>
      </c>
      <c r="F261" s="78">
        <v>0.61864583333333334</v>
      </c>
      <c r="G261" t="s">
        <v>1405</v>
      </c>
      <c r="H261" t="s">
        <v>1335</v>
      </c>
      <c r="I261" s="88" t="str">
        <f>VLOOKUP(A261,Base!A:B,2,0)</f>
        <v>07.944.613-0</v>
      </c>
      <c r="J261" s="99" t="str">
        <f>VLOOKUP(A261,Base!A:F,6,0)</f>
        <v>MIGUEL ANGEL  DIAZ  CASTRO</v>
      </c>
      <c r="K261" s="89" t="str">
        <f>IFERROR(IF(VLOOKUP(I261,Ingreso!K:P,6,0)=0,"Sin turtno ing",VLOOKUP(I261,Ingreso!K:P,6,0)),IF(F261&gt;0.25,IF(F261&lt;0.311805555555556,"Turno A",IF(F261&gt;0.3125,IF(F261&lt;0.354166666666667,"Turno C",IF(F261&gt;0.583333333333333,IF(F261&lt;0.625,"Turno B",IF(F261&gt;0.625694444444444,IF(F261&lt;0.8125,"Turno A",IF(F261&gt;0.875,IF(F261&lt;0.936805555555556,"Turno C",IF(F261&gt;0.9375,IF(F261&lt;0.979166666666667,"Turno B",""),"")),"")),"")),"")),"")),""))</f>
        <v>Turno B</v>
      </c>
      <c r="L261" s="91">
        <f t="shared" si="4"/>
        <v>0.3125</v>
      </c>
    </row>
    <row r="262" spans="1:12" s="40" customFormat="1">
      <c r="A262">
        <v>7944613</v>
      </c>
      <c r="B262" t="s">
        <v>309</v>
      </c>
      <c r="C262" t="s">
        <v>179</v>
      </c>
      <c r="D262" t="s">
        <v>308</v>
      </c>
      <c r="E262" t="s">
        <v>1437</v>
      </c>
      <c r="F262" s="78">
        <v>0.94989583333333327</v>
      </c>
      <c r="G262" t="s">
        <v>1406</v>
      </c>
      <c r="H262" t="s">
        <v>1336</v>
      </c>
      <c r="I262" s="88" t="str">
        <f>VLOOKUP(A262,Base!A:B,2,0)</f>
        <v>07.944.613-0</v>
      </c>
      <c r="J262" s="99" t="str">
        <f>VLOOKUP(A262,Base!A:F,6,0)</f>
        <v>MIGUEL ANGEL  DIAZ  CASTRO</v>
      </c>
      <c r="K262" s="89" t="str">
        <f>IFERROR(IF(VLOOKUP(I262,Ingreso!K:P,6,0)=0,"Sin turtno ing",VLOOKUP(I262,Ingreso!K:P,6,0)),IF(F262&gt;0.25,IF(F262&lt;0.311805555555556,"Turno A",IF(F262&gt;0.3125,IF(F262&lt;0.354166666666667,"Turno C",IF(F262&gt;0.583333333333333,IF(F262&lt;0.625,"Turno B",IF(F262&gt;0.625694444444444,IF(F262&lt;0.8125,"Turno A",IF(F262&gt;0.875,IF(F262&lt;0.936805555555556,"Turno C",IF(F262&gt;0.9375,IF(F262&lt;0.979166666666667,"Turno B",""),"")),"")),"")),"")),"")),""))</f>
        <v>Turno B</v>
      </c>
      <c r="L262" s="91">
        <f t="shared" si="4"/>
        <v>0.3125</v>
      </c>
    </row>
    <row r="263" spans="1:12" s="40" customFormat="1">
      <c r="A263">
        <v>7944613</v>
      </c>
      <c r="B263" t="s">
        <v>309</v>
      </c>
      <c r="C263" t="s">
        <v>179</v>
      </c>
      <c r="D263" t="s">
        <v>308</v>
      </c>
      <c r="E263" t="s">
        <v>1437</v>
      </c>
      <c r="F263" s="78">
        <v>0.60674768518518518</v>
      </c>
      <c r="G263" t="s">
        <v>1405</v>
      </c>
      <c r="H263" t="s">
        <v>1335</v>
      </c>
      <c r="I263" s="88" t="str">
        <f>VLOOKUP(A263,Base!A:B,2,0)</f>
        <v>07.944.613-0</v>
      </c>
      <c r="J263" s="99" t="str">
        <f>VLOOKUP(A263,Base!A:F,6,0)</f>
        <v>MIGUEL ANGEL  DIAZ  CASTRO</v>
      </c>
      <c r="K263" s="89" t="str">
        <f>IFERROR(IF(VLOOKUP(I263,Ingreso!K:P,6,0)=0,"Sin turtno ing",VLOOKUP(I263,Ingreso!K:P,6,0)),IF(F263&gt;0.25,IF(F263&lt;0.311805555555556,"Turno A",IF(F263&gt;0.3125,IF(F263&lt;0.354166666666667,"Turno C",IF(F263&gt;0.583333333333333,IF(F263&lt;0.625,"Turno B",IF(F263&gt;0.625694444444444,IF(F263&lt;0.8125,"Turno A",IF(F263&gt;0.875,IF(F263&lt;0.936805555555556,"Turno C",IF(F263&gt;0.9375,IF(F263&lt;0.979166666666667,"Turno B",""),"")),"")),"")),"")),"")),""))</f>
        <v>Turno B</v>
      </c>
      <c r="L263" s="91">
        <f t="shared" si="4"/>
        <v>0.3125</v>
      </c>
    </row>
    <row r="264" spans="1:12" s="40" customFormat="1">
      <c r="A264">
        <v>7944613</v>
      </c>
      <c r="B264" t="s">
        <v>309</v>
      </c>
      <c r="C264" t="s">
        <v>179</v>
      </c>
      <c r="D264" t="s">
        <v>308</v>
      </c>
      <c r="E264" t="s">
        <v>1438</v>
      </c>
      <c r="F264" s="78">
        <v>0.60802083333333334</v>
      </c>
      <c r="G264" t="s">
        <v>1405</v>
      </c>
      <c r="H264" t="s">
        <v>1335</v>
      </c>
      <c r="I264" s="88" t="str">
        <f>VLOOKUP(A264,Base!A:B,2,0)</f>
        <v>07.944.613-0</v>
      </c>
      <c r="J264" s="99" t="str">
        <f>VLOOKUP(A264,Base!A:F,6,0)</f>
        <v>MIGUEL ANGEL  DIAZ  CASTRO</v>
      </c>
      <c r="K264" s="89" t="str">
        <f>IFERROR(IF(VLOOKUP(I264,Ingreso!K:P,6,0)=0,"Sin turtno ing",VLOOKUP(I264,Ingreso!K:P,6,0)),IF(F264&gt;0.25,IF(F264&lt;0.311805555555556,"Turno A",IF(F264&gt;0.3125,IF(F264&lt;0.354166666666667,"Turno C",IF(F264&gt;0.583333333333333,IF(F264&lt;0.625,"Turno B",IF(F264&gt;0.625694444444444,IF(F264&lt;0.8125,"Turno A",IF(F264&gt;0.875,IF(F264&lt;0.936805555555556,"Turno C",IF(F264&gt;0.9375,IF(F264&lt;0.979166666666667,"Turno B",""),"")),"")),"")),"")),"")),""))</f>
        <v>Turno B</v>
      </c>
      <c r="L264" s="91">
        <f t="shared" si="4"/>
        <v>0.3125</v>
      </c>
    </row>
    <row r="265" spans="1:12" s="40" customFormat="1">
      <c r="A265">
        <v>7944613</v>
      </c>
      <c r="B265" t="s">
        <v>309</v>
      </c>
      <c r="C265" t="s">
        <v>179</v>
      </c>
      <c r="D265" t="s">
        <v>308</v>
      </c>
      <c r="E265" t="s">
        <v>1439</v>
      </c>
      <c r="F265" s="78">
        <v>1.0034722222222221E-2</v>
      </c>
      <c r="G265" t="s">
        <v>1406</v>
      </c>
      <c r="H265" t="s">
        <v>1336</v>
      </c>
      <c r="I265" s="88" t="str">
        <f>VLOOKUP(A265,Base!A:B,2,0)</f>
        <v>07.944.613-0</v>
      </c>
      <c r="J265" s="99" t="str">
        <f>VLOOKUP(A265,Base!A:F,6,0)</f>
        <v>MIGUEL ANGEL  DIAZ  CASTRO</v>
      </c>
      <c r="K265" s="89" t="str">
        <f>IFERROR(IF(VLOOKUP(I265,Ingreso!K:P,6,0)=0,"Sin turtno ing",VLOOKUP(I265,Ingreso!K:P,6,0)),IF(F265&gt;0.25,IF(F265&lt;0.311805555555556,"Turno A",IF(F265&gt;0.3125,IF(F265&lt;0.354166666666667,"Turno C",IF(F265&gt;0.583333333333333,IF(F265&lt;0.625,"Turno B",IF(F265&gt;0.625694444444444,IF(F265&lt;0.8125,"Turno A",IF(F265&gt;0.875,IF(F265&lt;0.936805555555556,"Turno C",IF(F265&gt;0.9375,IF(F265&lt;0.979166666666667,"Turno B",""),"")),"")),"")),"")),"")),""))</f>
        <v>Turno B</v>
      </c>
      <c r="L265" s="91">
        <f t="shared" si="4"/>
        <v>0.3125</v>
      </c>
    </row>
    <row r="266" spans="1:12" s="40" customFormat="1">
      <c r="A266">
        <v>7944613</v>
      </c>
      <c r="B266" t="s">
        <v>309</v>
      </c>
      <c r="C266" t="s">
        <v>179</v>
      </c>
      <c r="D266" t="s">
        <v>308</v>
      </c>
      <c r="E266" t="s">
        <v>1439</v>
      </c>
      <c r="F266" s="78">
        <v>0.60759259259259257</v>
      </c>
      <c r="G266" t="s">
        <v>1405</v>
      </c>
      <c r="H266" t="s">
        <v>1335</v>
      </c>
      <c r="I266" s="88" t="str">
        <f>VLOOKUP(A266,Base!A:B,2,0)</f>
        <v>07.944.613-0</v>
      </c>
      <c r="J266" s="99" t="str">
        <f>VLOOKUP(A266,Base!A:F,6,0)</f>
        <v>MIGUEL ANGEL  DIAZ  CASTRO</v>
      </c>
      <c r="K266" s="89" t="str">
        <f>IFERROR(IF(VLOOKUP(I266,Ingreso!K:P,6,0)=0,"Sin turtno ing",VLOOKUP(I266,Ingreso!K:P,6,0)),IF(F266&gt;0.25,IF(F266&lt;0.311805555555556,"Turno A",IF(F266&gt;0.3125,IF(F266&lt;0.354166666666667,"Turno C",IF(F266&gt;0.583333333333333,IF(F266&lt;0.625,"Turno B",IF(F266&gt;0.625694444444444,IF(F266&lt;0.8125,"Turno A",IF(F266&gt;0.875,IF(F266&lt;0.936805555555556,"Turno C",IF(F266&gt;0.9375,IF(F266&lt;0.979166666666667,"Turno B",""),"")),"")),"")),"")),"")),""))</f>
        <v>Turno B</v>
      </c>
      <c r="L266" s="91">
        <f t="shared" si="4"/>
        <v>0.3125</v>
      </c>
    </row>
    <row r="267" spans="1:12" s="40" customFormat="1">
      <c r="A267">
        <v>7974375</v>
      </c>
      <c r="B267" t="s">
        <v>1166</v>
      </c>
      <c r="C267" t="s">
        <v>1165</v>
      </c>
      <c r="D267" t="s">
        <v>24</v>
      </c>
      <c r="E267" t="s">
        <v>1440</v>
      </c>
      <c r="F267" s="78">
        <v>0.7165625000000001</v>
      </c>
      <c r="G267" t="s">
        <v>1406</v>
      </c>
      <c r="H267" t="s">
        <v>1336</v>
      </c>
      <c r="I267" s="88" t="str">
        <f>VLOOKUP(A267,Base!A:B,2,0)</f>
        <v>07.974.375-5</v>
      </c>
      <c r="J267" s="99" t="str">
        <f>VLOOKUP(A267,Base!A:F,6,0)</f>
        <v>WILSON  GARRIDO  ACEVEDO</v>
      </c>
      <c r="K267" s="89" t="str">
        <f>IFERROR(IF(VLOOKUP(I267,Ingreso!K:P,6,0)=0,"Sin turtno ing",VLOOKUP(I267,Ingreso!K:P,6,0)),IF(F267&gt;0.25,IF(F267&lt;0.311805555555556,"Turno A",IF(F267&gt;0.3125,IF(F267&lt;0.354166666666667,"Turno C",IF(F267&gt;0.583333333333333,IF(F267&lt;0.625,"Turno B",IF(F267&gt;0.625694444444444,IF(F267&lt;0.8125,"Turno A",IF(F267&gt;0.875,IF(F267&lt;0.936805555555556,"Turno C",IF(F267&gt;0.9375,IF(F267&lt;0.979166666666667,"Turno B",""),"")),"")),"")),"")),"")),""))</f>
        <v>Turno A</v>
      </c>
      <c r="L267" s="91">
        <f t="shared" si="4"/>
        <v>0.3125</v>
      </c>
    </row>
    <row r="268" spans="1:12" s="40" customFormat="1">
      <c r="A268">
        <v>7974375</v>
      </c>
      <c r="B268" t="s">
        <v>1166</v>
      </c>
      <c r="C268" t="s">
        <v>1165</v>
      </c>
      <c r="D268" t="s">
        <v>24</v>
      </c>
      <c r="E268" t="s">
        <v>1440</v>
      </c>
      <c r="F268" s="78">
        <v>0.31229166666666669</v>
      </c>
      <c r="G268" t="s">
        <v>1405</v>
      </c>
      <c r="H268" t="s">
        <v>1335</v>
      </c>
      <c r="I268" s="88" t="str">
        <f>VLOOKUP(A268,Base!A:B,2,0)</f>
        <v>07.974.375-5</v>
      </c>
      <c r="J268" s="99" t="str">
        <f>VLOOKUP(A268,Base!A:F,6,0)</f>
        <v>WILSON  GARRIDO  ACEVEDO</v>
      </c>
      <c r="K268" s="89" t="str">
        <f>IFERROR(IF(VLOOKUP(I268,Ingreso!K:P,6,0)=0,"Sin turtno ing",VLOOKUP(I268,Ingreso!K:P,6,0)),IF(F268&gt;0.25,IF(F268&lt;0.311805555555556,"Turno A",IF(F268&gt;0.3125,IF(F268&lt;0.354166666666667,"Turno C",IF(F268&gt;0.583333333333333,IF(F268&lt;0.625,"Turno B",IF(F268&gt;0.625694444444444,IF(F268&lt;0.8125,"Turno A",IF(F268&gt;0.875,IF(F268&lt;0.936805555555556,"Turno C",IF(F268&gt;0.9375,IF(F268&lt;0.979166666666667,"Turno B",""),"")),"")),"")),"")),"")),""))</f>
        <v>Turno A</v>
      </c>
      <c r="L268" s="91">
        <f t="shared" si="4"/>
        <v>0.3125</v>
      </c>
    </row>
    <row r="269" spans="1:12" s="40" customFormat="1">
      <c r="A269">
        <v>7974375</v>
      </c>
      <c r="B269" t="s">
        <v>1166</v>
      </c>
      <c r="C269" t="s">
        <v>1165</v>
      </c>
      <c r="D269" t="s">
        <v>24</v>
      </c>
      <c r="E269" t="s">
        <v>1441</v>
      </c>
      <c r="F269" s="78">
        <v>0.71604166666666658</v>
      </c>
      <c r="G269" t="s">
        <v>1406</v>
      </c>
      <c r="H269" t="s">
        <v>1336</v>
      </c>
      <c r="I269" s="88" t="str">
        <f>VLOOKUP(A269,Base!A:B,2,0)</f>
        <v>07.974.375-5</v>
      </c>
      <c r="J269" s="99" t="str">
        <f>VLOOKUP(A269,Base!A:F,6,0)</f>
        <v>WILSON  GARRIDO  ACEVEDO</v>
      </c>
      <c r="K269" s="89" t="str">
        <f>IFERROR(IF(VLOOKUP(I269,Ingreso!K:P,6,0)=0,"Sin turtno ing",VLOOKUP(I269,Ingreso!K:P,6,0)),IF(F269&gt;0.25,IF(F269&lt;0.311805555555556,"Turno A",IF(F269&gt;0.3125,IF(F269&lt;0.354166666666667,"Turno C",IF(F269&gt;0.583333333333333,IF(F269&lt;0.625,"Turno B",IF(F269&gt;0.625694444444444,IF(F269&lt;0.8125,"Turno A",IF(F269&gt;0.875,IF(F269&lt;0.936805555555556,"Turno C",IF(F269&gt;0.9375,IF(F269&lt;0.979166666666667,"Turno B",""),"")),"")),"")),"")),"")),""))</f>
        <v>Turno A</v>
      </c>
      <c r="L269" s="91">
        <f t="shared" si="4"/>
        <v>0.3125</v>
      </c>
    </row>
    <row r="270" spans="1:12" s="40" customFormat="1">
      <c r="A270">
        <v>7974375</v>
      </c>
      <c r="B270" t="s">
        <v>1166</v>
      </c>
      <c r="C270" t="s">
        <v>1165</v>
      </c>
      <c r="D270" t="s">
        <v>24</v>
      </c>
      <c r="E270" t="s">
        <v>1441</v>
      </c>
      <c r="F270" s="78">
        <v>0.3103009259259259</v>
      </c>
      <c r="G270" t="s">
        <v>1405</v>
      </c>
      <c r="H270" t="s">
        <v>1335</v>
      </c>
      <c r="I270" s="88" t="str">
        <f>VLOOKUP(A270,Base!A:B,2,0)</f>
        <v>07.974.375-5</v>
      </c>
      <c r="J270" s="99" t="str">
        <f>VLOOKUP(A270,Base!A:F,6,0)</f>
        <v>WILSON  GARRIDO  ACEVEDO</v>
      </c>
      <c r="K270" s="89" t="str">
        <f>IFERROR(IF(VLOOKUP(I270,Ingreso!K:P,6,0)=0,"Sin turtno ing",VLOOKUP(I270,Ingreso!K:P,6,0)),IF(F270&gt;0.25,IF(F270&lt;0.311805555555556,"Turno A",IF(F270&gt;0.3125,IF(F270&lt;0.354166666666667,"Turno C",IF(F270&gt;0.583333333333333,IF(F270&lt;0.625,"Turno B",IF(F270&gt;0.625694444444444,IF(F270&lt;0.8125,"Turno A",IF(F270&gt;0.875,IF(F270&lt;0.936805555555556,"Turno C",IF(F270&gt;0.9375,IF(F270&lt;0.979166666666667,"Turno B",""),"")),"")),"")),"")),"")),""))</f>
        <v>Turno A</v>
      </c>
      <c r="L270" s="91">
        <f t="shared" si="4"/>
        <v>0.3125</v>
      </c>
    </row>
    <row r="271" spans="1:12" s="40" customFormat="1">
      <c r="A271">
        <v>7974375</v>
      </c>
      <c r="B271" t="s">
        <v>1166</v>
      </c>
      <c r="C271" t="s">
        <v>1165</v>
      </c>
      <c r="D271" t="s">
        <v>24</v>
      </c>
      <c r="E271" t="s">
        <v>1437</v>
      </c>
      <c r="F271" s="78">
        <v>0.73204861111111119</v>
      </c>
      <c r="G271" t="s">
        <v>1406</v>
      </c>
      <c r="H271" t="s">
        <v>1336</v>
      </c>
      <c r="I271" s="88" t="str">
        <f>VLOOKUP(A271,Base!A:B,2,0)</f>
        <v>07.974.375-5</v>
      </c>
      <c r="J271" s="99" t="str">
        <f>VLOOKUP(A271,Base!A:F,6,0)</f>
        <v>WILSON  GARRIDO  ACEVEDO</v>
      </c>
      <c r="K271" s="89" t="str">
        <f>IFERROR(IF(VLOOKUP(I271,Ingreso!K:P,6,0)=0,"Sin turtno ing",VLOOKUP(I271,Ingreso!K:P,6,0)),IF(F271&gt;0.25,IF(F271&lt;0.311805555555556,"Turno A",IF(F271&gt;0.3125,IF(F271&lt;0.354166666666667,"Turno C",IF(F271&gt;0.583333333333333,IF(F271&lt;0.625,"Turno B",IF(F271&gt;0.625694444444444,IF(F271&lt;0.8125,"Turno A",IF(F271&gt;0.875,IF(F271&lt;0.936805555555556,"Turno C",IF(F271&gt;0.9375,IF(F271&lt;0.979166666666667,"Turno B",""),"")),"")),"")),"")),"")),""))</f>
        <v>Turno A</v>
      </c>
      <c r="L271" s="91">
        <f t="shared" si="4"/>
        <v>0.3125</v>
      </c>
    </row>
    <row r="272" spans="1:12" s="40" customFormat="1">
      <c r="A272">
        <v>7974375</v>
      </c>
      <c r="B272" t="s">
        <v>1166</v>
      </c>
      <c r="C272" t="s">
        <v>1165</v>
      </c>
      <c r="D272" t="s">
        <v>24</v>
      </c>
      <c r="E272" t="s">
        <v>1437</v>
      </c>
      <c r="F272" s="78">
        <v>0.31156250000000002</v>
      </c>
      <c r="G272" t="s">
        <v>1405</v>
      </c>
      <c r="H272" t="s">
        <v>1335</v>
      </c>
      <c r="I272" s="88" t="str">
        <f>VLOOKUP(A272,Base!A:B,2,0)</f>
        <v>07.974.375-5</v>
      </c>
      <c r="J272" s="99" t="str">
        <f>VLOOKUP(A272,Base!A:F,6,0)</f>
        <v>WILSON  GARRIDO  ACEVEDO</v>
      </c>
      <c r="K272" s="89" t="str">
        <f>IFERROR(IF(VLOOKUP(I272,Ingreso!K:P,6,0)=0,"Sin turtno ing",VLOOKUP(I272,Ingreso!K:P,6,0)),IF(F272&gt;0.25,IF(F272&lt;0.311805555555556,"Turno A",IF(F272&gt;0.3125,IF(F272&lt;0.354166666666667,"Turno C",IF(F272&gt;0.583333333333333,IF(F272&lt;0.625,"Turno B",IF(F272&gt;0.625694444444444,IF(F272&lt;0.8125,"Turno A",IF(F272&gt;0.875,IF(F272&lt;0.936805555555556,"Turno C",IF(F272&gt;0.9375,IF(F272&lt;0.979166666666667,"Turno B",""),"")),"")),"")),"")),"")),""))</f>
        <v>Turno A</v>
      </c>
      <c r="L272" s="91">
        <f t="shared" si="4"/>
        <v>0.3125</v>
      </c>
    </row>
    <row r="273" spans="1:12" s="40" customFormat="1">
      <c r="A273">
        <v>7974375</v>
      </c>
      <c r="B273" t="s">
        <v>1166</v>
      </c>
      <c r="C273" t="s">
        <v>1165</v>
      </c>
      <c r="D273" t="s">
        <v>24</v>
      </c>
      <c r="E273" t="s">
        <v>1438</v>
      </c>
      <c r="F273" s="78">
        <v>0.73627314814814815</v>
      </c>
      <c r="G273" t="s">
        <v>1406</v>
      </c>
      <c r="H273" t="s">
        <v>1336</v>
      </c>
      <c r="I273" s="88" t="str">
        <f>VLOOKUP(A273,Base!A:B,2,0)</f>
        <v>07.974.375-5</v>
      </c>
      <c r="J273" s="99" t="str">
        <f>VLOOKUP(A273,Base!A:F,6,0)</f>
        <v>WILSON  GARRIDO  ACEVEDO</v>
      </c>
      <c r="K273" s="89" t="str">
        <f>IFERROR(IF(VLOOKUP(I273,Ingreso!K:P,6,0)=0,"Sin turtno ing",VLOOKUP(I273,Ingreso!K:P,6,0)),IF(F273&gt;0.25,IF(F273&lt;0.311805555555556,"Turno A",IF(F273&gt;0.3125,IF(F273&lt;0.354166666666667,"Turno C",IF(F273&gt;0.583333333333333,IF(F273&lt;0.625,"Turno B",IF(F273&gt;0.625694444444444,IF(F273&lt;0.8125,"Turno A",IF(F273&gt;0.875,IF(F273&lt;0.936805555555556,"Turno C",IF(F273&gt;0.9375,IF(F273&lt;0.979166666666667,"Turno B",""),"")),"")),"")),"")),"")),""))</f>
        <v>Turno A</v>
      </c>
      <c r="L273" s="91">
        <f t="shared" si="4"/>
        <v>0.3125</v>
      </c>
    </row>
    <row r="274" spans="1:12" s="40" customFormat="1">
      <c r="A274">
        <v>7974375</v>
      </c>
      <c r="B274" t="s">
        <v>1166</v>
      </c>
      <c r="C274" t="s">
        <v>1165</v>
      </c>
      <c r="D274" t="s">
        <v>24</v>
      </c>
      <c r="E274" t="s">
        <v>1438</v>
      </c>
      <c r="F274" s="78">
        <v>0.31315972222222221</v>
      </c>
      <c r="G274" t="s">
        <v>1405</v>
      </c>
      <c r="H274" t="s">
        <v>1335</v>
      </c>
      <c r="I274" s="88" t="str">
        <f>VLOOKUP(A274,Base!A:B,2,0)</f>
        <v>07.974.375-5</v>
      </c>
      <c r="J274" s="99" t="str">
        <f>VLOOKUP(A274,Base!A:F,6,0)</f>
        <v>WILSON  GARRIDO  ACEVEDO</v>
      </c>
      <c r="K274" s="89" t="str">
        <f>IFERROR(IF(VLOOKUP(I274,Ingreso!K:P,6,0)=0,"Sin turtno ing",VLOOKUP(I274,Ingreso!K:P,6,0)),IF(F274&gt;0.25,IF(F274&lt;0.311805555555556,"Turno A",IF(F274&gt;0.3125,IF(F274&lt;0.354166666666667,"Turno C",IF(F274&gt;0.583333333333333,IF(F274&lt;0.625,"Turno B",IF(F274&gt;0.625694444444444,IF(F274&lt;0.8125,"Turno A",IF(F274&gt;0.875,IF(F274&lt;0.936805555555556,"Turno C",IF(F274&gt;0.9375,IF(F274&lt;0.979166666666667,"Turno B",""),"")),"")),"")),"")),"")),""))</f>
        <v>Turno A</v>
      </c>
      <c r="L274" s="91">
        <f t="shared" si="4"/>
        <v>0.3125</v>
      </c>
    </row>
    <row r="275" spans="1:12" s="40" customFormat="1">
      <c r="A275">
        <v>7974375</v>
      </c>
      <c r="B275" t="s">
        <v>1166</v>
      </c>
      <c r="C275" t="s">
        <v>1165</v>
      </c>
      <c r="D275" t="s">
        <v>24</v>
      </c>
      <c r="E275" t="s">
        <v>1439</v>
      </c>
      <c r="F275" s="78">
        <v>0.7171412037037036</v>
      </c>
      <c r="G275" t="s">
        <v>1406</v>
      </c>
      <c r="H275" t="s">
        <v>1336</v>
      </c>
      <c r="I275" s="88" t="str">
        <f>VLOOKUP(A275,Base!A:B,2,0)</f>
        <v>07.974.375-5</v>
      </c>
      <c r="J275" s="99" t="str">
        <f>VLOOKUP(A275,Base!A:F,6,0)</f>
        <v>WILSON  GARRIDO  ACEVEDO</v>
      </c>
      <c r="K275" s="89" t="str">
        <f>IFERROR(IF(VLOOKUP(I275,Ingreso!K:P,6,0)=0,"Sin turtno ing",VLOOKUP(I275,Ingreso!K:P,6,0)),IF(F275&gt;0.25,IF(F275&lt;0.311805555555556,"Turno A",IF(F275&gt;0.3125,IF(F275&lt;0.354166666666667,"Turno C",IF(F275&gt;0.583333333333333,IF(F275&lt;0.625,"Turno B",IF(F275&gt;0.625694444444444,IF(F275&lt;0.8125,"Turno A",IF(F275&gt;0.875,IF(F275&lt;0.936805555555556,"Turno C",IF(F275&gt;0.9375,IF(F275&lt;0.979166666666667,"Turno B",""),"")),"")),"")),"")),"")),""))</f>
        <v>Turno A</v>
      </c>
      <c r="L275" s="91">
        <f t="shared" si="4"/>
        <v>0.3125</v>
      </c>
    </row>
    <row r="276" spans="1:12" s="40" customFormat="1">
      <c r="A276">
        <v>7974375</v>
      </c>
      <c r="B276" t="s">
        <v>1166</v>
      </c>
      <c r="C276" t="s">
        <v>1165</v>
      </c>
      <c r="D276" t="s">
        <v>24</v>
      </c>
      <c r="E276" t="s">
        <v>1439</v>
      </c>
      <c r="F276" s="78">
        <v>0.30885416666666665</v>
      </c>
      <c r="G276" t="s">
        <v>1405</v>
      </c>
      <c r="H276" t="s">
        <v>1335</v>
      </c>
      <c r="I276" s="88" t="str">
        <f>VLOOKUP(A276,Base!A:B,2,0)</f>
        <v>07.974.375-5</v>
      </c>
      <c r="J276" s="99" t="str">
        <f>VLOOKUP(A276,Base!A:F,6,0)</f>
        <v>WILSON  GARRIDO  ACEVEDO</v>
      </c>
      <c r="K276" s="89" t="str">
        <f>IFERROR(IF(VLOOKUP(I276,Ingreso!K:P,6,0)=0,"Sin turtno ing",VLOOKUP(I276,Ingreso!K:P,6,0)),IF(F276&gt;0.25,IF(F276&lt;0.311805555555556,"Turno A",IF(F276&gt;0.3125,IF(F276&lt;0.354166666666667,"Turno C",IF(F276&gt;0.583333333333333,IF(F276&lt;0.625,"Turno B",IF(F276&gt;0.625694444444444,IF(F276&lt;0.8125,"Turno A",IF(F276&gt;0.875,IF(F276&lt;0.936805555555556,"Turno C",IF(F276&gt;0.9375,IF(F276&lt;0.979166666666667,"Turno B",""),"")),"")),"")),"")),"")),""))</f>
        <v>Turno A</v>
      </c>
      <c r="L276" s="91">
        <f t="shared" si="4"/>
        <v>0.3125</v>
      </c>
    </row>
    <row r="277" spans="1:12" s="40" customFormat="1">
      <c r="A277">
        <v>7975267</v>
      </c>
      <c r="B277" t="s">
        <v>461</v>
      </c>
      <c r="C277" t="s">
        <v>83</v>
      </c>
      <c r="D277" t="s">
        <v>460</v>
      </c>
      <c r="E277" t="s">
        <v>1440</v>
      </c>
      <c r="F277" s="78">
        <v>0.6366666666666666</v>
      </c>
      <c r="G277" t="s">
        <v>1406</v>
      </c>
      <c r="H277" t="s">
        <v>1336</v>
      </c>
      <c r="I277" s="88" t="str">
        <f>VLOOKUP(A277,Base!A:B,2,0)</f>
        <v>07.975.267-3</v>
      </c>
      <c r="J277" s="99" t="str">
        <f>VLOOKUP(A277,Base!A:F,6,0)</f>
        <v>GLORIA  GONZALEZ  MASIAS</v>
      </c>
      <c r="K277" s="89" t="str">
        <f>IFERROR(IF(VLOOKUP(I277,Ingreso!K:P,6,0)=0,"Sin turtno ing",VLOOKUP(I277,Ingreso!K:P,6,0)),IF(F277&gt;0.25,IF(F277&lt;0.311805555555556,"Turno A",IF(F277&gt;0.3125,IF(F277&lt;0.354166666666667,"Turno C",IF(F277&gt;0.583333333333333,IF(F277&lt;0.625,"Turno B",IF(F277&gt;0.625694444444444,IF(F277&lt;0.8125,"Turno A",IF(F277&gt;0.875,IF(F277&lt;0.936805555555556,"Turno C",IF(F277&gt;0.9375,IF(F277&lt;0.979166666666667,"Turno B",""),"")),"")),"")),"")),"")),""))</f>
        <v>Turno A</v>
      </c>
      <c r="L277" s="91">
        <f t="shared" si="4"/>
        <v>0.3125</v>
      </c>
    </row>
    <row r="278" spans="1:12" s="40" customFormat="1">
      <c r="A278">
        <v>7975267</v>
      </c>
      <c r="B278" t="s">
        <v>461</v>
      </c>
      <c r="C278" t="s">
        <v>83</v>
      </c>
      <c r="D278" t="s">
        <v>460</v>
      </c>
      <c r="E278" t="s">
        <v>1440</v>
      </c>
      <c r="F278" s="78">
        <v>0.2910300925925926</v>
      </c>
      <c r="G278" t="s">
        <v>1405</v>
      </c>
      <c r="H278" t="s">
        <v>1335</v>
      </c>
      <c r="I278" s="88" t="str">
        <f>VLOOKUP(A278,Base!A:B,2,0)</f>
        <v>07.975.267-3</v>
      </c>
      <c r="J278" s="99" t="str">
        <f>VLOOKUP(A278,Base!A:F,6,0)</f>
        <v>GLORIA  GONZALEZ  MASIAS</v>
      </c>
      <c r="K278" s="89" t="str">
        <f>IFERROR(IF(VLOOKUP(I278,Ingreso!K:P,6,0)=0,"Sin turtno ing",VLOOKUP(I278,Ingreso!K:P,6,0)),IF(F278&gt;0.25,IF(F278&lt;0.311805555555556,"Turno A",IF(F278&gt;0.3125,IF(F278&lt;0.354166666666667,"Turno C",IF(F278&gt;0.583333333333333,IF(F278&lt;0.625,"Turno B",IF(F278&gt;0.625694444444444,IF(F278&lt;0.8125,"Turno A",IF(F278&gt;0.875,IF(F278&lt;0.936805555555556,"Turno C",IF(F278&gt;0.9375,IF(F278&lt;0.979166666666667,"Turno B",""),"")),"")),"")),"")),"")),""))</f>
        <v>Turno A</v>
      </c>
      <c r="L278" s="91">
        <f t="shared" si="4"/>
        <v>0.3125</v>
      </c>
    </row>
    <row r="279" spans="1:12" s="40" customFormat="1">
      <c r="A279">
        <v>7975267</v>
      </c>
      <c r="B279" t="s">
        <v>461</v>
      </c>
      <c r="C279" t="s">
        <v>83</v>
      </c>
      <c r="D279" t="s">
        <v>460</v>
      </c>
      <c r="E279" t="s">
        <v>1441</v>
      </c>
      <c r="F279" s="78">
        <v>0.63915509259259262</v>
      </c>
      <c r="G279" t="s">
        <v>1406</v>
      </c>
      <c r="H279" t="s">
        <v>1336</v>
      </c>
      <c r="I279" s="88" t="str">
        <f>VLOOKUP(A279,Base!A:B,2,0)</f>
        <v>07.975.267-3</v>
      </c>
      <c r="J279" s="99" t="str">
        <f>VLOOKUP(A279,Base!A:F,6,0)</f>
        <v>GLORIA  GONZALEZ  MASIAS</v>
      </c>
      <c r="K279" s="89" t="str">
        <f>IFERROR(IF(VLOOKUP(I279,Ingreso!K:P,6,0)=0,"Sin turtno ing",VLOOKUP(I279,Ingreso!K:P,6,0)),IF(F279&gt;0.25,IF(F279&lt;0.311805555555556,"Turno A",IF(F279&gt;0.3125,IF(F279&lt;0.354166666666667,"Turno C",IF(F279&gt;0.583333333333333,IF(F279&lt;0.625,"Turno B",IF(F279&gt;0.625694444444444,IF(F279&lt;0.8125,"Turno A",IF(F279&gt;0.875,IF(F279&lt;0.936805555555556,"Turno C",IF(F279&gt;0.9375,IF(F279&lt;0.979166666666667,"Turno B",""),"")),"")),"")),"")),"")),""))</f>
        <v>Turno A</v>
      </c>
      <c r="L279" s="91">
        <f t="shared" si="4"/>
        <v>0.3125</v>
      </c>
    </row>
    <row r="280" spans="1:12" s="40" customFormat="1">
      <c r="A280">
        <v>7975267</v>
      </c>
      <c r="B280" t="s">
        <v>461</v>
      </c>
      <c r="C280" t="s">
        <v>83</v>
      </c>
      <c r="D280" t="s">
        <v>460</v>
      </c>
      <c r="E280" t="s">
        <v>1441</v>
      </c>
      <c r="F280" s="78">
        <v>0.28972222222222221</v>
      </c>
      <c r="G280" t="s">
        <v>1405</v>
      </c>
      <c r="H280" t="s">
        <v>1335</v>
      </c>
      <c r="I280" s="88" t="str">
        <f>VLOOKUP(A280,Base!A:B,2,0)</f>
        <v>07.975.267-3</v>
      </c>
      <c r="J280" s="99" t="str">
        <f>VLOOKUP(A280,Base!A:F,6,0)</f>
        <v>GLORIA  GONZALEZ  MASIAS</v>
      </c>
      <c r="K280" s="89" t="str">
        <f>IFERROR(IF(VLOOKUP(I280,Ingreso!K:P,6,0)=0,"Sin turtno ing",VLOOKUP(I280,Ingreso!K:P,6,0)),IF(F280&gt;0.25,IF(F280&lt;0.311805555555556,"Turno A",IF(F280&gt;0.3125,IF(F280&lt;0.354166666666667,"Turno C",IF(F280&gt;0.583333333333333,IF(F280&lt;0.625,"Turno B",IF(F280&gt;0.625694444444444,IF(F280&lt;0.8125,"Turno A",IF(F280&gt;0.875,IF(F280&lt;0.936805555555556,"Turno C",IF(F280&gt;0.9375,IF(F280&lt;0.979166666666667,"Turno B",""),"")),"")),"")),"")),"")),""))</f>
        <v>Turno A</v>
      </c>
      <c r="L280" s="91">
        <f t="shared" si="4"/>
        <v>0.3125</v>
      </c>
    </row>
    <row r="281" spans="1:12" s="40" customFormat="1">
      <c r="A281">
        <v>7975267</v>
      </c>
      <c r="B281" t="s">
        <v>461</v>
      </c>
      <c r="C281" t="s">
        <v>83</v>
      </c>
      <c r="D281" t="s">
        <v>460</v>
      </c>
      <c r="E281" t="s">
        <v>1437</v>
      </c>
      <c r="F281" s="78">
        <v>0.63916666666666666</v>
      </c>
      <c r="G281" t="s">
        <v>1406</v>
      </c>
      <c r="H281" t="s">
        <v>1336</v>
      </c>
      <c r="I281" s="88" t="str">
        <f>VLOOKUP(A281,Base!A:B,2,0)</f>
        <v>07.975.267-3</v>
      </c>
      <c r="J281" s="99" t="str">
        <f>VLOOKUP(A281,Base!A:F,6,0)</f>
        <v>GLORIA  GONZALEZ  MASIAS</v>
      </c>
      <c r="K281" s="89" t="str">
        <f>IFERROR(IF(VLOOKUP(I281,Ingreso!K:P,6,0)=0,"Sin turtno ing",VLOOKUP(I281,Ingreso!K:P,6,0)),IF(F281&gt;0.25,IF(F281&lt;0.311805555555556,"Turno A",IF(F281&gt;0.3125,IF(F281&lt;0.354166666666667,"Turno C",IF(F281&gt;0.583333333333333,IF(F281&lt;0.625,"Turno B",IF(F281&gt;0.625694444444444,IF(F281&lt;0.8125,"Turno A",IF(F281&gt;0.875,IF(F281&lt;0.936805555555556,"Turno C",IF(F281&gt;0.9375,IF(F281&lt;0.979166666666667,"Turno B",""),"")),"")),"")),"")),"")),""))</f>
        <v>Turno A</v>
      </c>
      <c r="L281" s="91">
        <f t="shared" si="4"/>
        <v>0.3125</v>
      </c>
    </row>
    <row r="282" spans="1:12" s="40" customFormat="1">
      <c r="A282">
        <v>7975267</v>
      </c>
      <c r="B282" t="s">
        <v>461</v>
      </c>
      <c r="C282" t="s">
        <v>83</v>
      </c>
      <c r="D282" t="s">
        <v>460</v>
      </c>
      <c r="E282" t="s">
        <v>1437</v>
      </c>
      <c r="F282" s="78">
        <v>0.28954861111111113</v>
      </c>
      <c r="G282" t="s">
        <v>1405</v>
      </c>
      <c r="H282" t="s">
        <v>1335</v>
      </c>
      <c r="I282" s="88" t="str">
        <f>VLOOKUP(A282,Base!A:B,2,0)</f>
        <v>07.975.267-3</v>
      </c>
      <c r="J282" s="99" t="str">
        <f>VLOOKUP(A282,Base!A:F,6,0)</f>
        <v>GLORIA  GONZALEZ  MASIAS</v>
      </c>
      <c r="K282" s="89" t="str">
        <f>IFERROR(IF(VLOOKUP(I282,Ingreso!K:P,6,0)=0,"Sin turtno ing",VLOOKUP(I282,Ingreso!K:P,6,0)),IF(F282&gt;0.25,IF(F282&lt;0.311805555555556,"Turno A",IF(F282&gt;0.3125,IF(F282&lt;0.354166666666667,"Turno C",IF(F282&gt;0.583333333333333,IF(F282&lt;0.625,"Turno B",IF(F282&gt;0.625694444444444,IF(F282&lt;0.8125,"Turno A",IF(F282&gt;0.875,IF(F282&lt;0.936805555555556,"Turno C",IF(F282&gt;0.9375,IF(F282&lt;0.979166666666667,"Turno B",""),"")),"")),"")),"")),"")),""))</f>
        <v>Turno A</v>
      </c>
      <c r="L282" s="91">
        <f t="shared" si="4"/>
        <v>0.3125</v>
      </c>
    </row>
    <row r="283" spans="1:12" s="40" customFormat="1">
      <c r="A283">
        <v>7975267</v>
      </c>
      <c r="B283" t="s">
        <v>461</v>
      </c>
      <c r="C283" t="s">
        <v>83</v>
      </c>
      <c r="D283" t="s">
        <v>460</v>
      </c>
      <c r="E283" t="s">
        <v>1438</v>
      </c>
      <c r="F283" s="78">
        <v>0.63709490740740737</v>
      </c>
      <c r="G283" t="s">
        <v>1406</v>
      </c>
      <c r="H283" t="s">
        <v>1336</v>
      </c>
      <c r="I283" s="88" t="str">
        <f>VLOOKUP(A283,Base!A:B,2,0)</f>
        <v>07.975.267-3</v>
      </c>
      <c r="J283" s="99" t="str">
        <f>VLOOKUP(A283,Base!A:F,6,0)</f>
        <v>GLORIA  GONZALEZ  MASIAS</v>
      </c>
      <c r="K283" s="89" t="str">
        <f>IFERROR(IF(VLOOKUP(I283,Ingreso!K:P,6,0)=0,"Sin turtno ing",VLOOKUP(I283,Ingreso!K:P,6,0)),IF(F283&gt;0.25,IF(F283&lt;0.311805555555556,"Turno A",IF(F283&gt;0.3125,IF(F283&lt;0.354166666666667,"Turno C",IF(F283&gt;0.583333333333333,IF(F283&lt;0.625,"Turno B",IF(F283&gt;0.625694444444444,IF(F283&lt;0.8125,"Turno A",IF(F283&gt;0.875,IF(F283&lt;0.936805555555556,"Turno C",IF(F283&gt;0.9375,IF(F283&lt;0.979166666666667,"Turno B",""),"")),"")),"")),"")),"")),""))</f>
        <v>Turno A</v>
      </c>
      <c r="L283" s="91">
        <f t="shared" si="4"/>
        <v>0.3125</v>
      </c>
    </row>
    <row r="284" spans="1:12" s="40" customFormat="1">
      <c r="A284">
        <v>7975267</v>
      </c>
      <c r="B284" t="s">
        <v>461</v>
      </c>
      <c r="C284" t="s">
        <v>83</v>
      </c>
      <c r="D284" t="s">
        <v>460</v>
      </c>
      <c r="E284" t="s">
        <v>1438</v>
      </c>
      <c r="F284" s="78">
        <v>0.28843750000000001</v>
      </c>
      <c r="G284" t="s">
        <v>1405</v>
      </c>
      <c r="H284" t="s">
        <v>1335</v>
      </c>
      <c r="I284" s="88" t="str">
        <f>VLOOKUP(A284,Base!A:B,2,0)</f>
        <v>07.975.267-3</v>
      </c>
      <c r="J284" s="99" t="str">
        <f>VLOOKUP(A284,Base!A:F,6,0)</f>
        <v>GLORIA  GONZALEZ  MASIAS</v>
      </c>
      <c r="K284" s="89" t="str">
        <f>IFERROR(IF(VLOOKUP(I284,Ingreso!K:P,6,0)=0,"Sin turtno ing",VLOOKUP(I284,Ingreso!K:P,6,0)),IF(F284&gt;0.25,IF(F284&lt;0.311805555555556,"Turno A",IF(F284&gt;0.3125,IF(F284&lt;0.354166666666667,"Turno C",IF(F284&gt;0.583333333333333,IF(F284&lt;0.625,"Turno B",IF(F284&gt;0.625694444444444,IF(F284&lt;0.8125,"Turno A",IF(F284&gt;0.875,IF(F284&lt;0.936805555555556,"Turno C",IF(F284&gt;0.9375,IF(F284&lt;0.979166666666667,"Turno B",""),"")),"")),"")),"")),"")),""))</f>
        <v>Turno A</v>
      </c>
      <c r="L284" s="91">
        <f t="shared" si="4"/>
        <v>0.3125</v>
      </c>
    </row>
    <row r="285" spans="1:12" s="40" customFormat="1">
      <c r="A285">
        <v>7975267</v>
      </c>
      <c r="B285" t="s">
        <v>461</v>
      </c>
      <c r="C285" t="s">
        <v>83</v>
      </c>
      <c r="D285" t="s">
        <v>460</v>
      </c>
      <c r="E285" t="s">
        <v>1439</v>
      </c>
      <c r="F285" s="78">
        <v>0.63847222222222222</v>
      </c>
      <c r="G285" t="s">
        <v>1406</v>
      </c>
      <c r="H285" t="s">
        <v>1336</v>
      </c>
      <c r="I285" s="88" t="str">
        <f>VLOOKUP(A285,Base!A:B,2,0)</f>
        <v>07.975.267-3</v>
      </c>
      <c r="J285" s="99" t="str">
        <f>VLOOKUP(A285,Base!A:F,6,0)</f>
        <v>GLORIA  GONZALEZ  MASIAS</v>
      </c>
      <c r="K285" s="89" t="str">
        <f>IFERROR(IF(VLOOKUP(I285,Ingreso!K:P,6,0)=0,"Sin turtno ing",VLOOKUP(I285,Ingreso!K:P,6,0)),IF(F285&gt;0.25,IF(F285&lt;0.311805555555556,"Turno A",IF(F285&gt;0.3125,IF(F285&lt;0.354166666666667,"Turno C",IF(F285&gt;0.583333333333333,IF(F285&lt;0.625,"Turno B",IF(F285&gt;0.625694444444444,IF(F285&lt;0.8125,"Turno A",IF(F285&gt;0.875,IF(F285&lt;0.936805555555556,"Turno C",IF(F285&gt;0.9375,IF(F285&lt;0.979166666666667,"Turno B",""),"")),"")),"")),"")),"")),""))</f>
        <v>Turno A</v>
      </c>
      <c r="L285" s="91">
        <f t="shared" si="4"/>
        <v>0.3125</v>
      </c>
    </row>
    <row r="286" spans="1:12" s="40" customFormat="1">
      <c r="A286">
        <v>7975267</v>
      </c>
      <c r="B286" t="s">
        <v>461</v>
      </c>
      <c r="C286" t="s">
        <v>83</v>
      </c>
      <c r="D286" t="s">
        <v>460</v>
      </c>
      <c r="E286" t="s">
        <v>1439</v>
      </c>
      <c r="F286" s="78">
        <v>0.29125000000000001</v>
      </c>
      <c r="G286" t="s">
        <v>1405</v>
      </c>
      <c r="H286" t="s">
        <v>1335</v>
      </c>
      <c r="I286" s="88" t="str">
        <f>VLOOKUP(A286,Base!A:B,2,0)</f>
        <v>07.975.267-3</v>
      </c>
      <c r="J286" s="99" t="str">
        <f>VLOOKUP(A286,Base!A:F,6,0)</f>
        <v>GLORIA  GONZALEZ  MASIAS</v>
      </c>
      <c r="K286" s="89" t="str">
        <f>IFERROR(IF(VLOOKUP(I286,Ingreso!K:P,6,0)=0,"Sin turtno ing",VLOOKUP(I286,Ingreso!K:P,6,0)),IF(F286&gt;0.25,IF(F286&lt;0.311805555555556,"Turno A",IF(F286&gt;0.3125,IF(F286&lt;0.354166666666667,"Turno C",IF(F286&gt;0.583333333333333,IF(F286&lt;0.625,"Turno B",IF(F286&gt;0.625694444444444,IF(F286&lt;0.8125,"Turno A",IF(F286&gt;0.875,IF(F286&lt;0.936805555555556,"Turno C",IF(F286&gt;0.9375,IF(F286&lt;0.979166666666667,"Turno B",""),"")),"")),"")),"")),"")),""))</f>
        <v>Turno A</v>
      </c>
      <c r="L286" s="91">
        <f t="shared" si="4"/>
        <v>0.3125</v>
      </c>
    </row>
    <row r="287" spans="1:12" s="40" customFormat="1">
      <c r="A287">
        <v>8025043</v>
      </c>
      <c r="B287" t="s">
        <v>539</v>
      </c>
      <c r="C287" t="s">
        <v>538</v>
      </c>
      <c r="D287" t="s">
        <v>237</v>
      </c>
      <c r="E287" t="s">
        <v>1440</v>
      </c>
      <c r="F287" s="78">
        <v>0.32709490740740738</v>
      </c>
      <c r="G287" t="s">
        <v>1406</v>
      </c>
      <c r="H287" t="s">
        <v>1336</v>
      </c>
      <c r="I287" s="88" t="str">
        <f>VLOOKUP(A287,Base!A:B,2,0)</f>
        <v>08.025.043-6</v>
      </c>
      <c r="J287" s="99" t="str">
        <f>VLOOKUP(A287,Base!A:F,6,0)</f>
        <v>RAUL  LEIVA  CASTILLO</v>
      </c>
      <c r="K287" s="89" t="str">
        <f>IFERROR(IF(VLOOKUP(I287,Ingreso!K:P,6,0)=0,"Sin turtno ing",VLOOKUP(I287,Ingreso!K:P,6,0)),IF(F287&gt;0.25,IF(F287&lt;0.311805555555556,"Turno A",IF(F287&gt;0.3125,IF(F287&lt;0.354166666666667,"Turno C",IF(F287&gt;0.583333333333333,IF(F287&lt;0.625,"Turno B",IF(F287&gt;0.625694444444444,IF(F287&lt;0.8125,"Turno A",IF(F287&gt;0.875,IF(F287&lt;0.936805555555556,"Turno C",IF(F287&gt;0.9375,IF(F287&lt;0.979166666666667,"Turno B",""),"")),"")),"")),"")),"")),""))</f>
        <v>Turno C</v>
      </c>
      <c r="L287" s="91">
        <f t="shared" si="4"/>
        <v>0.375</v>
      </c>
    </row>
    <row r="288" spans="1:12" s="40" customFormat="1">
      <c r="A288">
        <v>8025043</v>
      </c>
      <c r="B288" t="s">
        <v>539</v>
      </c>
      <c r="C288" t="s">
        <v>538</v>
      </c>
      <c r="D288" t="s">
        <v>237</v>
      </c>
      <c r="E288" t="s">
        <v>1440</v>
      </c>
      <c r="F288" s="78">
        <v>0.91875000000000007</v>
      </c>
      <c r="G288" t="s">
        <v>1405</v>
      </c>
      <c r="H288" t="s">
        <v>1335</v>
      </c>
      <c r="I288" s="88" t="str">
        <f>VLOOKUP(A288,Base!A:B,2,0)</f>
        <v>08.025.043-6</v>
      </c>
      <c r="J288" s="99" t="str">
        <f>VLOOKUP(A288,Base!A:F,6,0)</f>
        <v>RAUL  LEIVA  CASTILLO</v>
      </c>
      <c r="K288" s="89" t="str">
        <f>IFERROR(IF(VLOOKUP(I288,Ingreso!K:P,6,0)=0,"Sin turtno ing",VLOOKUP(I288,Ingreso!K:P,6,0)),IF(F288&gt;0.25,IF(F288&lt;0.311805555555556,"Turno A",IF(F288&gt;0.3125,IF(F288&lt;0.354166666666667,"Turno C",IF(F288&gt;0.583333333333333,IF(F288&lt;0.625,"Turno B",IF(F288&gt;0.625694444444444,IF(F288&lt;0.8125,"Turno A",IF(F288&gt;0.875,IF(F288&lt;0.936805555555556,"Turno C",IF(F288&gt;0.9375,IF(F288&lt;0.979166666666667,"Turno B",""),"")),"")),"")),"")),"")),""))</f>
        <v>Turno C</v>
      </c>
      <c r="L288" s="91">
        <f t="shared" si="4"/>
        <v>0.375</v>
      </c>
    </row>
    <row r="289" spans="1:12" s="40" customFormat="1">
      <c r="A289">
        <v>8025043</v>
      </c>
      <c r="B289" t="s">
        <v>539</v>
      </c>
      <c r="C289" t="s">
        <v>538</v>
      </c>
      <c r="D289" t="s">
        <v>237</v>
      </c>
      <c r="E289" t="s">
        <v>1441</v>
      </c>
      <c r="F289" s="78">
        <v>0.32466435185185188</v>
      </c>
      <c r="G289" t="s">
        <v>1406</v>
      </c>
      <c r="H289" t="s">
        <v>1336</v>
      </c>
      <c r="I289" s="88" t="str">
        <f>VLOOKUP(A289,Base!A:B,2,0)</f>
        <v>08.025.043-6</v>
      </c>
      <c r="J289" s="99" t="str">
        <f>VLOOKUP(A289,Base!A:F,6,0)</f>
        <v>RAUL  LEIVA  CASTILLO</v>
      </c>
      <c r="K289" s="89" t="str">
        <f>IFERROR(IF(VLOOKUP(I289,Ingreso!K:P,6,0)=0,"Sin turtno ing",VLOOKUP(I289,Ingreso!K:P,6,0)),IF(F289&gt;0.25,IF(F289&lt;0.311805555555556,"Turno A",IF(F289&gt;0.3125,IF(F289&lt;0.354166666666667,"Turno C",IF(F289&gt;0.583333333333333,IF(F289&lt;0.625,"Turno B",IF(F289&gt;0.625694444444444,IF(F289&lt;0.8125,"Turno A",IF(F289&gt;0.875,IF(F289&lt;0.936805555555556,"Turno C",IF(F289&gt;0.9375,IF(F289&lt;0.979166666666667,"Turno B",""),"")),"")),"")),"")),"")),""))</f>
        <v>Turno C</v>
      </c>
      <c r="L289" s="91">
        <f t="shared" si="4"/>
        <v>0.375</v>
      </c>
    </row>
    <row r="290" spans="1:12" s="40" customFormat="1">
      <c r="A290">
        <v>8025043</v>
      </c>
      <c r="B290" t="s">
        <v>539</v>
      </c>
      <c r="C290" t="s">
        <v>538</v>
      </c>
      <c r="D290" t="s">
        <v>237</v>
      </c>
      <c r="E290" t="s">
        <v>1437</v>
      </c>
      <c r="F290" s="78">
        <v>0.91902777777777789</v>
      </c>
      <c r="G290" t="s">
        <v>1405</v>
      </c>
      <c r="H290" t="s">
        <v>1335</v>
      </c>
      <c r="I290" s="88" t="str">
        <f>VLOOKUP(A290,Base!A:B,2,0)</f>
        <v>08.025.043-6</v>
      </c>
      <c r="J290" s="99" t="str">
        <f>VLOOKUP(A290,Base!A:F,6,0)</f>
        <v>RAUL  LEIVA  CASTILLO</v>
      </c>
      <c r="K290" s="89" t="str">
        <f>IFERROR(IF(VLOOKUP(I290,Ingreso!K:P,6,0)=0,"Sin turtno ing",VLOOKUP(I290,Ingreso!K:P,6,0)),IF(F290&gt;0.25,IF(F290&lt;0.311805555555556,"Turno A",IF(F290&gt;0.3125,IF(F290&lt;0.354166666666667,"Turno C",IF(F290&gt;0.583333333333333,IF(F290&lt;0.625,"Turno B",IF(F290&gt;0.625694444444444,IF(F290&lt;0.8125,"Turno A",IF(F290&gt;0.875,IF(F290&lt;0.936805555555556,"Turno C",IF(F290&gt;0.9375,IF(F290&lt;0.979166666666667,"Turno B",""),"")),"")),"")),"")),"")),""))</f>
        <v>Turno C</v>
      </c>
      <c r="L290" s="91">
        <f t="shared" si="4"/>
        <v>0.375</v>
      </c>
    </row>
    <row r="291" spans="1:12" s="40" customFormat="1">
      <c r="A291">
        <v>8025043</v>
      </c>
      <c r="B291" t="s">
        <v>539</v>
      </c>
      <c r="C291" t="s">
        <v>538</v>
      </c>
      <c r="D291" t="s">
        <v>237</v>
      </c>
      <c r="E291" t="s">
        <v>1438</v>
      </c>
      <c r="F291" s="78">
        <v>0.32384259259259257</v>
      </c>
      <c r="G291" t="s">
        <v>1406</v>
      </c>
      <c r="H291" t="s">
        <v>1336</v>
      </c>
      <c r="I291" s="88" t="str">
        <f>VLOOKUP(A291,Base!A:B,2,0)</f>
        <v>08.025.043-6</v>
      </c>
      <c r="J291" s="99" t="str">
        <f>VLOOKUP(A291,Base!A:F,6,0)</f>
        <v>RAUL  LEIVA  CASTILLO</v>
      </c>
      <c r="K291" s="89" t="str">
        <f>IFERROR(IF(VLOOKUP(I291,Ingreso!K:P,6,0)=0,"Sin turtno ing",VLOOKUP(I291,Ingreso!K:P,6,0)),IF(F291&gt;0.25,IF(F291&lt;0.311805555555556,"Turno A",IF(F291&gt;0.3125,IF(F291&lt;0.354166666666667,"Turno C",IF(F291&gt;0.583333333333333,IF(F291&lt;0.625,"Turno B",IF(F291&gt;0.625694444444444,IF(F291&lt;0.8125,"Turno A",IF(F291&gt;0.875,IF(F291&lt;0.936805555555556,"Turno C",IF(F291&gt;0.9375,IF(F291&lt;0.979166666666667,"Turno B",""),"")),"")),"")),"")),"")),""))</f>
        <v>Turno C</v>
      </c>
      <c r="L291" s="91">
        <f t="shared" si="4"/>
        <v>0.375</v>
      </c>
    </row>
    <row r="292" spans="1:12" s="40" customFormat="1">
      <c r="A292">
        <v>8025043</v>
      </c>
      <c r="B292" t="s">
        <v>539</v>
      </c>
      <c r="C292" t="s">
        <v>538</v>
      </c>
      <c r="D292" t="s">
        <v>237</v>
      </c>
      <c r="E292" t="s">
        <v>1438</v>
      </c>
      <c r="F292" s="78">
        <v>0.91872685185185177</v>
      </c>
      <c r="G292" t="s">
        <v>1405</v>
      </c>
      <c r="H292" t="s">
        <v>1335</v>
      </c>
      <c r="I292" s="88" t="str">
        <f>VLOOKUP(A292,Base!A:B,2,0)</f>
        <v>08.025.043-6</v>
      </c>
      <c r="J292" s="99" t="str">
        <f>VLOOKUP(A292,Base!A:F,6,0)</f>
        <v>RAUL  LEIVA  CASTILLO</v>
      </c>
      <c r="K292" s="89" t="str">
        <f>IFERROR(IF(VLOOKUP(I292,Ingreso!K:P,6,0)=0,"Sin turtno ing",VLOOKUP(I292,Ingreso!K:P,6,0)),IF(F292&gt;0.25,IF(F292&lt;0.311805555555556,"Turno A",IF(F292&gt;0.3125,IF(F292&lt;0.354166666666667,"Turno C",IF(F292&gt;0.583333333333333,IF(F292&lt;0.625,"Turno B",IF(F292&gt;0.625694444444444,IF(F292&lt;0.8125,"Turno A",IF(F292&gt;0.875,IF(F292&lt;0.936805555555556,"Turno C",IF(F292&gt;0.9375,IF(F292&lt;0.979166666666667,"Turno B",""),"")),"")),"")),"")),"")),""))</f>
        <v>Turno C</v>
      </c>
      <c r="L292" s="91">
        <f t="shared" si="4"/>
        <v>0.375</v>
      </c>
    </row>
    <row r="293" spans="1:12" s="40" customFormat="1">
      <c r="A293">
        <v>8025043</v>
      </c>
      <c r="B293" t="s">
        <v>539</v>
      </c>
      <c r="C293" t="s">
        <v>538</v>
      </c>
      <c r="D293" t="s">
        <v>237</v>
      </c>
      <c r="E293" t="s">
        <v>1439</v>
      </c>
      <c r="F293" s="78">
        <v>0.32687499999999997</v>
      </c>
      <c r="G293" t="s">
        <v>1406</v>
      </c>
      <c r="H293" t="s">
        <v>1336</v>
      </c>
      <c r="I293" s="88" t="str">
        <f>VLOOKUP(A293,Base!A:B,2,0)</f>
        <v>08.025.043-6</v>
      </c>
      <c r="J293" s="99" t="str">
        <f>VLOOKUP(A293,Base!A:F,6,0)</f>
        <v>RAUL  LEIVA  CASTILLO</v>
      </c>
      <c r="K293" s="89" t="str">
        <f>IFERROR(IF(VLOOKUP(I293,Ingreso!K:P,6,0)=0,"Sin turtno ing",VLOOKUP(I293,Ingreso!K:P,6,0)),IF(F293&gt;0.25,IF(F293&lt;0.311805555555556,"Turno A",IF(F293&gt;0.3125,IF(F293&lt;0.354166666666667,"Turno C",IF(F293&gt;0.583333333333333,IF(F293&lt;0.625,"Turno B",IF(F293&gt;0.625694444444444,IF(F293&lt;0.8125,"Turno A",IF(F293&gt;0.875,IF(F293&lt;0.936805555555556,"Turno C",IF(F293&gt;0.9375,IF(F293&lt;0.979166666666667,"Turno B",""),"")),"")),"")),"")),"")),""))</f>
        <v>Turno C</v>
      </c>
      <c r="L293" s="91">
        <f t="shared" si="4"/>
        <v>0.375</v>
      </c>
    </row>
    <row r="294" spans="1:12" s="40" customFormat="1">
      <c r="A294">
        <v>8025043</v>
      </c>
      <c r="B294" t="s">
        <v>539</v>
      </c>
      <c r="C294" t="s">
        <v>538</v>
      </c>
      <c r="D294" t="s">
        <v>237</v>
      </c>
      <c r="E294" t="s">
        <v>1439</v>
      </c>
      <c r="F294" s="78">
        <v>0.91813657407407412</v>
      </c>
      <c r="G294" t="s">
        <v>1405</v>
      </c>
      <c r="H294" t="s">
        <v>1335</v>
      </c>
      <c r="I294" s="88" t="str">
        <f>VLOOKUP(A294,Base!A:B,2,0)</f>
        <v>08.025.043-6</v>
      </c>
      <c r="J294" s="99" t="str">
        <f>VLOOKUP(A294,Base!A:F,6,0)</f>
        <v>RAUL  LEIVA  CASTILLO</v>
      </c>
      <c r="K294" s="89" t="str">
        <f>IFERROR(IF(VLOOKUP(I294,Ingreso!K:P,6,0)=0,"Sin turtno ing",VLOOKUP(I294,Ingreso!K:P,6,0)),IF(F294&gt;0.25,IF(F294&lt;0.311805555555556,"Turno A",IF(F294&gt;0.3125,IF(F294&lt;0.354166666666667,"Turno C",IF(F294&gt;0.583333333333333,IF(F294&lt;0.625,"Turno B",IF(F294&gt;0.625694444444444,IF(F294&lt;0.8125,"Turno A",IF(F294&gt;0.875,IF(F294&lt;0.936805555555556,"Turno C",IF(F294&gt;0.9375,IF(F294&lt;0.979166666666667,"Turno B",""),"")),"")),"")),"")),"")),""))</f>
        <v>Turno C</v>
      </c>
      <c r="L294" s="91">
        <f t="shared" si="4"/>
        <v>0.375</v>
      </c>
    </row>
    <row r="295" spans="1:12" s="40" customFormat="1">
      <c r="A295">
        <v>8085825</v>
      </c>
      <c r="B295" t="s">
        <v>997</v>
      </c>
      <c r="C295" t="s">
        <v>232</v>
      </c>
      <c r="D295" t="s">
        <v>996</v>
      </c>
      <c r="E295" t="s">
        <v>1440</v>
      </c>
      <c r="F295" s="78">
        <v>0.63869212962962962</v>
      </c>
      <c r="G295" t="s">
        <v>1406</v>
      </c>
      <c r="H295" t="s">
        <v>1336</v>
      </c>
      <c r="I295" s="88" t="str">
        <f>VLOOKUP(A295,Base!A:B,2,0)</f>
        <v>08.085.825-6</v>
      </c>
      <c r="J295" s="99" t="str">
        <f>VLOOKUP(A295,Base!A:F,6,0)</f>
        <v>ACISCLO ANTONIO  SANHUEZA  CUBILLOS</v>
      </c>
      <c r="K295" s="89" t="str">
        <f>IFERROR(IF(VLOOKUP(I295,Ingreso!K:P,6,0)=0,"Sin turtno ing",VLOOKUP(I295,Ingreso!K:P,6,0)),IF(F295&gt;0.25,IF(F295&lt;0.311805555555556,"Turno A",IF(F295&gt;0.3125,IF(F295&lt;0.354166666666667,"Turno C",IF(F295&gt;0.583333333333333,IF(F295&lt;0.625,"Turno B",IF(F295&gt;0.625694444444444,IF(F295&lt;0.8125,"Turno A",IF(F295&gt;0.875,IF(F295&lt;0.936805555555556,"Turno C",IF(F295&gt;0.9375,IF(F295&lt;0.979166666666667,"Turno B",""),"")),"")),"")),"")),"")),""))</f>
        <v>Turno A</v>
      </c>
      <c r="L295" s="91">
        <f t="shared" si="4"/>
        <v>0.3125</v>
      </c>
    </row>
    <row r="296" spans="1:12" s="40" customFormat="1">
      <c r="A296">
        <v>8085825</v>
      </c>
      <c r="B296" t="s">
        <v>997</v>
      </c>
      <c r="C296" t="s">
        <v>232</v>
      </c>
      <c r="D296" t="s">
        <v>996</v>
      </c>
      <c r="E296" t="s">
        <v>1440</v>
      </c>
      <c r="F296" s="78">
        <v>0.29472222222222222</v>
      </c>
      <c r="G296" t="s">
        <v>1405</v>
      </c>
      <c r="H296" t="s">
        <v>1335</v>
      </c>
      <c r="I296" s="88" t="str">
        <f>VLOOKUP(A296,Base!A:B,2,0)</f>
        <v>08.085.825-6</v>
      </c>
      <c r="J296" s="99" t="str">
        <f>VLOOKUP(A296,Base!A:F,6,0)</f>
        <v>ACISCLO ANTONIO  SANHUEZA  CUBILLOS</v>
      </c>
      <c r="K296" s="89" t="str">
        <f>IFERROR(IF(VLOOKUP(I296,Ingreso!K:P,6,0)=0,"Sin turtno ing",VLOOKUP(I296,Ingreso!K:P,6,0)),IF(F296&gt;0.25,IF(F296&lt;0.311805555555556,"Turno A",IF(F296&gt;0.3125,IF(F296&lt;0.354166666666667,"Turno C",IF(F296&gt;0.583333333333333,IF(F296&lt;0.625,"Turno B",IF(F296&gt;0.625694444444444,IF(F296&lt;0.8125,"Turno A",IF(F296&gt;0.875,IF(F296&lt;0.936805555555556,"Turno C",IF(F296&gt;0.9375,IF(F296&lt;0.979166666666667,"Turno B",""),"")),"")),"")),"")),"")),""))</f>
        <v>Turno A</v>
      </c>
      <c r="L296" s="91">
        <f t="shared" si="4"/>
        <v>0.3125</v>
      </c>
    </row>
    <row r="297" spans="1:12" s="40" customFormat="1">
      <c r="A297">
        <v>8085825</v>
      </c>
      <c r="B297" t="s">
        <v>997</v>
      </c>
      <c r="C297" t="s">
        <v>232</v>
      </c>
      <c r="D297" t="s">
        <v>996</v>
      </c>
      <c r="E297" t="s">
        <v>1441</v>
      </c>
      <c r="F297" s="78">
        <v>0.6401041666666667</v>
      </c>
      <c r="G297" t="s">
        <v>1406</v>
      </c>
      <c r="H297" t="s">
        <v>1336</v>
      </c>
      <c r="I297" s="88" t="str">
        <f>VLOOKUP(A297,Base!A:B,2,0)</f>
        <v>08.085.825-6</v>
      </c>
      <c r="J297" s="99" t="str">
        <f>VLOOKUP(A297,Base!A:F,6,0)</f>
        <v>ACISCLO ANTONIO  SANHUEZA  CUBILLOS</v>
      </c>
      <c r="K297" s="89" t="str">
        <f>IFERROR(IF(VLOOKUP(I297,Ingreso!K:P,6,0)=0,"Sin turtno ing",VLOOKUP(I297,Ingreso!K:P,6,0)),IF(F297&gt;0.25,IF(F297&lt;0.311805555555556,"Turno A",IF(F297&gt;0.3125,IF(F297&lt;0.354166666666667,"Turno C",IF(F297&gt;0.583333333333333,IF(F297&lt;0.625,"Turno B",IF(F297&gt;0.625694444444444,IF(F297&lt;0.8125,"Turno A",IF(F297&gt;0.875,IF(F297&lt;0.936805555555556,"Turno C",IF(F297&gt;0.9375,IF(F297&lt;0.979166666666667,"Turno B",""),"")),"")),"")),"")),"")),""))</f>
        <v>Turno A</v>
      </c>
      <c r="L297" s="91">
        <f t="shared" si="4"/>
        <v>0.3125</v>
      </c>
    </row>
    <row r="298" spans="1:12" s="40" customFormat="1">
      <c r="A298">
        <v>8085825</v>
      </c>
      <c r="B298" t="s">
        <v>997</v>
      </c>
      <c r="C298" t="s">
        <v>232</v>
      </c>
      <c r="D298" t="s">
        <v>996</v>
      </c>
      <c r="E298" t="s">
        <v>1441</v>
      </c>
      <c r="F298" s="78">
        <v>0.29414351851851855</v>
      </c>
      <c r="G298" t="s">
        <v>1405</v>
      </c>
      <c r="H298" t="s">
        <v>1335</v>
      </c>
      <c r="I298" s="88" t="str">
        <f>VLOOKUP(A298,Base!A:B,2,0)</f>
        <v>08.085.825-6</v>
      </c>
      <c r="J298" s="99" t="str">
        <f>VLOOKUP(A298,Base!A:F,6,0)</f>
        <v>ACISCLO ANTONIO  SANHUEZA  CUBILLOS</v>
      </c>
      <c r="K298" s="89" t="str">
        <f>IFERROR(IF(VLOOKUP(I298,Ingreso!K:P,6,0)=0,"Sin turtno ing",VLOOKUP(I298,Ingreso!K:P,6,0)),IF(F298&gt;0.25,IF(F298&lt;0.311805555555556,"Turno A",IF(F298&gt;0.3125,IF(F298&lt;0.354166666666667,"Turno C",IF(F298&gt;0.583333333333333,IF(F298&lt;0.625,"Turno B",IF(F298&gt;0.625694444444444,IF(F298&lt;0.8125,"Turno A",IF(F298&gt;0.875,IF(F298&lt;0.936805555555556,"Turno C",IF(F298&gt;0.9375,IF(F298&lt;0.979166666666667,"Turno B",""),"")),"")),"")),"")),"")),""))</f>
        <v>Turno A</v>
      </c>
      <c r="L298" s="91">
        <f t="shared" si="4"/>
        <v>0.3125</v>
      </c>
    </row>
    <row r="299" spans="1:12" s="40" customFormat="1">
      <c r="A299">
        <v>8085825</v>
      </c>
      <c r="B299" t="s">
        <v>997</v>
      </c>
      <c r="C299" t="s">
        <v>232</v>
      </c>
      <c r="D299" t="s">
        <v>996</v>
      </c>
      <c r="E299" t="s">
        <v>1437</v>
      </c>
      <c r="F299" s="78">
        <v>0.63708333333333333</v>
      </c>
      <c r="G299" t="s">
        <v>1406</v>
      </c>
      <c r="H299" t="s">
        <v>1336</v>
      </c>
      <c r="I299" s="88" t="str">
        <f>VLOOKUP(A299,Base!A:B,2,0)</f>
        <v>08.085.825-6</v>
      </c>
      <c r="J299" s="99" t="str">
        <f>VLOOKUP(A299,Base!A:F,6,0)</f>
        <v>ACISCLO ANTONIO  SANHUEZA  CUBILLOS</v>
      </c>
      <c r="K299" s="89" t="str">
        <f>IFERROR(IF(VLOOKUP(I299,Ingreso!K:P,6,0)=0,"Sin turtno ing",VLOOKUP(I299,Ingreso!K:P,6,0)),IF(F299&gt;0.25,IF(F299&lt;0.311805555555556,"Turno A",IF(F299&gt;0.3125,IF(F299&lt;0.354166666666667,"Turno C",IF(F299&gt;0.583333333333333,IF(F299&lt;0.625,"Turno B",IF(F299&gt;0.625694444444444,IF(F299&lt;0.8125,"Turno A",IF(F299&gt;0.875,IF(F299&lt;0.936805555555556,"Turno C",IF(F299&gt;0.9375,IF(F299&lt;0.979166666666667,"Turno B",""),"")),"")),"")),"")),"")),""))</f>
        <v>Turno A</v>
      </c>
      <c r="L299" s="91">
        <f t="shared" si="4"/>
        <v>0.3125</v>
      </c>
    </row>
    <row r="300" spans="1:12" s="40" customFormat="1">
      <c r="A300">
        <v>8085825</v>
      </c>
      <c r="B300" t="s">
        <v>997</v>
      </c>
      <c r="C300" t="s">
        <v>232</v>
      </c>
      <c r="D300" t="s">
        <v>996</v>
      </c>
      <c r="E300" t="s">
        <v>1437</v>
      </c>
      <c r="F300" s="78">
        <v>0.29530092592592594</v>
      </c>
      <c r="G300" t="s">
        <v>1405</v>
      </c>
      <c r="H300" t="s">
        <v>1335</v>
      </c>
      <c r="I300" s="88" t="str">
        <f>VLOOKUP(A300,Base!A:B,2,0)</f>
        <v>08.085.825-6</v>
      </c>
      <c r="J300" s="99" t="str">
        <f>VLOOKUP(A300,Base!A:F,6,0)</f>
        <v>ACISCLO ANTONIO  SANHUEZA  CUBILLOS</v>
      </c>
      <c r="K300" s="89" t="str">
        <f>IFERROR(IF(VLOOKUP(I300,Ingreso!K:P,6,0)=0,"Sin turtno ing",VLOOKUP(I300,Ingreso!K:P,6,0)),IF(F300&gt;0.25,IF(F300&lt;0.311805555555556,"Turno A",IF(F300&gt;0.3125,IF(F300&lt;0.354166666666667,"Turno C",IF(F300&gt;0.583333333333333,IF(F300&lt;0.625,"Turno B",IF(F300&gt;0.625694444444444,IF(F300&lt;0.8125,"Turno A",IF(F300&gt;0.875,IF(F300&lt;0.936805555555556,"Turno C",IF(F300&gt;0.9375,IF(F300&lt;0.979166666666667,"Turno B",""),"")),"")),"")),"")),"")),""))</f>
        <v>Turno A</v>
      </c>
      <c r="L300" s="91">
        <f t="shared" si="4"/>
        <v>0.3125</v>
      </c>
    </row>
    <row r="301" spans="1:12" s="40" customFormat="1">
      <c r="A301">
        <v>8085825</v>
      </c>
      <c r="B301" t="s">
        <v>997</v>
      </c>
      <c r="C301" t="s">
        <v>232</v>
      </c>
      <c r="D301" t="s">
        <v>996</v>
      </c>
      <c r="E301" t="s">
        <v>1438</v>
      </c>
      <c r="F301" s="78">
        <v>0.6352430555555556</v>
      </c>
      <c r="G301" t="s">
        <v>1406</v>
      </c>
      <c r="H301" t="s">
        <v>1336</v>
      </c>
      <c r="I301" s="88" t="str">
        <f>VLOOKUP(A301,Base!A:B,2,0)</f>
        <v>08.085.825-6</v>
      </c>
      <c r="J301" s="99" t="str">
        <f>VLOOKUP(A301,Base!A:F,6,0)</f>
        <v>ACISCLO ANTONIO  SANHUEZA  CUBILLOS</v>
      </c>
      <c r="K301" s="89" t="str">
        <f>IFERROR(IF(VLOOKUP(I301,Ingreso!K:P,6,0)=0,"Sin turtno ing",VLOOKUP(I301,Ingreso!K:P,6,0)),IF(F301&gt;0.25,IF(F301&lt;0.311805555555556,"Turno A",IF(F301&gt;0.3125,IF(F301&lt;0.354166666666667,"Turno C",IF(F301&gt;0.583333333333333,IF(F301&lt;0.625,"Turno B",IF(F301&gt;0.625694444444444,IF(F301&lt;0.8125,"Turno A",IF(F301&gt;0.875,IF(F301&lt;0.936805555555556,"Turno C",IF(F301&gt;0.9375,IF(F301&lt;0.979166666666667,"Turno B",""),"")),"")),"")),"")),"")),""))</f>
        <v>Turno A</v>
      </c>
      <c r="L301" s="91">
        <f t="shared" si="4"/>
        <v>0.3125</v>
      </c>
    </row>
    <row r="302" spans="1:12" s="40" customFormat="1">
      <c r="A302">
        <v>8085825</v>
      </c>
      <c r="B302" t="s">
        <v>997</v>
      </c>
      <c r="C302" t="s">
        <v>232</v>
      </c>
      <c r="D302" t="s">
        <v>996</v>
      </c>
      <c r="E302" t="s">
        <v>1438</v>
      </c>
      <c r="F302" s="78">
        <v>0.29545138888888889</v>
      </c>
      <c r="G302" t="s">
        <v>1405</v>
      </c>
      <c r="H302" t="s">
        <v>1335</v>
      </c>
      <c r="I302" s="88" t="str">
        <f>VLOOKUP(A302,Base!A:B,2,0)</f>
        <v>08.085.825-6</v>
      </c>
      <c r="J302" s="99" t="str">
        <f>VLOOKUP(A302,Base!A:F,6,0)</f>
        <v>ACISCLO ANTONIO  SANHUEZA  CUBILLOS</v>
      </c>
      <c r="K302" s="89" t="str">
        <f>IFERROR(IF(VLOOKUP(I302,Ingreso!K:P,6,0)=0,"Sin turtno ing",VLOOKUP(I302,Ingreso!K:P,6,0)),IF(F302&gt;0.25,IF(F302&lt;0.311805555555556,"Turno A",IF(F302&gt;0.3125,IF(F302&lt;0.354166666666667,"Turno C",IF(F302&gt;0.583333333333333,IF(F302&lt;0.625,"Turno B",IF(F302&gt;0.625694444444444,IF(F302&lt;0.8125,"Turno A",IF(F302&gt;0.875,IF(F302&lt;0.936805555555556,"Turno C",IF(F302&gt;0.9375,IF(F302&lt;0.979166666666667,"Turno B",""),"")),"")),"")),"")),"")),""))</f>
        <v>Turno A</v>
      </c>
      <c r="L302" s="91">
        <f t="shared" si="4"/>
        <v>0.3125</v>
      </c>
    </row>
    <row r="303" spans="1:12" s="40" customFormat="1">
      <c r="A303">
        <v>8085825</v>
      </c>
      <c r="B303" t="s">
        <v>997</v>
      </c>
      <c r="C303" t="s">
        <v>232</v>
      </c>
      <c r="D303" t="s">
        <v>996</v>
      </c>
      <c r="E303" t="s">
        <v>1439</v>
      </c>
      <c r="F303" s="78">
        <v>0.63723379629629628</v>
      </c>
      <c r="G303" t="s">
        <v>1406</v>
      </c>
      <c r="H303" t="s">
        <v>1336</v>
      </c>
      <c r="I303" s="88" t="str">
        <f>VLOOKUP(A303,Base!A:B,2,0)</f>
        <v>08.085.825-6</v>
      </c>
      <c r="J303" s="99" t="str">
        <f>VLOOKUP(A303,Base!A:F,6,0)</f>
        <v>ACISCLO ANTONIO  SANHUEZA  CUBILLOS</v>
      </c>
      <c r="K303" s="89" t="str">
        <f>IFERROR(IF(VLOOKUP(I303,Ingreso!K:P,6,0)=0,"Sin turtno ing",VLOOKUP(I303,Ingreso!K:P,6,0)),IF(F303&gt;0.25,IF(F303&lt;0.311805555555556,"Turno A",IF(F303&gt;0.3125,IF(F303&lt;0.354166666666667,"Turno C",IF(F303&gt;0.583333333333333,IF(F303&lt;0.625,"Turno B",IF(F303&gt;0.625694444444444,IF(F303&lt;0.8125,"Turno A",IF(F303&gt;0.875,IF(F303&lt;0.936805555555556,"Turno C",IF(F303&gt;0.9375,IF(F303&lt;0.979166666666667,"Turno B",""),"")),"")),"")),"")),"")),""))</f>
        <v>Turno A</v>
      </c>
      <c r="L303" s="91">
        <f t="shared" si="4"/>
        <v>0.3125</v>
      </c>
    </row>
    <row r="304" spans="1:12" s="40" customFormat="1">
      <c r="A304">
        <v>8085825</v>
      </c>
      <c r="B304" t="s">
        <v>997</v>
      </c>
      <c r="C304" t="s">
        <v>232</v>
      </c>
      <c r="D304" t="s">
        <v>996</v>
      </c>
      <c r="E304" t="s">
        <v>1439</v>
      </c>
      <c r="F304" s="78">
        <v>0.2946759259259259</v>
      </c>
      <c r="G304" t="s">
        <v>1405</v>
      </c>
      <c r="H304" t="s">
        <v>1335</v>
      </c>
      <c r="I304" s="88" t="str">
        <f>VLOOKUP(A304,Base!A:B,2,0)</f>
        <v>08.085.825-6</v>
      </c>
      <c r="J304" s="99" t="str">
        <f>VLOOKUP(A304,Base!A:F,6,0)</f>
        <v>ACISCLO ANTONIO  SANHUEZA  CUBILLOS</v>
      </c>
      <c r="K304" s="89" t="str">
        <f>IFERROR(IF(VLOOKUP(I304,Ingreso!K:P,6,0)=0,"Sin turtno ing",VLOOKUP(I304,Ingreso!K:P,6,0)),IF(F304&gt;0.25,IF(F304&lt;0.311805555555556,"Turno A",IF(F304&gt;0.3125,IF(F304&lt;0.354166666666667,"Turno C",IF(F304&gt;0.583333333333333,IF(F304&lt;0.625,"Turno B",IF(F304&gt;0.625694444444444,IF(F304&lt;0.8125,"Turno A",IF(F304&gt;0.875,IF(F304&lt;0.936805555555556,"Turno C",IF(F304&gt;0.9375,IF(F304&lt;0.979166666666667,"Turno B",""),"")),"")),"")),"")),"")),""))</f>
        <v>Turno A</v>
      </c>
      <c r="L304" s="91">
        <f t="shared" si="4"/>
        <v>0.3125</v>
      </c>
    </row>
    <row r="305" spans="1:12" s="40" customFormat="1">
      <c r="A305">
        <v>8110698</v>
      </c>
      <c r="B305" t="s">
        <v>1246</v>
      </c>
      <c r="C305" t="s">
        <v>938</v>
      </c>
      <c r="D305" t="s">
        <v>231</v>
      </c>
      <c r="E305" t="s">
        <v>1440</v>
      </c>
      <c r="F305" s="78">
        <v>0.81453703703703706</v>
      </c>
      <c r="G305" t="s">
        <v>1406</v>
      </c>
      <c r="H305" t="s">
        <v>1336</v>
      </c>
      <c r="I305" s="88" t="str">
        <f>VLOOKUP(A305,Base!A:B,2,0)</f>
        <v>08.110.698-3</v>
      </c>
      <c r="J305" s="99" t="str">
        <f>VLOOKUP(A305,Base!A:F,6,0)</f>
        <v>XIMENA DEL ROSARIO  GUZMAN  CASTAÑEDA</v>
      </c>
      <c r="K305" s="89" t="str">
        <f>IFERROR(IF(VLOOKUP(I305,Ingreso!K:P,6,0)=0,"Sin turtno ing",VLOOKUP(I305,Ingreso!K:P,6,0)),IF(F305&gt;0.25,IF(F305&lt;0.311805555555556,"Turno A",IF(F305&gt;0.3125,IF(F305&lt;0.354166666666667,"Turno C",IF(F305&gt;0.583333333333333,IF(F305&lt;0.625,"Turno B",IF(F305&gt;0.625694444444444,IF(F305&lt;0.8125,"Turno A",IF(F305&gt;0.875,IF(F305&lt;0.936805555555556,"Turno C",IF(F305&gt;0.9375,IF(F305&lt;0.979166666666667,"Turno B",""),"")),"")),"")),"")),"")),""))</f>
        <v/>
      </c>
      <c r="L305" s="91" t="e">
        <f t="shared" si="4"/>
        <v>#N/A</v>
      </c>
    </row>
    <row r="306" spans="1:12" s="40" customFormat="1">
      <c r="A306">
        <v>8110698</v>
      </c>
      <c r="B306" t="s">
        <v>1246</v>
      </c>
      <c r="C306" t="s">
        <v>938</v>
      </c>
      <c r="D306" t="s">
        <v>231</v>
      </c>
      <c r="E306" t="s">
        <v>1440</v>
      </c>
      <c r="F306" s="78">
        <v>0.30601851851851852</v>
      </c>
      <c r="G306" t="s">
        <v>1405</v>
      </c>
      <c r="H306" t="s">
        <v>1335</v>
      </c>
      <c r="I306" s="88" t="str">
        <f>VLOOKUP(A306,Base!A:B,2,0)</f>
        <v>08.110.698-3</v>
      </c>
      <c r="J306" s="99" t="str">
        <f>VLOOKUP(A306,Base!A:F,6,0)</f>
        <v>XIMENA DEL ROSARIO  GUZMAN  CASTAÑEDA</v>
      </c>
      <c r="K306" s="89" t="str">
        <f>IFERROR(IF(VLOOKUP(I306,Ingreso!K:P,6,0)=0,"Sin turtno ing",VLOOKUP(I306,Ingreso!K:P,6,0)),IF(F306&gt;0.25,IF(F306&lt;0.311805555555556,"Turno A",IF(F306&gt;0.3125,IF(F306&lt;0.354166666666667,"Turno C",IF(F306&gt;0.583333333333333,IF(F306&lt;0.625,"Turno B",IF(F306&gt;0.625694444444444,IF(F306&lt;0.8125,"Turno A",IF(F306&gt;0.875,IF(F306&lt;0.936805555555556,"Turno C",IF(F306&gt;0.9375,IF(F306&lt;0.979166666666667,"Turno B",""),"")),"")),"")),"")),"")),""))</f>
        <v>Turno A</v>
      </c>
      <c r="L306" s="91">
        <f t="shared" si="4"/>
        <v>0.3125</v>
      </c>
    </row>
    <row r="307" spans="1:12" s="40" customFormat="1">
      <c r="A307">
        <v>8110698</v>
      </c>
      <c r="B307" t="s">
        <v>1246</v>
      </c>
      <c r="C307" t="s">
        <v>938</v>
      </c>
      <c r="D307" t="s">
        <v>231</v>
      </c>
      <c r="E307" t="s">
        <v>1441</v>
      </c>
      <c r="F307" s="78">
        <v>0.80334490740740738</v>
      </c>
      <c r="G307" t="s">
        <v>1406</v>
      </c>
      <c r="H307" t="s">
        <v>1336</v>
      </c>
      <c r="I307" s="88" t="str">
        <f>VLOOKUP(A307,Base!A:B,2,0)</f>
        <v>08.110.698-3</v>
      </c>
      <c r="J307" s="99" t="str">
        <f>VLOOKUP(A307,Base!A:F,6,0)</f>
        <v>XIMENA DEL ROSARIO  GUZMAN  CASTAÑEDA</v>
      </c>
      <c r="K307" s="89" t="str">
        <f>IFERROR(IF(VLOOKUP(I307,Ingreso!K:P,6,0)=0,"Sin turtno ing",VLOOKUP(I307,Ingreso!K:P,6,0)),IF(F307&gt;0.25,IF(F307&lt;0.311805555555556,"Turno A",IF(F307&gt;0.3125,IF(F307&lt;0.354166666666667,"Turno C",IF(F307&gt;0.583333333333333,IF(F307&lt;0.625,"Turno B",IF(F307&gt;0.625694444444444,IF(F307&lt;0.8125,"Turno A",IF(F307&gt;0.875,IF(F307&lt;0.936805555555556,"Turno C",IF(F307&gt;0.9375,IF(F307&lt;0.979166666666667,"Turno B",""),"")),"")),"")),"")),"")),""))</f>
        <v>Turno A</v>
      </c>
      <c r="L307" s="91">
        <f t="shared" si="4"/>
        <v>0.3125</v>
      </c>
    </row>
    <row r="308" spans="1:12" s="40" customFormat="1">
      <c r="A308">
        <v>8110698</v>
      </c>
      <c r="B308" t="s">
        <v>1246</v>
      </c>
      <c r="C308" t="s">
        <v>938</v>
      </c>
      <c r="D308" t="s">
        <v>231</v>
      </c>
      <c r="E308" t="s">
        <v>1441</v>
      </c>
      <c r="F308" s="78">
        <v>0.29454861111111114</v>
      </c>
      <c r="G308" t="s">
        <v>1405</v>
      </c>
      <c r="H308" t="s">
        <v>1335</v>
      </c>
      <c r="I308" s="88" t="str">
        <f>VLOOKUP(A308,Base!A:B,2,0)</f>
        <v>08.110.698-3</v>
      </c>
      <c r="J308" s="99" t="str">
        <f>VLOOKUP(A308,Base!A:F,6,0)</f>
        <v>XIMENA DEL ROSARIO  GUZMAN  CASTAÑEDA</v>
      </c>
      <c r="K308" s="89" t="str">
        <f>IFERROR(IF(VLOOKUP(I308,Ingreso!K:P,6,0)=0,"Sin turtno ing",VLOOKUP(I308,Ingreso!K:P,6,0)),IF(F308&gt;0.25,IF(F308&lt;0.311805555555556,"Turno A",IF(F308&gt;0.3125,IF(F308&lt;0.354166666666667,"Turno C",IF(F308&gt;0.583333333333333,IF(F308&lt;0.625,"Turno B",IF(F308&gt;0.625694444444444,IF(F308&lt;0.8125,"Turno A",IF(F308&gt;0.875,IF(F308&lt;0.936805555555556,"Turno C",IF(F308&gt;0.9375,IF(F308&lt;0.979166666666667,"Turno B",""),"")),"")),"")),"")),"")),""))</f>
        <v>Turno A</v>
      </c>
      <c r="L308" s="91">
        <f t="shared" si="4"/>
        <v>0.3125</v>
      </c>
    </row>
    <row r="309" spans="1:12" s="40" customFormat="1">
      <c r="A309">
        <v>8110698</v>
      </c>
      <c r="B309" t="s">
        <v>1246</v>
      </c>
      <c r="C309" t="s">
        <v>938</v>
      </c>
      <c r="D309" t="s">
        <v>231</v>
      </c>
      <c r="E309" t="s">
        <v>1437</v>
      </c>
      <c r="F309" s="78">
        <v>0.80593750000000008</v>
      </c>
      <c r="G309" t="s">
        <v>1406</v>
      </c>
      <c r="H309" t="s">
        <v>1336</v>
      </c>
      <c r="I309" s="88" t="str">
        <f>VLOOKUP(A309,Base!A:B,2,0)</f>
        <v>08.110.698-3</v>
      </c>
      <c r="J309" s="99" t="str">
        <f>VLOOKUP(A309,Base!A:F,6,0)</f>
        <v>XIMENA DEL ROSARIO  GUZMAN  CASTAÑEDA</v>
      </c>
      <c r="K309" s="89" t="str">
        <f>IFERROR(IF(VLOOKUP(I309,Ingreso!K:P,6,0)=0,"Sin turtno ing",VLOOKUP(I309,Ingreso!K:P,6,0)),IF(F309&gt;0.25,IF(F309&lt;0.311805555555556,"Turno A",IF(F309&gt;0.3125,IF(F309&lt;0.354166666666667,"Turno C",IF(F309&gt;0.583333333333333,IF(F309&lt;0.625,"Turno B",IF(F309&gt;0.625694444444444,IF(F309&lt;0.8125,"Turno A",IF(F309&gt;0.875,IF(F309&lt;0.936805555555556,"Turno C",IF(F309&gt;0.9375,IF(F309&lt;0.979166666666667,"Turno B",""),"")),"")),"")),"")),"")),""))</f>
        <v>Turno A</v>
      </c>
      <c r="L309" s="91">
        <f t="shared" si="4"/>
        <v>0.3125</v>
      </c>
    </row>
    <row r="310" spans="1:12" s="40" customFormat="1">
      <c r="A310">
        <v>8110698</v>
      </c>
      <c r="B310" t="s">
        <v>1246</v>
      </c>
      <c r="C310" t="s">
        <v>938</v>
      </c>
      <c r="D310" t="s">
        <v>231</v>
      </c>
      <c r="E310" t="s">
        <v>1437</v>
      </c>
      <c r="F310" s="78">
        <v>0.29265046296296299</v>
      </c>
      <c r="G310" t="s">
        <v>1405</v>
      </c>
      <c r="H310" t="s">
        <v>1335</v>
      </c>
      <c r="I310" s="88" t="str">
        <f>VLOOKUP(A310,Base!A:B,2,0)</f>
        <v>08.110.698-3</v>
      </c>
      <c r="J310" s="99" t="str">
        <f>VLOOKUP(A310,Base!A:F,6,0)</f>
        <v>XIMENA DEL ROSARIO  GUZMAN  CASTAÑEDA</v>
      </c>
      <c r="K310" s="89" t="str">
        <f>IFERROR(IF(VLOOKUP(I310,Ingreso!K:P,6,0)=0,"Sin turtno ing",VLOOKUP(I310,Ingreso!K:P,6,0)),IF(F310&gt;0.25,IF(F310&lt;0.311805555555556,"Turno A",IF(F310&gt;0.3125,IF(F310&lt;0.354166666666667,"Turno C",IF(F310&gt;0.583333333333333,IF(F310&lt;0.625,"Turno B",IF(F310&gt;0.625694444444444,IF(F310&lt;0.8125,"Turno A",IF(F310&gt;0.875,IF(F310&lt;0.936805555555556,"Turno C",IF(F310&gt;0.9375,IF(F310&lt;0.979166666666667,"Turno B",""),"")),"")),"")),"")),"")),""))</f>
        <v>Turno A</v>
      </c>
      <c r="L310" s="91">
        <f t="shared" si="4"/>
        <v>0.3125</v>
      </c>
    </row>
    <row r="311" spans="1:12" s="40" customFormat="1">
      <c r="A311">
        <v>8110698</v>
      </c>
      <c r="B311" t="s">
        <v>1246</v>
      </c>
      <c r="C311" t="s">
        <v>938</v>
      </c>
      <c r="D311" t="s">
        <v>231</v>
      </c>
      <c r="E311" t="s">
        <v>1438</v>
      </c>
      <c r="F311" s="78">
        <v>0.63728009259259266</v>
      </c>
      <c r="G311" t="s">
        <v>1406</v>
      </c>
      <c r="H311" t="s">
        <v>1336</v>
      </c>
      <c r="I311" s="88" t="str">
        <f>VLOOKUP(A311,Base!A:B,2,0)</f>
        <v>08.110.698-3</v>
      </c>
      <c r="J311" s="99" t="str">
        <f>VLOOKUP(A311,Base!A:F,6,0)</f>
        <v>XIMENA DEL ROSARIO  GUZMAN  CASTAÑEDA</v>
      </c>
      <c r="K311" s="89" t="str">
        <f>IFERROR(IF(VLOOKUP(I311,Ingreso!K:P,6,0)=0,"Sin turtno ing",VLOOKUP(I311,Ingreso!K:P,6,0)),IF(F311&gt;0.25,IF(F311&lt;0.311805555555556,"Turno A",IF(F311&gt;0.3125,IF(F311&lt;0.354166666666667,"Turno C",IF(F311&gt;0.583333333333333,IF(F311&lt;0.625,"Turno B",IF(F311&gt;0.625694444444444,IF(F311&lt;0.8125,"Turno A",IF(F311&gt;0.875,IF(F311&lt;0.936805555555556,"Turno C",IF(F311&gt;0.9375,IF(F311&lt;0.979166666666667,"Turno B",""),"")),"")),"")),"")),"")),""))</f>
        <v>Turno A</v>
      </c>
      <c r="L311" s="91">
        <f t="shared" si="4"/>
        <v>0.3125</v>
      </c>
    </row>
    <row r="312" spans="1:12" s="40" customFormat="1">
      <c r="A312">
        <v>8110698</v>
      </c>
      <c r="B312" t="s">
        <v>1246</v>
      </c>
      <c r="C312" t="s">
        <v>938</v>
      </c>
      <c r="D312" t="s">
        <v>231</v>
      </c>
      <c r="E312" t="s">
        <v>1438</v>
      </c>
      <c r="F312" s="78">
        <v>0.29833333333333334</v>
      </c>
      <c r="G312" t="s">
        <v>1405</v>
      </c>
      <c r="H312" t="s">
        <v>1335</v>
      </c>
      <c r="I312" s="88" t="str">
        <f>VLOOKUP(A312,Base!A:B,2,0)</f>
        <v>08.110.698-3</v>
      </c>
      <c r="J312" s="99" t="str">
        <f>VLOOKUP(A312,Base!A:F,6,0)</f>
        <v>XIMENA DEL ROSARIO  GUZMAN  CASTAÑEDA</v>
      </c>
      <c r="K312" s="89" t="str">
        <f>IFERROR(IF(VLOOKUP(I312,Ingreso!K:P,6,0)=0,"Sin turtno ing",VLOOKUP(I312,Ingreso!K:P,6,0)),IF(F312&gt;0.25,IF(F312&lt;0.311805555555556,"Turno A",IF(F312&gt;0.3125,IF(F312&lt;0.354166666666667,"Turno C",IF(F312&gt;0.583333333333333,IF(F312&lt;0.625,"Turno B",IF(F312&gt;0.625694444444444,IF(F312&lt;0.8125,"Turno A",IF(F312&gt;0.875,IF(F312&lt;0.936805555555556,"Turno C",IF(F312&gt;0.9375,IF(F312&lt;0.979166666666667,"Turno B",""),"")),"")),"")),"")),"")),""))</f>
        <v>Turno A</v>
      </c>
      <c r="L312" s="91">
        <f t="shared" si="4"/>
        <v>0.3125</v>
      </c>
    </row>
    <row r="313" spans="1:12" s="40" customFormat="1">
      <c r="A313">
        <v>8110698</v>
      </c>
      <c r="B313" t="s">
        <v>1246</v>
      </c>
      <c r="C313" t="s">
        <v>938</v>
      </c>
      <c r="D313" t="s">
        <v>231</v>
      </c>
      <c r="E313" t="s">
        <v>1439</v>
      </c>
      <c r="F313" s="78">
        <v>0.80905092592592587</v>
      </c>
      <c r="G313" t="s">
        <v>1406</v>
      </c>
      <c r="H313" t="s">
        <v>1336</v>
      </c>
      <c r="I313" s="88" t="str">
        <f>VLOOKUP(A313,Base!A:B,2,0)</f>
        <v>08.110.698-3</v>
      </c>
      <c r="J313" s="99" t="str">
        <f>VLOOKUP(A313,Base!A:F,6,0)</f>
        <v>XIMENA DEL ROSARIO  GUZMAN  CASTAÑEDA</v>
      </c>
      <c r="K313" s="89" t="str">
        <f>IFERROR(IF(VLOOKUP(I313,Ingreso!K:P,6,0)=0,"Sin turtno ing",VLOOKUP(I313,Ingreso!K:P,6,0)),IF(F313&gt;0.25,IF(F313&lt;0.311805555555556,"Turno A",IF(F313&gt;0.3125,IF(F313&lt;0.354166666666667,"Turno C",IF(F313&gt;0.583333333333333,IF(F313&lt;0.625,"Turno B",IF(F313&gt;0.625694444444444,IF(F313&lt;0.8125,"Turno A",IF(F313&gt;0.875,IF(F313&lt;0.936805555555556,"Turno C",IF(F313&gt;0.9375,IF(F313&lt;0.979166666666667,"Turno B",""),"")),"")),"")),"")),"")),""))</f>
        <v>Turno A</v>
      </c>
      <c r="L313" s="91">
        <f t="shared" si="4"/>
        <v>0.3125</v>
      </c>
    </row>
    <row r="314" spans="1:12" s="40" customFormat="1">
      <c r="A314">
        <v>8110698</v>
      </c>
      <c r="B314" t="s">
        <v>1246</v>
      </c>
      <c r="C314" t="s">
        <v>938</v>
      </c>
      <c r="D314" t="s">
        <v>231</v>
      </c>
      <c r="E314" t="s">
        <v>1439</v>
      </c>
      <c r="F314" s="78">
        <v>0.29603009259259261</v>
      </c>
      <c r="G314" t="s">
        <v>1405</v>
      </c>
      <c r="H314" t="s">
        <v>1335</v>
      </c>
      <c r="I314" s="88" t="str">
        <f>VLOOKUP(A314,Base!A:B,2,0)</f>
        <v>08.110.698-3</v>
      </c>
      <c r="J314" s="99" t="str">
        <f>VLOOKUP(A314,Base!A:F,6,0)</f>
        <v>XIMENA DEL ROSARIO  GUZMAN  CASTAÑEDA</v>
      </c>
      <c r="K314" s="89" t="str">
        <f>IFERROR(IF(VLOOKUP(I314,Ingreso!K:P,6,0)=0,"Sin turtno ing",VLOOKUP(I314,Ingreso!K:P,6,0)),IF(F314&gt;0.25,IF(F314&lt;0.311805555555556,"Turno A",IF(F314&gt;0.3125,IF(F314&lt;0.354166666666667,"Turno C",IF(F314&gt;0.583333333333333,IF(F314&lt;0.625,"Turno B",IF(F314&gt;0.625694444444444,IF(F314&lt;0.8125,"Turno A",IF(F314&gt;0.875,IF(F314&lt;0.936805555555556,"Turno C",IF(F314&gt;0.9375,IF(F314&lt;0.979166666666667,"Turno B",""),"")),"")),"")),"")),"")),""))</f>
        <v>Turno A</v>
      </c>
      <c r="L314" s="91">
        <f t="shared" si="4"/>
        <v>0.3125</v>
      </c>
    </row>
    <row r="315" spans="1:12" s="40" customFormat="1">
      <c r="A315">
        <v>8161344</v>
      </c>
      <c r="B315" t="s">
        <v>364</v>
      </c>
      <c r="C315" t="s">
        <v>363</v>
      </c>
      <c r="D315" t="s">
        <v>363</v>
      </c>
      <c r="E315" t="s">
        <v>1440</v>
      </c>
      <c r="F315" s="78">
        <v>0.94446759259259261</v>
      </c>
      <c r="G315" t="s">
        <v>1406</v>
      </c>
      <c r="H315" t="s">
        <v>1336</v>
      </c>
      <c r="I315" s="88" t="str">
        <f>VLOOKUP(A315,Base!A:B,2,0)</f>
        <v>08.161.344-3</v>
      </c>
      <c r="J315" s="99" t="str">
        <f>VLOOKUP(A315,Base!A:F,6,0)</f>
        <v>ELIANA RITA  ESTRADA  ESTRADA</v>
      </c>
      <c r="K315" s="89" t="str">
        <f>IFERROR(IF(VLOOKUP(I315,Ingreso!K:P,6,0)=0,"Sin turtno ing",VLOOKUP(I315,Ingreso!K:P,6,0)),IF(F315&gt;0.25,IF(F315&lt;0.311805555555556,"Turno A",IF(F315&gt;0.3125,IF(F315&lt;0.354166666666667,"Turno C",IF(F315&gt;0.583333333333333,IF(F315&lt;0.625,"Turno B",IF(F315&gt;0.625694444444444,IF(F315&lt;0.8125,"Turno A",IF(F315&gt;0.875,IF(F315&lt;0.936805555555556,"Turno C",IF(F315&gt;0.9375,IF(F315&lt;0.979166666666667,"Turno B",""),"")),"")),"")),"")),"")),""))</f>
        <v>Turno B</v>
      </c>
      <c r="L315" s="91">
        <f t="shared" si="4"/>
        <v>0.3125</v>
      </c>
    </row>
    <row r="316" spans="1:12" s="40" customFormat="1">
      <c r="A316">
        <v>8161344</v>
      </c>
      <c r="B316" t="s">
        <v>364</v>
      </c>
      <c r="C316" t="s">
        <v>363</v>
      </c>
      <c r="D316" t="s">
        <v>363</v>
      </c>
      <c r="E316" t="s">
        <v>1440</v>
      </c>
      <c r="F316" s="78">
        <v>0.59812500000000002</v>
      </c>
      <c r="G316" t="s">
        <v>1405</v>
      </c>
      <c r="H316" t="s">
        <v>1335</v>
      </c>
      <c r="I316" s="88" t="str">
        <f>VLOOKUP(A316,Base!A:B,2,0)</f>
        <v>08.161.344-3</v>
      </c>
      <c r="J316" s="99" t="str">
        <f>VLOOKUP(A316,Base!A:F,6,0)</f>
        <v>ELIANA RITA  ESTRADA  ESTRADA</v>
      </c>
      <c r="K316" s="89" t="str">
        <f>IFERROR(IF(VLOOKUP(I316,Ingreso!K:P,6,0)=0,"Sin turtno ing",VLOOKUP(I316,Ingreso!K:P,6,0)),IF(F316&gt;0.25,IF(F316&lt;0.311805555555556,"Turno A",IF(F316&gt;0.3125,IF(F316&lt;0.354166666666667,"Turno C",IF(F316&gt;0.583333333333333,IF(F316&lt;0.625,"Turno B",IF(F316&gt;0.625694444444444,IF(F316&lt;0.8125,"Turno A",IF(F316&gt;0.875,IF(F316&lt;0.936805555555556,"Turno C",IF(F316&gt;0.9375,IF(F316&lt;0.979166666666667,"Turno B",""),"")),"")),"")),"")),"")),""))</f>
        <v>Turno B</v>
      </c>
      <c r="L316" s="91">
        <f t="shared" si="4"/>
        <v>0.3125</v>
      </c>
    </row>
    <row r="317" spans="1:12" s="40" customFormat="1">
      <c r="A317">
        <v>8161344</v>
      </c>
      <c r="B317" t="s">
        <v>364</v>
      </c>
      <c r="C317" t="s">
        <v>363</v>
      </c>
      <c r="D317" t="s">
        <v>363</v>
      </c>
      <c r="E317" t="s">
        <v>1441</v>
      </c>
      <c r="F317" s="78">
        <v>0.94241898148148151</v>
      </c>
      <c r="G317" t="s">
        <v>1406</v>
      </c>
      <c r="H317" t="s">
        <v>1336</v>
      </c>
      <c r="I317" s="88" t="str">
        <f>VLOOKUP(A317,Base!A:B,2,0)</f>
        <v>08.161.344-3</v>
      </c>
      <c r="J317" s="99" t="str">
        <f>VLOOKUP(A317,Base!A:F,6,0)</f>
        <v>ELIANA RITA  ESTRADA  ESTRADA</v>
      </c>
      <c r="K317" s="89" t="str">
        <f>IFERROR(IF(VLOOKUP(I317,Ingreso!K:P,6,0)=0,"Sin turtno ing",VLOOKUP(I317,Ingreso!K:P,6,0)),IF(F317&gt;0.25,IF(F317&lt;0.311805555555556,"Turno A",IF(F317&gt;0.3125,IF(F317&lt;0.354166666666667,"Turno C",IF(F317&gt;0.583333333333333,IF(F317&lt;0.625,"Turno B",IF(F317&gt;0.625694444444444,IF(F317&lt;0.8125,"Turno A",IF(F317&gt;0.875,IF(F317&lt;0.936805555555556,"Turno C",IF(F317&gt;0.9375,IF(F317&lt;0.979166666666667,"Turno B",""),"")),"")),"")),"")),"")),""))</f>
        <v>Turno B</v>
      </c>
      <c r="L317" s="91">
        <f t="shared" si="4"/>
        <v>0.3125</v>
      </c>
    </row>
    <row r="318" spans="1:12" s="40" customFormat="1">
      <c r="A318">
        <v>8161344</v>
      </c>
      <c r="B318" t="s">
        <v>364</v>
      </c>
      <c r="C318" t="s">
        <v>363</v>
      </c>
      <c r="D318" t="s">
        <v>363</v>
      </c>
      <c r="E318" t="s">
        <v>1441</v>
      </c>
      <c r="F318" s="78">
        <v>0.60790509259259262</v>
      </c>
      <c r="G318" t="s">
        <v>1405</v>
      </c>
      <c r="H318" t="s">
        <v>1335</v>
      </c>
      <c r="I318" s="88" t="str">
        <f>VLOOKUP(A318,Base!A:B,2,0)</f>
        <v>08.161.344-3</v>
      </c>
      <c r="J318" s="99" t="str">
        <f>VLOOKUP(A318,Base!A:F,6,0)</f>
        <v>ELIANA RITA  ESTRADA  ESTRADA</v>
      </c>
      <c r="K318" s="89" t="str">
        <f>IFERROR(IF(VLOOKUP(I318,Ingreso!K:P,6,0)=0,"Sin turtno ing",VLOOKUP(I318,Ingreso!K:P,6,0)),IF(F318&gt;0.25,IF(F318&lt;0.311805555555556,"Turno A",IF(F318&gt;0.3125,IF(F318&lt;0.354166666666667,"Turno C",IF(F318&gt;0.583333333333333,IF(F318&lt;0.625,"Turno B",IF(F318&gt;0.625694444444444,IF(F318&lt;0.8125,"Turno A",IF(F318&gt;0.875,IF(F318&lt;0.936805555555556,"Turno C",IF(F318&gt;0.9375,IF(F318&lt;0.979166666666667,"Turno B",""),"")),"")),"")),"")),"")),""))</f>
        <v>Turno B</v>
      </c>
      <c r="L318" s="91">
        <f t="shared" si="4"/>
        <v>0.3125</v>
      </c>
    </row>
    <row r="319" spans="1:12" s="40" customFormat="1">
      <c r="A319">
        <v>8161344</v>
      </c>
      <c r="B319" t="s">
        <v>364</v>
      </c>
      <c r="C319" t="s">
        <v>363</v>
      </c>
      <c r="D319" t="s">
        <v>363</v>
      </c>
      <c r="E319" t="s">
        <v>1437</v>
      </c>
      <c r="F319" s="78">
        <v>0.94747685185185182</v>
      </c>
      <c r="G319" t="s">
        <v>1406</v>
      </c>
      <c r="H319" t="s">
        <v>1336</v>
      </c>
      <c r="I319" s="88" t="str">
        <f>VLOOKUP(A319,Base!A:B,2,0)</f>
        <v>08.161.344-3</v>
      </c>
      <c r="J319" s="99" t="str">
        <f>VLOOKUP(A319,Base!A:F,6,0)</f>
        <v>ELIANA RITA  ESTRADA  ESTRADA</v>
      </c>
      <c r="K319" s="89" t="str">
        <f>IFERROR(IF(VLOOKUP(I319,Ingreso!K:P,6,0)=0,"Sin turtno ing",VLOOKUP(I319,Ingreso!K:P,6,0)),IF(F319&gt;0.25,IF(F319&lt;0.311805555555556,"Turno A",IF(F319&gt;0.3125,IF(F319&lt;0.354166666666667,"Turno C",IF(F319&gt;0.583333333333333,IF(F319&lt;0.625,"Turno B",IF(F319&gt;0.625694444444444,IF(F319&lt;0.8125,"Turno A",IF(F319&gt;0.875,IF(F319&lt;0.936805555555556,"Turno C",IF(F319&gt;0.9375,IF(F319&lt;0.979166666666667,"Turno B",""),"")),"")),"")),"")),"")),""))</f>
        <v>Turno B</v>
      </c>
      <c r="L319" s="91">
        <f t="shared" si="4"/>
        <v>0.3125</v>
      </c>
    </row>
    <row r="320" spans="1:12" s="40" customFormat="1">
      <c r="A320">
        <v>8161344</v>
      </c>
      <c r="B320" t="s">
        <v>364</v>
      </c>
      <c r="C320" t="s">
        <v>363</v>
      </c>
      <c r="D320" t="s">
        <v>363</v>
      </c>
      <c r="E320" t="s">
        <v>1437</v>
      </c>
      <c r="F320" s="78">
        <v>0.6073263888888889</v>
      </c>
      <c r="G320" t="s">
        <v>1405</v>
      </c>
      <c r="H320" t="s">
        <v>1335</v>
      </c>
      <c r="I320" s="88" t="str">
        <f>VLOOKUP(A320,Base!A:B,2,0)</f>
        <v>08.161.344-3</v>
      </c>
      <c r="J320" s="99" t="str">
        <f>VLOOKUP(A320,Base!A:F,6,0)</f>
        <v>ELIANA RITA  ESTRADA  ESTRADA</v>
      </c>
      <c r="K320" s="89" t="str">
        <f>IFERROR(IF(VLOOKUP(I320,Ingreso!K:P,6,0)=0,"Sin turtno ing",VLOOKUP(I320,Ingreso!K:P,6,0)),IF(F320&gt;0.25,IF(F320&lt;0.311805555555556,"Turno A",IF(F320&gt;0.3125,IF(F320&lt;0.354166666666667,"Turno C",IF(F320&gt;0.583333333333333,IF(F320&lt;0.625,"Turno B",IF(F320&gt;0.625694444444444,IF(F320&lt;0.8125,"Turno A",IF(F320&gt;0.875,IF(F320&lt;0.936805555555556,"Turno C",IF(F320&gt;0.9375,IF(F320&lt;0.979166666666667,"Turno B",""),"")),"")),"")),"")),"")),""))</f>
        <v>Turno B</v>
      </c>
      <c r="L320" s="91">
        <f t="shared" si="4"/>
        <v>0.3125</v>
      </c>
    </row>
    <row r="321" spans="1:12" s="40" customFormat="1">
      <c r="A321">
        <v>8161344</v>
      </c>
      <c r="B321" t="s">
        <v>364</v>
      </c>
      <c r="C321" t="s">
        <v>363</v>
      </c>
      <c r="D321" t="s">
        <v>363</v>
      </c>
      <c r="E321" t="s">
        <v>1438</v>
      </c>
      <c r="F321" s="78">
        <v>0.94672453703703707</v>
      </c>
      <c r="G321" t="s">
        <v>1406</v>
      </c>
      <c r="H321" t="s">
        <v>1336</v>
      </c>
      <c r="I321" s="88" t="str">
        <f>VLOOKUP(A321,Base!A:B,2,0)</f>
        <v>08.161.344-3</v>
      </c>
      <c r="J321" s="99" t="str">
        <f>VLOOKUP(A321,Base!A:F,6,0)</f>
        <v>ELIANA RITA  ESTRADA  ESTRADA</v>
      </c>
      <c r="K321" s="89" t="str">
        <f>IFERROR(IF(VLOOKUP(I321,Ingreso!K:P,6,0)=0,"Sin turtno ing",VLOOKUP(I321,Ingreso!K:P,6,0)),IF(F321&gt;0.25,IF(F321&lt;0.311805555555556,"Turno A",IF(F321&gt;0.3125,IF(F321&lt;0.354166666666667,"Turno C",IF(F321&gt;0.583333333333333,IF(F321&lt;0.625,"Turno B",IF(F321&gt;0.625694444444444,IF(F321&lt;0.8125,"Turno A",IF(F321&gt;0.875,IF(F321&lt;0.936805555555556,"Turno C",IF(F321&gt;0.9375,IF(F321&lt;0.979166666666667,"Turno B",""),"")),"")),"")),"")),"")),""))</f>
        <v>Turno B</v>
      </c>
      <c r="L321" s="91">
        <f t="shared" si="4"/>
        <v>0.3125</v>
      </c>
    </row>
    <row r="322" spans="1:12" s="40" customFormat="1">
      <c r="A322">
        <v>8161344</v>
      </c>
      <c r="B322" t="s">
        <v>364</v>
      </c>
      <c r="C322" t="s">
        <v>363</v>
      </c>
      <c r="D322" t="s">
        <v>363</v>
      </c>
      <c r="E322" t="s">
        <v>1438</v>
      </c>
      <c r="F322" s="78">
        <v>0.61033564814814811</v>
      </c>
      <c r="G322" t="s">
        <v>1405</v>
      </c>
      <c r="H322" t="s">
        <v>1335</v>
      </c>
      <c r="I322" s="88" t="str">
        <f>VLOOKUP(A322,Base!A:B,2,0)</f>
        <v>08.161.344-3</v>
      </c>
      <c r="J322" s="99" t="str">
        <f>VLOOKUP(A322,Base!A:F,6,0)</f>
        <v>ELIANA RITA  ESTRADA  ESTRADA</v>
      </c>
      <c r="K322" s="89" t="str">
        <f>IFERROR(IF(VLOOKUP(I322,Ingreso!K:P,6,0)=0,"Sin turtno ing",VLOOKUP(I322,Ingreso!K:P,6,0)),IF(F322&gt;0.25,IF(F322&lt;0.311805555555556,"Turno A",IF(F322&gt;0.3125,IF(F322&lt;0.354166666666667,"Turno C",IF(F322&gt;0.583333333333333,IF(F322&lt;0.625,"Turno B",IF(F322&gt;0.625694444444444,IF(F322&lt;0.8125,"Turno A",IF(F322&gt;0.875,IF(F322&lt;0.936805555555556,"Turno C",IF(F322&gt;0.9375,IF(F322&lt;0.979166666666667,"Turno B",""),"")),"")),"")),"")),"")),""))</f>
        <v>Turno B</v>
      </c>
      <c r="L322" s="91">
        <f t="shared" si="4"/>
        <v>0.3125</v>
      </c>
    </row>
    <row r="323" spans="1:12" s="40" customFormat="1">
      <c r="A323">
        <v>8161344</v>
      </c>
      <c r="B323" t="s">
        <v>364</v>
      </c>
      <c r="C323" t="s">
        <v>363</v>
      </c>
      <c r="D323" t="s">
        <v>363</v>
      </c>
      <c r="E323" t="s">
        <v>1439</v>
      </c>
      <c r="F323" s="78">
        <v>0.94541666666666668</v>
      </c>
      <c r="G323" t="s">
        <v>1406</v>
      </c>
      <c r="H323" t="s">
        <v>1336</v>
      </c>
      <c r="I323" s="88" t="str">
        <f>VLOOKUP(A323,Base!A:B,2,0)</f>
        <v>08.161.344-3</v>
      </c>
      <c r="J323" s="99" t="str">
        <f>VLOOKUP(A323,Base!A:F,6,0)</f>
        <v>ELIANA RITA  ESTRADA  ESTRADA</v>
      </c>
      <c r="K323" s="89" t="str">
        <f>IFERROR(IF(VLOOKUP(I323,Ingreso!K:P,6,0)=0,"Sin turtno ing",VLOOKUP(I323,Ingreso!K:P,6,0)),IF(F323&gt;0.25,IF(F323&lt;0.311805555555556,"Turno A",IF(F323&gt;0.3125,IF(F323&lt;0.354166666666667,"Turno C",IF(F323&gt;0.583333333333333,IF(F323&lt;0.625,"Turno B",IF(F323&gt;0.625694444444444,IF(F323&lt;0.8125,"Turno A",IF(F323&gt;0.875,IF(F323&lt;0.936805555555556,"Turno C",IF(F323&gt;0.9375,IF(F323&lt;0.979166666666667,"Turno B",""),"")),"")),"")),"")),"")),""))</f>
        <v>Turno B</v>
      </c>
      <c r="L323" s="91">
        <f t="shared" ref="L323:L386" si="5">VLOOKUP(K323,$S$3:$T$7,2,0)</f>
        <v>0.3125</v>
      </c>
    </row>
    <row r="324" spans="1:12" s="40" customFormat="1">
      <c r="A324">
        <v>8161344</v>
      </c>
      <c r="B324" t="s">
        <v>364</v>
      </c>
      <c r="C324" t="s">
        <v>363</v>
      </c>
      <c r="D324" t="s">
        <v>363</v>
      </c>
      <c r="E324" t="s">
        <v>1439</v>
      </c>
      <c r="F324" s="78">
        <v>0.60879629629629628</v>
      </c>
      <c r="G324" t="s">
        <v>1405</v>
      </c>
      <c r="H324" t="s">
        <v>1335</v>
      </c>
      <c r="I324" s="88" t="str">
        <f>VLOOKUP(A324,Base!A:B,2,0)</f>
        <v>08.161.344-3</v>
      </c>
      <c r="J324" s="99" t="str">
        <f>VLOOKUP(A324,Base!A:F,6,0)</f>
        <v>ELIANA RITA  ESTRADA  ESTRADA</v>
      </c>
      <c r="K324" s="89" t="str">
        <f>IFERROR(IF(VLOOKUP(I324,Ingreso!K:P,6,0)=0,"Sin turtno ing",VLOOKUP(I324,Ingreso!K:P,6,0)),IF(F324&gt;0.25,IF(F324&lt;0.311805555555556,"Turno A",IF(F324&gt;0.3125,IF(F324&lt;0.354166666666667,"Turno C",IF(F324&gt;0.583333333333333,IF(F324&lt;0.625,"Turno B",IF(F324&gt;0.625694444444444,IF(F324&lt;0.8125,"Turno A",IF(F324&gt;0.875,IF(F324&lt;0.936805555555556,"Turno C",IF(F324&gt;0.9375,IF(F324&lt;0.979166666666667,"Turno B",""),"")),"")),"")),"")),"")),""))</f>
        <v>Turno B</v>
      </c>
      <c r="L324" s="91">
        <f t="shared" si="5"/>
        <v>0.3125</v>
      </c>
    </row>
    <row r="325" spans="1:12" s="40" customFormat="1">
      <c r="A325">
        <v>8224093</v>
      </c>
      <c r="B325" t="s">
        <v>26</v>
      </c>
      <c r="C325" t="s">
        <v>24</v>
      </c>
      <c r="D325" t="s">
        <v>25</v>
      </c>
      <c r="E325" t="s">
        <v>1440</v>
      </c>
      <c r="F325" s="78">
        <v>0.93752314814814808</v>
      </c>
      <c r="G325" t="s">
        <v>1406</v>
      </c>
      <c r="H325" t="s">
        <v>1336</v>
      </c>
      <c r="I325" s="88" t="str">
        <f>VLOOKUP(A325,Base!A:B,2,0)</f>
        <v>08.224.093-4</v>
      </c>
      <c r="J325" s="99" t="str">
        <f>VLOOKUP(A325,Base!A:F,6,0)</f>
        <v>MARIO DEL TRANSITO  ACEVEDO  MARTINEZ</v>
      </c>
      <c r="K325" s="89" t="str">
        <f>IFERROR(IF(VLOOKUP(I325,Ingreso!K:P,6,0)=0,"Sin turtno ing",VLOOKUP(I325,Ingreso!K:P,6,0)),IF(F325&gt;0.25,IF(F325&lt;0.311805555555556,"Turno A",IF(F325&gt;0.3125,IF(F325&lt;0.354166666666667,"Turno C",IF(F325&gt;0.583333333333333,IF(F325&lt;0.625,"Turno B",IF(F325&gt;0.625694444444444,IF(F325&lt;0.8125,"Turno A",IF(F325&gt;0.875,IF(F325&lt;0.936805555555556,"Turno C",IF(F325&gt;0.9375,IF(F325&lt;0.979166666666667,"Turno B",""),"")),"")),"")),"")),"")),""))</f>
        <v>Turno B</v>
      </c>
      <c r="L325" s="91">
        <f t="shared" si="5"/>
        <v>0.3125</v>
      </c>
    </row>
    <row r="326" spans="1:12" s="40" customFormat="1">
      <c r="A326">
        <v>8224093</v>
      </c>
      <c r="B326" t="s">
        <v>26</v>
      </c>
      <c r="C326" t="s">
        <v>24</v>
      </c>
      <c r="D326" t="s">
        <v>25</v>
      </c>
      <c r="E326" t="s">
        <v>1440</v>
      </c>
      <c r="F326" s="78">
        <v>0.61663194444444447</v>
      </c>
      <c r="G326" t="s">
        <v>1405</v>
      </c>
      <c r="H326" t="s">
        <v>1335</v>
      </c>
      <c r="I326" s="88" t="str">
        <f>VLOOKUP(A326,Base!A:B,2,0)</f>
        <v>08.224.093-4</v>
      </c>
      <c r="J326" s="99" t="str">
        <f>VLOOKUP(A326,Base!A:F,6,0)</f>
        <v>MARIO DEL TRANSITO  ACEVEDO  MARTINEZ</v>
      </c>
      <c r="K326" s="89" t="str">
        <f>IFERROR(IF(VLOOKUP(I326,Ingreso!K:P,6,0)=0,"Sin turtno ing",VLOOKUP(I326,Ingreso!K:P,6,0)),IF(F326&gt;0.25,IF(F326&lt;0.311805555555556,"Turno A",IF(F326&gt;0.3125,IF(F326&lt;0.354166666666667,"Turno C",IF(F326&gt;0.583333333333333,IF(F326&lt;0.625,"Turno B",IF(F326&gt;0.625694444444444,IF(F326&lt;0.8125,"Turno A",IF(F326&gt;0.875,IF(F326&lt;0.936805555555556,"Turno C",IF(F326&gt;0.9375,IF(F326&lt;0.979166666666667,"Turno B",""),"")),"")),"")),"")),"")),""))</f>
        <v>Turno B</v>
      </c>
      <c r="L326" s="91">
        <f t="shared" si="5"/>
        <v>0.3125</v>
      </c>
    </row>
    <row r="327" spans="1:12" s="40" customFormat="1">
      <c r="A327">
        <v>8224093</v>
      </c>
      <c r="B327" t="s">
        <v>26</v>
      </c>
      <c r="C327" t="s">
        <v>24</v>
      </c>
      <c r="D327" t="s">
        <v>25</v>
      </c>
      <c r="E327" t="s">
        <v>1441</v>
      </c>
      <c r="F327" s="78">
        <v>0.85620370370370369</v>
      </c>
      <c r="G327" t="s">
        <v>1406</v>
      </c>
      <c r="H327" t="s">
        <v>1336</v>
      </c>
      <c r="I327" s="88" t="str">
        <f>VLOOKUP(A327,Base!A:B,2,0)</f>
        <v>08.224.093-4</v>
      </c>
      <c r="J327" s="99" t="str">
        <f>VLOOKUP(A327,Base!A:F,6,0)</f>
        <v>MARIO DEL TRANSITO  ACEVEDO  MARTINEZ</v>
      </c>
      <c r="K327" s="89" t="str">
        <f>IFERROR(IF(VLOOKUP(I327,Ingreso!K:P,6,0)=0,"Sin turtno ing",VLOOKUP(I327,Ingreso!K:P,6,0)),IF(F327&gt;0.25,IF(F327&lt;0.311805555555556,"Turno A",IF(F327&gt;0.3125,IF(F327&lt;0.354166666666667,"Turno C",IF(F327&gt;0.583333333333333,IF(F327&lt;0.625,"Turno B",IF(F327&gt;0.625694444444444,IF(F327&lt;0.8125,"Turno A",IF(F327&gt;0.875,IF(F327&lt;0.936805555555556,"Turno C",IF(F327&gt;0.9375,IF(F327&lt;0.979166666666667,"Turno B",""),"")),"")),"")),"")),"")),""))</f>
        <v>Turno B</v>
      </c>
      <c r="L327" s="91">
        <f t="shared" si="5"/>
        <v>0.3125</v>
      </c>
    </row>
    <row r="328" spans="1:12" s="40" customFormat="1">
      <c r="A328">
        <v>8224093</v>
      </c>
      <c r="B328" t="s">
        <v>26</v>
      </c>
      <c r="C328" t="s">
        <v>24</v>
      </c>
      <c r="D328" t="s">
        <v>25</v>
      </c>
      <c r="E328" t="s">
        <v>1441</v>
      </c>
      <c r="F328" s="78">
        <v>0.61104166666666659</v>
      </c>
      <c r="G328" t="s">
        <v>1405</v>
      </c>
      <c r="H328" t="s">
        <v>1335</v>
      </c>
      <c r="I328" s="88" t="str">
        <f>VLOOKUP(A328,Base!A:B,2,0)</f>
        <v>08.224.093-4</v>
      </c>
      <c r="J328" s="99" t="str">
        <f>VLOOKUP(A328,Base!A:F,6,0)</f>
        <v>MARIO DEL TRANSITO  ACEVEDO  MARTINEZ</v>
      </c>
      <c r="K328" s="89" t="str">
        <f>IFERROR(IF(VLOOKUP(I328,Ingreso!K:P,6,0)=0,"Sin turtno ing",VLOOKUP(I328,Ingreso!K:P,6,0)),IF(F328&gt;0.25,IF(F328&lt;0.311805555555556,"Turno A",IF(F328&gt;0.3125,IF(F328&lt;0.354166666666667,"Turno C",IF(F328&gt;0.583333333333333,IF(F328&lt;0.625,"Turno B",IF(F328&gt;0.625694444444444,IF(F328&lt;0.8125,"Turno A",IF(F328&gt;0.875,IF(F328&lt;0.936805555555556,"Turno C",IF(F328&gt;0.9375,IF(F328&lt;0.979166666666667,"Turno B",""),"")),"")),"")),"")),"")),""))</f>
        <v>Turno B</v>
      </c>
      <c r="L328" s="91">
        <f t="shared" si="5"/>
        <v>0.3125</v>
      </c>
    </row>
    <row r="329" spans="1:12" s="40" customFormat="1">
      <c r="A329">
        <v>8224093</v>
      </c>
      <c r="B329" t="s">
        <v>26</v>
      </c>
      <c r="C329" t="s">
        <v>24</v>
      </c>
      <c r="D329" t="s">
        <v>25</v>
      </c>
      <c r="E329" t="s">
        <v>1437</v>
      </c>
      <c r="F329" s="78">
        <v>0.94077546296296299</v>
      </c>
      <c r="G329" t="s">
        <v>1406</v>
      </c>
      <c r="H329" t="s">
        <v>1336</v>
      </c>
      <c r="I329" s="88" t="str">
        <f>VLOOKUP(A329,Base!A:B,2,0)</f>
        <v>08.224.093-4</v>
      </c>
      <c r="J329" s="99" t="str">
        <f>VLOOKUP(A329,Base!A:F,6,0)</f>
        <v>MARIO DEL TRANSITO  ACEVEDO  MARTINEZ</v>
      </c>
      <c r="K329" s="89" t="str">
        <f>IFERROR(IF(VLOOKUP(I329,Ingreso!K:P,6,0)=0,"Sin turtno ing",VLOOKUP(I329,Ingreso!K:P,6,0)),IF(F329&gt;0.25,IF(F329&lt;0.311805555555556,"Turno A",IF(F329&gt;0.3125,IF(F329&lt;0.354166666666667,"Turno C",IF(F329&gt;0.583333333333333,IF(F329&lt;0.625,"Turno B",IF(F329&gt;0.625694444444444,IF(F329&lt;0.8125,"Turno A",IF(F329&gt;0.875,IF(F329&lt;0.936805555555556,"Turno C",IF(F329&gt;0.9375,IF(F329&lt;0.979166666666667,"Turno B",""),"")),"")),"")),"")),"")),""))</f>
        <v>Turno B</v>
      </c>
      <c r="L329" s="91">
        <f t="shared" si="5"/>
        <v>0.3125</v>
      </c>
    </row>
    <row r="330" spans="1:12" s="40" customFormat="1">
      <c r="A330">
        <v>8224093</v>
      </c>
      <c r="B330" t="s">
        <v>26</v>
      </c>
      <c r="C330" t="s">
        <v>24</v>
      </c>
      <c r="D330" t="s">
        <v>25</v>
      </c>
      <c r="E330" t="s">
        <v>1437</v>
      </c>
      <c r="F330" s="78">
        <v>0.60670138888888892</v>
      </c>
      <c r="G330" t="s">
        <v>1405</v>
      </c>
      <c r="H330" t="s">
        <v>1335</v>
      </c>
      <c r="I330" s="88" t="str">
        <f>VLOOKUP(A330,Base!A:B,2,0)</f>
        <v>08.224.093-4</v>
      </c>
      <c r="J330" s="99" t="str">
        <f>VLOOKUP(A330,Base!A:F,6,0)</f>
        <v>MARIO DEL TRANSITO  ACEVEDO  MARTINEZ</v>
      </c>
      <c r="K330" s="89" t="str">
        <f>IFERROR(IF(VLOOKUP(I330,Ingreso!K:P,6,0)=0,"Sin turtno ing",VLOOKUP(I330,Ingreso!K:P,6,0)),IF(F330&gt;0.25,IF(F330&lt;0.311805555555556,"Turno A",IF(F330&gt;0.3125,IF(F330&lt;0.354166666666667,"Turno C",IF(F330&gt;0.583333333333333,IF(F330&lt;0.625,"Turno B",IF(F330&gt;0.625694444444444,IF(F330&lt;0.8125,"Turno A",IF(F330&gt;0.875,IF(F330&lt;0.936805555555556,"Turno C",IF(F330&gt;0.9375,IF(F330&lt;0.979166666666667,"Turno B",""),"")),"")),"")),"")),"")),""))</f>
        <v>Turno B</v>
      </c>
      <c r="L330" s="91">
        <f t="shared" si="5"/>
        <v>0.3125</v>
      </c>
    </row>
    <row r="331" spans="1:12" s="40" customFormat="1">
      <c r="A331">
        <v>8224093</v>
      </c>
      <c r="B331" t="s">
        <v>26</v>
      </c>
      <c r="C331" t="s">
        <v>24</v>
      </c>
      <c r="D331" t="s">
        <v>25</v>
      </c>
      <c r="E331" t="s">
        <v>1438</v>
      </c>
      <c r="F331" s="78">
        <v>0.93584490740740733</v>
      </c>
      <c r="G331" t="s">
        <v>1406</v>
      </c>
      <c r="H331" t="s">
        <v>1336</v>
      </c>
      <c r="I331" s="88" t="str">
        <f>VLOOKUP(A331,Base!A:B,2,0)</f>
        <v>08.224.093-4</v>
      </c>
      <c r="J331" s="99" t="str">
        <f>VLOOKUP(A331,Base!A:F,6,0)</f>
        <v>MARIO DEL TRANSITO  ACEVEDO  MARTINEZ</v>
      </c>
      <c r="K331" s="89" t="str">
        <f>IFERROR(IF(VLOOKUP(I331,Ingreso!K:P,6,0)=0,"Sin turtno ing",VLOOKUP(I331,Ingreso!K:P,6,0)),IF(F331&gt;0.25,IF(F331&lt;0.311805555555556,"Turno A",IF(F331&gt;0.3125,IF(F331&lt;0.354166666666667,"Turno C",IF(F331&gt;0.583333333333333,IF(F331&lt;0.625,"Turno B",IF(F331&gt;0.625694444444444,IF(F331&lt;0.8125,"Turno A",IF(F331&gt;0.875,IF(F331&lt;0.936805555555556,"Turno C",IF(F331&gt;0.9375,IF(F331&lt;0.979166666666667,"Turno B",""),"")),"")),"")),"")),"")),""))</f>
        <v>Turno B</v>
      </c>
      <c r="L331" s="91">
        <f t="shared" si="5"/>
        <v>0.3125</v>
      </c>
    </row>
    <row r="332" spans="1:12" s="40" customFormat="1">
      <c r="A332">
        <v>8224093</v>
      </c>
      <c r="B332" t="s">
        <v>26</v>
      </c>
      <c r="C332" t="s">
        <v>24</v>
      </c>
      <c r="D332" t="s">
        <v>25</v>
      </c>
      <c r="E332" t="s">
        <v>1438</v>
      </c>
      <c r="F332" s="78">
        <v>0.60950231481481476</v>
      </c>
      <c r="G332" t="s">
        <v>1405</v>
      </c>
      <c r="H332" t="s">
        <v>1335</v>
      </c>
      <c r="I332" s="88" t="str">
        <f>VLOOKUP(A332,Base!A:B,2,0)</f>
        <v>08.224.093-4</v>
      </c>
      <c r="J332" s="99" t="str">
        <f>VLOOKUP(A332,Base!A:F,6,0)</f>
        <v>MARIO DEL TRANSITO  ACEVEDO  MARTINEZ</v>
      </c>
      <c r="K332" s="89" t="str">
        <f>IFERROR(IF(VLOOKUP(I332,Ingreso!K:P,6,0)=0,"Sin turtno ing",VLOOKUP(I332,Ingreso!K:P,6,0)),IF(F332&gt;0.25,IF(F332&lt;0.311805555555556,"Turno A",IF(F332&gt;0.3125,IF(F332&lt;0.354166666666667,"Turno C",IF(F332&gt;0.583333333333333,IF(F332&lt;0.625,"Turno B",IF(F332&gt;0.625694444444444,IF(F332&lt;0.8125,"Turno A",IF(F332&gt;0.875,IF(F332&lt;0.936805555555556,"Turno C",IF(F332&gt;0.9375,IF(F332&lt;0.979166666666667,"Turno B",""),"")),"")),"")),"")),"")),""))</f>
        <v>Turno B</v>
      </c>
      <c r="L332" s="91">
        <f t="shared" si="5"/>
        <v>0.3125</v>
      </c>
    </row>
    <row r="333" spans="1:12" s="40" customFormat="1">
      <c r="A333">
        <v>8224093</v>
      </c>
      <c r="B333" t="s">
        <v>26</v>
      </c>
      <c r="C333" t="s">
        <v>24</v>
      </c>
      <c r="D333" t="s">
        <v>25</v>
      </c>
      <c r="E333" t="s">
        <v>1439</v>
      </c>
      <c r="F333" s="78">
        <v>0.91681712962962969</v>
      </c>
      <c r="G333" t="s">
        <v>1406</v>
      </c>
      <c r="H333" t="s">
        <v>1336</v>
      </c>
      <c r="I333" s="88" t="str">
        <f>VLOOKUP(A333,Base!A:B,2,0)</f>
        <v>08.224.093-4</v>
      </c>
      <c r="J333" s="99" t="str">
        <f>VLOOKUP(A333,Base!A:F,6,0)</f>
        <v>MARIO DEL TRANSITO  ACEVEDO  MARTINEZ</v>
      </c>
      <c r="K333" s="89" t="str">
        <f>IFERROR(IF(VLOOKUP(I333,Ingreso!K:P,6,0)=0,"Sin turtno ing",VLOOKUP(I333,Ingreso!K:P,6,0)),IF(F333&gt;0.25,IF(F333&lt;0.311805555555556,"Turno A",IF(F333&gt;0.3125,IF(F333&lt;0.354166666666667,"Turno C",IF(F333&gt;0.583333333333333,IF(F333&lt;0.625,"Turno B",IF(F333&gt;0.625694444444444,IF(F333&lt;0.8125,"Turno A",IF(F333&gt;0.875,IF(F333&lt;0.936805555555556,"Turno C",IF(F333&gt;0.9375,IF(F333&lt;0.979166666666667,"Turno B",""),"")),"")),"")),"")),"")),""))</f>
        <v>Turno B</v>
      </c>
      <c r="L333" s="91">
        <f t="shared" si="5"/>
        <v>0.3125</v>
      </c>
    </row>
    <row r="334" spans="1:12" s="40" customFormat="1">
      <c r="A334">
        <v>8224093</v>
      </c>
      <c r="B334" t="s">
        <v>26</v>
      </c>
      <c r="C334" t="s">
        <v>24</v>
      </c>
      <c r="D334" t="s">
        <v>25</v>
      </c>
      <c r="E334" t="s">
        <v>1439</v>
      </c>
      <c r="F334" s="78">
        <v>0.62392361111111116</v>
      </c>
      <c r="G334" t="s">
        <v>1405</v>
      </c>
      <c r="H334" t="s">
        <v>1335</v>
      </c>
      <c r="I334" s="88" t="str">
        <f>VLOOKUP(A334,Base!A:B,2,0)</f>
        <v>08.224.093-4</v>
      </c>
      <c r="J334" s="99" t="str">
        <f>VLOOKUP(A334,Base!A:F,6,0)</f>
        <v>MARIO DEL TRANSITO  ACEVEDO  MARTINEZ</v>
      </c>
      <c r="K334" s="89" t="str">
        <f>IFERROR(IF(VLOOKUP(I334,Ingreso!K:P,6,0)=0,"Sin turtno ing",VLOOKUP(I334,Ingreso!K:P,6,0)),IF(F334&gt;0.25,IF(F334&lt;0.311805555555556,"Turno A",IF(F334&gt;0.3125,IF(F334&lt;0.354166666666667,"Turno C",IF(F334&gt;0.583333333333333,IF(F334&lt;0.625,"Turno B",IF(F334&gt;0.625694444444444,IF(F334&lt;0.8125,"Turno A",IF(F334&gt;0.875,IF(F334&lt;0.936805555555556,"Turno C",IF(F334&gt;0.9375,IF(F334&lt;0.979166666666667,"Turno B",""),"")),"")),"")),"")),"")),""))</f>
        <v>Turno B</v>
      </c>
      <c r="L334" s="91">
        <f t="shared" si="5"/>
        <v>0.3125</v>
      </c>
    </row>
    <row r="335" spans="1:12" s="40" customFormat="1">
      <c r="A335">
        <v>8245727</v>
      </c>
      <c r="B335" t="s">
        <v>121</v>
      </c>
      <c r="C335" t="s">
        <v>960</v>
      </c>
      <c r="D335" t="s">
        <v>289</v>
      </c>
      <c r="E335" t="s">
        <v>1440</v>
      </c>
      <c r="F335" s="78">
        <v>0.94990740740740742</v>
      </c>
      <c r="G335" t="s">
        <v>1406</v>
      </c>
      <c r="H335" t="s">
        <v>1336</v>
      </c>
      <c r="I335" s="88" t="str">
        <f>VLOOKUP(A335,Base!A:B,2,0)</f>
        <v>08.245.727-5</v>
      </c>
      <c r="J335" s="99" t="str">
        <f>VLOOKUP(A335,Base!A:F,6,0)</f>
        <v>JUAN  SALINAS  CUEVAS</v>
      </c>
      <c r="K335" s="89" t="str">
        <f>IFERROR(IF(VLOOKUP(I335,Ingreso!K:P,6,0)=0,"Sin turtno ing",VLOOKUP(I335,Ingreso!K:P,6,0)),IF(F335&gt;0.25,IF(F335&lt;0.311805555555556,"Turno A",IF(F335&gt;0.3125,IF(F335&lt;0.354166666666667,"Turno C",IF(F335&gt;0.583333333333333,IF(F335&lt;0.625,"Turno B",IF(F335&gt;0.625694444444444,IF(F335&lt;0.8125,"Turno A",IF(F335&gt;0.875,IF(F335&lt;0.936805555555556,"Turno C",IF(F335&gt;0.9375,IF(F335&lt;0.979166666666667,"Turno B",""),"")),"")),"")),"")),"")),""))</f>
        <v>Turno B</v>
      </c>
      <c r="L335" s="91">
        <f t="shared" si="5"/>
        <v>0.3125</v>
      </c>
    </row>
    <row r="336" spans="1:12" s="40" customFormat="1">
      <c r="A336">
        <v>8245727</v>
      </c>
      <c r="B336" t="s">
        <v>121</v>
      </c>
      <c r="C336" t="s">
        <v>960</v>
      </c>
      <c r="D336" t="s">
        <v>289</v>
      </c>
      <c r="E336" t="s">
        <v>1440</v>
      </c>
      <c r="F336" s="78">
        <v>0.60821759259259256</v>
      </c>
      <c r="G336" t="s">
        <v>1405</v>
      </c>
      <c r="H336" t="s">
        <v>1335</v>
      </c>
      <c r="I336" s="88" t="str">
        <f>VLOOKUP(A336,Base!A:B,2,0)</f>
        <v>08.245.727-5</v>
      </c>
      <c r="J336" s="99" t="str">
        <f>VLOOKUP(A336,Base!A:F,6,0)</f>
        <v>JUAN  SALINAS  CUEVAS</v>
      </c>
      <c r="K336" s="89" t="str">
        <f>IFERROR(IF(VLOOKUP(I336,Ingreso!K:P,6,0)=0,"Sin turtno ing",VLOOKUP(I336,Ingreso!K:P,6,0)),IF(F336&gt;0.25,IF(F336&lt;0.311805555555556,"Turno A",IF(F336&gt;0.3125,IF(F336&lt;0.354166666666667,"Turno C",IF(F336&gt;0.583333333333333,IF(F336&lt;0.625,"Turno B",IF(F336&gt;0.625694444444444,IF(F336&lt;0.8125,"Turno A",IF(F336&gt;0.875,IF(F336&lt;0.936805555555556,"Turno C",IF(F336&gt;0.9375,IF(F336&lt;0.979166666666667,"Turno B",""),"")),"")),"")),"")),"")),""))</f>
        <v>Turno B</v>
      </c>
      <c r="L336" s="91">
        <f t="shared" si="5"/>
        <v>0.3125</v>
      </c>
    </row>
    <row r="337" spans="1:12" s="40" customFormat="1">
      <c r="A337">
        <v>8245727</v>
      </c>
      <c r="B337" t="s">
        <v>121</v>
      </c>
      <c r="C337" t="s">
        <v>960</v>
      </c>
      <c r="D337" t="s">
        <v>289</v>
      </c>
      <c r="E337" t="s">
        <v>1441</v>
      </c>
      <c r="F337" s="78">
        <v>0.95245370370370364</v>
      </c>
      <c r="G337" t="s">
        <v>1406</v>
      </c>
      <c r="H337" t="s">
        <v>1336</v>
      </c>
      <c r="I337" s="88" t="str">
        <f>VLOOKUP(A337,Base!A:B,2,0)</f>
        <v>08.245.727-5</v>
      </c>
      <c r="J337" s="99" t="str">
        <f>VLOOKUP(A337,Base!A:F,6,0)</f>
        <v>JUAN  SALINAS  CUEVAS</v>
      </c>
      <c r="K337" s="89" t="str">
        <f>IFERROR(IF(VLOOKUP(I337,Ingreso!K:P,6,0)=0,"Sin turtno ing",VLOOKUP(I337,Ingreso!K:P,6,0)),IF(F337&gt;0.25,IF(F337&lt;0.311805555555556,"Turno A",IF(F337&gt;0.3125,IF(F337&lt;0.354166666666667,"Turno C",IF(F337&gt;0.583333333333333,IF(F337&lt;0.625,"Turno B",IF(F337&gt;0.625694444444444,IF(F337&lt;0.8125,"Turno A",IF(F337&gt;0.875,IF(F337&lt;0.936805555555556,"Turno C",IF(F337&gt;0.9375,IF(F337&lt;0.979166666666667,"Turno B",""),"")),"")),"")),"")),"")),""))</f>
        <v>Turno B</v>
      </c>
      <c r="L337" s="91">
        <f t="shared" si="5"/>
        <v>0.3125</v>
      </c>
    </row>
    <row r="338" spans="1:12" s="40" customFormat="1">
      <c r="A338">
        <v>8245727</v>
      </c>
      <c r="B338" t="s">
        <v>121</v>
      </c>
      <c r="C338" t="s">
        <v>960</v>
      </c>
      <c r="D338" t="s">
        <v>289</v>
      </c>
      <c r="E338" t="s">
        <v>1441</v>
      </c>
      <c r="F338" s="78">
        <v>0.61232638888888891</v>
      </c>
      <c r="G338" t="s">
        <v>1405</v>
      </c>
      <c r="H338" t="s">
        <v>1335</v>
      </c>
      <c r="I338" s="88" t="str">
        <f>VLOOKUP(A338,Base!A:B,2,0)</f>
        <v>08.245.727-5</v>
      </c>
      <c r="J338" s="99" t="str">
        <f>VLOOKUP(A338,Base!A:F,6,0)</f>
        <v>JUAN  SALINAS  CUEVAS</v>
      </c>
      <c r="K338" s="89" t="str">
        <f>IFERROR(IF(VLOOKUP(I338,Ingreso!K:P,6,0)=0,"Sin turtno ing",VLOOKUP(I338,Ingreso!K:P,6,0)),IF(F338&gt;0.25,IF(F338&lt;0.311805555555556,"Turno A",IF(F338&gt;0.3125,IF(F338&lt;0.354166666666667,"Turno C",IF(F338&gt;0.583333333333333,IF(F338&lt;0.625,"Turno B",IF(F338&gt;0.625694444444444,IF(F338&lt;0.8125,"Turno A",IF(F338&gt;0.875,IF(F338&lt;0.936805555555556,"Turno C",IF(F338&gt;0.9375,IF(F338&lt;0.979166666666667,"Turno B",""),"")),"")),"")),"")),"")),""))</f>
        <v>Turno B</v>
      </c>
      <c r="L338" s="91">
        <f t="shared" si="5"/>
        <v>0.3125</v>
      </c>
    </row>
    <row r="339" spans="1:12" s="40" customFormat="1">
      <c r="A339">
        <v>8245727</v>
      </c>
      <c r="B339" t="s">
        <v>121</v>
      </c>
      <c r="C339" t="s">
        <v>960</v>
      </c>
      <c r="D339" t="s">
        <v>289</v>
      </c>
      <c r="E339" t="s">
        <v>1437</v>
      </c>
      <c r="F339" s="78">
        <v>0.95144675925925926</v>
      </c>
      <c r="G339" t="s">
        <v>1406</v>
      </c>
      <c r="H339" t="s">
        <v>1336</v>
      </c>
      <c r="I339" s="88" t="str">
        <f>VLOOKUP(A339,Base!A:B,2,0)</f>
        <v>08.245.727-5</v>
      </c>
      <c r="J339" s="99" t="str">
        <f>VLOOKUP(A339,Base!A:F,6,0)</f>
        <v>JUAN  SALINAS  CUEVAS</v>
      </c>
      <c r="K339" s="89" t="str">
        <f>IFERROR(IF(VLOOKUP(I339,Ingreso!K:P,6,0)=0,"Sin turtno ing",VLOOKUP(I339,Ingreso!K:P,6,0)),IF(F339&gt;0.25,IF(F339&lt;0.311805555555556,"Turno A",IF(F339&gt;0.3125,IF(F339&lt;0.354166666666667,"Turno C",IF(F339&gt;0.583333333333333,IF(F339&lt;0.625,"Turno B",IF(F339&gt;0.625694444444444,IF(F339&lt;0.8125,"Turno A",IF(F339&gt;0.875,IF(F339&lt;0.936805555555556,"Turno C",IF(F339&gt;0.9375,IF(F339&lt;0.979166666666667,"Turno B",""),"")),"")),"")),"")),"")),""))</f>
        <v>Turno B</v>
      </c>
      <c r="L339" s="91">
        <f t="shared" si="5"/>
        <v>0.3125</v>
      </c>
    </row>
    <row r="340" spans="1:12" s="40" customFormat="1">
      <c r="A340">
        <v>8245727</v>
      </c>
      <c r="B340" t="s">
        <v>121</v>
      </c>
      <c r="C340" t="s">
        <v>960</v>
      </c>
      <c r="D340" t="s">
        <v>289</v>
      </c>
      <c r="E340" t="s">
        <v>1437</v>
      </c>
      <c r="F340" s="78">
        <v>0.60556712962962966</v>
      </c>
      <c r="G340" t="s">
        <v>1405</v>
      </c>
      <c r="H340" t="s">
        <v>1335</v>
      </c>
      <c r="I340" s="88" t="str">
        <f>VLOOKUP(A340,Base!A:B,2,0)</f>
        <v>08.245.727-5</v>
      </c>
      <c r="J340" s="99" t="str">
        <f>VLOOKUP(A340,Base!A:F,6,0)</f>
        <v>JUAN  SALINAS  CUEVAS</v>
      </c>
      <c r="K340" s="89" t="str">
        <f>IFERROR(IF(VLOOKUP(I340,Ingreso!K:P,6,0)=0,"Sin turtno ing",VLOOKUP(I340,Ingreso!K:P,6,0)),IF(F340&gt;0.25,IF(F340&lt;0.311805555555556,"Turno A",IF(F340&gt;0.3125,IF(F340&lt;0.354166666666667,"Turno C",IF(F340&gt;0.583333333333333,IF(F340&lt;0.625,"Turno B",IF(F340&gt;0.625694444444444,IF(F340&lt;0.8125,"Turno A",IF(F340&gt;0.875,IF(F340&lt;0.936805555555556,"Turno C",IF(F340&gt;0.9375,IF(F340&lt;0.979166666666667,"Turno B",""),"")),"")),"")),"")),"")),""))</f>
        <v>Turno B</v>
      </c>
      <c r="L340" s="91">
        <f t="shared" si="5"/>
        <v>0.3125</v>
      </c>
    </row>
    <row r="341" spans="1:12" s="40" customFormat="1">
      <c r="A341">
        <v>8245727</v>
      </c>
      <c r="B341" t="s">
        <v>121</v>
      </c>
      <c r="C341" t="s">
        <v>960</v>
      </c>
      <c r="D341" t="s">
        <v>289</v>
      </c>
      <c r="E341" t="s">
        <v>1438</v>
      </c>
      <c r="F341" s="78">
        <v>0.95048611111111114</v>
      </c>
      <c r="G341" t="s">
        <v>1406</v>
      </c>
      <c r="H341" t="s">
        <v>1336</v>
      </c>
      <c r="I341" s="88" t="str">
        <f>VLOOKUP(A341,Base!A:B,2,0)</f>
        <v>08.245.727-5</v>
      </c>
      <c r="J341" s="99" t="str">
        <f>VLOOKUP(A341,Base!A:F,6,0)</f>
        <v>JUAN  SALINAS  CUEVAS</v>
      </c>
      <c r="K341" s="89" t="str">
        <f>IFERROR(IF(VLOOKUP(I341,Ingreso!K:P,6,0)=0,"Sin turtno ing",VLOOKUP(I341,Ingreso!K:P,6,0)),IF(F341&gt;0.25,IF(F341&lt;0.311805555555556,"Turno A",IF(F341&gt;0.3125,IF(F341&lt;0.354166666666667,"Turno C",IF(F341&gt;0.583333333333333,IF(F341&lt;0.625,"Turno B",IF(F341&gt;0.625694444444444,IF(F341&lt;0.8125,"Turno A",IF(F341&gt;0.875,IF(F341&lt;0.936805555555556,"Turno C",IF(F341&gt;0.9375,IF(F341&lt;0.979166666666667,"Turno B",""),"")),"")),"")),"")),"")),""))</f>
        <v>Turno B</v>
      </c>
      <c r="L341" s="91">
        <f t="shared" si="5"/>
        <v>0.3125</v>
      </c>
    </row>
    <row r="342" spans="1:12" s="40" customFormat="1">
      <c r="A342">
        <v>8245727</v>
      </c>
      <c r="B342" t="s">
        <v>121</v>
      </c>
      <c r="C342" t="s">
        <v>960</v>
      </c>
      <c r="D342" t="s">
        <v>289</v>
      </c>
      <c r="E342" t="s">
        <v>1438</v>
      </c>
      <c r="F342" s="78">
        <v>0.6066435185185185</v>
      </c>
      <c r="G342" t="s">
        <v>1405</v>
      </c>
      <c r="H342" t="s">
        <v>1335</v>
      </c>
      <c r="I342" s="88" t="str">
        <f>VLOOKUP(A342,Base!A:B,2,0)</f>
        <v>08.245.727-5</v>
      </c>
      <c r="J342" s="99" t="str">
        <f>VLOOKUP(A342,Base!A:F,6,0)</f>
        <v>JUAN  SALINAS  CUEVAS</v>
      </c>
      <c r="K342" s="89" t="str">
        <f>IFERROR(IF(VLOOKUP(I342,Ingreso!K:P,6,0)=0,"Sin turtno ing",VLOOKUP(I342,Ingreso!K:P,6,0)),IF(F342&gt;0.25,IF(F342&lt;0.311805555555556,"Turno A",IF(F342&gt;0.3125,IF(F342&lt;0.354166666666667,"Turno C",IF(F342&gt;0.583333333333333,IF(F342&lt;0.625,"Turno B",IF(F342&gt;0.625694444444444,IF(F342&lt;0.8125,"Turno A",IF(F342&gt;0.875,IF(F342&lt;0.936805555555556,"Turno C",IF(F342&gt;0.9375,IF(F342&lt;0.979166666666667,"Turno B",""),"")),"")),"")),"")),"")),""))</f>
        <v>Turno B</v>
      </c>
      <c r="L342" s="91">
        <f t="shared" si="5"/>
        <v>0.3125</v>
      </c>
    </row>
    <row r="343" spans="1:12" s="40" customFormat="1">
      <c r="A343">
        <v>8245727</v>
      </c>
      <c r="B343" t="s">
        <v>121</v>
      </c>
      <c r="C343" t="s">
        <v>960</v>
      </c>
      <c r="D343" t="s">
        <v>289</v>
      </c>
      <c r="E343" t="s">
        <v>1439</v>
      </c>
      <c r="F343" s="78">
        <v>0.95199074074074075</v>
      </c>
      <c r="G343" t="s">
        <v>1406</v>
      </c>
      <c r="H343" t="s">
        <v>1336</v>
      </c>
      <c r="I343" s="88" t="str">
        <f>VLOOKUP(A343,Base!A:B,2,0)</f>
        <v>08.245.727-5</v>
      </c>
      <c r="J343" s="99" t="str">
        <f>VLOOKUP(A343,Base!A:F,6,0)</f>
        <v>JUAN  SALINAS  CUEVAS</v>
      </c>
      <c r="K343" s="89" t="str">
        <f>IFERROR(IF(VLOOKUP(I343,Ingreso!K:P,6,0)=0,"Sin turtno ing",VLOOKUP(I343,Ingreso!K:P,6,0)),IF(F343&gt;0.25,IF(F343&lt;0.311805555555556,"Turno A",IF(F343&gt;0.3125,IF(F343&lt;0.354166666666667,"Turno C",IF(F343&gt;0.583333333333333,IF(F343&lt;0.625,"Turno B",IF(F343&gt;0.625694444444444,IF(F343&lt;0.8125,"Turno A",IF(F343&gt;0.875,IF(F343&lt;0.936805555555556,"Turno C",IF(F343&gt;0.9375,IF(F343&lt;0.979166666666667,"Turno B",""),"")),"")),"")),"")),"")),""))</f>
        <v>Turno B</v>
      </c>
      <c r="L343" s="91">
        <f t="shared" si="5"/>
        <v>0.3125</v>
      </c>
    </row>
    <row r="344" spans="1:12" s="40" customFormat="1">
      <c r="A344">
        <v>8245727</v>
      </c>
      <c r="B344" t="s">
        <v>121</v>
      </c>
      <c r="C344" t="s">
        <v>960</v>
      </c>
      <c r="D344" t="s">
        <v>289</v>
      </c>
      <c r="E344" t="s">
        <v>1439</v>
      </c>
      <c r="F344" s="78">
        <v>0.60674768518518518</v>
      </c>
      <c r="G344" t="s">
        <v>1405</v>
      </c>
      <c r="H344" t="s">
        <v>1335</v>
      </c>
      <c r="I344" s="88" t="str">
        <f>VLOOKUP(A344,Base!A:B,2,0)</f>
        <v>08.245.727-5</v>
      </c>
      <c r="J344" s="99" t="str">
        <f>VLOOKUP(A344,Base!A:F,6,0)</f>
        <v>JUAN  SALINAS  CUEVAS</v>
      </c>
      <c r="K344" s="89" t="str">
        <f>IFERROR(IF(VLOOKUP(I344,Ingreso!K:P,6,0)=0,"Sin turtno ing",VLOOKUP(I344,Ingreso!K:P,6,0)),IF(F344&gt;0.25,IF(F344&lt;0.311805555555556,"Turno A",IF(F344&gt;0.3125,IF(F344&lt;0.354166666666667,"Turno C",IF(F344&gt;0.583333333333333,IF(F344&lt;0.625,"Turno B",IF(F344&gt;0.625694444444444,IF(F344&lt;0.8125,"Turno A",IF(F344&gt;0.875,IF(F344&lt;0.936805555555556,"Turno C",IF(F344&gt;0.9375,IF(F344&lt;0.979166666666667,"Turno B",""),"")),"")),"")),"")),"")),""))</f>
        <v>Turno B</v>
      </c>
      <c r="L344" s="91">
        <f t="shared" si="5"/>
        <v>0.3125</v>
      </c>
    </row>
    <row r="345" spans="1:12" s="40" customFormat="1">
      <c r="A345">
        <v>8247677</v>
      </c>
      <c r="B345" t="s">
        <v>1157</v>
      </c>
      <c r="C345" t="s">
        <v>1155</v>
      </c>
      <c r="D345" t="s">
        <v>1156</v>
      </c>
      <c r="E345" t="s">
        <v>1440</v>
      </c>
      <c r="F345" s="78">
        <v>0.94973379629629628</v>
      </c>
      <c r="G345" t="s">
        <v>1406</v>
      </c>
      <c r="H345" t="s">
        <v>1336</v>
      </c>
      <c r="I345" s="88" t="str">
        <f>VLOOKUP(A345,Base!A:B,2,0)</f>
        <v>08.247.677-6</v>
      </c>
      <c r="J345" s="99" t="str">
        <f>VLOOKUP(A345,Base!A:F,6,0)</f>
        <v>HUMBERTO GERMAN  ESCOBAR  GUTIERREZ</v>
      </c>
      <c r="K345" s="89" t="str">
        <f>IFERROR(IF(VLOOKUP(I345,Ingreso!K:P,6,0)=0,"Sin turtno ing",VLOOKUP(I345,Ingreso!K:P,6,0)),IF(F345&gt;0.25,IF(F345&lt;0.311805555555556,"Turno A",IF(F345&gt;0.3125,IF(F345&lt;0.354166666666667,"Turno C",IF(F345&gt;0.583333333333333,IF(F345&lt;0.625,"Turno B",IF(F345&gt;0.625694444444444,IF(F345&lt;0.8125,"Turno A",IF(F345&gt;0.875,IF(F345&lt;0.936805555555556,"Turno C",IF(F345&gt;0.9375,IF(F345&lt;0.979166666666667,"Turno B",""),"")),"")),"")),"")),"")),""))</f>
        <v>Turno B</v>
      </c>
      <c r="L345" s="91">
        <f t="shared" si="5"/>
        <v>0.3125</v>
      </c>
    </row>
    <row r="346" spans="1:12" s="40" customFormat="1">
      <c r="A346">
        <v>8247677</v>
      </c>
      <c r="B346" t="s">
        <v>1157</v>
      </c>
      <c r="C346" t="s">
        <v>1155</v>
      </c>
      <c r="D346" t="s">
        <v>1156</v>
      </c>
      <c r="E346" t="s">
        <v>1440</v>
      </c>
      <c r="F346" s="78">
        <v>0.60832175925925924</v>
      </c>
      <c r="G346" t="s">
        <v>1405</v>
      </c>
      <c r="H346" t="s">
        <v>1335</v>
      </c>
      <c r="I346" s="88" t="str">
        <f>VLOOKUP(A346,Base!A:B,2,0)</f>
        <v>08.247.677-6</v>
      </c>
      <c r="J346" s="99" t="str">
        <f>VLOOKUP(A346,Base!A:F,6,0)</f>
        <v>HUMBERTO GERMAN  ESCOBAR  GUTIERREZ</v>
      </c>
      <c r="K346" s="89" t="str">
        <f>IFERROR(IF(VLOOKUP(I346,Ingreso!K:P,6,0)=0,"Sin turtno ing",VLOOKUP(I346,Ingreso!K:P,6,0)),IF(F346&gt;0.25,IF(F346&lt;0.311805555555556,"Turno A",IF(F346&gt;0.3125,IF(F346&lt;0.354166666666667,"Turno C",IF(F346&gt;0.583333333333333,IF(F346&lt;0.625,"Turno B",IF(F346&gt;0.625694444444444,IF(F346&lt;0.8125,"Turno A",IF(F346&gt;0.875,IF(F346&lt;0.936805555555556,"Turno C",IF(F346&gt;0.9375,IF(F346&lt;0.979166666666667,"Turno B",""),"")),"")),"")),"")),"")),""))</f>
        <v>Turno B</v>
      </c>
      <c r="L346" s="91">
        <f t="shared" si="5"/>
        <v>0.3125</v>
      </c>
    </row>
    <row r="347" spans="1:12" s="40" customFormat="1">
      <c r="A347">
        <v>8247677</v>
      </c>
      <c r="B347" t="s">
        <v>1157</v>
      </c>
      <c r="C347" t="s">
        <v>1155</v>
      </c>
      <c r="D347" t="s">
        <v>1156</v>
      </c>
      <c r="E347" t="s">
        <v>1441</v>
      </c>
      <c r="F347" s="78">
        <v>0.94988425925925923</v>
      </c>
      <c r="G347" t="s">
        <v>1406</v>
      </c>
      <c r="H347" t="s">
        <v>1336</v>
      </c>
      <c r="I347" s="88" t="str">
        <f>VLOOKUP(A347,Base!A:B,2,0)</f>
        <v>08.247.677-6</v>
      </c>
      <c r="J347" s="99" t="str">
        <f>VLOOKUP(A347,Base!A:F,6,0)</f>
        <v>HUMBERTO GERMAN  ESCOBAR  GUTIERREZ</v>
      </c>
      <c r="K347" s="89" t="str">
        <f>IFERROR(IF(VLOOKUP(I347,Ingreso!K:P,6,0)=0,"Sin turtno ing",VLOOKUP(I347,Ingreso!K:P,6,0)),IF(F347&gt;0.25,IF(F347&lt;0.311805555555556,"Turno A",IF(F347&gt;0.3125,IF(F347&lt;0.354166666666667,"Turno C",IF(F347&gt;0.583333333333333,IF(F347&lt;0.625,"Turno B",IF(F347&gt;0.625694444444444,IF(F347&lt;0.8125,"Turno A",IF(F347&gt;0.875,IF(F347&lt;0.936805555555556,"Turno C",IF(F347&gt;0.9375,IF(F347&lt;0.979166666666667,"Turno B",""),"")),"")),"")),"")),"")),""))</f>
        <v>Turno B</v>
      </c>
      <c r="L347" s="91">
        <f t="shared" si="5"/>
        <v>0.3125</v>
      </c>
    </row>
    <row r="348" spans="1:12" s="40" customFormat="1">
      <c r="A348">
        <v>8247677</v>
      </c>
      <c r="B348" t="s">
        <v>1157</v>
      </c>
      <c r="C348" t="s">
        <v>1155</v>
      </c>
      <c r="D348" t="s">
        <v>1156</v>
      </c>
      <c r="E348" t="s">
        <v>1441</v>
      </c>
      <c r="F348" s="78">
        <v>0.61251157407407408</v>
      </c>
      <c r="G348" t="s">
        <v>1405</v>
      </c>
      <c r="H348" t="s">
        <v>1335</v>
      </c>
      <c r="I348" s="88" t="str">
        <f>VLOOKUP(A348,Base!A:B,2,0)</f>
        <v>08.247.677-6</v>
      </c>
      <c r="J348" s="99" t="str">
        <f>VLOOKUP(A348,Base!A:F,6,0)</f>
        <v>HUMBERTO GERMAN  ESCOBAR  GUTIERREZ</v>
      </c>
      <c r="K348" s="89" t="str">
        <f>IFERROR(IF(VLOOKUP(I348,Ingreso!K:P,6,0)=0,"Sin turtno ing",VLOOKUP(I348,Ingreso!K:P,6,0)),IF(F348&gt;0.25,IF(F348&lt;0.311805555555556,"Turno A",IF(F348&gt;0.3125,IF(F348&lt;0.354166666666667,"Turno C",IF(F348&gt;0.583333333333333,IF(F348&lt;0.625,"Turno B",IF(F348&gt;0.625694444444444,IF(F348&lt;0.8125,"Turno A",IF(F348&gt;0.875,IF(F348&lt;0.936805555555556,"Turno C",IF(F348&gt;0.9375,IF(F348&lt;0.979166666666667,"Turno B",""),"")),"")),"")),"")),"")),""))</f>
        <v>Turno B</v>
      </c>
      <c r="L348" s="91">
        <f t="shared" si="5"/>
        <v>0.3125</v>
      </c>
    </row>
    <row r="349" spans="1:12" s="40" customFormat="1">
      <c r="A349">
        <v>8247677</v>
      </c>
      <c r="B349" t="s">
        <v>1157</v>
      </c>
      <c r="C349" t="s">
        <v>1155</v>
      </c>
      <c r="D349" t="s">
        <v>1156</v>
      </c>
      <c r="E349" t="s">
        <v>1437</v>
      </c>
      <c r="F349" s="78">
        <v>0.94784722222222229</v>
      </c>
      <c r="G349" t="s">
        <v>1406</v>
      </c>
      <c r="H349" t="s">
        <v>1336</v>
      </c>
      <c r="I349" s="88" t="str">
        <f>VLOOKUP(A349,Base!A:B,2,0)</f>
        <v>08.247.677-6</v>
      </c>
      <c r="J349" s="99" t="str">
        <f>VLOOKUP(A349,Base!A:F,6,0)</f>
        <v>HUMBERTO GERMAN  ESCOBAR  GUTIERREZ</v>
      </c>
      <c r="K349" s="89" t="str">
        <f>IFERROR(IF(VLOOKUP(I349,Ingreso!K:P,6,0)=0,"Sin turtno ing",VLOOKUP(I349,Ingreso!K:P,6,0)),IF(F349&gt;0.25,IF(F349&lt;0.311805555555556,"Turno A",IF(F349&gt;0.3125,IF(F349&lt;0.354166666666667,"Turno C",IF(F349&gt;0.583333333333333,IF(F349&lt;0.625,"Turno B",IF(F349&gt;0.625694444444444,IF(F349&lt;0.8125,"Turno A",IF(F349&gt;0.875,IF(F349&lt;0.936805555555556,"Turno C",IF(F349&gt;0.9375,IF(F349&lt;0.979166666666667,"Turno B",""),"")),"")),"")),"")),"")),""))</f>
        <v>Turno B</v>
      </c>
      <c r="L349" s="91">
        <f t="shared" si="5"/>
        <v>0.3125</v>
      </c>
    </row>
    <row r="350" spans="1:12" s="40" customFormat="1">
      <c r="A350">
        <v>8247677</v>
      </c>
      <c r="B350" t="s">
        <v>1157</v>
      </c>
      <c r="C350" t="s">
        <v>1155</v>
      </c>
      <c r="D350" t="s">
        <v>1156</v>
      </c>
      <c r="E350" t="s">
        <v>1437</v>
      </c>
      <c r="F350" s="78">
        <v>0.60569444444444442</v>
      </c>
      <c r="G350" t="s">
        <v>1405</v>
      </c>
      <c r="H350" t="s">
        <v>1335</v>
      </c>
      <c r="I350" s="88" t="str">
        <f>VLOOKUP(A350,Base!A:B,2,0)</f>
        <v>08.247.677-6</v>
      </c>
      <c r="J350" s="99" t="str">
        <f>VLOOKUP(A350,Base!A:F,6,0)</f>
        <v>HUMBERTO GERMAN  ESCOBAR  GUTIERREZ</v>
      </c>
      <c r="K350" s="89" t="str">
        <f>IFERROR(IF(VLOOKUP(I350,Ingreso!K:P,6,0)=0,"Sin turtno ing",VLOOKUP(I350,Ingreso!K:P,6,0)),IF(F350&gt;0.25,IF(F350&lt;0.311805555555556,"Turno A",IF(F350&gt;0.3125,IF(F350&lt;0.354166666666667,"Turno C",IF(F350&gt;0.583333333333333,IF(F350&lt;0.625,"Turno B",IF(F350&gt;0.625694444444444,IF(F350&lt;0.8125,"Turno A",IF(F350&gt;0.875,IF(F350&lt;0.936805555555556,"Turno C",IF(F350&gt;0.9375,IF(F350&lt;0.979166666666667,"Turno B",""),"")),"")),"")),"")),"")),""))</f>
        <v>Turno B</v>
      </c>
      <c r="L350" s="91">
        <f t="shared" si="5"/>
        <v>0.3125</v>
      </c>
    </row>
    <row r="351" spans="1:12" s="40" customFormat="1">
      <c r="A351">
        <v>8247677</v>
      </c>
      <c r="B351" t="s">
        <v>1157</v>
      </c>
      <c r="C351" t="s">
        <v>1155</v>
      </c>
      <c r="D351" t="s">
        <v>1156</v>
      </c>
      <c r="E351" t="s">
        <v>1438</v>
      </c>
      <c r="F351" s="78">
        <v>0.94987268518518519</v>
      </c>
      <c r="G351" t="s">
        <v>1406</v>
      </c>
      <c r="H351" t="s">
        <v>1336</v>
      </c>
      <c r="I351" s="88" t="str">
        <f>VLOOKUP(A351,Base!A:B,2,0)</f>
        <v>08.247.677-6</v>
      </c>
      <c r="J351" s="99" t="str">
        <f>VLOOKUP(A351,Base!A:F,6,0)</f>
        <v>HUMBERTO GERMAN  ESCOBAR  GUTIERREZ</v>
      </c>
      <c r="K351" s="89" t="str">
        <f>IFERROR(IF(VLOOKUP(I351,Ingreso!K:P,6,0)=0,"Sin turtno ing",VLOOKUP(I351,Ingreso!K:P,6,0)),IF(F351&gt;0.25,IF(F351&lt;0.311805555555556,"Turno A",IF(F351&gt;0.3125,IF(F351&lt;0.354166666666667,"Turno C",IF(F351&gt;0.583333333333333,IF(F351&lt;0.625,"Turno B",IF(F351&gt;0.625694444444444,IF(F351&lt;0.8125,"Turno A",IF(F351&gt;0.875,IF(F351&lt;0.936805555555556,"Turno C",IF(F351&gt;0.9375,IF(F351&lt;0.979166666666667,"Turno B",""),"")),"")),"")),"")),"")),""))</f>
        <v>Turno B</v>
      </c>
      <c r="L351" s="91">
        <f t="shared" si="5"/>
        <v>0.3125</v>
      </c>
    </row>
    <row r="352" spans="1:12" s="40" customFormat="1">
      <c r="A352">
        <v>8247677</v>
      </c>
      <c r="B352" t="s">
        <v>1157</v>
      </c>
      <c r="C352" t="s">
        <v>1155</v>
      </c>
      <c r="D352" t="s">
        <v>1156</v>
      </c>
      <c r="E352" t="s">
        <v>1438</v>
      </c>
      <c r="F352" s="78">
        <v>0.60678240740740741</v>
      </c>
      <c r="G352" t="s">
        <v>1405</v>
      </c>
      <c r="H352" t="s">
        <v>1335</v>
      </c>
      <c r="I352" s="88" t="str">
        <f>VLOOKUP(A352,Base!A:B,2,0)</f>
        <v>08.247.677-6</v>
      </c>
      <c r="J352" s="99" t="str">
        <f>VLOOKUP(A352,Base!A:F,6,0)</f>
        <v>HUMBERTO GERMAN  ESCOBAR  GUTIERREZ</v>
      </c>
      <c r="K352" s="89" t="str">
        <f>IFERROR(IF(VLOOKUP(I352,Ingreso!K:P,6,0)=0,"Sin turtno ing",VLOOKUP(I352,Ingreso!K:P,6,0)),IF(F352&gt;0.25,IF(F352&lt;0.311805555555556,"Turno A",IF(F352&gt;0.3125,IF(F352&lt;0.354166666666667,"Turno C",IF(F352&gt;0.583333333333333,IF(F352&lt;0.625,"Turno B",IF(F352&gt;0.625694444444444,IF(F352&lt;0.8125,"Turno A",IF(F352&gt;0.875,IF(F352&lt;0.936805555555556,"Turno C",IF(F352&gt;0.9375,IF(F352&lt;0.979166666666667,"Turno B",""),"")),"")),"")),"")),"")),""))</f>
        <v>Turno B</v>
      </c>
      <c r="L352" s="91">
        <f t="shared" si="5"/>
        <v>0.3125</v>
      </c>
    </row>
    <row r="353" spans="1:12" s="40" customFormat="1">
      <c r="A353">
        <v>8247677</v>
      </c>
      <c r="B353" t="s">
        <v>1157</v>
      </c>
      <c r="C353" t="s">
        <v>1155</v>
      </c>
      <c r="D353" t="s">
        <v>1156</v>
      </c>
      <c r="E353" t="s">
        <v>1439</v>
      </c>
      <c r="F353" s="78">
        <v>0.94842592592592589</v>
      </c>
      <c r="G353" t="s">
        <v>1406</v>
      </c>
      <c r="H353" t="s">
        <v>1336</v>
      </c>
      <c r="I353" s="88" t="str">
        <f>VLOOKUP(A353,Base!A:B,2,0)</f>
        <v>08.247.677-6</v>
      </c>
      <c r="J353" s="99" t="str">
        <f>VLOOKUP(A353,Base!A:F,6,0)</f>
        <v>HUMBERTO GERMAN  ESCOBAR  GUTIERREZ</v>
      </c>
      <c r="K353" s="89" t="str">
        <f>IFERROR(IF(VLOOKUP(I353,Ingreso!K:P,6,0)=0,"Sin turtno ing",VLOOKUP(I353,Ingreso!K:P,6,0)),IF(F353&gt;0.25,IF(F353&lt;0.311805555555556,"Turno A",IF(F353&gt;0.3125,IF(F353&lt;0.354166666666667,"Turno C",IF(F353&gt;0.583333333333333,IF(F353&lt;0.625,"Turno B",IF(F353&gt;0.625694444444444,IF(F353&lt;0.8125,"Turno A",IF(F353&gt;0.875,IF(F353&lt;0.936805555555556,"Turno C",IF(F353&gt;0.9375,IF(F353&lt;0.979166666666667,"Turno B",""),"")),"")),"")),"")),"")),""))</f>
        <v>Turno B</v>
      </c>
      <c r="L353" s="91">
        <f t="shared" si="5"/>
        <v>0.3125</v>
      </c>
    </row>
    <row r="354" spans="1:12" s="40" customFormat="1">
      <c r="A354">
        <v>8247677</v>
      </c>
      <c r="B354" t="s">
        <v>1157</v>
      </c>
      <c r="C354" t="s">
        <v>1155</v>
      </c>
      <c r="D354" t="s">
        <v>1156</v>
      </c>
      <c r="E354" t="s">
        <v>1439</v>
      </c>
      <c r="F354" s="78">
        <v>0.60692129629629632</v>
      </c>
      <c r="G354" t="s">
        <v>1405</v>
      </c>
      <c r="H354" t="s">
        <v>1335</v>
      </c>
      <c r="I354" s="88" t="str">
        <f>VLOOKUP(A354,Base!A:B,2,0)</f>
        <v>08.247.677-6</v>
      </c>
      <c r="J354" s="99" t="str">
        <f>VLOOKUP(A354,Base!A:F,6,0)</f>
        <v>HUMBERTO GERMAN  ESCOBAR  GUTIERREZ</v>
      </c>
      <c r="K354" s="89" t="str">
        <f>IFERROR(IF(VLOOKUP(I354,Ingreso!K:P,6,0)=0,"Sin turtno ing",VLOOKUP(I354,Ingreso!K:P,6,0)),IF(F354&gt;0.25,IF(F354&lt;0.311805555555556,"Turno A",IF(F354&gt;0.3125,IF(F354&lt;0.354166666666667,"Turno C",IF(F354&gt;0.583333333333333,IF(F354&lt;0.625,"Turno B",IF(F354&gt;0.625694444444444,IF(F354&lt;0.8125,"Turno A",IF(F354&gt;0.875,IF(F354&lt;0.936805555555556,"Turno C",IF(F354&gt;0.9375,IF(F354&lt;0.979166666666667,"Turno B",""),"")),"")),"")),"")),"")),""))</f>
        <v>Turno B</v>
      </c>
      <c r="L354" s="91">
        <f t="shared" si="5"/>
        <v>0.3125</v>
      </c>
    </row>
    <row r="355" spans="1:12" s="40" customFormat="1">
      <c r="A355">
        <v>8272509</v>
      </c>
      <c r="B355" t="s">
        <v>733</v>
      </c>
      <c r="C355" t="s">
        <v>732</v>
      </c>
      <c r="D355" t="s">
        <v>732</v>
      </c>
      <c r="E355" t="s">
        <v>1440</v>
      </c>
      <c r="F355" s="78">
        <v>0.94877314814814817</v>
      </c>
      <c r="G355" t="s">
        <v>1406</v>
      </c>
      <c r="H355" t="s">
        <v>1336</v>
      </c>
      <c r="I355" s="88" t="str">
        <f>VLOOKUP(A355,Base!A:B,2,0)</f>
        <v>08.272.509-1</v>
      </c>
      <c r="J355" s="99" t="str">
        <f>VLOOKUP(A355,Base!A:F,6,0)</f>
        <v>JORGE MANUEL  OSORIO  OSORIO</v>
      </c>
      <c r="K355" s="89" t="str">
        <f>IFERROR(IF(VLOOKUP(I355,Ingreso!K:P,6,0)=0,"Sin turtno ing",VLOOKUP(I355,Ingreso!K:P,6,0)),IF(F355&gt;0.25,IF(F355&lt;0.311805555555556,"Turno A",IF(F355&gt;0.3125,IF(F355&lt;0.354166666666667,"Turno C",IF(F355&gt;0.583333333333333,IF(F355&lt;0.625,"Turno B",IF(F355&gt;0.625694444444444,IF(F355&lt;0.8125,"Turno A",IF(F355&gt;0.875,IF(F355&lt;0.936805555555556,"Turno C",IF(F355&gt;0.9375,IF(F355&lt;0.979166666666667,"Turno B",""),"")),"")),"")),"")),"")),""))</f>
        <v>Turno B</v>
      </c>
      <c r="L355" s="91">
        <f t="shared" si="5"/>
        <v>0.3125</v>
      </c>
    </row>
    <row r="356" spans="1:12" s="40" customFormat="1">
      <c r="A356">
        <v>8272509</v>
      </c>
      <c r="B356" t="s">
        <v>733</v>
      </c>
      <c r="C356" t="s">
        <v>732</v>
      </c>
      <c r="D356" t="s">
        <v>732</v>
      </c>
      <c r="E356" t="s">
        <v>1440</v>
      </c>
      <c r="F356" s="78">
        <v>0.60708333333333331</v>
      </c>
      <c r="G356" t="s">
        <v>1405</v>
      </c>
      <c r="H356" t="s">
        <v>1335</v>
      </c>
      <c r="I356" s="88" t="str">
        <f>VLOOKUP(A356,Base!A:B,2,0)</f>
        <v>08.272.509-1</v>
      </c>
      <c r="J356" s="99" t="str">
        <f>VLOOKUP(A356,Base!A:F,6,0)</f>
        <v>JORGE MANUEL  OSORIO  OSORIO</v>
      </c>
      <c r="K356" s="89" t="str">
        <f>IFERROR(IF(VLOOKUP(I356,Ingreso!K:P,6,0)=0,"Sin turtno ing",VLOOKUP(I356,Ingreso!K:P,6,0)),IF(F356&gt;0.25,IF(F356&lt;0.311805555555556,"Turno A",IF(F356&gt;0.3125,IF(F356&lt;0.354166666666667,"Turno C",IF(F356&gt;0.583333333333333,IF(F356&lt;0.625,"Turno B",IF(F356&gt;0.625694444444444,IF(F356&lt;0.8125,"Turno A",IF(F356&gt;0.875,IF(F356&lt;0.936805555555556,"Turno C",IF(F356&gt;0.9375,IF(F356&lt;0.979166666666667,"Turno B",""),"")),"")),"")),"")),"")),""))</f>
        <v>Turno B</v>
      </c>
      <c r="L356" s="91">
        <f t="shared" si="5"/>
        <v>0.3125</v>
      </c>
    </row>
    <row r="357" spans="1:12" s="40" customFormat="1">
      <c r="A357">
        <v>8272509</v>
      </c>
      <c r="B357" t="s">
        <v>733</v>
      </c>
      <c r="C357" t="s">
        <v>732</v>
      </c>
      <c r="D357" t="s">
        <v>732</v>
      </c>
      <c r="E357" t="s">
        <v>1441</v>
      </c>
      <c r="F357" s="78">
        <v>0.95444444444444443</v>
      </c>
      <c r="G357" t="s">
        <v>1406</v>
      </c>
      <c r="H357" t="s">
        <v>1336</v>
      </c>
      <c r="I357" s="88" t="str">
        <f>VLOOKUP(A357,Base!A:B,2,0)</f>
        <v>08.272.509-1</v>
      </c>
      <c r="J357" s="99" t="str">
        <f>VLOOKUP(A357,Base!A:F,6,0)</f>
        <v>JORGE MANUEL  OSORIO  OSORIO</v>
      </c>
      <c r="K357" s="89" t="str">
        <f>IFERROR(IF(VLOOKUP(I357,Ingreso!K:P,6,0)=0,"Sin turtno ing",VLOOKUP(I357,Ingreso!K:P,6,0)),IF(F357&gt;0.25,IF(F357&lt;0.311805555555556,"Turno A",IF(F357&gt;0.3125,IF(F357&lt;0.354166666666667,"Turno C",IF(F357&gt;0.583333333333333,IF(F357&lt;0.625,"Turno B",IF(F357&gt;0.625694444444444,IF(F357&lt;0.8125,"Turno A",IF(F357&gt;0.875,IF(F357&lt;0.936805555555556,"Turno C",IF(F357&gt;0.9375,IF(F357&lt;0.979166666666667,"Turno B",""),"")),"")),"")),"")),"")),""))</f>
        <v>Turno B</v>
      </c>
      <c r="L357" s="91">
        <f t="shared" si="5"/>
        <v>0.3125</v>
      </c>
    </row>
    <row r="358" spans="1:12" s="40" customFormat="1">
      <c r="A358">
        <v>8272509</v>
      </c>
      <c r="B358" t="s">
        <v>733</v>
      </c>
      <c r="C358" t="s">
        <v>732</v>
      </c>
      <c r="D358" t="s">
        <v>732</v>
      </c>
      <c r="E358" t="s">
        <v>1441</v>
      </c>
      <c r="F358" s="78">
        <v>0.60914351851851845</v>
      </c>
      <c r="G358" t="s">
        <v>1405</v>
      </c>
      <c r="H358" t="s">
        <v>1335</v>
      </c>
      <c r="I358" s="88" t="str">
        <f>VLOOKUP(A358,Base!A:B,2,0)</f>
        <v>08.272.509-1</v>
      </c>
      <c r="J358" s="99" t="str">
        <f>VLOOKUP(A358,Base!A:F,6,0)</f>
        <v>JORGE MANUEL  OSORIO  OSORIO</v>
      </c>
      <c r="K358" s="89" t="str">
        <f>IFERROR(IF(VLOOKUP(I358,Ingreso!K:P,6,0)=0,"Sin turtno ing",VLOOKUP(I358,Ingreso!K:P,6,0)),IF(F358&gt;0.25,IF(F358&lt;0.311805555555556,"Turno A",IF(F358&gt;0.3125,IF(F358&lt;0.354166666666667,"Turno C",IF(F358&gt;0.583333333333333,IF(F358&lt;0.625,"Turno B",IF(F358&gt;0.625694444444444,IF(F358&lt;0.8125,"Turno A",IF(F358&gt;0.875,IF(F358&lt;0.936805555555556,"Turno C",IF(F358&gt;0.9375,IF(F358&lt;0.979166666666667,"Turno B",""),"")),"")),"")),"")),"")),""))</f>
        <v>Turno B</v>
      </c>
      <c r="L358" s="91">
        <f t="shared" si="5"/>
        <v>0.3125</v>
      </c>
    </row>
    <row r="359" spans="1:12" s="40" customFormat="1">
      <c r="A359">
        <v>8272509</v>
      </c>
      <c r="B359" t="s">
        <v>733</v>
      </c>
      <c r="C359" t="s">
        <v>732</v>
      </c>
      <c r="D359" t="s">
        <v>732</v>
      </c>
      <c r="E359" t="s">
        <v>1437</v>
      </c>
      <c r="F359" s="78">
        <v>0.94925925925925936</v>
      </c>
      <c r="G359" t="s">
        <v>1406</v>
      </c>
      <c r="H359" t="s">
        <v>1336</v>
      </c>
      <c r="I359" s="88" t="str">
        <f>VLOOKUP(A359,Base!A:B,2,0)</f>
        <v>08.272.509-1</v>
      </c>
      <c r="J359" s="99" t="str">
        <f>VLOOKUP(A359,Base!A:F,6,0)</f>
        <v>JORGE MANUEL  OSORIO  OSORIO</v>
      </c>
      <c r="K359" s="89" t="str">
        <f>IFERROR(IF(VLOOKUP(I359,Ingreso!K:P,6,0)=0,"Sin turtno ing",VLOOKUP(I359,Ingreso!K:P,6,0)),IF(F359&gt;0.25,IF(F359&lt;0.311805555555556,"Turno A",IF(F359&gt;0.3125,IF(F359&lt;0.354166666666667,"Turno C",IF(F359&gt;0.583333333333333,IF(F359&lt;0.625,"Turno B",IF(F359&gt;0.625694444444444,IF(F359&lt;0.8125,"Turno A",IF(F359&gt;0.875,IF(F359&lt;0.936805555555556,"Turno C",IF(F359&gt;0.9375,IF(F359&lt;0.979166666666667,"Turno B",""),"")),"")),"")),"")),"")),""))</f>
        <v>Turno B</v>
      </c>
      <c r="L359" s="91">
        <f t="shared" si="5"/>
        <v>0.3125</v>
      </c>
    </row>
    <row r="360" spans="1:12" s="40" customFormat="1">
      <c r="A360">
        <v>8272509</v>
      </c>
      <c r="B360" t="s">
        <v>733</v>
      </c>
      <c r="C360" t="s">
        <v>732</v>
      </c>
      <c r="D360" t="s">
        <v>732</v>
      </c>
      <c r="E360" t="s">
        <v>1437</v>
      </c>
      <c r="F360" s="78">
        <v>0.60692129629629632</v>
      </c>
      <c r="G360" t="s">
        <v>1405</v>
      </c>
      <c r="H360" t="s">
        <v>1335</v>
      </c>
      <c r="I360" s="88" t="str">
        <f>VLOOKUP(A360,Base!A:B,2,0)</f>
        <v>08.272.509-1</v>
      </c>
      <c r="J360" s="99" t="str">
        <f>VLOOKUP(A360,Base!A:F,6,0)</f>
        <v>JORGE MANUEL  OSORIO  OSORIO</v>
      </c>
      <c r="K360" s="89" t="str">
        <f>IFERROR(IF(VLOOKUP(I360,Ingreso!K:P,6,0)=0,"Sin turtno ing",VLOOKUP(I360,Ingreso!K:P,6,0)),IF(F360&gt;0.25,IF(F360&lt;0.311805555555556,"Turno A",IF(F360&gt;0.3125,IF(F360&lt;0.354166666666667,"Turno C",IF(F360&gt;0.583333333333333,IF(F360&lt;0.625,"Turno B",IF(F360&gt;0.625694444444444,IF(F360&lt;0.8125,"Turno A",IF(F360&gt;0.875,IF(F360&lt;0.936805555555556,"Turno C",IF(F360&gt;0.9375,IF(F360&lt;0.979166666666667,"Turno B",""),"")),"")),"")),"")),"")),""))</f>
        <v>Turno B</v>
      </c>
      <c r="L360" s="91">
        <f t="shared" si="5"/>
        <v>0.3125</v>
      </c>
    </row>
    <row r="361" spans="1:12" s="40" customFormat="1">
      <c r="A361">
        <v>8272509</v>
      </c>
      <c r="B361" t="s">
        <v>733</v>
      </c>
      <c r="C361" t="s">
        <v>732</v>
      </c>
      <c r="D361" t="s">
        <v>732</v>
      </c>
      <c r="E361" t="s">
        <v>1438</v>
      </c>
      <c r="F361" s="78">
        <v>0.95094907407407403</v>
      </c>
      <c r="G361" t="s">
        <v>1406</v>
      </c>
      <c r="H361" t="s">
        <v>1336</v>
      </c>
      <c r="I361" s="88" t="str">
        <f>VLOOKUP(A361,Base!A:B,2,0)</f>
        <v>08.272.509-1</v>
      </c>
      <c r="J361" s="99" t="str">
        <f>VLOOKUP(A361,Base!A:F,6,0)</f>
        <v>JORGE MANUEL  OSORIO  OSORIO</v>
      </c>
      <c r="K361" s="89" t="str">
        <f>IFERROR(IF(VLOOKUP(I361,Ingreso!K:P,6,0)=0,"Sin turtno ing",VLOOKUP(I361,Ingreso!K:P,6,0)),IF(F361&gt;0.25,IF(F361&lt;0.311805555555556,"Turno A",IF(F361&gt;0.3125,IF(F361&lt;0.354166666666667,"Turno C",IF(F361&gt;0.583333333333333,IF(F361&lt;0.625,"Turno B",IF(F361&gt;0.625694444444444,IF(F361&lt;0.8125,"Turno A",IF(F361&gt;0.875,IF(F361&lt;0.936805555555556,"Turno C",IF(F361&gt;0.9375,IF(F361&lt;0.979166666666667,"Turno B",""),"")),"")),"")),"")),"")),""))</f>
        <v>Turno B</v>
      </c>
      <c r="L361" s="91">
        <f t="shared" si="5"/>
        <v>0.3125</v>
      </c>
    </row>
    <row r="362" spans="1:12" s="40" customFormat="1">
      <c r="A362">
        <v>8272509</v>
      </c>
      <c r="B362" t="s">
        <v>733</v>
      </c>
      <c r="C362" t="s">
        <v>732</v>
      </c>
      <c r="D362" t="s">
        <v>732</v>
      </c>
      <c r="E362" t="s">
        <v>1438</v>
      </c>
      <c r="F362" s="78">
        <v>0.60932870370370373</v>
      </c>
      <c r="G362" t="s">
        <v>1405</v>
      </c>
      <c r="H362" t="s">
        <v>1335</v>
      </c>
      <c r="I362" s="88" t="str">
        <f>VLOOKUP(A362,Base!A:B,2,0)</f>
        <v>08.272.509-1</v>
      </c>
      <c r="J362" s="99" t="str">
        <f>VLOOKUP(A362,Base!A:F,6,0)</f>
        <v>JORGE MANUEL  OSORIO  OSORIO</v>
      </c>
      <c r="K362" s="89" t="str">
        <f>IFERROR(IF(VLOOKUP(I362,Ingreso!K:P,6,0)=0,"Sin turtno ing",VLOOKUP(I362,Ingreso!K:P,6,0)),IF(F362&gt;0.25,IF(F362&lt;0.311805555555556,"Turno A",IF(F362&gt;0.3125,IF(F362&lt;0.354166666666667,"Turno C",IF(F362&gt;0.583333333333333,IF(F362&lt;0.625,"Turno B",IF(F362&gt;0.625694444444444,IF(F362&lt;0.8125,"Turno A",IF(F362&gt;0.875,IF(F362&lt;0.936805555555556,"Turno C",IF(F362&gt;0.9375,IF(F362&lt;0.979166666666667,"Turno B",""),"")),"")),"")),"")),"")),""))</f>
        <v>Turno B</v>
      </c>
      <c r="L362" s="91">
        <f t="shared" si="5"/>
        <v>0.3125</v>
      </c>
    </row>
    <row r="363" spans="1:12" s="40" customFormat="1">
      <c r="A363">
        <v>8272509</v>
      </c>
      <c r="B363" t="s">
        <v>733</v>
      </c>
      <c r="C363" t="s">
        <v>732</v>
      </c>
      <c r="D363" t="s">
        <v>732</v>
      </c>
      <c r="E363" t="s">
        <v>1439</v>
      </c>
      <c r="F363" s="78">
        <v>0.95046296296296295</v>
      </c>
      <c r="G363" t="s">
        <v>1406</v>
      </c>
      <c r="H363" t="s">
        <v>1336</v>
      </c>
      <c r="I363" s="88" t="str">
        <f>VLOOKUP(A363,Base!A:B,2,0)</f>
        <v>08.272.509-1</v>
      </c>
      <c r="J363" s="99" t="str">
        <f>VLOOKUP(A363,Base!A:F,6,0)</f>
        <v>JORGE MANUEL  OSORIO  OSORIO</v>
      </c>
      <c r="K363" s="89" t="str">
        <f>IFERROR(IF(VLOOKUP(I363,Ingreso!K:P,6,0)=0,"Sin turtno ing",VLOOKUP(I363,Ingreso!K:P,6,0)),IF(F363&gt;0.25,IF(F363&lt;0.311805555555556,"Turno A",IF(F363&gt;0.3125,IF(F363&lt;0.354166666666667,"Turno C",IF(F363&gt;0.583333333333333,IF(F363&lt;0.625,"Turno B",IF(F363&gt;0.625694444444444,IF(F363&lt;0.8125,"Turno A",IF(F363&gt;0.875,IF(F363&lt;0.936805555555556,"Turno C",IF(F363&gt;0.9375,IF(F363&lt;0.979166666666667,"Turno B",""),"")),"")),"")),"")),"")),""))</f>
        <v>Turno B</v>
      </c>
      <c r="L363" s="91">
        <f t="shared" si="5"/>
        <v>0.3125</v>
      </c>
    </row>
    <row r="364" spans="1:12" s="40" customFormat="1">
      <c r="A364">
        <v>8272509</v>
      </c>
      <c r="B364" t="s">
        <v>733</v>
      </c>
      <c r="C364" t="s">
        <v>732</v>
      </c>
      <c r="D364" t="s">
        <v>732</v>
      </c>
      <c r="E364" t="s">
        <v>1439</v>
      </c>
      <c r="F364" s="78">
        <v>0.6074074074074074</v>
      </c>
      <c r="G364" t="s">
        <v>1405</v>
      </c>
      <c r="H364" t="s">
        <v>1335</v>
      </c>
      <c r="I364" s="88" t="str">
        <f>VLOOKUP(A364,Base!A:B,2,0)</f>
        <v>08.272.509-1</v>
      </c>
      <c r="J364" s="99" t="str">
        <f>VLOOKUP(A364,Base!A:F,6,0)</f>
        <v>JORGE MANUEL  OSORIO  OSORIO</v>
      </c>
      <c r="K364" s="89" t="str">
        <f>IFERROR(IF(VLOOKUP(I364,Ingreso!K:P,6,0)=0,"Sin turtno ing",VLOOKUP(I364,Ingreso!K:P,6,0)),IF(F364&gt;0.25,IF(F364&lt;0.311805555555556,"Turno A",IF(F364&gt;0.3125,IF(F364&lt;0.354166666666667,"Turno C",IF(F364&gt;0.583333333333333,IF(F364&lt;0.625,"Turno B",IF(F364&gt;0.625694444444444,IF(F364&lt;0.8125,"Turno A",IF(F364&gt;0.875,IF(F364&lt;0.936805555555556,"Turno C",IF(F364&gt;0.9375,IF(F364&lt;0.979166666666667,"Turno B",""),"")),"")),"")),"")),"")),""))</f>
        <v>Turno B</v>
      </c>
      <c r="L364" s="91">
        <f t="shared" si="5"/>
        <v>0.3125</v>
      </c>
    </row>
    <row r="365" spans="1:12" s="40" customFormat="1">
      <c r="A365">
        <v>8283277</v>
      </c>
      <c r="B365" t="s">
        <v>103</v>
      </c>
      <c r="C365" t="s">
        <v>90</v>
      </c>
      <c r="D365" t="s">
        <v>102</v>
      </c>
      <c r="E365" t="s">
        <v>1440</v>
      </c>
      <c r="F365" s="78">
        <v>0.73556712962962967</v>
      </c>
      <c r="G365" t="s">
        <v>1406</v>
      </c>
      <c r="H365" t="s">
        <v>1336</v>
      </c>
      <c r="I365" s="88" t="str">
        <f>VLOOKUP(A365,Base!A:B,2,0)</f>
        <v>08.283.277-7</v>
      </c>
      <c r="J365" s="99" t="str">
        <f>VLOOKUP(A365,Base!A:F,6,0)</f>
        <v>LEONARDO ALFREDO  ARANCIBIA  VILLARROEL</v>
      </c>
      <c r="K365" s="89" t="str">
        <f>IFERROR(IF(VLOOKUP(I365,Ingreso!K:P,6,0)=0,"Sin turtno ing",VLOOKUP(I365,Ingreso!K:P,6,0)),IF(F365&gt;0.25,IF(F365&lt;0.311805555555556,"Turno A",IF(F365&gt;0.3125,IF(F365&lt;0.354166666666667,"Turno C",IF(F365&gt;0.583333333333333,IF(F365&lt;0.625,"Turno B",IF(F365&gt;0.625694444444444,IF(F365&lt;0.8125,"Turno A",IF(F365&gt;0.875,IF(F365&lt;0.936805555555556,"Turno C",IF(F365&gt;0.9375,IF(F365&lt;0.979166666666667,"Turno B",""),"")),"")),"")),"")),"")),""))</f>
        <v>Sin turtno ing</v>
      </c>
      <c r="L365" s="91" t="e">
        <f t="shared" si="5"/>
        <v>#N/A</v>
      </c>
    </row>
    <row r="366" spans="1:12" s="40" customFormat="1">
      <c r="A366">
        <v>8283277</v>
      </c>
      <c r="B366" t="s">
        <v>103</v>
      </c>
      <c r="C366" t="s">
        <v>90</v>
      </c>
      <c r="D366" t="s">
        <v>102</v>
      </c>
      <c r="E366" t="s">
        <v>1440</v>
      </c>
      <c r="F366" s="78">
        <v>0.30408564814814815</v>
      </c>
      <c r="G366" t="s">
        <v>1405</v>
      </c>
      <c r="H366" t="s">
        <v>1335</v>
      </c>
      <c r="I366" s="88" t="str">
        <f>VLOOKUP(A366,Base!A:B,2,0)</f>
        <v>08.283.277-7</v>
      </c>
      <c r="J366" s="99" t="str">
        <f>VLOOKUP(A366,Base!A:F,6,0)</f>
        <v>LEONARDO ALFREDO  ARANCIBIA  VILLARROEL</v>
      </c>
      <c r="K366" s="89" t="str">
        <f>IFERROR(IF(VLOOKUP(I366,Ingreso!K:P,6,0)=0,"Sin turtno ing",VLOOKUP(I366,Ingreso!K:P,6,0)),IF(F366&gt;0.25,IF(F366&lt;0.311805555555556,"Turno A",IF(F366&gt;0.3125,IF(F366&lt;0.354166666666667,"Turno C",IF(F366&gt;0.583333333333333,IF(F366&lt;0.625,"Turno B",IF(F366&gt;0.625694444444444,IF(F366&lt;0.8125,"Turno A",IF(F366&gt;0.875,IF(F366&lt;0.936805555555556,"Turno C",IF(F366&gt;0.9375,IF(F366&lt;0.979166666666667,"Turno B",""),"")),"")),"")),"")),"")),""))</f>
        <v>Sin turtno ing</v>
      </c>
      <c r="L366" s="91" t="e">
        <f t="shared" si="5"/>
        <v>#N/A</v>
      </c>
    </row>
    <row r="367" spans="1:12" s="40" customFormat="1">
      <c r="A367">
        <v>8283277</v>
      </c>
      <c r="B367" t="s">
        <v>103</v>
      </c>
      <c r="C367" t="s">
        <v>90</v>
      </c>
      <c r="D367" t="s">
        <v>102</v>
      </c>
      <c r="E367" t="s">
        <v>1441</v>
      </c>
      <c r="F367" s="78">
        <v>0.63984953703703706</v>
      </c>
      <c r="G367" t="s">
        <v>1406</v>
      </c>
      <c r="H367" t="s">
        <v>1336</v>
      </c>
      <c r="I367" s="88" t="str">
        <f>VLOOKUP(A367,Base!A:B,2,0)</f>
        <v>08.283.277-7</v>
      </c>
      <c r="J367" s="99" t="str">
        <f>VLOOKUP(A367,Base!A:F,6,0)</f>
        <v>LEONARDO ALFREDO  ARANCIBIA  VILLARROEL</v>
      </c>
      <c r="K367" s="89" t="str">
        <f>IFERROR(IF(VLOOKUP(I367,Ingreso!K:P,6,0)=0,"Sin turtno ing",VLOOKUP(I367,Ingreso!K:P,6,0)),IF(F367&gt;0.25,IF(F367&lt;0.311805555555556,"Turno A",IF(F367&gt;0.3125,IF(F367&lt;0.354166666666667,"Turno C",IF(F367&gt;0.583333333333333,IF(F367&lt;0.625,"Turno B",IF(F367&gt;0.625694444444444,IF(F367&lt;0.8125,"Turno A",IF(F367&gt;0.875,IF(F367&lt;0.936805555555556,"Turno C",IF(F367&gt;0.9375,IF(F367&lt;0.979166666666667,"Turno B",""),"")),"")),"")),"")),"")),""))</f>
        <v>Sin turtno ing</v>
      </c>
      <c r="L367" s="91" t="e">
        <f t="shared" si="5"/>
        <v>#N/A</v>
      </c>
    </row>
    <row r="368" spans="1:12" s="40" customFormat="1">
      <c r="A368">
        <v>8283277</v>
      </c>
      <c r="B368" t="s">
        <v>103</v>
      </c>
      <c r="C368" t="s">
        <v>90</v>
      </c>
      <c r="D368" t="s">
        <v>102</v>
      </c>
      <c r="E368" t="s">
        <v>1441</v>
      </c>
      <c r="F368" s="78">
        <v>0.29217592592592595</v>
      </c>
      <c r="G368" t="s">
        <v>1405</v>
      </c>
      <c r="H368" t="s">
        <v>1335</v>
      </c>
      <c r="I368" s="88" t="str">
        <f>VLOOKUP(A368,Base!A:B,2,0)</f>
        <v>08.283.277-7</v>
      </c>
      <c r="J368" s="99" t="str">
        <f>VLOOKUP(A368,Base!A:F,6,0)</f>
        <v>LEONARDO ALFREDO  ARANCIBIA  VILLARROEL</v>
      </c>
      <c r="K368" s="89" t="str">
        <f>IFERROR(IF(VLOOKUP(I368,Ingreso!K:P,6,0)=0,"Sin turtno ing",VLOOKUP(I368,Ingreso!K:P,6,0)),IF(F368&gt;0.25,IF(F368&lt;0.311805555555556,"Turno A",IF(F368&gt;0.3125,IF(F368&lt;0.354166666666667,"Turno C",IF(F368&gt;0.583333333333333,IF(F368&lt;0.625,"Turno B",IF(F368&gt;0.625694444444444,IF(F368&lt;0.8125,"Turno A",IF(F368&gt;0.875,IF(F368&lt;0.936805555555556,"Turno C",IF(F368&gt;0.9375,IF(F368&lt;0.979166666666667,"Turno B",""),"")),"")),"")),"")),"")),""))</f>
        <v>Sin turtno ing</v>
      </c>
      <c r="L368" s="91" t="e">
        <f t="shared" si="5"/>
        <v>#N/A</v>
      </c>
    </row>
    <row r="369" spans="1:12" s="40" customFormat="1">
      <c r="A369">
        <v>8283277</v>
      </c>
      <c r="B369" t="s">
        <v>103</v>
      </c>
      <c r="C369" t="s">
        <v>90</v>
      </c>
      <c r="D369" t="s">
        <v>102</v>
      </c>
      <c r="E369" t="s">
        <v>1437</v>
      </c>
      <c r="F369" s="78">
        <v>0.73663194444444446</v>
      </c>
      <c r="G369" t="s">
        <v>1406</v>
      </c>
      <c r="H369" t="s">
        <v>1336</v>
      </c>
      <c r="I369" s="88" t="str">
        <f>VLOOKUP(A369,Base!A:B,2,0)</f>
        <v>08.283.277-7</v>
      </c>
      <c r="J369" s="99" t="str">
        <f>VLOOKUP(A369,Base!A:F,6,0)</f>
        <v>LEONARDO ALFREDO  ARANCIBIA  VILLARROEL</v>
      </c>
      <c r="K369" s="89" t="str">
        <f>IFERROR(IF(VLOOKUP(I369,Ingreso!K:P,6,0)=0,"Sin turtno ing",VLOOKUP(I369,Ingreso!K:P,6,0)),IF(F369&gt;0.25,IF(F369&lt;0.311805555555556,"Turno A",IF(F369&gt;0.3125,IF(F369&lt;0.354166666666667,"Turno C",IF(F369&gt;0.583333333333333,IF(F369&lt;0.625,"Turno B",IF(F369&gt;0.625694444444444,IF(F369&lt;0.8125,"Turno A",IF(F369&gt;0.875,IF(F369&lt;0.936805555555556,"Turno C",IF(F369&gt;0.9375,IF(F369&lt;0.979166666666667,"Turno B",""),"")),"")),"")),"")),"")),""))</f>
        <v>Sin turtno ing</v>
      </c>
      <c r="L369" s="91" t="e">
        <f t="shared" si="5"/>
        <v>#N/A</v>
      </c>
    </row>
    <row r="370" spans="1:12" s="40" customFormat="1">
      <c r="A370">
        <v>8283277</v>
      </c>
      <c r="B370" t="s">
        <v>103</v>
      </c>
      <c r="C370" t="s">
        <v>90</v>
      </c>
      <c r="D370" t="s">
        <v>102</v>
      </c>
      <c r="E370" t="s">
        <v>1437</v>
      </c>
      <c r="F370" s="78">
        <v>0.29707175925925927</v>
      </c>
      <c r="G370" t="s">
        <v>1405</v>
      </c>
      <c r="H370" t="s">
        <v>1335</v>
      </c>
      <c r="I370" s="88" t="str">
        <f>VLOOKUP(A370,Base!A:B,2,0)</f>
        <v>08.283.277-7</v>
      </c>
      <c r="J370" s="99" t="str">
        <f>VLOOKUP(A370,Base!A:F,6,0)</f>
        <v>LEONARDO ALFREDO  ARANCIBIA  VILLARROEL</v>
      </c>
      <c r="K370" s="89" t="str">
        <f>IFERROR(IF(VLOOKUP(I370,Ingreso!K:P,6,0)=0,"Sin turtno ing",VLOOKUP(I370,Ingreso!K:P,6,0)),IF(F370&gt;0.25,IF(F370&lt;0.311805555555556,"Turno A",IF(F370&gt;0.3125,IF(F370&lt;0.354166666666667,"Turno C",IF(F370&gt;0.583333333333333,IF(F370&lt;0.625,"Turno B",IF(F370&gt;0.625694444444444,IF(F370&lt;0.8125,"Turno A",IF(F370&gt;0.875,IF(F370&lt;0.936805555555556,"Turno C",IF(F370&gt;0.9375,IF(F370&lt;0.979166666666667,"Turno B",""),"")),"")),"")),"")),"")),""))</f>
        <v>Sin turtno ing</v>
      </c>
      <c r="L370" s="91" t="e">
        <f t="shared" si="5"/>
        <v>#N/A</v>
      </c>
    </row>
    <row r="371" spans="1:12" s="40" customFormat="1">
      <c r="A371">
        <v>8283277</v>
      </c>
      <c r="B371" t="s">
        <v>103</v>
      </c>
      <c r="C371" t="s">
        <v>90</v>
      </c>
      <c r="D371" t="s">
        <v>102</v>
      </c>
      <c r="E371" t="s">
        <v>1438</v>
      </c>
      <c r="F371" s="78">
        <v>0.74854166666666666</v>
      </c>
      <c r="G371" t="s">
        <v>1406</v>
      </c>
      <c r="H371" t="s">
        <v>1336</v>
      </c>
      <c r="I371" s="88" t="str">
        <f>VLOOKUP(A371,Base!A:B,2,0)</f>
        <v>08.283.277-7</v>
      </c>
      <c r="J371" s="99" t="str">
        <f>VLOOKUP(A371,Base!A:F,6,0)</f>
        <v>LEONARDO ALFREDO  ARANCIBIA  VILLARROEL</v>
      </c>
      <c r="K371" s="89" t="str">
        <f>IFERROR(IF(VLOOKUP(I371,Ingreso!K:P,6,0)=0,"Sin turtno ing",VLOOKUP(I371,Ingreso!K:P,6,0)),IF(F371&gt;0.25,IF(F371&lt;0.311805555555556,"Turno A",IF(F371&gt;0.3125,IF(F371&lt;0.354166666666667,"Turno C",IF(F371&gt;0.583333333333333,IF(F371&lt;0.625,"Turno B",IF(F371&gt;0.625694444444444,IF(F371&lt;0.8125,"Turno A",IF(F371&gt;0.875,IF(F371&lt;0.936805555555556,"Turno C",IF(F371&gt;0.9375,IF(F371&lt;0.979166666666667,"Turno B",""),"")),"")),"")),"")),"")),""))</f>
        <v>Sin turtno ing</v>
      </c>
      <c r="L371" s="91" t="e">
        <f t="shared" si="5"/>
        <v>#N/A</v>
      </c>
    </row>
    <row r="372" spans="1:12" s="40" customFormat="1">
      <c r="A372">
        <v>8283277</v>
      </c>
      <c r="B372" t="s">
        <v>103</v>
      </c>
      <c r="C372" t="s">
        <v>90</v>
      </c>
      <c r="D372" t="s">
        <v>102</v>
      </c>
      <c r="E372" t="s">
        <v>1438</v>
      </c>
      <c r="F372" s="78">
        <v>0.30163194444444447</v>
      </c>
      <c r="G372" t="s">
        <v>1405</v>
      </c>
      <c r="H372" t="s">
        <v>1335</v>
      </c>
      <c r="I372" s="88" t="str">
        <f>VLOOKUP(A372,Base!A:B,2,0)</f>
        <v>08.283.277-7</v>
      </c>
      <c r="J372" s="99" t="str">
        <f>VLOOKUP(A372,Base!A:F,6,0)</f>
        <v>LEONARDO ALFREDO  ARANCIBIA  VILLARROEL</v>
      </c>
      <c r="K372" s="89" t="str">
        <f>IFERROR(IF(VLOOKUP(I372,Ingreso!K:P,6,0)=0,"Sin turtno ing",VLOOKUP(I372,Ingreso!K:P,6,0)),IF(F372&gt;0.25,IF(F372&lt;0.311805555555556,"Turno A",IF(F372&gt;0.3125,IF(F372&lt;0.354166666666667,"Turno C",IF(F372&gt;0.583333333333333,IF(F372&lt;0.625,"Turno B",IF(F372&gt;0.625694444444444,IF(F372&lt;0.8125,"Turno A",IF(F372&gt;0.875,IF(F372&lt;0.936805555555556,"Turno C",IF(F372&gt;0.9375,IF(F372&lt;0.979166666666667,"Turno B",""),"")),"")),"")),"")),"")),""))</f>
        <v>Sin turtno ing</v>
      </c>
      <c r="L372" s="91" t="e">
        <f t="shared" si="5"/>
        <v>#N/A</v>
      </c>
    </row>
    <row r="373" spans="1:12" s="40" customFormat="1">
      <c r="A373">
        <v>8283277</v>
      </c>
      <c r="B373" t="s">
        <v>103</v>
      </c>
      <c r="C373" t="s">
        <v>90</v>
      </c>
      <c r="D373" t="s">
        <v>102</v>
      </c>
      <c r="E373" t="s">
        <v>1439</v>
      </c>
      <c r="F373" s="78">
        <v>0.73686342592592602</v>
      </c>
      <c r="G373" t="s">
        <v>1406</v>
      </c>
      <c r="H373" t="s">
        <v>1336</v>
      </c>
      <c r="I373" s="88" t="str">
        <f>VLOOKUP(A373,Base!A:B,2,0)</f>
        <v>08.283.277-7</v>
      </c>
      <c r="J373" s="99" t="str">
        <f>VLOOKUP(A373,Base!A:F,6,0)</f>
        <v>LEONARDO ALFREDO  ARANCIBIA  VILLARROEL</v>
      </c>
      <c r="K373" s="89" t="str">
        <f>IFERROR(IF(VLOOKUP(I373,Ingreso!K:P,6,0)=0,"Sin turtno ing",VLOOKUP(I373,Ingreso!K:P,6,0)),IF(F373&gt;0.25,IF(F373&lt;0.311805555555556,"Turno A",IF(F373&gt;0.3125,IF(F373&lt;0.354166666666667,"Turno C",IF(F373&gt;0.583333333333333,IF(F373&lt;0.625,"Turno B",IF(F373&gt;0.625694444444444,IF(F373&lt;0.8125,"Turno A",IF(F373&gt;0.875,IF(F373&lt;0.936805555555556,"Turno C",IF(F373&gt;0.9375,IF(F373&lt;0.979166666666667,"Turno B",""),"")),"")),"")),"")),"")),""))</f>
        <v>Sin turtno ing</v>
      </c>
      <c r="L373" s="91" t="e">
        <f t="shared" si="5"/>
        <v>#N/A</v>
      </c>
    </row>
    <row r="374" spans="1:12" s="40" customFormat="1">
      <c r="A374">
        <v>8283277</v>
      </c>
      <c r="B374" t="s">
        <v>103</v>
      </c>
      <c r="C374" t="s">
        <v>90</v>
      </c>
      <c r="D374" t="s">
        <v>102</v>
      </c>
      <c r="E374" t="s">
        <v>1439</v>
      </c>
      <c r="F374" s="78">
        <v>0.30192129629629633</v>
      </c>
      <c r="G374" t="s">
        <v>1405</v>
      </c>
      <c r="H374" t="s">
        <v>1335</v>
      </c>
      <c r="I374" s="88" t="str">
        <f>VLOOKUP(A374,Base!A:B,2,0)</f>
        <v>08.283.277-7</v>
      </c>
      <c r="J374" s="99" t="str">
        <f>VLOOKUP(A374,Base!A:F,6,0)</f>
        <v>LEONARDO ALFREDO  ARANCIBIA  VILLARROEL</v>
      </c>
      <c r="K374" s="89" t="str">
        <f>IFERROR(IF(VLOOKUP(I374,Ingreso!K:P,6,0)=0,"Sin turtno ing",VLOOKUP(I374,Ingreso!K:P,6,0)),IF(F374&gt;0.25,IF(F374&lt;0.311805555555556,"Turno A",IF(F374&gt;0.3125,IF(F374&lt;0.354166666666667,"Turno C",IF(F374&gt;0.583333333333333,IF(F374&lt;0.625,"Turno B",IF(F374&gt;0.625694444444444,IF(F374&lt;0.8125,"Turno A",IF(F374&gt;0.875,IF(F374&lt;0.936805555555556,"Turno C",IF(F374&gt;0.9375,IF(F374&lt;0.979166666666667,"Turno B",""),"")),"")),"")),"")),"")),""))</f>
        <v>Sin turtno ing</v>
      </c>
      <c r="L374" s="91" t="e">
        <f t="shared" si="5"/>
        <v>#N/A</v>
      </c>
    </row>
    <row r="375" spans="1:12" s="40" customFormat="1">
      <c r="A375">
        <v>8332629</v>
      </c>
      <c r="B375" t="s">
        <v>121</v>
      </c>
      <c r="C375" t="s">
        <v>120</v>
      </c>
      <c r="D375" t="s">
        <v>17</v>
      </c>
      <c r="E375" t="s">
        <v>1440</v>
      </c>
      <c r="F375" s="78">
        <v>0.31324074074074076</v>
      </c>
      <c r="G375" t="s">
        <v>1406</v>
      </c>
      <c r="H375" t="s">
        <v>1336</v>
      </c>
      <c r="I375" s="88" t="str">
        <f>VLOOKUP(A375,Base!A:B,2,0)</f>
        <v>08.332.629-8</v>
      </c>
      <c r="J375" s="99" t="str">
        <f>VLOOKUP(A375,Base!A:F,6,0)</f>
        <v>JUAN  ARRIAGADA  JARA</v>
      </c>
      <c r="K375" s="89" t="str">
        <f>IFERROR(IF(VLOOKUP(I375,Ingreso!K:P,6,0)=0,"Sin turtno ing",VLOOKUP(I375,Ingreso!K:P,6,0)),IF(F375&gt;0.25,IF(F375&lt;0.311805555555556,"Turno A",IF(F375&gt;0.3125,IF(F375&lt;0.354166666666667,"Turno C",IF(F375&gt;0.583333333333333,IF(F375&lt;0.625,"Turno B",IF(F375&gt;0.625694444444444,IF(F375&lt;0.8125,"Turno A",IF(F375&gt;0.875,IF(F375&lt;0.936805555555556,"Turno C",IF(F375&gt;0.9375,IF(F375&lt;0.979166666666667,"Turno B",""),"")),"")),"")),"")),"")),""))</f>
        <v>Turno C</v>
      </c>
      <c r="L375" s="91">
        <f t="shared" si="5"/>
        <v>0.375</v>
      </c>
    </row>
    <row r="376" spans="1:12" s="40" customFormat="1">
      <c r="A376">
        <v>8332629</v>
      </c>
      <c r="B376" t="s">
        <v>121</v>
      </c>
      <c r="C376" t="s">
        <v>120</v>
      </c>
      <c r="D376" t="s">
        <v>17</v>
      </c>
      <c r="E376" t="s">
        <v>1440</v>
      </c>
      <c r="F376" s="78">
        <v>0.91995370370370377</v>
      </c>
      <c r="G376" t="s">
        <v>1405</v>
      </c>
      <c r="H376" t="s">
        <v>1335</v>
      </c>
      <c r="I376" s="88" t="str">
        <f>VLOOKUP(A376,Base!A:B,2,0)</f>
        <v>08.332.629-8</v>
      </c>
      <c r="J376" s="99" t="str">
        <f>VLOOKUP(A376,Base!A:F,6,0)</f>
        <v>JUAN  ARRIAGADA  JARA</v>
      </c>
      <c r="K376" s="89" t="str">
        <f>IFERROR(IF(VLOOKUP(I376,Ingreso!K:P,6,0)=0,"Sin turtno ing",VLOOKUP(I376,Ingreso!K:P,6,0)),IF(F376&gt;0.25,IF(F376&lt;0.311805555555556,"Turno A",IF(F376&gt;0.3125,IF(F376&lt;0.354166666666667,"Turno C",IF(F376&gt;0.583333333333333,IF(F376&lt;0.625,"Turno B",IF(F376&gt;0.625694444444444,IF(F376&lt;0.8125,"Turno A",IF(F376&gt;0.875,IF(F376&lt;0.936805555555556,"Turno C",IF(F376&gt;0.9375,IF(F376&lt;0.979166666666667,"Turno B",""),"")),"")),"")),"")),"")),""))</f>
        <v>Turno C</v>
      </c>
      <c r="L376" s="91">
        <f t="shared" si="5"/>
        <v>0.375</v>
      </c>
    </row>
    <row r="377" spans="1:12" s="40" customFormat="1">
      <c r="A377">
        <v>8332629</v>
      </c>
      <c r="B377" t="s">
        <v>121</v>
      </c>
      <c r="C377" t="s">
        <v>120</v>
      </c>
      <c r="D377" t="s">
        <v>17</v>
      </c>
      <c r="E377" t="s">
        <v>1441</v>
      </c>
      <c r="F377" s="78">
        <v>0.31672453703703701</v>
      </c>
      <c r="G377" t="s">
        <v>1406</v>
      </c>
      <c r="H377" t="s">
        <v>1336</v>
      </c>
      <c r="I377" s="88" t="str">
        <f>VLOOKUP(A377,Base!A:B,2,0)</f>
        <v>08.332.629-8</v>
      </c>
      <c r="J377" s="99" t="str">
        <f>VLOOKUP(A377,Base!A:F,6,0)</f>
        <v>JUAN  ARRIAGADA  JARA</v>
      </c>
      <c r="K377" s="89" t="str">
        <f>IFERROR(IF(VLOOKUP(I377,Ingreso!K:P,6,0)=0,"Sin turtno ing",VLOOKUP(I377,Ingreso!K:P,6,0)),IF(F377&gt;0.25,IF(F377&lt;0.311805555555556,"Turno A",IF(F377&gt;0.3125,IF(F377&lt;0.354166666666667,"Turno C",IF(F377&gt;0.583333333333333,IF(F377&lt;0.625,"Turno B",IF(F377&gt;0.625694444444444,IF(F377&lt;0.8125,"Turno A",IF(F377&gt;0.875,IF(F377&lt;0.936805555555556,"Turno C",IF(F377&gt;0.9375,IF(F377&lt;0.979166666666667,"Turno B",""),"")),"")),"")),"")),"")),""))</f>
        <v>Turno C</v>
      </c>
      <c r="L377" s="91">
        <f t="shared" si="5"/>
        <v>0.375</v>
      </c>
    </row>
    <row r="378" spans="1:12" s="40" customFormat="1">
      <c r="A378">
        <v>8332629</v>
      </c>
      <c r="B378" t="s">
        <v>121</v>
      </c>
      <c r="C378" t="s">
        <v>120</v>
      </c>
      <c r="D378" t="s">
        <v>17</v>
      </c>
      <c r="E378" t="s">
        <v>1437</v>
      </c>
      <c r="F378" s="78">
        <v>0.91782407407407407</v>
      </c>
      <c r="G378" t="s">
        <v>1405</v>
      </c>
      <c r="H378" t="s">
        <v>1335</v>
      </c>
      <c r="I378" s="88" t="str">
        <f>VLOOKUP(A378,Base!A:B,2,0)</f>
        <v>08.332.629-8</v>
      </c>
      <c r="J378" s="99" t="str">
        <f>VLOOKUP(A378,Base!A:F,6,0)</f>
        <v>JUAN  ARRIAGADA  JARA</v>
      </c>
      <c r="K378" s="89" t="str">
        <f>IFERROR(IF(VLOOKUP(I378,Ingreso!K:P,6,0)=0,"Sin turtno ing",VLOOKUP(I378,Ingreso!K:P,6,0)),IF(F378&gt;0.25,IF(F378&lt;0.311805555555556,"Turno A",IF(F378&gt;0.3125,IF(F378&lt;0.354166666666667,"Turno C",IF(F378&gt;0.583333333333333,IF(F378&lt;0.625,"Turno B",IF(F378&gt;0.625694444444444,IF(F378&lt;0.8125,"Turno A",IF(F378&gt;0.875,IF(F378&lt;0.936805555555556,"Turno C",IF(F378&gt;0.9375,IF(F378&lt;0.979166666666667,"Turno B",""),"")),"")),"")),"")),"")),""))</f>
        <v>Turno C</v>
      </c>
      <c r="L378" s="91">
        <f t="shared" si="5"/>
        <v>0.375</v>
      </c>
    </row>
    <row r="379" spans="1:12" s="40" customFormat="1">
      <c r="A379">
        <v>8332629</v>
      </c>
      <c r="B379" t="s">
        <v>121</v>
      </c>
      <c r="C379" t="s">
        <v>120</v>
      </c>
      <c r="D379" t="s">
        <v>17</v>
      </c>
      <c r="E379" t="s">
        <v>1438</v>
      </c>
      <c r="F379" s="78">
        <v>0.31253472222222223</v>
      </c>
      <c r="G379" t="s">
        <v>1406</v>
      </c>
      <c r="H379" t="s">
        <v>1336</v>
      </c>
      <c r="I379" s="88" t="str">
        <f>VLOOKUP(A379,Base!A:B,2,0)</f>
        <v>08.332.629-8</v>
      </c>
      <c r="J379" s="99" t="str">
        <f>VLOOKUP(A379,Base!A:F,6,0)</f>
        <v>JUAN  ARRIAGADA  JARA</v>
      </c>
      <c r="K379" s="89" t="str">
        <f>IFERROR(IF(VLOOKUP(I379,Ingreso!K:P,6,0)=0,"Sin turtno ing",VLOOKUP(I379,Ingreso!K:P,6,0)),IF(F379&gt;0.25,IF(F379&lt;0.311805555555556,"Turno A",IF(F379&gt;0.3125,IF(F379&lt;0.354166666666667,"Turno C",IF(F379&gt;0.583333333333333,IF(F379&lt;0.625,"Turno B",IF(F379&gt;0.625694444444444,IF(F379&lt;0.8125,"Turno A",IF(F379&gt;0.875,IF(F379&lt;0.936805555555556,"Turno C",IF(F379&gt;0.9375,IF(F379&lt;0.979166666666667,"Turno B",""),"")),"")),"")),"")),"")),""))</f>
        <v>Turno C</v>
      </c>
      <c r="L379" s="91">
        <f t="shared" si="5"/>
        <v>0.375</v>
      </c>
    </row>
    <row r="380" spans="1:12" s="40" customFormat="1">
      <c r="A380">
        <v>8332629</v>
      </c>
      <c r="B380" t="s">
        <v>121</v>
      </c>
      <c r="C380" t="s">
        <v>120</v>
      </c>
      <c r="D380" t="s">
        <v>17</v>
      </c>
      <c r="E380" t="s">
        <v>1438</v>
      </c>
      <c r="F380" s="78">
        <v>0.94</v>
      </c>
      <c r="G380" t="s">
        <v>1405</v>
      </c>
      <c r="H380" t="s">
        <v>1335</v>
      </c>
      <c r="I380" s="88" t="str">
        <f>VLOOKUP(A380,Base!A:B,2,0)</f>
        <v>08.332.629-8</v>
      </c>
      <c r="J380" s="99" t="str">
        <f>VLOOKUP(A380,Base!A:F,6,0)</f>
        <v>JUAN  ARRIAGADA  JARA</v>
      </c>
      <c r="K380" s="89" t="str">
        <f>IFERROR(IF(VLOOKUP(I380,Ingreso!K:P,6,0)=0,"Sin turtno ing",VLOOKUP(I380,Ingreso!K:P,6,0)),IF(F380&gt;0.25,IF(F380&lt;0.311805555555556,"Turno A",IF(F380&gt;0.3125,IF(F380&lt;0.354166666666667,"Turno C",IF(F380&gt;0.583333333333333,IF(F380&lt;0.625,"Turno B",IF(F380&gt;0.625694444444444,IF(F380&lt;0.8125,"Turno A",IF(F380&gt;0.875,IF(F380&lt;0.936805555555556,"Turno C",IF(F380&gt;0.9375,IF(F380&lt;0.979166666666667,"Turno B",""),"")),"")),"")),"")),"")),""))</f>
        <v>Turno B</v>
      </c>
      <c r="L380" s="91">
        <f t="shared" si="5"/>
        <v>0.3125</v>
      </c>
    </row>
    <row r="381" spans="1:12" s="40" customFormat="1">
      <c r="A381">
        <v>8332629</v>
      </c>
      <c r="B381" t="s">
        <v>121</v>
      </c>
      <c r="C381" t="s">
        <v>120</v>
      </c>
      <c r="D381" t="s">
        <v>17</v>
      </c>
      <c r="E381" t="s">
        <v>1439</v>
      </c>
      <c r="F381" s="78">
        <v>0.31265046296296295</v>
      </c>
      <c r="G381" t="s">
        <v>1406</v>
      </c>
      <c r="H381" t="s">
        <v>1336</v>
      </c>
      <c r="I381" s="88" t="str">
        <f>VLOOKUP(A381,Base!A:B,2,0)</f>
        <v>08.332.629-8</v>
      </c>
      <c r="J381" s="99" t="str">
        <f>VLOOKUP(A381,Base!A:F,6,0)</f>
        <v>JUAN  ARRIAGADA  JARA</v>
      </c>
      <c r="K381" s="89" t="str">
        <f>IFERROR(IF(VLOOKUP(I381,Ingreso!K:P,6,0)=0,"Sin turtno ing",VLOOKUP(I381,Ingreso!K:P,6,0)),IF(F381&gt;0.25,IF(F381&lt;0.311805555555556,"Turno A",IF(F381&gt;0.3125,IF(F381&lt;0.354166666666667,"Turno C",IF(F381&gt;0.583333333333333,IF(F381&lt;0.625,"Turno B",IF(F381&gt;0.625694444444444,IF(F381&lt;0.8125,"Turno A",IF(F381&gt;0.875,IF(F381&lt;0.936805555555556,"Turno C",IF(F381&gt;0.9375,IF(F381&lt;0.979166666666667,"Turno B",""),"")),"")),"")),"")),"")),""))</f>
        <v>Turno C</v>
      </c>
      <c r="L381" s="91">
        <f t="shared" si="5"/>
        <v>0.375</v>
      </c>
    </row>
    <row r="382" spans="1:12" s="40" customFormat="1">
      <c r="A382">
        <v>8332629</v>
      </c>
      <c r="B382" t="s">
        <v>121</v>
      </c>
      <c r="C382" t="s">
        <v>120</v>
      </c>
      <c r="D382" t="s">
        <v>17</v>
      </c>
      <c r="E382" t="s">
        <v>1439</v>
      </c>
      <c r="F382" s="78">
        <v>0.91758101851851848</v>
      </c>
      <c r="G382" t="s">
        <v>1405</v>
      </c>
      <c r="H382" t="s">
        <v>1335</v>
      </c>
      <c r="I382" s="88" t="str">
        <f>VLOOKUP(A382,Base!A:B,2,0)</f>
        <v>08.332.629-8</v>
      </c>
      <c r="J382" s="99" t="str">
        <f>VLOOKUP(A382,Base!A:F,6,0)</f>
        <v>JUAN  ARRIAGADA  JARA</v>
      </c>
      <c r="K382" s="89" t="str">
        <f>IFERROR(IF(VLOOKUP(I382,Ingreso!K:P,6,0)=0,"Sin turtno ing",VLOOKUP(I382,Ingreso!K:P,6,0)),IF(F382&gt;0.25,IF(F382&lt;0.311805555555556,"Turno A",IF(F382&gt;0.3125,IF(F382&lt;0.354166666666667,"Turno C",IF(F382&gt;0.583333333333333,IF(F382&lt;0.625,"Turno B",IF(F382&gt;0.625694444444444,IF(F382&lt;0.8125,"Turno A",IF(F382&gt;0.875,IF(F382&lt;0.936805555555556,"Turno C",IF(F382&gt;0.9375,IF(F382&lt;0.979166666666667,"Turno B",""),"")),"")),"")),"")),"")),""))</f>
        <v>Turno C</v>
      </c>
      <c r="L382" s="91">
        <f t="shared" si="5"/>
        <v>0.375</v>
      </c>
    </row>
    <row r="383" spans="1:12" s="40" customFormat="1">
      <c r="A383">
        <v>8360971</v>
      </c>
      <c r="B383" t="s">
        <v>221</v>
      </c>
      <c r="C383" t="s">
        <v>219</v>
      </c>
      <c r="D383" t="s">
        <v>220</v>
      </c>
      <c r="E383" t="s">
        <v>1440</v>
      </c>
      <c r="F383" s="78">
        <v>0.64200231481481485</v>
      </c>
      <c r="G383" t="s">
        <v>1406</v>
      </c>
      <c r="H383" t="s">
        <v>1336</v>
      </c>
      <c r="I383" s="88" t="str">
        <f>VLOOKUP(A383,Base!A:B,2,0)</f>
        <v>08.360.971-0</v>
      </c>
      <c r="J383" s="99" t="str">
        <f>VLOOKUP(A383,Base!A:F,6,0)</f>
        <v>PACIFICO  CARRERA  MAUREIRA</v>
      </c>
      <c r="K383" s="89" t="str">
        <f>IFERROR(IF(VLOOKUP(I383,Ingreso!K:P,6,0)=0,"Sin turtno ing",VLOOKUP(I383,Ingreso!K:P,6,0)),IF(F383&gt;0.25,IF(F383&lt;0.311805555555556,"Turno A",IF(F383&gt;0.3125,IF(F383&lt;0.354166666666667,"Turno C",IF(F383&gt;0.583333333333333,IF(F383&lt;0.625,"Turno B",IF(F383&gt;0.625694444444444,IF(F383&lt;0.8125,"Turno A",IF(F383&gt;0.875,IF(F383&lt;0.936805555555556,"Turno C",IF(F383&gt;0.9375,IF(F383&lt;0.979166666666667,"Turno B",""),"")),"")),"")),"")),"")),""))</f>
        <v>Turno A</v>
      </c>
      <c r="L383" s="91">
        <f t="shared" si="5"/>
        <v>0.3125</v>
      </c>
    </row>
    <row r="384" spans="1:12" s="40" customFormat="1">
      <c r="A384">
        <v>8360971</v>
      </c>
      <c r="B384" t="s">
        <v>221</v>
      </c>
      <c r="C384" t="s">
        <v>219</v>
      </c>
      <c r="D384" t="s">
        <v>220</v>
      </c>
      <c r="E384" t="s">
        <v>1440</v>
      </c>
      <c r="F384" s="78">
        <v>0.29894675925925923</v>
      </c>
      <c r="G384" t="s">
        <v>1405</v>
      </c>
      <c r="H384" t="s">
        <v>1335</v>
      </c>
      <c r="I384" s="88" t="str">
        <f>VLOOKUP(A384,Base!A:B,2,0)</f>
        <v>08.360.971-0</v>
      </c>
      <c r="J384" s="99" t="str">
        <f>VLOOKUP(A384,Base!A:F,6,0)</f>
        <v>PACIFICO  CARRERA  MAUREIRA</v>
      </c>
      <c r="K384" s="89" t="str">
        <f>IFERROR(IF(VLOOKUP(I384,Ingreso!K:P,6,0)=0,"Sin turtno ing",VLOOKUP(I384,Ingreso!K:P,6,0)),IF(F384&gt;0.25,IF(F384&lt;0.311805555555556,"Turno A",IF(F384&gt;0.3125,IF(F384&lt;0.354166666666667,"Turno C",IF(F384&gt;0.583333333333333,IF(F384&lt;0.625,"Turno B",IF(F384&gt;0.625694444444444,IF(F384&lt;0.8125,"Turno A",IF(F384&gt;0.875,IF(F384&lt;0.936805555555556,"Turno C",IF(F384&gt;0.9375,IF(F384&lt;0.979166666666667,"Turno B",""),"")),"")),"")),"")),"")),""))</f>
        <v>Turno A</v>
      </c>
      <c r="L384" s="91">
        <f t="shared" si="5"/>
        <v>0.3125</v>
      </c>
    </row>
    <row r="385" spans="1:12" s="40" customFormat="1">
      <c r="A385">
        <v>8360971</v>
      </c>
      <c r="B385" t="s">
        <v>221</v>
      </c>
      <c r="C385" t="s">
        <v>219</v>
      </c>
      <c r="D385" t="s">
        <v>220</v>
      </c>
      <c r="E385" t="s">
        <v>1441</v>
      </c>
      <c r="F385" s="78">
        <v>0.64126157407407403</v>
      </c>
      <c r="G385" t="s">
        <v>1406</v>
      </c>
      <c r="H385" t="s">
        <v>1336</v>
      </c>
      <c r="I385" s="88" t="str">
        <f>VLOOKUP(A385,Base!A:B,2,0)</f>
        <v>08.360.971-0</v>
      </c>
      <c r="J385" s="99" t="str">
        <f>VLOOKUP(A385,Base!A:F,6,0)</f>
        <v>PACIFICO  CARRERA  MAUREIRA</v>
      </c>
      <c r="K385" s="89" t="str">
        <f>IFERROR(IF(VLOOKUP(I385,Ingreso!K:P,6,0)=0,"Sin turtno ing",VLOOKUP(I385,Ingreso!K:P,6,0)),IF(F385&gt;0.25,IF(F385&lt;0.311805555555556,"Turno A",IF(F385&gt;0.3125,IF(F385&lt;0.354166666666667,"Turno C",IF(F385&gt;0.583333333333333,IF(F385&lt;0.625,"Turno B",IF(F385&gt;0.625694444444444,IF(F385&lt;0.8125,"Turno A",IF(F385&gt;0.875,IF(F385&lt;0.936805555555556,"Turno C",IF(F385&gt;0.9375,IF(F385&lt;0.979166666666667,"Turno B",""),"")),"")),"")),"")),"")),""))</f>
        <v>Turno A</v>
      </c>
      <c r="L385" s="91">
        <f t="shared" si="5"/>
        <v>0.3125</v>
      </c>
    </row>
    <row r="386" spans="1:12" s="40" customFormat="1">
      <c r="A386">
        <v>8360971</v>
      </c>
      <c r="B386" t="s">
        <v>221</v>
      </c>
      <c r="C386" t="s">
        <v>219</v>
      </c>
      <c r="D386" t="s">
        <v>220</v>
      </c>
      <c r="E386" t="s">
        <v>1441</v>
      </c>
      <c r="F386" s="78">
        <v>0.29942129629629627</v>
      </c>
      <c r="G386" t="s">
        <v>1405</v>
      </c>
      <c r="H386" t="s">
        <v>1335</v>
      </c>
      <c r="I386" s="88" t="str">
        <f>VLOOKUP(A386,Base!A:B,2,0)</f>
        <v>08.360.971-0</v>
      </c>
      <c r="J386" s="99" t="str">
        <f>VLOOKUP(A386,Base!A:F,6,0)</f>
        <v>PACIFICO  CARRERA  MAUREIRA</v>
      </c>
      <c r="K386" s="89" t="str">
        <f>IFERROR(IF(VLOOKUP(I386,Ingreso!K:P,6,0)=0,"Sin turtno ing",VLOOKUP(I386,Ingreso!K:P,6,0)),IF(F386&gt;0.25,IF(F386&lt;0.311805555555556,"Turno A",IF(F386&gt;0.3125,IF(F386&lt;0.354166666666667,"Turno C",IF(F386&gt;0.583333333333333,IF(F386&lt;0.625,"Turno B",IF(F386&gt;0.625694444444444,IF(F386&lt;0.8125,"Turno A",IF(F386&gt;0.875,IF(F386&lt;0.936805555555556,"Turno C",IF(F386&gt;0.9375,IF(F386&lt;0.979166666666667,"Turno B",""),"")),"")),"")),"")),"")),""))</f>
        <v>Turno A</v>
      </c>
      <c r="L386" s="91">
        <f t="shared" si="5"/>
        <v>0.3125</v>
      </c>
    </row>
    <row r="387" spans="1:12" s="40" customFormat="1">
      <c r="A387">
        <v>8360971</v>
      </c>
      <c r="B387" t="s">
        <v>221</v>
      </c>
      <c r="C387" t="s">
        <v>219</v>
      </c>
      <c r="D387" t="s">
        <v>220</v>
      </c>
      <c r="E387" t="s">
        <v>1437</v>
      </c>
      <c r="F387" s="78">
        <v>0.64665509259259257</v>
      </c>
      <c r="G387" t="s">
        <v>1406</v>
      </c>
      <c r="H387" t="s">
        <v>1336</v>
      </c>
      <c r="I387" s="88" t="str">
        <f>VLOOKUP(A387,Base!A:B,2,0)</f>
        <v>08.360.971-0</v>
      </c>
      <c r="J387" s="99" t="str">
        <f>VLOOKUP(A387,Base!A:F,6,0)</f>
        <v>PACIFICO  CARRERA  MAUREIRA</v>
      </c>
      <c r="K387" s="89" t="str">
        <f>IFERROR(IF(VLOOKUP(I387,Ingreso!K:P,6,0)=0,"Sin turtno ing",VLOOKUP(I387,Ingreso!K:P,6,0)),IF(F387&gt;0.25,IF(F387&lt;0.311805555555556,"Turno A",IF(F387&gt;0.3125,IF(F387&lt;0.354166666666667,"Turno C",IF(F387&gt;0.583333333333333,IF(F387&lt;0.625,"Turno B",IF(F387&gt;0.625694444444444,IF(F387&lt;0.8125,"Turno A",IF(F387&gt;0.875,IF(F387&lt;0.936805555555556,"Turno C",IF(F387&gt;0.9375,IF(F387&lt;0.979166666666667,"Turno B",""),"")),"")),"")),"")),"")),""))</f>
        <v>Turno A</v>
      </c>
      <c r="L387" s="91">
        <f t="shared" ref="L387:L450" si="6">VLOOKUP(K387,$S$3:$T$7,2,0)</f>
        <v>0.3125</v>
      </c>
    </row>
    <row r="388" spans="1:12" s="40" customFormat="1">
      <c r="A388">
        <v>8360971</v>
      </c>
      <c r="B388" t="s">
        <v>221</v>
      </c>
      <c r="C388" t="s">
        <v>219</v>
      </c>
      <c r="D388" t="s">
        <v>220</v>
      </c>
      <c r="E388" t="s">
        <v>1437</v>
      </c>
      <c r="F388" s="78">
        <v>0.45324074074074078</v>
      </c>
      <c r="G388" t="s">
        <v>1405</v>
      </c>
      <c r="H388" t="s">
        <v>1335</v>
      </c>
      <c r="I388" s="88" t="str">
        <f>VLOOKUP(A388,Base!A:B,2,0)</f>
        <v>08.360.971-0</v>
      </c>
      <c r="J388" s="99" t="str">
        <f>VLOOKUP(A388,Base!A:F,6,0)</f>
        <v>PACIFICO  CARRERA  MAUREIRA</v>
      </c>
      <c r="K388" s="89" t="str">
        <f>IFERROR(IF(VLOOKUP(I388,Ingreso!K:P,6,0)=0,"Sin turtno ing",VLOOKUP(I388,Ingreso!K:P,6,0)),IF(F388&gt;0.25,IF(F388&lt;0.311805555555556,"Turno A",IF(F388&gt;0.3125,IF(F388&lt;0.354166666666667,"Turno C",IF(F388&gt;0.583333333333333,IF(F388&lt;0.625,"Turno B",IF(F388&gt;0.625694444444444,IF(F388&lt;0.8125,"Turno A",IF(F388&gt;0.875,IF(F388&lt;0.936805555555556,"Turno C",IF(F388&gt;0.9375,IF(F388&lt;0.979166666666667,"Turno B",""),"")),"")),"")),"")),"")),""))</f>
        <v/>
      </c>
      <c r="L388" s="91" t="e">
        <f t="shared" si="6"/>
        <v>#N/A</v>
      </c>
    </row>
    <row r="389" spans="1:12" s="40" customFormat="1">
      <c r="A389">
        <v>8360971</v>
      </c>
      <c r="B389" t="s">
        <v>221</v>
      </c>
      <c r="C389" t="s">
        <v>219</v>
      </c>
      <c r="D389" t="s">
        <v>220</v>
      </c>
      <c r="E389" t="s">
        <v>1438</v>
      </c>
      <c r="F389" s="78">
        <v>0.63740740740740742</v>
      </c>
      <c r="G389" t="s">
        <v>1406</v>
      </c>
      <c r="H389" t="s">
        <v>1336</v>
      </c>
      <c r="I389" s="88" t="str">
        <f>VLOOKUP(A389,Base!A:B,2,0)</f>
        <v>08.360.971-0</v>
      </c>
      <c r="J389" s="99" t="str">
        <f>VLOOKUP(A389,Base!A:F,6,0)</f>
        <v>PACIFICO  CARRERA  MAUREIRA</v>
      </c>
      <c r="K389" s="89" t="str">
        <f>IFERROR(IF(VLOOKUP(I389,Ingreso!K:P,6,0)=0,"Sin turtno ing",VLOOKUP(I389,Ingreso!K:P,6,0)),IF(F389&gt;0.25,IF(F389&lt;0.311805555555556,"Turno A",IF(F389&gt;0.3125,IF(F389&lt;0.354166666666667,"Turno C",IF(F389&gt;0.583333333333333,IF(F389&lt;0.625,"Turno B",IF(F389&gt;0.625694444444444,IF(F389&lt;0.8125,"Turno A",IF(F389&gt;0.875,IF(F389&lt;0.936805555555556,"Turno C",IF(F389&gt;0.9375,IF(F389&lt;0.979166666666667,"Turno B",""),"")),"")),"")),"")),"")),""))</f>
        <v>Turno A</v>
      </c>
      <c r="L389" s="91">
        <f t="shared" si="6"/>
        <v>0.3125</v>
      </c>
    </row>
    <row r="390" spans="1:12" s="40" customFormat="1">
      <c r="A390">
        <v>8360971</v>
      </c>
      <c r="B390" t="s">
        <v>221</v>
      </c>
      <c r="C390" t="s">
        <v>219</v>
      </c>
      <c r="D390" t="s">
        <v>220</v>
      </c>
      <c r="E390" t="s">
        <v>1438</v>
      </c>
      <c r="F390" s="78">
        <v>0.29935185185185187</v>
      </c>
      <c r="G390" t="s">
        <v>1405</v>
      </c>
      <c r="H390" t="s">
        <v>1335</v>
      </c>
      <c r="I390" s="88" t="str">
        <f>VLOOKUP(A390,Base!A:B,2,0)</f>
        <v>08.360.971-0</v>
      </c>
      <c r="J390" s="99" t="str">
        <f>VLOOKUP(A390,Base!A:F,6,0)</f>
        <v>PACIFICO  CARRERA  MAUREIRA</v>
      </c>
      <c r="K390" s="89" t="str">
        <f>IFERROR(IF(VLOOKUP(I390,Ingreso!K:P,6,0)=0,"Sin turtno ing",VLOOKUP(I390,Ingreso!K:P,6,0)),IF(F390&gt;0.25,IF(F390&lt;0.311805555555556,"Turno A",IF(F390&gt;0.3125,IF(F390&lt;0.354166666666667,"Turno C",IF(F390&gt;0.583333333333333,IF(F390&lt;0.625,"Turno B",IF(F390&gt;0.625694444444444,IF(F390&lt;0.8125,"Turno A",IF(F390&gt;0.875,IF(F390&lt;0.936805555555556,"Turno C",IF(F390&gt;0.9375,IF(F390&lt;0.979166666666667,"Turno B",""),"")),"")),"")),"")),"")),""))</f>
        <v>Turno A</v>
      </c>
      <c r="L390" s="91">
        <f t="shared" si="6"/>
        <v>0.3125</v>
      </c>
    </row>
    <row r="391" spans="1:12" s="40" customFormat="1">
      <c r="A391">
        <v>8360971</v>
      </c>
      <c r="B391" t="s">
        <v>221</v>
      </c>
      <c r="C391" t="s">
        <v>219</v>
      </c>
      <c r="D391" t="s">
        <v>220</v>
      </c>
      <c r="E391" t="s">
        <v>1439</v>
      </c>
      <c r="F391" s="78">
        <v>0.64039351851851845</v>
      </c>
      <c r="G391" t="s">
        <v>1406</v>
      </c>
      <c r="H391" t="s">
        <v>1336</v>
      </c>
      <c r="I391" s="88" t="str">
        <f>VLOOKUP(A391,Base!A:B,2,0)</f>
        <v>08.360.971-0</v>
      </c>
      <c r="J391" s="99" t="str">
        <f>VLOOKUP(A391,Base!A:F,6,0)</f>
        <v>PACIFICO  CARRERA  MAUREIRA</v>
      </c>
      <c r="K391" s="89" t="str">
        <f>IFERROR(IF(VLOOKUP(I391,Ingreso!K:P,6,0)=0,"Sin turtno ing",VLOOKUP(I391,Ingreso!K:P,6,0)),IF(F391&gt;0.25,IF(F391&lt;0.311805555555556,"Turno A",IF(F391&gt;0.3125,IF(F391&lt;0.354166666666667,"Turno C",IF(F391&gt;0.583333333333333,IF(F391&lt;0.625,"Turno B",IF(F391&gt;0.625694444444444,IF(F391&lt;0.8125,"Turno A",IF(F391&gt;0.875,IF(F391&lt;0.936805555555556,"Turno C",IF(F391&gt;0.9375,IF(F391&lt;0.979166666666667,"Turno B",""),"")),"")),"")),"")),"")),""))</f>
        <v>Turno A</v>
      </c>
      <c r="L391" s="91">
        <f t="shared" si="6"/>
        <v>0.3125</v>
      </c>
    </row>
    <row r="392" spans="1:12" s="40" customFormat="1">
      <c r="A392">
        <v>8360971</v>
      </c>
      <c r="B392" t="s">
        <v>221</v>
      </c>
      <c r="C392" t="s">
        <v>219</v>
      </c>
      <c r="D392" t="s">
        <v>220</v>
      </c>
      <c r="E392" t="s">
        <v>1439</v>
      </c>
      <c r="F392" s="78">
        <v>0.29737268518518517</v>
      </c>
      <c r="G392" t="s">
        <v>1405</v>
      </c>
      <c r="H392" t="s">
        <v>1335</v>
      </c>
      <c r="I392" s="88" t="str">
        <f>VLOOKUP(A392,Base!A:B,2,0)</f>
        <v>08.360.971-0</v>
      </c>
      <c r="J392" s="99" t="str">
        <f>VLOOKUP(A392,Base!A:F,6,0)</f>
        <v>PACIFICO  CARRERA  MAUREIRA</v>
      </c>
      <c r="K392" s="89" t="str">
        <f>IFERROR(IF(VLOOKUP(I392,Ingreso!K:P,6,0)=0,"Sin turtno ing",VLOOKUP(I392,Ingreso!K:P,6,0)),IF(F392&gt;0.25,IF(F392&lt;0.311805555555556,"Turno A",IF(F392&gt;0.3125,IF(F392&lt;0.354166666666667,"Turno C",IF(F392&gt;0.583333333333333,IF(F392&lt;0.625,"Turno B",IF(F392&gt;0.625694444444444,IF(F392&lt;0.8125,"Turno A",IF(F392&gt;0.875,IF(F392&lt;0.936805555555556,"Turno C",IF(F392&gt;0.9375,IF(F392&lt;0.979166666666667,"Turno B",""),"")),"")),"")),"")),"")),""))</f>
        <v>Turno A</v>
      </c>
      <c r="L392" s="91">
        <f t="shared" si="6"/>
        <v>0.3125</v>
      </c>
    </row>
    <row r="393" spans="1:12" s="40" customFormat="1">
      <c r="A393">
        <v>8406841</v>
      </c>
      <c r="B393" t="s">
        <v>1129</v>
      </c>
      <c r="C393" t="s">
        <v>1128</v>
      </c>
      <c r="D393" t="s">
        <v>960</v>
      </c>
      <c r="E393" t="s">
        <v>1440</v>
      </c>
      <c r="F393" s="78">
        <v>0.65856481481481477</v>
      </c>
      <c r="G393" t="s">
        <v>1406</v>
      </c>
      <c r="H393" t="s">
        <v>1336</v>
      </c>
      <c r="I393" s="88" t="str">
        <f>VLOOKUP(A393,Base!A:B,2,0)</f>
        <v>08.406.841-1</v>
      </c>
      <c r="J393" s="99" t="str">
        <f>VLOOKUP(A393,Base!A:F,6,0)</f>
        <v>BRAULIO GUILLERMO  CASANOVA  SALINAS</v>
      </c>
      <c r="K393" s="89" t="str">
        <f>IFERROR(IF(VLOOKUP(I393,Ingreso!K:P,6,0)=0,"Sin turtno ing",VLOOKUP(I393,Ingreso!K:P,6,0)),IF(F393&gt;0.25,IF(F393&lt;0.311805555555556,"Turno A",IF(F393&gt;0.3125,IF(F393&lt;0.354166666666667,"Turno C",IF(F393&gt;0.583333333333333,IF(F393&lt;0.625,"Turno B",IF(F393&gt;0.625694444444444,IF(F393&lt;0.8125,"Turno A",IF(F393&gt;0.875,IF(F393&lt;0.936805555555556,"Turno C",IF(F393&gt;0.9375,IF(F393&lt;0.979166666666667,"Turno B",""),"")),"")),"")),"")),"")),""))</f>
        <v>Turno A</v>
      </c>
      <c r="L393" s="91">
        <f t="shared" si="6"/>
        <v>0.3125</v>
      </c>
    </row>
    <row r="394" spans="1:12" s="40" customFormat="1">
      <c r="A394">
        <v>8406841</v>
      </c>
      <c r="B394" t="s">
        <v>1129</v>
      </c>
      <c r="C394" t="s">
        <v>1128</v>
      </c>
      <c r="D394" t="s">
        <v>960</v>
      </c>
      <c r="E394" t="s">
        <v>1440</v>
      </c>
      <c r="F394" s="78">
        <v>0.29381944444444447</v>
      </c>
      <c r="G394" t="s">
        <v>1405</v>
      </c>
      <c r="H394" t="s">
        <v>1335</v>
      </c>
      <c r="I394" s="88" t="str">
        <f>VLOOKUP(A394,Base!A:B,2,0)</f>
        <v>08.406.841-1</v>
      </c>
      <c r="J394" s="99" t="str">
        <f>VLOOKUP(A394,Base!A:F,6,0)</f>
        <v>BRAULIO GUILLERMO  CASANOVA  SALINAS</v>
      </c>
      <c r="K394" s="89" t="str">
        <f>IFERROR(IF(VLOOKUP(I394,Ingreso!K:P,6,0)=0,"Sin turtno ing",VLOOKUP(I394,Ingreso!K:P,6,0)),IF(F394&gt;0.25,IF(F394&lt;0.311805555555556,"Turno A",IF(F394&gt;0.3125,IF(F394&lt;0.354166666666667,"Turno C",IF(F394&gt;0.583333333333333,IF(F394&lt;0.625,"Turno B",IF(F394&gt;0.625694444444444,IF(F394&lt;0.8125,"Turno A",IF(F394&gt;0.875,IF(F394&lt;0.936805555555556,"Turno C",IF(F394&gt;0.9375,IF(F394&lt;0.979166666666667,"Turno B",""),"")),"")),"")),"")),"")),""))</f>
        <v>Turno A</v>
      </c>
      <c r="L394" s="91">
        <f t="shared" si="6"/>
        <v>0.3125</v>
      </c>
    </row>
    <row r="395" spans="1:12" s="40" customFormat="1">
      <c r="A395">
        <v>8406841</v>
      </c>
      <c r="B395" t="s">
        <v>1129</v>
      </c>
      <c r="C395" t="s">
        <v>1128</v>
      </c>
      <c r="D395" t="s">
        <v>960</v>
      </c>
      <c r="E395" t="s">
        <v>1441</v>
      </c>
      <c r="F395" s="78">
        <v>0.63462962962962965</v>
      </c>
      <c r="G395" t="s">
        <v>1406</v>
      </c>
      <c r="H395" t="s">
        <v>1336</v>
      </c>
      <c r="I395" s="88" t="str">
        <f>VLOOKUP(A395,Base!A:B,2,0)</f>
        <v>08.406.841-1</v>
      </c>
      <c r="J395" s="99" t="str">
        <f>VLOOKUP(A395,Base!A:F,6,0)</f>
        <v>BRAULIO GUILLERMO  CASANOVA  SALINAS</v>
      </c>
      <c r="K395" s="89" t="str">
        <f>IFERROR(IF(VLOOKUP(I395,Ingreso!K:P,6,0)=0,"Sin turtno ing",VLOOKUP(I395,Ingreso!K:P,6,0)),IF(F395&gt;0.25,IF(F395&lt;0.311805555555556,"Turno A",IF(F395&gt;0.3125,IF(F395&lt;0.354166666666667,"Turno C",IF(F395&gt;0.583333333333333,IF(F395&lt;0.625,"Turno B",IF(F395&gt;0.625694444444444,IF(F395&lt;0.8125,"Turno A",IF(F395&gt;0.875,IF(F395&lt;0.936805555555556,"Turno C",IF(F395&gt;0.9375,IF(F395&lt;0.979166666666667,"Turno B",""),"")),"")),"")),"")),"")),""))</f>
        <v>Turno A</v>
      </c>
      <c r="L395" s="91">
        <f t="shared" si="6"/>
        <v>0.3125</v>
      </c>
    </row>
    <row r="396" spans="1:12" s="40" customFormat="1">
      <c r="A396">
        <v>8406841</v>
      </c>
      <c r="B396" t="s">
        <v>1129</v>
      </c>
      <c r="C396" t="s">
        <v>1128</v>
      </c>
      <c r="D396" t="s">
        <v>960</v>
      </c>
      <c r="E396" t="s">
        <v>1441</v>
      </c>
      <c r="F396" s="78">
        <v>0.30560185185185185</v>
      </c>
      <c r="G396" t="s">
        <v>1405</v>
      </c>
      <c r="H396" t="s">
        <v>1335</v>
      </c>
      <c r="I396" s="88" t="str">
        <f>VLOOKUP(A396,Base!A:B,2,0)</f>
        <v>08.406.841-1</v>
      </c>
      <c r="J396" s="99" t="str">
        <f>VLOOKUP(A396,Base!A:F,6,0)</f>
        <v>BRAULIO GUILLERMO  CASANOVA  SALINAS</v>
      </c>
      <c r="K396" s="89" t="str">
        <f>IFERROR(IF(VLOOKUP(I396,Ingreso!K:P,6,0)=0,"Sin turtno ing",VLOOKUP(I396,Ingreso!K:P,6,0)),IF(F396&gt;0.25,IF(F396&lt;0.311805555555556,"Turno A",IF(F396&gt;0.3125,IF(F396&lt;0.354166666666667,"Turno C",IF(F396&gt;0.583333333333333,IF(F396&lt;0.625,"Turno B",IF(F396&gt;0.625694444444444,IF(F396&lt;0.8125,"Turno A",IF(F396&gt;0.875,IF(F396&lt;0.936805555555556,"Turno C",IF(F396&gt;0.9375,IF(F396&lt;0.979166666666667,"Turno B",""),"")),"")),"")),"")),"")),""))</f>
        <v>Turno A</v>
      </c>
      <c r="L396" s="91">
        <f t="shared" si="6"/>
        <v>0.3125</v>
      </c>
    </row>
    <row r="397" spans="1:12" s="40" customFormat="1">
      <c r="A397">
        <v>8406841</v>
      </c>
      <c r="B397" t="s">
        <v>1129</v>
      </c>
      <c r="C397" t="s">
        <v>1128</v>
      </c>
      <c r="D397" t="s">
        <v>960</v>
      </c>
      <c r="E397" t="s">
        <v>1437</v>
      </c>
      <c r="F397" s="78">
        <v>0.63978009259259261</v>
      </c>
      <c r="G397" t="s">
        <v>1406</v>
      </c>
      <c r="H397" t="s">
        <v>1336</v>
      </c>
      <c r="I397" s="88" t="str">
        <f>VLOOKUP(A397,Base!A:B,2,0)</f>
        <v>08.406.841-1</v>
      </c>
      <c r="J397" s="99" t="str">
        <f>VLOOKUP(A397,Base!A:F,6,0)</f>
        <v>BRAULIO GUILLERMO  CASANOVA  SALINAS</v>
      </c>
      <c r="K397" s="89" t="str">
        <f>IFERROR(IF(VLOOKUP(I397,Ingreso!K:P,6,0)=0,"Sin turtno ing",VLOOKUP(I397,Ingreso!K:P,6,0)),IF(F397&gt;0.25,IF(F397&lt;0.311805555555556,"Turno A",IF(F397&gt;0.3125,IF(F397&lt;0.354166666666667,"Turno C",IF(F397&gt;0.583333333333333,IF(F397&lt;0.625,"Turno B",IF(F397&gt;0.625694444444444,IF(F397&lt;0.8125,"Turno A",IF(F397&gt;0.875,IF(F397&lt;0.936805555555556,"Turno C",IF(F397&gt;0.9375,IF(F397&lt;0.979166666666667,"Turno B",""),"")),"")),"")),"")),"")),""))</f>
        <v>Turno A</v>
      </c>
      <c r="L397" s="91">
        <f t="shared" si="6"/>
        <v>0.3125</v>
      </c>
    </row>
    <row r="398" spans="1:12" s="40" customFormat="1">
      <c r="A398">
        <v>8406841</v>
      </c>
      <c r="B398" t="s">
        <v>1129</v>
      </c>
      <c r="C398" t="s">
        <v>1128</v>
      </c>
      <c r="D398" t="s">
        <v>960</v>
      </c>
      <c r="E398" t="s">
        <v>1437</v>
      </c>
      <c r="F398" s="78">
        <v>0.29260416666666667</v>
      </c>
      <c r="G398" t="s">
        <v>1405</v>
      </c>
      <c r="H398" t="s">
        <v>1335</v>
      </c>
      <c r="I398" s="88" t="str">
        <f>VLOOKUP(A398,Base!A:B,2,0)</f>
        <v>08.406.841-1</v>
      </c>
      <c r="J398" s="99" t="str">
        <f>VLOOKUP(A398,Base!A:F,6,0)</f>
        <v>BRAULIO GUILLERMO  CASANOVA  SALINAS</v>
      </c>
      <c r="K398" s="89" t="str">
        <f>IFERROR(IF(VLOOKUP(I398,Ingreso!K:P,6,0)=0,"Sin turtno ing",VLOOKUP(I398,Ingreso!K:P,6,0)),IF(F398&gt;0.25,IF(F398&lt;0.311805555555556,"Turno A",IF(F398&gt;0.3125,IF(F398&lt;0.354166666666667,"Turno C",IF(F398&gt;0.583333333333333,IF(F398&lt;0.625,"Turno B",IF(F398&gt;0.625694444444444,IF(F398&lt;0.8125,"Turno A",IF(F398&gt;0.875,IF(F398&lt;0.936805555555556,"Turno C",IF(F398&gt;0.9375,IF(F398&lt;0.979166666666667,"Turno B",""),"")),"")),"")),"")),"")),""))</f>
        <v>Turno A</v>
      </c>
      <c r="L398" s="91">
        <f t="shared" si="6"/>
        <v>0.3125</v>
      </c>
    </row>
    <row r="399" spans="1:12" s="40" customFormat="1">
      <c r="A399">
        <v>8406841</v>
      </c>
      <c r="B399" t="s">
        <v>1129</v>
      </c>
      <c r="C399" t="s">
        <v>1128</v>
      </c>
      <c r="D399" t="s">
        <v>960</v>
      </c>
      <c r="E399" t="s">
        <v>1438</v>
      </c>
      <c r="F399" s="78">
        <v>0.64113425925925926</v>
      </c>
      <c r="G399" t="s">
        <v>1406</v>
      </c>
      <c r="H399" t="s">
        <v>1336</v>
      </c>
      <c r="I399" s="88" t="str">
        <f>VLOOKUP(A399,Base!A:B,2,0)</f>
        <v>08.406.841-1</v>
      </c>
      <c r="J399" s="99" t="str">
        <f>VLOOKUP(A399,Base!A:F,6,0)</f>
        <v>BRAULIO GUILLERMO  CASANOVA  SALINAS</v>
      </c>
      <c r="K399" s="89" t="str">
        <f>IFERROR(IF(VLOOKUP(I399,Ingreso!K:P,6,0)=0,"Sin turtno ing",VLOOKUP(I399,Ingreso!K:P,6,0)),IF(F399&gt;0.25,IF(F399&lt;0.311805555555556,"Turno A",IF(F399&gt;0.3125,IF(F399&lt;0.354166666666667,"Turno C",IF(F399&gt;0.583333333333333,IF(F399&lt;0.625,"Turno B",IF(F399&gt;0.625694444444444,IF(F399&lt;0.8125,"Turno A",IF(F399&gt;0.875,IF(F399&lt;0.936805555555556,"Turno C",IF(F399&gt;0.9375,IF(F399&lt;0.979166666666667,"Turno B",""),"")),"")),"")),"")),"")),""))</f>
        <v>Turno A</v>
      </c>
      <c r="L399" s="91">
        <f t="shared" si="6"/>
        <v>0.3125</v>
      </c>
    </row>
    <row r="400" spans="1:12" s="40" customFormat="1">
      <c r="A400">
        <v>8406841</v>
      </c>
      <c r="B400" t="s">
        <v>1129</v>
      </c>
      <c r="C400" t="s">
        <v>1128</v>
      </c>
      <c r="D400" t="s">
        <v>960</v>
      </c>
      <c r="E400" t="s">
        <v>1438</v>
      </c>
      <c r="F400" s="78">
        <v>0.29328703703703701</v>
      </c>
      <c r="G400" t="s">
        <v>1405</v>
      </c>
      <c r="H400" t="s">
        <v>1335</v>
      </c>
      <c r="I400" s="88" t="str">
        <f>VLOOKUP(A400,Base!A:B,2,0)</f>
        <v>08.406.841-1</v>
      </c>
      <c r="J400" s="99" t="str">
        <f>VLOOKUP(A400,Base!A:F,6,0)</f>
        <v>BRAULIO GUILLERMO  CASANOVA  SALINAS</v>
      </c>
      <c r="K400" s="89" t="str">
        <f>IFERROR(IF(VLOOKUP(I400,Ingreso!K:P,6,0)=0,"Sin turtno ing",VLOOKUP(I400,Ingreso!K:P,6,0)),IF(F400&gt;0.25,IF(F400&lt;0.311805555555556,"Turno A",IF(F400&gt;0.3125,IF(F400&lt;0.354166666666667,"Turno C",IF(F400&gt;0.583333333333333,IF(F400&lt;0.625,"Turno B",IF(F400&gt;0.625694444444444,IF(F400&lt;0.8125,"Turno A",IF(F400&gt;0.875,IF(F400&lt;0.936805555555556,"Turno C",IF(F400&gt;0.9375,IF(F400&lt;0.979166666666667,"Turno B",""),"")),"")),"")),"")),"")),""))</f>
        <v>Turno A</v>
      </c>
      <c r="L400" s="91">
        <f t="shared" si="6"/>
        <v>0.3125</v>
      </c>
    </row>
    <row r="401" spans="1:12" s="40" customFormat="1">
      <c r="A401">
        <v>8454836</v>
      </c>
      <c r="B401" t="s">
        <v>203</v>
      </c>
      <c r="C401" t="s">
        <v>202</v>
      </c>
      <c r="D401" t="s">
        <v>150</v>
      </c>
      <c r="E401" t="s">
        <v>1440</v>
      </c>
      <c r="F401" s="78">
        <v>0.32590277777777776</v>
      </c>
      <c r="G401" t="s">
        <v>1406</v>
      </c>
      <c r="H401" t="s">
        <v>1336</v>
      </c>
      <c r="I401" s="88" t="str">
        <f>VLOOKUP(A401,Base!A:B,2,0)</f>
        <v>08.454.836-7</v>
      </c>
      <c r="J401" s="99" t="str">
        <f>VLOOKUP(A401,Base!A:F,6,0)</f>
        <v>BRIGIDA DEL CARMEN  CARES  LOPEZ</v>
      </c>
      <c r="K401" s="89" t="str">
        <f>IFERROR(IF(VLOOKUP(I401,Ingreso!K:P,6,0)=0,"Sin turtno ing",VLOOKUP(I401,Ingreso!K:P,6,0)),IF(F401&gt;0.25,IF(F401&lt;0.311805555555556,"Turno A",IF(F401&gt;0.3125,IF(F401&lt;0.354166666666667,"Turno C",IF(F401&gt;0.583333333333333,IF(F401&lt;0.625,"Turno B",IF(F401&gt;0.625694444444444,IF(F401&lt;0.8125,"Turno A",IF(F401&gt;0.875,IF(F401&lt;0.936805555555556,"Turno C",IF(F401&gt;0.9375,IF(F401&lt;0.979166666666667,"Turno B",""),"")),"")),"")),"")),"")),""))</f>
        <v>Turno C</v>
      </c>
      <c r="L401" s="91">
        <f t="shared" si="6"/>
        <v>0.375</v>
      </c>
    </row>
    <row r="402" spans="1:12" s="40" customFormat="1">
      <c r="A402">
        <v>8454836</v>
      </c>
      <c r="B402" t="s">
        <v>203</v>
      </c>
      <c r="C402" t="s">
        <v>202</v>
      </c>
      <c r="D402" t="s">
        <v>150</v>
      </c>
      <c r="E402" t="s">
        <v>1440</v>
      </c>
      <c r="F402" s="78">
        <v>0.91954861111111119</v>
      </c>
      <c r="G402" t="s">
        <v>1405</v>
      </c>
      <c r="H402" t="s">
        <v>1335</v>
      </c>
      <c r="I402" s="88" t="str">
        <f>VLOOKUP(A402,Base!A:B,2,0)</f>
        <v>08.454.836-7</v>
      </c>
      <c r="J402" s="99" t="str">
        <f>VLOOKUP(A402,Base!A:F,6,0)</f>
        <v>BRIGIDA DEL CARMEN  CARES  LOPEZ</v>
      </c>
      <c r="K402" s="89" t="str">
        <f>IFERROR(IF(VLOOKUP(I402,Ingreso!K:P,6,0)=0,"Sin turtno ing",VLOOKUP(I402,Ingreso!K:P,6,0)),IF(F402&gt;0.25,IF(F402&lt;0.311805555555556,"Turno A",IF(F402&gt;0.3125,IF(F402&lt;0.354166666666667,"Turno C",IF(F402&gt;0.583333333333333,IF(F402&lt;0.625,"Turno B",IF(F402&gt;0.625694444444444,IF(F402&lt;0.8125,"Turno A",IF(F402&gt;0.875,IF(F402&lt;0.936805555555556,"Turno C",IF(F402&gt;0.9375,IF(F402&lt;0.979166666666667,"Turno B",""),"")),"")),"")),"")),"")),""))</f>
        <v>Turno C</v>
      </c>
      <c r="L402" s="91">
        <f t="shared" si="6"/>
        <v>0.375</v>
      </c>
    </row>
    <row r="403" spans="1:12" s="40" customFormat="1">
      <c r="A403">
        <v>8454836</v>
      </c>
      <c r="B403" t="s">
        <v>203</v>
      </c>
      <c r="C403" t="s">
        <v>202</v>
      </c>
      <c r="D403" t="s">
        <v>150</v>
      </c>
      <c r="E403" t="s">
        <v>1441</v>
      </c>
      <c r="F403" s="78">
        <v>0.32633101851851848</v>
      </c>
      <c r="G403" t="s">
        <v>1406</v>
      </c>
      <c r="H403" t="s">
        <v>1336</v>
      </c>
      <c r="I403" s="88" t="str">
        <f>VLOOKUP(A403,Base!A:B,2,0)</f>
        <v>08.454.836-7</v>
      </c>
      <c r="J403" s="99" t="str">
        <f>VLOOKUP(A403,Base!A:F,6,0)</f>
        <v>BRIGIDA DEL CARMEN  CARES  LOPEZ</v>
      </c>
      <c r="K403" s="89" t="str">
        <f>IFERROR(IF(VLOOKUP(I403,Ingreso!K:P,6,0)=0,"Sin turtno ing",VLOOKUP(I403,Ingreso!K:P,6,0)),IF(F403&gt;0.25,IF(F403&lt;0.311805555555556,"Turno A",IF(F403&gt;0.3125,IF(F403&lt;0.354166666666667,"Turno C",IF(F403&gt;0.583333333333333,IF(F403&lt;0.625,"Turno B",IF(F403&gt;0.625694444444444,IF(F403&lt;0.8125,"Turno A",IF(F403&gt;0.875,IF(F403&lt;0.936805555555556,"Turno C",IF(F403&gt;0.9375,IF(F403&lt;0.979166666666667,"Turno B",""),"")),"")),"")),"")),"")),""))</f>
        <v>Turno C</v>
      </c>
      <c r="L403" s="91">
        <f t="shared" si="6"/>
        <v>0.375</v>
      </c>
    </row>
    <row r="404" spans="1:12" s="40" customFormat="1">
      <c r="A404">
        <v>8454836</v>
      </c>
      <c r="B404" t="s">
        <v>203</v>
      </c>
      <c r="C404" t="s">
        <v>202</v>
      </c>
      <c r="D404" t="s">
        <v>150</v>
      </c>
      <c r="E404" t="s">
        <v>1437</v>
      </c>
      <c r="F404" s="78">
        <v>0.91695601851851849</v>
      </c>
      <c r="G404" t="s">
        <v>1405</v>
      </c>
      <c r="H404" t="s">
        <v>1335</v>
      </c>
      <c r="I404" s="88" t="str">
        <f>VLOOKUP(A404,Base!A:B,2,0)</f>
        <v>08.454.836-7</v>
      </c>
      <c r="J404" s="99" t="str">
        <f>VLOOKUP(A404,Base!A:F,6,0)</f>
        <v>BRIGIDA DEL CARMEN  CARES  LOPEZ</v>
      </c>
      <c r="K404" s="89" t="str">
        <f>IFERROR(IF(VLOOKUP(I404,Ingreso!K:P,6,0)=0,"Sin turtno ing",VLOOKUP(I404,Ingreso!K:P,6,0)),IF(F404&gt;0.25,IF(F404&lt;0.311805555555556,"Turno A",IF(F404&gt;0.3125,IF(F404&lt;0.354166666666667,"Turno C",IF(F404&gt;0.583333333333333,IF(F404&lt;0.625,"Turno B",IF(F404&gt;0.625694444444444,IF(F404&lt;0.8125,"Turno A",IF(F404&gt;0.875,IF(F404&lt;0.936805555555556,"Turno C",IF(F404&gt;0.9375,IF(F404&lt;0.979166666666667,"Turno B",""),"")),"")),"")),"")),"")),""))</f>
        <v>Turno C</v>
      </c>
      <c r="L404" s="91">
        <f t="shared" si="6"/>
        <v>0.375</v>
      </c>
    </row>
    <row r="405" spans="1:12" s="40" customFormat="1">
      <c r="A405">
        <v>8454836</v>
      </c>
      <c r="B405" t="s">
        <v>203</v>
      </c>
      <c r="C405" t="s">
        <v>202</v>
      </c>
      <c r="D405" t="s">
        <v>150</v>
      </c>
      <c r="E405" t="s">
        <v>1438</v>
      </c>
      <c r="F405" s="78">
        <v>0.3225810185185185</v>
      </c>
      <c r="G405" t="s">
        <v>1406</v>
      </c>
      <c r="H405" t="s">
        <v>1336</v>
      </c>
      <c r="I405" s="88" t="str">
        <f>VLOOKUP(A405,Base!A:B,2,0)</f>
        <v>08.454.836-7</v>
      </c>
      <c r="J405" s="99" t="str">
        <f>VLOOKUP(A405,Base!A:F,6,0)</f>
        <v>BRIGIDA DEL CARMEN  CARES  LOPEZ</v>
      </c>
      <c r="K405" s="89" t="str">
        <f>IFERROR(IF(VLOOKUP(I405,Ingreso!K:P,6,0)=0,"Sin turtno ing",VLOOKUP(I405,Ingreso!K:P,6,0)),IF(F405&gt;0.25,IF(F405&lt;0.311805555555556,"Turno A",IF(F405&gt;0.3125,IF(F405&lt;0.354166666666667,"Turno C",IF(F405&gt;0.583333333333333,IF(F405&lt;0.625,"Turno B",IF(F405&gt;0.625694444444444,IF(F405&lt;0.8125,"Turno A",IF(F405&gt;0.875,IF(F405&lt;0.936805555555556,"Turno C",IF(F405&gt;0.9375,IF(F405&lt;0.979166666666667,"Turno B",""),"")),"")),"")),"")),"")),""))</f>
        <v>Turno C</v>
      </c>
      <c r="L405" s="91">
        <f t="shared" si="6"/>
        <v>0.375</v>
      </c>
    </row>
    <row r="406" spans="1:12" s="40" customFormat="1">
      <c r="A406">
        <v>8454836</v>
      </c>
      <c r="B406" t="s">
        <v>203</v>
      </c>
      <c r="C406" t="s">
        <v>202</v>
      </c>
      <c r="D406" t="s">
        <v>150</v>
      </c>
      <c r="E406" t="s">
        <v>1438</v>
      </c>
      <c r="F406" s="78">
        <v>0.91817129629629635</v>
      </c>
      <c r="G406" t="s">
        <v>1405</v>
      </c>
      <c r="H406" t="s">
        <v>1335</v>
      </c>
      <c r="I406" s="88" t="str">
        <f>VLOOKUP(A406,Base!A:B,2,0)</f>
        <v>08.454.836-7</v>
      </c>
      <c r="J406" s="99" t="str">
        <f>VLOOKUP(A406,Base!A:F,6,0)</f>
        <v>BRIGIDA DEL CARMEN  CARES  LOPEZ</v>
      </c>
      <c r="K406" s="89" t="str">
        <f>IFERROR(IF(VLOOKUP(I406,Ingreso!K:P,6,0)=0,"Sin turtno ing",VLOOKUP(I406,Ingreso!K:P,6,0)),IF(F406&gt;0.25,IF(F406&lt;0.311805555555556,"Turno A",IF(F406&gt;0.3125,IF(F406&lt;0.354166666666667,"Turno C",IF(F406&gt;0.583333333333333,IF(F406&lt;0.625,"Turno B",IF(F406&gt;0.625694444444444,IF(F406&lt;0.8125,"Turno A",IF(F406&gt;0.875,IF(F406&lt;0.936805555555556,"Turno C",IF(F406&gt;0.9375,IF(F406&lt;0.979166666666667,"Turno B",""),"")),"")),"")),"")),"")),""))</f>
        <v>Turno C</v>
      </c>
      <c r="L406" s="91">
        <f t="shared" si="6"/>
        <v>0.375</v>
      </c>
    </row>
    <row r="407" spans="1:12" s="40" customFormat="1">
      <c r="A407">
        <v>8454836</v>
      </c>
      <c r="B407" t="s">
        <v>203</v>
      </c>
      <c r="C407" t="s">
        <v>202</v>
      </c>
      <c r="D407" t="s">
        <v>150</v>
      </c>
      <c r="E407" t="s">
        <v>1439</v>
      </c>
      <c r="F407" s="78">
        <v>0.32200231481481484</v>
      </c>
      <c r="G407" t="s">
        <v>1406</v>
      </c>
      <c r="H407" t="s">
        <v>1336</v>
      </c>
      <c r="I407" s="88" t="str">
        <f>VLOOKUP(A407,Base!A:B,2,0)</f>
        <v>08.454.836-7</v>
      </c>
      <c r="J407" s="99" t="str">
        <f>VLOOKUP(A407,Base!A:F,6,0)</f>
        <v>BRIGIDA DEL CARMEN  CARES  LOPEZ</v>
      </c>
      <c r="K407" s="89" t="str">
        <f>IFERROR(IF(VLOOKUP(I407,Ingreso!K:P,6,0)=0,"Sin turtno ing",VLOOKUP(I407,Ingreso!K:P,6,0)),IF(F407&gt;0.25,IF(F407&lt;0.311805555555556,"Turno A",IF(F407&gt;0.3125,IF(F407&lt;0.354166666666667,"Turno C",IF(F407&gt;0.583333333333333,IF(F407&lt;0.625,"Turno B",IF(F407&gt;0.625694444444444,IF(F407&lt;0.8125,"Turno A",IF(F407&gt;0.875,IF(F407&lt;0.936805555555556,"Turno C",IF(F407&gt;0.9375,IF(F407&lt;0.979166666666667,"Turno B",""),"")),"")),"")),"")),"")),""))</f>
        <v>Turno C</v>
      </c>
      <c r="L407" s="91">
        <f t="shared" si="6"/>
        <v>0.375</v>
      </c>
    </row>
    <row r="408" spans="1:12" s="40" customFormat="1">
      <c r="A408">
        <v>8454836</v>
      </c>
      <c r="B408" t="s">
        <v>203</v>
      </c>
      <c r="C408" t="s">
        <v>202</v>
      </c>
      <c r="D408" t="s">
        <v>150</v>
      </c>
      <c r="E408" t="s">
        <v>1439</v>
      </c>
      <c r="F408" s="78">
        <v>0.91702546296296295</v>
      </c>
      <c r="G408" t="s">
        <v>1405</v>
      </c>
      <c r="H408" t="s">
        <v>1335</v>
      </c>
      <c r="I408" s="88" t="str">
        <f>VLOOKUP(A408,Base!A:B,2,0)</f>
        <v>08.454.836-7</v>
      </c>
      <c r="J408" s="99" t="str">
        <f>VLOOKUP(A408,Base!A:F,6,0)</f>
        <v>BRIGIDA DEL CARMEN  CARES  LOPEZ</v>
      </c>
      <c r="K408" s="89" t="str">
        <f>IFERROR(IF(VLOOKUP(I408,Ingreso!K:P,6,0)=0,"Sin turtno ing",VLOOKUP(I408,Ingreso!K:P,6,0)),IF(F408&gt;0.25,IF(F408&lt;0.311805555555556,"Turno A",IF(F408&gt;0.3125,IF(F408&lt;0.354166666666667,"Turno C",IF(F408&gt;0.583333333333333,IF(F408&lt;0.625,"Turno B",IF(F408&gt;0.625694444444444,IF(F408&lt;0.8125,"Turno A",IF(F408&gt;0.875,IF(F408&lt;0.936805555555556,"Turno C",IF(F408&gt;0.9375,IF(F408&lt;0.979166666666667,"Turno B",""),"")),"")),"")),"")),"")),""))</f>
        <v>Turno C</v>
      </c>
      <c r="L408" s="91">
        <f t="shared" si="6"/>
        <v>0.375</v>
      </c>
    </row>
    <row r="409" spans="1:12" s="40" customFormat="1">
      <c r="A409">
        <v>8465592</v>
      </c>
      <c r="B409" t="s">
        <v>233</v>
      </c>
      <c r="C409" t="s">
        <v>231</v>
      </c>
      <c r="D409" t="s">
        <v>232</v>
      </c>
      <c r="E409" t="s">
        <v>1440</v>
      </c>
      <c r="F409" s="78">
        <v>0.63583333333333336</v>
      </c>
      <c r="G409" t="s">
        <v>1406</v>
      </c>
      <c r="H409" t="s">
        <v>1336</v>
      </c>
      <c r="I409" s="88" t="str">
        <f>VLOOKUP(A409,Base!A:B,2,0)</f>
        <v>08.465.592-9</v>
      </c>
      <c r="J409" s="99" t="str">
        <f>VLOOKUP(A409,Base!A:F,6,0)</f>
        <v>JUAN A  CASTAÑEDA  SANHUEZA</v>
      </c>
      <c r="K409" s="89" t="str">
        <f>IFERROR(IF(VLOOKUP(I409,Ingreso!K:P,6,0)=0,"Sin turtno ing",VLOOKUP(I409,Ingreso!K:P,6,0)),IF(F409&gt;0.25,IF(F409&lt;0.311805555555556,"Turno A",IF(F409&gt;0.3125,IF(F409&lt;0.354166666666667,"Turno C",IF(F409&gt;0.583333333333333,IF(F409&lt;0.625,"Turno B",IF(F409&gt;0.625694444444444,IF(F409&lt;0.8125,"Turno A",IF(F409&gt;0.875,IF(F409&lt;0.936805555555556,"Turno C",IF(F409&gt;0.9375,IF(F409&lt;0.979166666666667,"Turno B",""),"")),"")),"")),"")),"")),""))</f>
        <v>Turno A</v>
      </c>
      <c r="L409" s="91">
        <f t="shared" si="6"/>
        <v>0.3125</v>
      </c>
    </row>
    <row r="410" spans="1:12" s="40" customFormat="1">
      <c r="A410">
        <v>8465592</v>
      </c>
      <c r="B410" t="s">
        <v>233</v>
      </c>
      <c r="C410" t="s">
        <v>231</v>
      </c>
      <c r="D410" t="s">
        <v>232</v>
      </c>
      <c r="E410" t="s">
        <v>1440</v>
      </c>
      <c r="F410" s="78">
        <v>0.29376157407407405</v>
      </c>
      <c r="G410" t="s">
        <v>1405</v>
      </c>
      <c r="H410" t="s">
        <v>1335</v>
      </c>
      <c r="I410" s="88" t="str">
        <f>VLOOKUP(A410,Base!A:B,2,0)</f>
        <v>08.465.592-9</v>
      </c>
      <c r="J410" s="99" t="str">
        <f>VLOOKUP(A410,Base!A:F,6,0)</f>
        <v>JUAN A  CASTAÑEDA  SANHUEZA</v>
      </c>
      <c r="K410" s="89" t="str">
        <f>IFERROR(IF(VLOOKUP(I410,Ingreso!K:P,6,0)=0,"Sin turtno ing",VLOOKUP(I410,Ingreso!K:P,6,0)),IF(F410&gt;0.25,IF(F410&lt;0.311805555555556,"Turno A",IF(F410&gt;0.3125,IF(F410&lt;0.354166666666667,"Turno C",IF(F410&gt;0.583333333333333,IF(F410&lt;0.625,"Turno B",IF(F410&gt;0.625694444444444,IF(F410&lt;0.8125,"Turno A",IF(F410&gt;0.875,IF(F410&lt;0.936805555555556,"Turno C",IF(F410&gt;0.9375,IF(F410&lt;0.979166666666667,"Turno B",""),"")),"")),"")),"")),"")),""))</f>
        <v>Turno A</v>
      </c>
      <c r="L410" s="91">
        <f t="shared" si="6"/>
        <v>0.3125</v>
      </c>
    </row>
    <row r="411" spans="1:12" s="40" customFormat="1">
      <c r="A411">
        <v>8465592</v>
      </c>
      <c r="B411" t="s">
        <v>233</v>
      </c>
      <c r="C411" t="s">
        <v>231</v>
      </c>
      <c r="D411" t="s">
        <v>232</v>
      </c>
      <c r="E411" t="s">
        <v>1441</v>
      </c>
      <c r="F411" s="78">
        <v>0.53469907407407413</v>
      </c>
      <c r="G411" t="s">
        <v>1406</v>
      </c>
      <c r="H411" t="s">
        <v>1336</v>
      </c>
      <c r="I411" s="88" t="str">
        <f>VLOOKUP(A411,Base!A:B,2,0)</f>
        <v>08.465.592-9</v>
      </c>
      <c r="J411" s="99" t="str">
        <f>VLOOKUP(A411,Base!A:F,6,0)</f>
        <v>JUAN A  CASTAÑEDA  SANHUEZA</v>
      </c>
      <c r="K411" s="89" t="str">
        <f>IFERROR(IF(VLOOKUP(I411,Ingreso!K:P,6,0)=0,"Sin turtno ing",VLOOKUP(I411,Ingreso!K:P,6,0)),IF(F411&gt;0.25,IF(F411&lt;0.311805555555556,"Turno A",IF(F411&gt;0.3125,IF(F411&lt;0.354166666666667,"Turno C",IF(F411&gt;0.583333333333333,IF(F411&lt;0.625,"Turno B",IF(F411&gt;0.625694444444444,IF(F411&lt;0.8125,"Turno A",IF(F411&gt;0.875,IF(F411&lt;0.936805555555556,"Turno C",IF(F411&gt;0.9375,IF(F411&lt;0.979166666666667,"Turno B",""),"")),"")),"")),"")),"")),""))</f>
        <v/>
      </c>
      <c r="L411" s="91" t="e">
        <f t="shared" si="6"/>
        <v>#N/A</v>
      </c>
    </row>
    <row r="412" spans="1:12" s="40" customFormat="1">
      <c r="A412">
        <v>8465592</v>
      </c>
      <c r="B412" t="s">
        <v>233</v>
      </c>
      <c r="C412" t="s">
        <v>231</v>
      </c>
      <c r="D412" t="s">
        <v>232</v>
      </c>
      <c r="E412" t="s">
        <v>1441</v>
      </c>
      <c r="F412" s="78">
        <v>0.29337962962962966</v>
      </c>
      <c r="G412" t="s">
        <v>1405</v>
      </c>
      <c r="H412" t="s">
        <v>1335</v>
      </c>
      <c r="I412" s="88" t="str">
        <f>VLOOKUP(A412,Base!A:B,2,0)</f>
        <v>08.465.592-9</v>
      </c>
      <c r="J412" s="99" t="str">
        <f>VLOOKUP(A412,Base!A:F,6,0)</f>
        <v>JUAN A  CASTAÑEDA  SANHUEZA</v>
      </c>
      <c r="K412" s="89" t="str">
        <f>IFERROR(IF(VLOOKUP(I412,Ingreso!K:P,6,0)=0,"Sin turtno ing",VLOOKUP(I412,Ingreso!K:P,6,0)),IF(F412&gt;0.25,IF(F412&lt;0.311805555555556,"Turno A",IF(F412&gt;0.3125,IF(F412&lt;0.354166666666667,"Turno C",IF(F412&gt;0.583333333333333,IF(F412&lt;0.625,"Turno B",IF(F412&gt;0.625694444444444,IF(F412&lt;0.8125,"Turno A",IF(F412&gt;0.875,IF(F412&lt;0.936805555555556,"Turno C",IF(F412&gt;0.9375,IF(F412&lt;0.979166666666667,"Turno B",""),"")),"")),"")),"")),"")),""))</f>
        <v>Turno A</v>
      </c>
      <c r="L412" s="91">
        <f t="shared" si="6"/>
        <v>0.3125</v>
      </c>
    </row>
    <row r="413" spans="1:12" s="40" customFormat="1">
      <c r="A413">
        <v>8465592</v>
      </c>
      <c r="B413" t="s">
        <v>233</v>
      </c>
      <c r="C413" t="s">
        <v>231</v>
      </c>
      <c r="D413" t="s">
        <v>232</v>
      </c>
      <c r="E413" t="s">
        <v>1437</v>
      </c>
      <c r="F413" s="78">
        <v>0.63869212962962962</v>
      </c>
      <c r="G413" t="s">
        <v>1406</v>
      </c>
      <c r="H413" t="s">
        <v>1336</v>
      </c>
      <c r="I413" s="88" t="str">
        <f>VLOOKUP(A413,Base!A:B,2,0)</f>
        <v>08.465.592-9</v>
      </c>
      <c r="J413" s="99" t="str">
        <f>VLOOKUP(A413,Base!A:F,6,0)</f>
        <v>JUAN A  CASTAÑEDA  SANHUEZA</v>
      </c>
      <c r="K413" s="89" t="str">
        <f>IFERROR(IF(VLOOKUP(I413,Ingreso!K:P,6,0)=0,"Sin turtno ing",VLOOKUP(I413,Ingreso!K:P,6,0)),IF(F413&gt;0.25,IF(F413&lt;0.311805555555556,"Turno A",IF(F413&gt;0.3125,IF(F413&lt;0.354166666666667,"Turno C",IF(F413&gt;0.583333333333333,IF(F413&lt;0.625,"Turno B",IF(F413&gt;0.625694444444444,IF(F413&lt;0.8125,"Turno A",IF(F413&gt;0.875,IF(F413&lt;0.936805555555556,"Turno C",IF(F413&gt;0.9375,IF(F413&lt;0.979166666666667,"Turno B",""),"")),"")),"")),"")),"")),""))</f>
        <v>Turno A</v>
      </c>
      <c r="L413" s="91">
        <f t="shared" si="6"/>
        <v>0.3125</v>
      </c>
    </row>
    <row r="414" spans="1:12" s="40" customFormat="1">
      <c r="A414">
        <v>8465592</v>
      </c>
      <c r="B414" t="s">
        <v>233</v>
      </c>
      <c r="C414" t="s">
        <v>231</v>
      </c>
      <c r="D414" t="s">
        <v>232</v>
      </c>
      <c r="E414" t="s">
        <v>1437</v>
      </c>
      <c r="F414" s="78">
        <v>0.2925462962962963</v>
      </c>
      <c r="G414" t="s">
        <v>1405</v>
      </c>
      <c r="H414" t="s">
        <v>1335</v>
      </c>
      <c r="I414" s="88" t="str">
        <f>VLOOKUP(A414,Base!A:B,2,0)</f>
        <v>08.465.592-9</v>
      </c>
      <c r="J414" s="99" t="str">
        <f>VLOOKUP(A414,Base!A:F,6,0)</f>
        <v>JUAN A  CASTAÑEDA  SANHUEZA</v>
      </c>
      <c r="K414" s="89" t="str">
        <f>IFERROR(IF(VLOOKUP(I414,Ingreso!K:P,6,0)=0,"Sin turtno ing",VLOOKUP(I414,Ingreso!K:P,6,0)),IF(F414&gt;0.25,IF(F414&lt;0.311805555555556,"Turno A",IF(F414&gt;0.3125,IF(F414&lt;0.354166666666667,"Turno C",IF(F414&gt;0.583333333333333,IF(F414&lt;0.625,"Turno B",IF(F414&gt;0.625694444444444,IF(F414&lt;0.8125,"Turno A",IF(F414&gt;0.875,IF(F414&lt;0.936805555555556,"Turno C",IF(F414&gt;0.9375,IF(F414&lt;0.979166666666667,"Turno B",""),"")),"")),"")),"")),"")),""))</f>
        <v>Turno A</v>
      </c>
      <c r="L414" s="91">
        <f t="shared" si="6"/>
        <v>0.3125</v>
      </c>
    </row>
    <row r="415" spans="1:12" s="40" customFormat="1">
      <c r="A415">
        <v>8465592</v>
      </c>
      <c r="B415" t="s">
        <v>233</v>
      </c>
      <c r="C415" t="s">
        <v>231</v>
      </c>
      <c r="D415" t="s">
        <v>232</v>
      </c>
      <c r="E415" t="s">
        <v>1438</v>
      </c>
      <c r="F415" s="78">
        <v>0.63681712962962966</v>
      </c>
      <c r="G415" t="s">
        <v>1406</v>
      </c>
      <c r="H415" t="s">
        <v>1336</v>
      </c>
      <c r="I415" s="88" t="str">
        <f>VLOOKUP(A415,Base!A:B,2,0)</f>
        <v>08.465.592-9</v>
      </c>
      <c r="J415" s="99" t="str">
        <f>VLOOKUP(A415,Base!A:F,6,0)</f>
        <v>JUAN A  CASTAÑEDA  SANHUEZA</v>
      </c>
      <c r="K415" s="89" t="str">
        <f>IFERROR(IF(VLOOKUP(I415,Ingreso!K:P,6,0)=0,"Sin turtno ing",VLOOKUP(I415,Ingreso!K:P,6,0)),IF(F415&gt;0.25,IF(F415&lt;0.311805555555556,"Turno A",IF(F415&gt;0.3125,IF(F415&lt;0.354166666666667,"Turno C",IF(F415&gt;0.583333333333333,IF(F415&lt;0.625,"Turno B",IF(F415&gt;0.625694444444444,IF(F415&lt;0.8125,"Turno A",IF(F415&gt;0.875,IF(F415&lt;0.936805555555556,"Turno C",IF(F415&gt;0.9375,IF(F415&lt;0.979166666666667,"Turno B",""),"")),"")),"")),"")),"")),""))</f>
        <v>Turno A</v>
      </c>
      <c r="L415" s="91">
        <f t="shared" si="6"/>
        <v>0.3125</v>
      </c>
    </row>
    <row r="416" spans="1:12" s="40" customFormat="1">
      <c r="A416">
        <v>8465592</v>
      </c>
      <c r="B416" t="s">
        <v>233</v>
      </c>
      <c r="C416" t="s">
        <v>231</v>
      </c>
      <c r="D416" t="s">
        <v>232</v>
      </c>
      <c r="E416" t="s">
        <v>1438</v>
      </c>
      <c r="F416" s="78">
        <v>0.29311342592592593</v>
      </c>
      <c r="G416" t="s">
        <v>1405</v>
      </c>
      <c r="H416" t="s">
        <v>1335</v>
      </c>
      <c r="I416" s="88" t="str">
        <f>VLOOKUP(A416,Base!A:B,2,0)</f>
        <v>08.465.592-9</v>
      </c>
      <c r="J416" s="99" t="str">
        <f>VLOOKUP(A416,Base!A:F,6,0)</f>
        <v>JUAN A  CASTAÑEDA  SANHUEZA</v>
      </c>
      <c r="K416" s="89" t="str">
        <f>IFERROR(IF(VLOOKUP(I416,Ingreso!K:P,6,0)=0,"Sin turtno ing",VLOOKUP(I416,Ingreso!K:P,6,0)),IF(F416&gt;0.25,IF(F416&lt;0.311805555555556,"Turno A",IF(F416&gt;0.3125,IF(F416&lt;0.354166666666667,"Turno C",IF(F416&gt;0.583333333333333,IF(F416&lt;0.625,"Turno B",IF(F416&gt;0.625694444444444,IF(F416&lt;0.8125,"Turno A",IF(F416&gt;0.875,IF(F416&lt;0.936805555555556,"Turno C",IF(F416&gt;0.9375,IF(F416&lt;0.979166666666667,"Turno B",""),"")),"")),"")),"")),"")),""))</f>
        <v>Turno A</v>
      </c>
      <c r="L416" s="91">
        <f t="shared" si="6"/>
        <v>0.3125</v>
      </c>
    </row>
    <row r="417" spans="1:12" s="40" customFormat="1">
      <c r="A417">
        <v>8465592</v>
      </c>
      <c r="B417" t="s">
        <v>233</v>
      </c>
      <c r="C417" t="s">
        <v>231</v>
      </c>
      <c r="D417" t="s">
        <v>232</v>
      </c>
      <c r="E417" t="s">
        <v>1439</v>
      </c>
      <c r="F417" s="78">
        <v>0.63868055555555558</v>
      </c>
      <c r="G417" t="s">
        <v>1406</v>
      </c>
      <c r="H417" t="s">
        <v>1336</v>
      </c>
      <c r="I417" s="88" t="str">
        <f>VLOOKUP(A417,Base!A:B,2,0)</f>
        <v>08.465.592-9</v>
      </c>
      <c r="J417" s="99" t="str">
        <f>VLOOKUP(A417,Base!A:F,6,0)</f>
        <v>JUAN A  CASTAÑEDA  SANHUEZA</v>
      </c>
      <c r="K417" s="89" t="str">
        <f>IFERROR(IF(VLOOKUP(I417,Ingreso!K:P,6,0)=0,"Sin turtno ing",VLOOKUP(I417,Ingreso!K:P,6,0)),IF(F417&gt;0.25,IF(F417&lt;0.311805555555556,"Turno A",IF(F417&gt;0.3125,IF(F417&lt;0.354166666666667,"Turno C",IF(F417&gt;0.583333333333333,IF(F417&lt;0.625,"Turno B",IF(F417&gt;0.625694444444444,IF(F417&lt;0.8125,"Turno A",IF(F417&gt;0.875,IF(F417&lt;0.936805555555556,"Turno C",IF(F417&gt;0.9375,IF(F417&lt;0.979166666666667,"Turno B",""),"")),"")),"")),"")),"")),""))</f>
        <v>Turno A</v>
      </c>
      <c r="L417" s="91">
        <f t="shared" si="6"/>
        <v>0.3125</v>
      </c>
    </row>
    <row r="418" spans="1:12" s="40" customFormat="1">
      <c r="A418">
        <v>8465592</v>
      </c>
      <c r="B418" t="s">
        <v>233</v>
      </c>
      <c r="C418" t="s">
        <v>231</v>
      </c>
      <c r="D418" t="s">
        <v>232</v>
      </c>
      <c r="E418" t="s">
        <v>1439</v>
      </c>
      <c r="F418" s="78">
        <v>0.29357638888888887</v>
      </c>
      <c r="G418" t="s">
        <v>1405</v>
      </c>
      <c r="H418" t="s">
        <v>1335</v>
      </c>
      <c r="I418" s="88" t="str">
        <f>VLOOKUP(A418,Base!A:B,2,0)</f>
        <v>08.465.592-9</v>
      </c>
      <c r="J418" s="99" t="str">
        <f>VLOOKUP(A418,Base!A:F,6,0)</f>
        <v>JUAN A  CASTAÑEDA  SANHUEZA</v>
      </c>
      <c r="K418" s="89" t="str">
        <f>IFERROR(IF(VLOOKUP(I418,Ingreso!K:P,6,0)=0,"Sin turtno ing",VLOOKUP(I418,Ingreso!K:P,6,0)),IF(F418&gt;0.25,IF(F418&lt;0.311805555555556,"Turno A",IF(F418&gt;0.3125,IF(F418&lt;0.354166666666667,"Turno C",IF(F418&gt;0.583333333333333,IF(F418&lt;0.625,"Turno B",IF(F418&gt;0.625694444444444,IF(F418&lt;0.8125,"Turno A",IF(F418&gt;0.875,IF(F418&lt;0.936805555555556,"Turno C",IF(F418&gt;0.9375,IF(F418&lt;0.979166666666667,"Turno B",""),"")),"")),"")),"")),"")),""))</f>
        <v>Turno A</v>
      </c>
      <c r="L418" s="91">
        <f t="shared" si="6"/>
        <v>0.3125</v>
      </c>
    </row>
    <row r="419" spans="1:12" s="40" customFormat="1">
      <c r="A419">
        <v>8585356</v>
      </c>
      <c r="B419" t="s">
        <v>645</v>
      </c>
      <c r="C419" t="s">
        <v>634</v>
      </c>
      <c r="D419" t="s">
        <v>644</v>
      </c>
      <c r="E419" t="s">
        <v>1440</v>
      </c>
      <c r="F419" s="78">
        <v>0.33600694444444446</v>
      </c>
      <c r="G419" t="s">
        <v>1406</v>
      </c>
      <c r="H419" t="s">
        <v>1336</v>
      </c>
      <c r="I419" s="88" t="str">
        <f>VLOOKUP(A419,Base!A:B,2,0)</f>
        <v>08.585.356-2</v>
      </c>
      <c r="J419" s="99" t="str">
        <f>VLOOKUP(A419,Base!A:F,6,0)</f>
        <v>OSCAR E.  MORALES  ZAPATA</v>
      </c>
      <c r="K419" s="89" t="str">
        <f>IFERROR(IF(VLOOKUP(I419,Ingreso!K:P,6,0)=0,"Sin turtno ing",VLOOKUP(I419,Ingreso!K:P,6,0)),IF(F419&gt;0.25,IF(F419&lt;0.311805555555556,"Turno A",IF(F419&gt;0.3125,IF(F419&lt;0.354166666666667,"Turno C",IF(F419&gt;0.583333333333333,IF(F419&lt;0.625,"Turno B",IF(F419&gt;0.625694444444444,IF(F419&lt;0.8125,"Turno A",IF(F419&gt;0.875,IF(F419&lt;0.936805555555556,"Turno C",IF(F419&gt;0.9375,IF(F419&lt;0.979166666666667,"Turno B",""),"")),"")),"")),"")),"")),""))</f>
        <v>Turno C</v>
      </c>
      <c r="L419" s="91">
        <f t="shared" si="6"/>
        <v>0.375</v>
      </c>
    </row>
    <row r="420" spans="1:12" s="40" customFormat="1">
      <c r="A420">
        <v>8585356</v>
      </c>
      <c r="B420" t="s">
        <v>645</v>
      </c>
      <c r="C420" t="s">
        <v>634</v>
      </c>
      <c r="D420" t="s">
        <v>644</v>
      </c>
      <c r="E420" t="s">
        <v>1440</v>
      </c>
      <c r="F420" s="78">
        <v>0.80940972222222218</v>
      </c>
      <c r="G420" t="s">
        <v>1405</v>
      </c>
      <c r="H420" t="s">
        <v>1335</v>
      </c>
      <c r="I420" s="88" t="str">
        <f>VLOOKUP(A420,Base!A:B,2,0)</f>
        <v>08.585.356-2</v>
      </c>
      <c r="J420" s="99" t="str">
        <f>VLOOKUP(A420,Base!A:F,6,0)</f>
        <v>OSCAR E.  MORALES  ZAPATA</v>
      </c>
      <c r="K420" s="89" t="str">
        <f>IFERROR(IF(VLOOKUP(I420,Ingreso!K:P,6,0)=0,"Sin turtno ing",VLOOKUP(I420,Ingreso!K:P,6,0)),IF(F420&gt;0.25,IF(F420&lt;0.311805555555556,"Turno A",IF(F420&gt;0.3125,IF(F420&lt;0.354166666666667,"Turno C",IF(F420&gt;0.583333333333333,IF(F420&lt;0.625,"Turno B",IF(F420&gt;0.625694444444444,IF(F420&lt;0.8125,"Turno A",IF(F420&gt;0.875,IF(F420&lt;0.936805555555556,"Turno C",IF(F420&gt;0.9375,IF(F420&lt;0.979166666666667,"Turno B",""),"")),"")),"")),"")),"")),""))</f>
        <v>Turno A</v>
      </c>
      <c r="L420" s="91">
        <f t="shared" si="6"/>
        <v>0.3125</v>
      </c>
    </row>
    <row r="421" spans="1:12" s="40" customFormat="1">
      <c r="A421">
        <v>8585356</v>
      </c>
      <c r="B421" t="s">
        <v>645</v>
      </c>
      <c r="C421" t="s">
        <v>634</v>
      </c>
      <c r="D421" t="s">
        <v>644</v>
      </c>
      <c r="E421" t="s">
        <v>1441</v>
      </c>
      <c r="F421" s="78">
        <v>0.35167824074074078</v>
      </c>
      <c r="G421" t="s">
        <v>1406</v>
      </c>
      <c r="H421" t="s">
        <v>1336</v>
      </c>
      <c r="I421" s="88" t="str">
        <f>VLOOKUP(A421,Base!A:B,2,0)</f>
        <v>08.585.356-2</v>
      </c>
      <c r="J421" s="99" t="str">
        <f>VLOOKUP(A421,Base!A:F,6,0)</f>
        <v>OSCAR E.  MORALES  ZAPATA</v>
      </c>
      <c r="K421" s="89" t="str">
        <f>IFERROR(IF(VLOOKUP(I421,Ingreso!K:P,6,0)=0,"Sin turtno ing",VLOOKUP(I421,Ingreso!K:P,6,0)),IF(F421&gt;0.25,IF(F421&lt;0.311805555555556,"Turno A",IF(F421&gt;0.3125,IF(F421&lt;0.354166666666667,"Turno C",IF(F421&gt;0.583333333333333,IF(F421&lt;0.625,"Turno B",IF(F421&gt;0.625694444444444,IF(F421&lt;0.8125,"Turno A",IF(F421&gt;0.875,IF(F421&lt;0.936805555555556,"Turno C",IF(F421&gt;0.9375,IF(F421&lt;0.979166666666667,"Turno B",""),"")),"")),"")),"")),"")),""))</f>
        <v>Turno C</v>
      </c>
      <c r="L421" s="91">
        <f t="shared" si="6"/>
        <v>0.375</v>
      </c>
    </row>
    <row r="422" spans="1:12" s="40" customFormat="1">
      <c r="A422">
        <v>8585356</v>
      </c>
      <c r="B422" t="s">
        <v>645</v>
      </c>
      <c r="C422" t="s">
        <v>634</v>
      </c>
      <c r="D422" t="s">
        <v>644</v>
      </c>
      <c r="E422" t="s">
        <v>1438</v>
      </c>
      <c r="F422" s="78">
        <v>0.80620370370370376</v>
      </c>
      <c r="G422" t="s">
        <v>1405</v>
      </c>
      <c r="H422" t="s">
        <v>1335</v>
      </c>
      <c r="I422" s="88" t="str">
        <f>VLOOKUP(A422,Base!A:B,2,0)</f>
        <v>08.585.356-2</v>
      </c>
      <c r="J422" s="99" t="str">
        <f>VLOOKUP(A422,Base!A:F,6,0)</f>
        <v>OSCAR E.  MORALES  ZAPATA</v>
      </c>
      <c r="K422" s="89" t="str">
        <f>IFERROR(IF(VLOOKUP(I422,Ingreso!K:P,6,0)=0,"Sin turtno ing",VLOOKUP(I422,Ingreso!K:P,6,0)),IF(F422&gt;0.25,IF(F422&lt;0.311805555555556,"Turno A",IF(F422&gt;0.3125,IF(F422&lt;0.354166666666667,"Turno C",IF(F422&gt;0.583333333333333,IF(F422&lt;0.625,"Turno B",IF(F422&gt;0.625694444444444,IF(F422&lt;0.8125,"Turno A",IF(F422&gt;0.875,IF(F422&lt;0.936805555555556,"Turno C",IF(F422&gt;0.9375,IF(F422&lt;0.979166666666667,"Turno B",""),"")),"")),"")),"")),"")),""))</f>
        <v>Turno A</v>
      </c>
      <c r="L422" s="91">
        <f t="shared" si="6"/>
        <v>0.3125</v>
      </c>
    </row>
    <row r="423" spans="1:12" s="40" customFormat="1">
      <c r="A423">
        <v>8585356</v>
      </c>
      <c r="B423" t="s">
        <v>645</v>
      </c>
      <c r="C423" t="s">
        <v>634</v>
      </c>
      <c r="D423" t="s">
        <v>644</v>
      </c>
      <c r="E423" t="s">
        <v>1439</v>
      </c>
      <c r="F423" s="78">
        <v>0.3399652777777778</v>
      </c>
      <c r="G423" t="s">
        <v>1406</v>
      </c>
      <c r="H423" t="s">
        <v>1336</v>
      </c>
      <c r="I423" s="88" t="str">
        <f>VLOOKUP(A423,Base!A:B,2,0)</f>
        <v>08.585.356-2</v>
      </c>
      <c r="J423" s="99" t="str">
        <f>VLOOKUP(A423,Base!A:F,6,0)</f>
        <v>OSCAR E.  MORALES  ZAPATA</v>
      </c>
      <c r="K423" s="89" t="str">
        <f>IFERROR(IF(VLOOKUP(I423,Ingreso!K:P,6,0)=0,"Sin turtno ing",VLOOKUP(I423,Ingreso!K:P,6,0)),IF(F423&gt;0.25,IF(F423&lt;0.311805555555556,"Turno A",IF(F423&gt;0.3125,IF(F423&lt;0.354166666666667,"Turno C",IF(F423&gt;0.583333333333333,IF(F423&lt;0.625,"Turno B",IF(F423&gt;0.625694444444444,IF(F423&lt;0.8125,"Turno A",IF(F423&gt;0.875,IF(F423&lt;0.936805555555556,"Turno C",IF(F423&gt;0.9375,IF(F423&lt;0.979166666666667,"Turno B",""),"")),"")),"")),"")),"")),""))</f>
        <v>Turno C</v>
      </c>
      <c r="L423" s="91">
        <f t="shared" si="6"/>
        <v>0.375</v>
      </c>
    </row>
    <row r="424" spans="1:12" s="40" customFormat="1">
      <c r="A424">
        <v>8585356</v>
      </c>
      <c r="B424" t="s">
        <v>645</v>
      </c>
      <c r="C424" t="s">
        <v>634</v>
      </c>
      <c r="D424" t="s">
        <v>644</v>
      </c>
      <c r="E424" t="s">
        <v>1439</v>
      </c>
      <c r="F424" s="78">
        <v>0.80620370370370376</v>
      </c>
      <c r="G424" t="s">
        <v>1405</v>
      </c>
      <c r="H424" t="s">
        <v>1335</v>
      </c>
      <c r="I424" s="88" t="str">
        <f>VLOOKUP(A424,Base!A:B,2,0)</f>
        <v>08.585.356-2</v>
      </c>
      <c r="J424" s="99" t="str">
        <f>VLOOKUP(A424,Base!A:F,6,0)</f>
        <v>OSCAR E.  MORALES  ZAPATA</v>
      </c>
      <c r="K424" s="89" t="str">
        <f>IFERROR(IF(VLOOKUP(I424,Ingreso!K:P,6,0)=0,"Sin turtno ing",VLOOKUP(I424,Ingreso!K:P,6,0)),IF(F424&gt;0.25,IF(F424&lt;0.311805555555556,"Turno A",IF(F424&gt;0.3125,IF(F424&lt;0.354166666666667,"Turno C",IF(F424&gt;0.583333333333333,IF(F424&lt;0.625,"Turno B",IF(F424&gt;0.625694444444444,IF(F424&lt;0.8125,"Turno A",IF(F424&gt;0.875,IF(F424&lt;0.936805555555556,"Turno C",IF(F424&gt;0.9375,IF(F424&lt;0.979166666666667,"Turno B",""),"")),"")),"")),"")),"")),""))</f>
        <v>Turno A</v>
      </c>
      <c r="L424" s="91">
        <f t="shared" si="6"/>
        <v>0.3125</v>
      </c>
    </row>
    <row r="425" spans="1:12" s="40" customFormat="1">
      <c r="A425">
        <v>8618882</v>
      </c>
      <c r="B425" t="s">
        <v>987</v>
      </c>
      <c r="C425" t="s">
        <v>607</v>
      </c>
      <c r="D425" t="s">
        <v>863</v>
      </c>
      <c r="E425" t="s">
        <v>1440</v>
      </c>
      <c r="F425" s="78">
        <v>0.62593750000000004</v>
      </c>
      <c r="G425" t="s">
        <v>1406</v>
      </c>
      <c r="H425" t="s">
        <v>1336</v>
      </c>
      <c r="I425" s="88" t="str">
        <f>VLOOKUP(A425,Base!A:B,2,0)</f>
        <v>08.618.882-1</v>
      </c>
      <c r="J425" s="99" t="str">
        <f>VLOOKUP(A425,Base!A:F,6,0)</f>
        <v>VICTOR H.  SANDOVAL  ACUÑA</v>
      </c>
      <c r="K425" s="89" t="str">
        <f>IFERROR(IF(VLOOKUP(I425,Ingreso!K:P,6,0)=0,"Sin turtno ing",VLOOKUP(I425,Ingreso!K:P,6,0)),IF(F425&gt;0.25,IF(F425&lt;0.311805555555556,"Turno A",IF(F425&gt;0.3125,IF(F425&lt;0.354166666666667,"Turno C",IF(F425&gt;0.583333333333333,IF(F425&lt;0.625,"Turno B",IF(F425&gt;0.625694444444444,IF(F425&lt;0.8125,"Turno A",IF(F425&gt;0.875,IF(F425&lt;0.936805555555556,"Turno C",IF(F425&gt;0.9375,IF(F425&lt;0.979166666666667,"Turno B",""),"")),"")),"")),"")),"")),""))</f>
        <v>Sin turtno ing</v>
      </c>
      <c r="L425" s="91" t="e">
        <f t="shared" si="6"/>
        <v>#N/A</v>
      </c>
    </row>
    <row r="426" spans="1:12" s="40" customFormat="1">
      <c r="A426">
        <v>8618882</v>
      </c>
      <c r="B426" t="s">
        <v>987</v>
      </c>
      <c r="C426" t="s">
        <v>607</v>
      </c>
      <c r="D426" t="s">
        <v>863</v>
      </c>
      <c r="E426" t="s">
        <v>1440</v>
      </c>
      <c r="F426" s="78">
        <v>0.30246527777777776</v>
      </c>
      <c r="G426" t="s">
        <v>1405</v>
      </c>
      <c r="H426" t="s">
        <v>1335</v>
      </c>
      <c r="I426" s="88" t="str">
        <f>VLOOKUP(A426,Base!A:B,2,0)</f>
        <v>08.618.882-1</v>
      </c>
      <c r="J426" s="99" t="str">
        <f>VLOOKUP(A426,Base!A:F,6,0)</f>
        <v>VICTOR H.  SANDOVAL  ACUÑA</v>
      </c>
      <c r="K426" s="89" t="str">
        <f>IFERROR(IF(VLOOKUP(I426,Ingreso!K:P,6,0)=0,"Sin turtno ing",VLOOKUP(I426,Ingreso!K:P,6,0)),IF(F426&gt;0.25,IF(F426&lt;0.311805555555556,"Turno A",IF(F426&gt;0.3125,IF(F426&lt;0.354166666666667,"Turno C",IF(F426&gt;0.583333333333333,IF(F426&lt;0.625,"Turno B",IF(F426&gt;0.625694444444444,IF(F426&lt;0.8125,"Turno A",IF(F426&gt;0.875,IF(F426&lt;0.936805555555556,"Turno C",IF(F426&gt;0.9375,IF(F426&lt;0.979166666666667,"Turno B",""),"")),"")),"")),"")),"")),""))</f>
        <v>Sin turtno ing</v>
      </c>
      <c r="L426" s="91" t="e">
        <f t="shared" si="6"/>
        <v>#N/A</v>
      </c>
    </row>
    <row r="427" spans="1:12" s="40" customFormat="1">
      <c r="A427">
        <v>8618882</v>
      </c>
      <c r="B427" t="s">
        <v>987</v>
      </c>
      <c r="C427" t="s">
        <v>607</v>
      </c>
      <c r="D427" t="s">
        <v>863</v>
      </c>
      <c r="E427" t="s">
        <v>1441</v>
      </c>
      <c r="F427" s="78">
        <v>0.62370370370370376</v>
      </c>
      <c r="G427" t="s">
        <v>1406</v>
      </c>
      <c r="H427" t="s">
        <v>1336</v>
      </c>
      <c r="I427" s="88" t="str">
        <f>VLOOKUP(A427,Base!A:B,2,0)</f>
        <v>08.618.882-1</v>
      </c>
      <c r="J427" s="99" t="str">
        <f>VLOOKUP(A427,Base!A:F,6,0)</f>
        <v>VICTOR H.  SANDOVAL  ACUÑA</v>
      </c>
      <c r="K427" s="89" t="str">
        <f>IFERROR(IF(VLOOKUP(I427,Ingreso!K:P,6,0)=0,"Sin turtno ing",VLOOKUP(I427,Ingreso!K:P,6,0)),IF(F427&gt;0.25,IF(F427&lt;0.311805555555556,"Turno A",IF(F427&gt;0.3125,IF(F427&lt;0.354166666666667,"Turno C",IF(F427&gt;0.583333333333333,IF(F427&lt;0.625,"Turno B",IF(F427&gt;0.625694444444444,IF(F427&lt;0.8125,"Turno A",IF(F427&gt;0.875,IF(F427&lt;0.936805555555556,"Turno C",IF(F427&gt;0.9375,IF(F427&lt;0.979166666666667,"Turno B",""),"")),"")),"")),"")),"")),""))</f>
        <v>Sin turtno ing</v>
      </c>
      <c r="L427" s="91" t="e">
        <f t="shared" si="6"/>
        <v>#N/A</v>
      </c>
    </row>
    <row r="428" spans="1:12" s="40" customFormat="1">
      <c r="A428">
        <v>8618882</v>
      </c>
      <c r="B428" t="s">
        <v>987</v>
      </c>
      <c r="C428" t="s">
        <v>607</v>
      </c>
      <c r="D428" t="s">
        <v>863</v>
      </c>
      <c r="E428" t="s">
        <v>1441</v>
      </c>
      <c r="F428" s="78">
        <v>0.31225694444444446</v>
      </c>
      <c r="G428" t="s">
        <v>1405</v>
      </c>
      <c r="H428" t="s">
        <v>1335</v>
      </c>
      <c r="I428" s="88" t="str">
        <f>VLOOKUP(A428,Base!A:B,2,0)</f>
        <v>08.618.882-1</v>
      </c>
      <c r="J428" s="99" t="str">
        <f>VLOOKUP(A428,Base!A:F,6,0)</f>
        <v>VICTOR H.  SANDOVAL  ACUÑA</v>
      </c>
      <c r="K428" s="89" t="str">
        <f>IFERROR(IF(VLOOKUP(I428,Ingreso!K:P,6,0)=0,"Sin turtno ing",VLOOKUP(I428,Ingreso!K:P,6,0)),IF(F428&gt;0.25,IF(F428&lt;0.311805555555556,"Turno A",IF(F428&gt;0.3125,IF(F428&lt;0.354166666666667,"Turno C",IF(F428&gt;0.583333333333333,IF(F428&lt;0.625,"Turno B",IF(F428&gt;0.625694444444444,IF(F428&lt;0.8125,"Turno A",IF(F428&gt;0.875,IF(F428&lt;0.936805555555556,"Turno C",IF(F428&gt;0.9375,IF(F428&lt;0.979166666666667,"Turno B",""),"")),"")),"")),"")),"")),""))</f>
        <v>Sin turtno ing</v>
      </c>
      <c r="L428" s="91" t="e">
        <f t="shared" si="6"/>
        <v>#N/A</v>
      </c>
    </row>
    <row r="429" spans="1:12" s="40" customFormat="1">
      <c r="A429">
        <v>8618882</v>
      </c>
      <c r="B429" t="s">
        <v>987</v>
      </c>
      <c r="C429" t="s">
        <v>607</v>
      </c>
      <c r="D429" t="s">
        <v>863</v>
      </c>
      <c r="E429" t="s">
        <v>1437</v>
      </c>
      <c r="F429" s="78">
        <v>0.62770833333333331</v>
      </c>
      <c r="G429" t="s">
        <v>1406</v>
      </c>
      <c r="H429" t="s">
        <v>1336</v>
      </c>
      <c r="I429" s="88" t="str">
        <f>VLOOKUP(A429,Base!A:B,2,0)</f>
        <v>08.618.882-1</v>
      </c>
      <c r="J429" s="99" t="str">
        <f>VLOOKUP(A429,Base!A:F,6,0)</f>
        <v>VICTOR H.  SANDOVAL  ACUÑA</v>
      </c>
      <c r="K429" s="89" t="str">
        <f>IFERROR(IF(VLOOKUP(I429,Ingreso!K:P,6,0)=0,"Sin turtno ing",VLOOKUP(I429,Ingreso!K:P,6,0)),IF(F429&gt;0.25,IF(F429&lt;0.311805555555556,"Turno A",IF(F429&gt;0.3125,IF(F429&lt;0.354166666666667,"Turno C",IF(F429&gt;0.583333333333333,IF(F429&lt;0.625,"Turno B",IF(F429&gt;0.625694444444444,IF(F429&lt;0.8125,"Turno A",IF(F429&gt;0.875,IF(F429&lt;0.936805555555556,"Turno C",IF(F429&gt;0.9375,IF(F429&lt;0.979166666666667,"Turno B",""),"")),"")),"")),"")),"")),""))</f>
        <v>Sin turtno ing</v>
      </c>
      <c r="L429" s="91" t="e">
        <f t="shared" si="6"/>
        <v>#N/A</v>
      </c>
    </row>
    <row r="430" spans="1:12" s="40" customFormat="1">
      <c r="A430">
        <v>8618882</v>
      </c>
      <c r="B430" t="s">
        <v>987</v>
      </c>
      <c r="C430" t="s">
        <v>607</v>
      </c>
      <c r="D430" t="s">
        <v>863</v>
      </c>
      <c r="E430" t="s">
        <v>1437</v>
      </c>
      <c r="F430" s="78">
        <v>0.30395833333333333</v>
      </c>
      <c r="G430" t="s">
        <v>1405</v>
      </c>
      <c r="H430" t="s">
        <v>1335</v>
      </c>
      <c r="I430" s="88" t="str">
        <f>VLOOKUP(A430,Base!A:B,2,0)</f>
        <v>08.618.882-1</v>
      </c>
      <c r="J430" s="99" t="str">
        <f>VLOOKUP(A430,Base!A:F,6,0)</f>
        <v>VICTOR H.  SANDOVAL  ACUÑA</v>
      </c>
      <c r="K430" s="89" t="str">
        <f>IFERROR(IF(VLOOKUP(I430,Ingreso!K:P,6,0)=0,"Sin turtno ing",VLOOKUP(I430,Ingreso!K:P,6,0)),IF(F430&gt;0.25,IF(F430&lt;0.311805555555556,"Turno A",IF(F430&gt;0.3125,IF(F430&lt;0.354166666666667,"Turno C",IF(F430&gt;0.583333333333333,IF(F430&lt;0.625,"Turno B",IF(F430&gt;0.625694444444444,IF(F430&lt;0.8125,"Turno A",IF(F430&gt;0.875,IF(F430&lt;0.936805555555556,"Turno C",IF(F430&gt;0.9375,IF(F430&lt;0.979166666666667,"Turno B",""),"")),"")),"")),"")),"")),""))</f>
        <v>Sin turtno ing</v>
      </c>
      <c r="L430" s="91" t="e">
        <f t="shared" si="6"/>
        <v>#N/A</v>
      </c>
    </row>
    <row r="431" spans="1:12" s="40" customFormat="1">
      <c r="A431">
        <v>8618882</v>
      </c>
      <c r="B431" t="s">
        <v>987</v>
      </c>
      <c r="C431" t="s">
        <v>607</v>
      </c>
      <c r="D431" t="s">
        <v>863</v>
      </c>
      <c r="E431" t="s">
        <v>1438</v>
      </c>
      <c r="F431" s="78">
        <v>0.62843749999999998</v>
      </c>
      <c r="G431" t="s">
        <v>1406</v>
      </c>
      <c r="H431" t="s">
        <v>1336</v>
      </c>
      <c r="I431" s="88" t="str">
        <f>VLOOKUP(A431,Base!A:B,2,0)</f>
        <v>08.618.882-1</v>
      </c>
      <c r="J431" s="99" t="str">
        <f>VLOOKUP(A431,Base!A:F,6,0)</f>
        <v>VICTOR H.  SANDOVAL  ACUÑA</v>
      </c>
      <c r="K431" s="89" t="str">
        <f>IFERROR(IF(VLOOKUP(I431,Ingreso!K:P,6,0)=0,"Sin turtno ing",VLOOKUP(I431,Ingreso!K:P,6,0)),IF(F431&gt;0.25,IF(F431&lt;0.311805555555556,"Turno A",IF(F431&gt;0.3125,IF(F431&lt;0.354166666666667,"Turno C",IF(F431&gt;0.583333333333333,IF(F431&lt;0.625,"Turno B",IF(F431&gt;0.625694444444444,IF(F431&lt;0.8125,"Turno A",IF(F431&gt;0.875,IF(F431&lt;0.936805555555556,"Turno C",IF(F431&gt;0.9375,IF(F431&lt;0.979166666666667,"Turno B",""),"")),"")),"")),"")),"")),""))</f>
        <v>Sin turtno ing</v>
      </c>
      <c r="L431" s="91" t="e">
        <f t="shared" si="6"/>
        <v>#N/A</v>
      </c>
    </row>
    <row r="432" spans="1:12" s="40" customFormat="1">
      <c r="A432">
        <v>8618882</v>
      </c>
      <c r="B432" t="s">
        <v>987</v>
      </c>
      <c r="C432" t="s">
        <v>607</v>
      </c>
      <c r="D432" t="s">
        <v>863</v>
      </c>
      <c r="E432" t="s">
        <v>1438</v>
      </c>
      <c r="F432" s="78">
        <v>0.3044560185185185</v>
      </c>
      <c r="G432" t="s">
        <v>1405</v>
      </c>
      <c r="H432" t="s">
        <v>1335</v>
      </c>
      <c r="I432" s="88" t="str">
        <f>VLOOKUP(A432,Base!A:B,2,0)</f>
        <v>08.618.882-1</v>
      </c>
      <c r="J432" s="99" t="str">
        <f>VLOOKUP(A432,Base!A:F,6,0)</f>
        <v>VICTOR H.  SANDOVAL  ACUÑA</v>
      </c>
      <c r="K432" s="89" t="str">
        <f>IFERROR(IF(VLOOKUP(I432,Ingreso!K:P,6,0)=0,"Sin turtno ing",VLOOKUP(I432,Ingreso!K:P,6,0)),IF(F432&gt;0.25,IF(F432&lt;0.311805555555556,"Turno A",IF(F432&gt;0.3125,IF(F432&lt;0.354166666666667,"Turno C",IF(F432&gt;0.583333333333333,IF(F432&lt;0.625,"Turno B",IF(F432&gt;0.625694444444444,IF(F432&lt;0.8125,"Turno A",IF(F432&gt;0.875,IF(F432&lt;0.936805555555556,"Turno C",IF(F432&gt;0.9375,IF(F432&lt;0.979166666666667,"Turno B",""),"")),"")),"")),"")),"")),""))</f>
        <v>Sin turtno ing</v>
      </c>
      <c r="L432" s="91" t="e">
        <f t="shared" si="6"/>
        <v>#N/A</v>
      </c>
    </row>
    <row r="433" spans="1:12" s="40" customFormat="1">
      <c r="A433">
        <v>8618882</v>
      </c>
      <c r="B433" t="s">
        <v>987</v>
      </c>
      <c r="C433" t="s">
        <v>607</v>
      </c>
      <c r="D433" t="s">
        <v>863</v>
      </c>
      <c r="E433" t="s">
        <v>1439</v>
      </c>
      <c r="F433" s="78">
        <v>0.62672453703703701</v>
      </c>
      <c r="G433" t="s">
        <v>1406</v>
      </c>
      <c r="H433" t="s">
        <v>1336</v>
      </c>
      <c r="I433" s="88" t="str">
        <f>VLOOKUP(A433,Base!A:B,2,0)</f>
        <v>08.618.882-1</v>
      </c>
      <c r="J433" s="99" t="str">
        <f>VLOOKUP(A433,Base!A:F,6,0)</f>
        <v>VICTOR H.  SANDOVAL  ACUÑA</v>
      </c>
      <c r="K433" s="89" t="str">
        <f>IFERROR(IF(VLOOKUP(I433,Ingreso!K:P,6,0)=0,"Sin turtno ing",VLOOKUP(I433,Ingreso!K:P,6,0)),IF(F433&gt;0.25,IF(F433&lt;0.311805555555556,"Turno A",IF(F433&gt;0.3125,IF(F433&lt;0.354166666666667,"Turno C",IF(F433&gt;0.583333333333333,IF(F433&lt;0.625,"Turno B",IF(F433&gt;0.625694444444444,IF(F433&lt;0.8125,"Turno A",IF(F433&gt;0.875,IF(F433&lt;0.936805555555556,"Turno C",IF(F433&gt;0.9375,IF(F433&lt;0.979166666666667,"Turno B",""),"")),"")),"")),"")),"")),""))</f>
        <v>Sin turtno ing</v>
      </c>
      <c r="L433" s="91" t="e">
        <f t="shared" si="6"/>
        <v>#N/A</v>
      </c>
    </row>
    <row r="434" spans="1:12" s="40" customFormat="1">
      <c r="A434">
        <v>8618882</v>
      </c>
      <c r="B434" t="s">
        <v>987</v>
      </c>
      <c r="C434" t="s">
        <v>607</v>
      </c>
      <c r="D434" t="s">
        <v>863</v>
      </c>
      <c r="E434" t="s">
        <v>1439</v>
      </c>
      <c r="F434" s="78">
        <v>0.31293981481481481</v>
      </c>
      <c r="G434" t="s">
        <v>1405</v>
      </c>
      <c r="H434" t="s">
        <v>1335</v>
      </c>
      <c r="I434" s="88" t="str">
        <f>VLOOKUP(A434,Base!A:B,2,0)</f>
        <v>08.618.882-1</v>
      </c>
      <c r="J434" s="99" t="str">
        <f>VLOOKUP(A434,Base!A:F,6,0)</f>
        <v>VICTOR H.  SANDOVAL  ACUÑA</v>
      </c>
      <c r="K434" s="89" t="str">
        <f>IFERROR(IF(VLOOKUP(I434,Ingreso!K:P,6,0)=0,"Sin turtno ing",VLOOKUP(I434,Ingreso!K:P,6,0)),IF(F434&gt;0.25,IF(F434&lt;0.311805555555556,"Turno A",IF(F434&gt;0.3125,IF(F434&lt;0.354166666666667,"Turno C",IF(F434&gt;0.583333333333333,IF(F434&lt;0.625,"Turno B",IF(F434&gt;0.625694444444444,IF(F434&lt;0.8125,"Turno A",IF(F434&gt;0.875,IF(F434&lt;0.936805555555556,"Turno C",IF(F434&gt;0.9375,IF(F434&lt;0.979166666666667,"Turno B",""),"")),"")),"")),"")),"")),""))</f>
        <v>Sin turtno ing</v>
      </c>
      <c r="L434" s="91" t="e">
        <f t="shared" si="6"/>
        <v>#N/A</v>
      </c>
    </row>
    <row r="435" spans="1:12" s="40" customFormat="1">
      <c r="A435">
        <v>8634737</v>
      </c>
      <c r="B435" t="s">
        <v>918</v>
      </c>
      <c r="C435" t="s">
        <v>208</v>
      </c>
      <c r="D435" t="s">
        <v>917</v>
      </c>
      <c r="E435" t="s">
        <v>1440</v>
      </c>
      <c r="F435" s="78">
        <v>0.81148148148148147</v>
      </c>
      <c r="G435" t="s">
        <v>1406</v>
      </c>
      <c r="H435" t="s">
        <v>1336</v>
      </c>
      <c r="I435" s="88" t="str">
        <f>VLOOKUP(A435,Base!A:B,2,0)</f>
        <v>08.634.737-7</v>
      </c>
      <c r="J435" s="99" t="str">
        <f>VLOOKUP(A435,Base!A:F,6,0)</f>
        <v>RAFAEL  RODRIGUEZ  CISTERNA</v>
      </c>
      <c r="K435" s="89" t="str">
        <f>IFERROR(IF(VLOOKUP(I435,Ingreso!K:P,6,0)=0,"Sin turtno ing",VLOOKUP(I435,Ingreso!K:P,6,0)),IF(F435&gt;0.25,IF(F435&lt;0.311805555555556,"Turno A",IF(F435&gt;0.3125,IF(F435&lt;0.354166666666667,"Turno C",IF(F435&gt;0.583333333333333,IF(F435&lt;0.625,"Turno B",IF(F435&gt;0.625694444444444,IF(F435&lt;0.8125,"Turno A",IF(F435&gt;0.875,IF(F435&lt;0.936805555555556,"Turno C",IF(F435&gt;0.9375,IF(F435&lt;0.979166666666667,"Turno B",""),"")),"")),"")),"")),"")),""))</f>
        <v>Turno A</v>
      </c>
      <c r="L435" s="91">
        <f t="shared" si="6"/>
        <v>0.3125</v>
      </c>
    </row>
    <row r="436" spans="1:12" s="40" customFormat="1">
      <c r="A436">
        <v>8634737</v>
      </c>
      <c r="B436" t="s">
        <v>918</v>
      </c>
      <c r="C436" t="s">
        <v>208</v>
      </c>
      <c r="D436" t="s">
        <v>917</v>
      </c>
      <c r="E436" t="s">
        <v>1440</v>
      </c>
      <c r="F436" s="78">
        <v>0.30009259259259258</v>
      </c>
      <c r="G436" t="s">
        <v>1405</v>
      </c>
      <c r="H436" t="s">
        <v>1335</v>
      </c>
      <c r="I436" s="88" t="str">
        <f>VLOOKUP(A436,Base!A:B,2,0)</f>
        <v>08.634.737-7</v>
      </c>
      <c r="J436" s="99" t="str">
        <f>VLOOKUP(A436,Base!A:F,6,0)</f>
        <v>RAFAEL  RODRIGUEZ  CISTERNA</v>
      </c>
      <c r="K436" s="89" t="str">
        <f>IFERROR(IF(VLOOKUP(I436,Ingreso!K:P,6,0)=0,"Sin turtno ing",VLOOKUP(I436,Ingreso!K:P,6,0)),IF(F436&gt;0.25,IF(F436&lt;0.311805555555556,"Turno A",IF(F436&gt;0.3125,IF(F436&lt;0.354166666666667,"Turno C",IF(F436&gt;0.583333333333333,IF(F436&lt;0.625,"Turno B",IF(F436&gt;0.625694444444444,IF(F436&lt;0.8125,"Turno A",IF(F436&gt;0.875,IF(F436&lt;0.936805555555556,"Turno C",IF(F436&gt;0.9375,IF(F436&lt;0.979166666666667,"Turno B",""),"")),"")),"")),"")),"")),""))</f>
        <v>Turno A</v>
      </c>
      <c r="L436" s="91">
        <f t="shared" si="6"/>
        <v>0.3125</v>
      </c>
    </row>
    <row r="437" spans="1:12" s="40" customFormat="1">
      <c r="A437">
        <v>8634737</v>
      </c>
      <c r="B437" t="s">
        <v>918</v>
      </c>
      <c r="C437" t="s">
        <v>208</v>
      </c>
      <c r="D437" t="s">
        <v>917</v>
      </c>
      <c r="E437" t="s">
        <v>1441</v>
      </c>
      <c r="F437" s="78">
        <v>0.62778935185185192</v>
      </c>
      <c r="G437" t="s">
        <v>1406</v>
      </c>
      <c r="H437" t="s">
        <v>1336</v>
      </c>
      <c r="I437" s="88" t="str">
        <f>VLOOKUP(A437,Base!A:B,2,0)</f>
        <v>08.634.737-7</v>
      </c>
      <c r="J437" s="99" t="str">
        <f>VLOOKUP(A437,Base!A:F,6,0)</f>
        <v>RAFAEL  RODRIGUEZ  CISTERNA</v>
      </c>
      <c r="K437" s="89" t="str">
        <f>IFERROR(IF(VLOOKUP(I437,Ingreso!K:P,6,0)=0,"Sin turtno ing",VLOOKUP(I437,Ingreso!K:P,6,0)),IF(F437&gt;0.25,IF(F437&lt;0.311805555555556,"Turno A",IF(F437&gt;0.3125,IF(F437&lt;0.354166666666667,"Turno C",IF(F437&gt;0.583333333333333,IF(F437&lt;0.625,"Turno B",IF(F437&gt;0.625694444444444,IF(F437&lt;0.8125,"Turno A",IF(F437&gt;0.875,IF(F437&lt;0.936805555555556,"Turno C",IF(F437&gt;0.9375,IF(F437&lt;0.979166666666667,"Turno B",""),"")),"")),"")),"")),"")),""))</f>
        <v>Turno A</v>
      </c>
      <c r="L437" s="91">
        <f t="shared" si="6"/>
        <v>0.3125</v>
      </c>
    </row>
    <row r="438" spans="1:12" s="40" customFormat="1">
      <c r="A438">
        <v>8634737</v>
      </c>
      <c r="B438" t="s">
        <v>918</v>
      </c>
      <c r="C438" t="s">
        <v>208</v>
      </c>
      <c r="D438" t="s">
        <v>917</v>
      </c>
      <c r="E438" t="s">
        <v>1441</v>
      </c>
      <c r="F438" s="78">
        <v>0.30116898148148147</v>
      </c>
      <c r="G438" t="s">
        <v>1405</v>
      </c>
      <c r="H438" t="s">
        <v>1335</v>
      </c>
      <c r="I438" s="88" t="str">
        <f>VLOOKUP(A438,Base!A:B,2,0)</f>
        <v>08.634.737-7</v>
      </c>
      <c r="J438" s="99" t="str">
        <f>VLOOKUP(A438,Base!A:F,6,0)</f>
        <v>RAFAEL  RODRIGUEZ  CISTERNA</v>
      </c>
      <c r="K438" s="89" t="str">
        <f>IFERROR(IF(VLOOKUP(I438,Ingreso!K:P,6,0)=0,"Sin turtno ing",VLOOKUP(I438,Ingreso!K:P,6,0)),IF(F438&gt;0.25,IF(F438&lt;0.311805555555556,"Turno A",IF(F438&gt;0.3125,IF(F438&lt;0.354166666666667,"Turno C",IF(F438&gt;0.583333333333333,IF(F438&lt;0.625,"Turno B",IF(F438&gt;0.625694444444444,IF(F438&lt;0.8125,"Turno A",IF(F438&gt;0.875,IF(F438&lt;0.936805555555556,"Turno C",IF(F438&gt;0.9375,IF(F438&lt;0.979166666666667,"Turno B",""),"")),"")),"")),"")),"")),""))</f>
        <v>Turno A</v>
      </c>
      <c r="L438" s="91">
        <f t="shared" si="6"/>
        <v>0.3125</v>
      </c>
    </row>
    <row r="439" spans="1:12" s="40" customFormat="1">
      <c r="A439">
        <v>8634737</v>
      </c>
      <c r="B439" t="s">
        <v>918</v>
      </c>
      <c r="C439" t="s">
        <v>208</v>
      </c>
      <c r="D439" t="s">
        <v>917</v>
      </c>
      <c r="E439" t="s">
        <v>1437</v>
      </c>
      <c r="F439" s="78">
        <v>0.63105324074074076</v>
      </c>
      <c r="G439" t="s">
        <v>1406</v>
      </c>
      <c r="H439" t="s">
        <v>1336</v>
      </c>
      <c r="I439" s="88" t="str">
        <f>VLOOKUP(A439,Base!A:B,2,0)</f>
        <v>08.634.737-7</v>
      </c>
      <c r="J439" s="99" t="str">
        <f>VLOOKUP(A439,Base!A:F,6,0)</f>
        <v>RAFAEL  RODRIGUEZ  CISTERNA</v>
      </c>
      <c r="K439" s="89" t="str">
        <f>IFERROR(IF(VLOOKUP(I439,Ingreso!K:P,6,0)=0,"Sin turtno ing",VLOOKUP(I439,Ingreso!K:P,6,0)),IF(F439&gt;0.25,IF(F439&lt;0.311805555555556,"Turno A",IF(F439&gt;0.3125,IF(F439&lt;0.354166666666667,"Turno C",IF(F439&gt;0.583333333333333,IF(F439&lt;0.625,"Turno B",IF(F439&gt;0.625694444444444,IF(F439&lt;0.8125,"Turno A",IF(F439&gt;0.875,IF(F439&lt;0.936805555555556,"Turno C",IF(F439&gt;0.9375,IF(F439&lt;0.979166666666667,"Turno B",""),"")),"")),"")),"")),"")),""))</f>
        <v>Turno A</v>
      </c>
      <c r="L439" s="91">
        <f t="shared" si="6"/>
        <v>0.3125</v>
      </c>
    </row>
    <row r="440" spans="1:12" s="40" customFormat="1">
      <c r="A440">
        <v>8634737</v>
      </c>
      <c r="B440" t="s">
        <v>918</v>
      </c>
      <c r="C440" t="s">
        <v>208</v>
      </c>
      <c r="D440" t="s">
        <v>917</v>
      </c>
      <c r="E440" t="s">
        <v>1437</v>
      </c>
      <c r="F440" s="78">
        <v>0.29670138888888892</v>
      </c>
      <c r="G440" t="s">
        <v>1405</v>
      </c>
      <c r="H440" t="s">
        <v>1335</v>
      </c>
      <c r="I440" s="88" t="str">
        <f>VLOOKUP(A440,Base!A:B,2,0)</f>
        <v>08.634.737-7</v>
      </c>
      <c r="J440" s="99" t="str">
        <f>VLOOKUP(A440,Base!A:F,6,0)</f>
        <v>RAFAEL  RODRIGUEZ  CISTERNA</v>
      </c>
      <c r="K440" s="89" t="str">
        <f>IFERROR(IF(VLOOKUP(I440,Ingreso!K:P,6,0)=0,"Sin turtno ing",VLOOKUP(I440,Ingreso!K:P,6,0)),IF(F440&gt;0.25,IF(F440&lt;0.311805555555556,"Turno A",IF(F440&gt;0.3125,IF(F440&lt;0.354166666666667,"Turno C",IF(F440&gt;0.583333333333333,IF(F440&lt;0.625,"Turno B",IF(F440&gt;0.625694444444444,IF(F440&lt;0.8125,"Turno A",IF(F440&gt;0.875,IF(F440&lt;0.936805555555556,"Turno C",IF(F440&gt;0.9375,IF(F440&lt;0.979166666666667,"Turno B",""),"")),"")),"")),"")),"")),""))</f>
        <v>Turno A</v>
      </c>
      <c r="L440" s="91">
        <f t="shared" si="6"/>
        <v>0.3125</v>
      </c>
    </row>
    <row r="441" spans="1:12" s="40" customFormat="1">
      <c r="A441">
        <v>8634737</v>
      </c>
      <c r="B441" t="s">
        <v>918</v>
      </c>
      <c r="C441" t="s">
        <v>208</v>
      </c>
      <c r="D441" t="s">
        <v>917</v>
      </c>
      <c r="E441" t="s">
        <v>1438</v>
      </c>
      <c r="F441" s="78">
        <v>0.62829861111111118</v>
      </c>
      <c r="G441" t="s">
        <v>1406</v>
      </c>
      <c r="H441" t="s">
        <v>1336</v>
      </c>
      <c r="I441" s="88" t="str">
        <f>VLOOKUP(A441,Base!A:B,2,0)</f>
        <v>08.634.737-7</v>
      </c>
      <c r="J441" s="99" t="str">
        <f>VLOOKUP(A441,Base!A:F,6,0)</f>
        <v>RAFAEL  RODRIGUEZ  CISTERNA</v>
      </c>
      <c r="K441" s="89" t="str">
        <f>IFERROR(IF(VLOOKUP(I441,Ingreso!K:P,6,0)=0,"Sin turtno ing",VLOOKUP(I441,Ingreso!K:P,6,0)),IF(F441&gt;0.25,IF(F441&lt;0.311805555555556,"Turno A",IF(F441&gt;0.3125,IF(F441&lt;0.354166666666667,"Turno C",IF(F441&gt;0.583333333333333,IF(F441&lt;0.625,"Turno B",IF(F441&gt;0.625694444444444,IF(F441&lt;0.8125,"Turno A",IF(F441&gt;0.875,IF(F441&lt;0.936805555555556,"Turno C",IF(F441&gt;0.9375,IF(F441&lt;0.979166666666667,"Turno B",""),"")),"")),"")),"")),"")),""))</f>
        <v>Turno A</v>
      </c>
      <c r="L441" s="91">
        <f t="shared" si="6"/>
        <v>0.3125</v>
      </c>
    </row>
    <row r="442" spans="1:12" s="40" customFormat="1">
      <c r="A442">
        <v>8634737</v>
      </c>
      <c r="B442" t="s">
        <v>918</v>
      </c>
      <c r="C442" t="s">
        <v>208</v>
      </c>
      <c r="D442" t="s">
        <v>917</v>
      </c>
      <c r="E442" t="s">
        <v>1438</v>
      </c>
      <c r="F442" s="78">
        <v>0.29623842592592592</v>
      </c>
      <c r="G442" t="s">
        <v>1405</v>
      </c>
      <c r="H442" t="s">
        <v>1335</v>
      </c>
      <c r="I442" s="88" t="str">
        <f>VLOOKUP(A442,Base!A:B,2,0)</f>
        <v>08.634.737-7</v>
      </c>
      <c r="J442" s="99" t="str">
        <f>VLOOKUP(A442,Base!A:F,6,0)</f>
        <v>RAFAEL  RODRIGUEZ  CISTERNA</v>
      </c>
      <c r="K442" s="89" t="str">
        <f>IFERROR(IF(VLOOKUP(I442,Ingreso!K:P,6,0)=0,"Sin turtno ing",VLOOKUP(I442,Ingreso!K:P,6,0)),IF(F442&gt;0.25,IF(F442&lt;0.311805555555556,"Turno A",IF(F442&gt;0.3125,IF(F442&lt;0.354166666666667,"Turno C",IF(F442&gt;0.583333333333333,IF(F442&lt;0.625,"Turno B",IF(F442&gt;0.625694444444444,IF(F442&lt;0.8125,"Turno A",IF(F442&gt;0.875,IF(F442&lt;0.936805555555556,"Turno C",IF(F442&gt;0.9375,IF(F442&lt;0.979166666666667,"Turno B",""),"")),"")),"")),"")),"")),""))</f>
        <v>Turno A</v>
      </c>
      <c r="L442" s="91">
        <f t="shared" si="6"/>
        <v>0.3125</v>
      </c>
    </row>
    <row r="443" spans="1:12" s="40" customFormat="1">
      <c r="A443">
        <v>8634737</v>
      </c>
      <c r="B443" t="s">
        <v>918</v>
      </c>
      <c r="C443" t="s">
        <v>208</v>
      </c>
      <c r="D443" t="s">
        <v>917</v>
      </c>
      <c r="E443" t="s">
        <v>1439</v>
      </c>
      <c r="F443" s="78">
        <v>0.81633101851851853</v>
      </c>
      <c r="G443" t="s">
        <v>1406</v>
      </c>
      <c r="H443" t="s">
        <v>1336</v>
      </c>
      <c r="I443" s="88" t="str">
        <f>VLOOKUP(A443,Base!A:B,2,0)</f>
        <v>08.634.737-7</v>
      </c>
      <c r="J443" s="99" t="str">
        <f>VLOOKUP(A443,Base!A:F,6,0)</f>
        <v>RAFAEL  RODRIGUEZ  CISTERNA</v>
      </c>
      <c r="K443" s="89" t="str">
        <f>IFERROR(IF(VLOOKUP(I443,Ingreso!K:P,6,0)=0,"Sin turtno ing",VLOOKUP(I443,Ingreso!K:P,6,0)),IF(F443&gt;0.25,IF(F443&lt;0.311805555555556,"Turno A",IF(F443&gt;0.3125,IF(F443&lt;0.354166666666667,"Turno C",IF(F443&gt;0.583333333333333,IF(F443&lt;0.625,"Turno B",IF(F443&gt;0.625694444444444,IF(F443&lt;0.8125,"Turno A",IF(F443&gt;0.875,IF(F443&lt;0.936805555555556,"Turno C",IF(F443&gt;0.9375,IF(F443&lt;0.979166666666667,"Turno B",""),"")),"")),"")),"")),"")),""))</f>
        <v>Turno A</v>
      </c>
      <c r="L443" s="91">
        <f t="shared" si="6"/>
        <v>0.3125</v>
      </c>
    </row>
    <row r="444" spans="1:12" s="40" customFormat="1">
      <c r="A444">
        <v>8634737</v>
      </c>
      <c r="B444" t="s">
        <v>918</v>
      </c>
      <c r="C444" t="s">
        <v>208</v>
      </c>
      <c r="D444" t="s">
        <v>917</v>
      </c>
      <c r="E444" t="s">
        <v>1439</v>
      </c>
      <c r="F444" s="78">
        <v>0.301724537037037</v>
      </c>
      <c r="G444" t="s">
        <v>1405</v>
      </c>
      <c r="H444" t="s">
        <v>1335</v>
      </c>
      <c r="I444" s="88" t="str">
        <f>VLOOKUP(A444,Base!A:B,2,0)</f>
        <v>08.634.737-7</v>
      </c>
      <c r="J444" s="99" t="str">
        <f>VLOOKUP(A444,Base!A:F,6,0)</f>
        <v>RAFAEL  RODRIGUEZ  CISTERNA</v>
      </c>
      <c r="K444" s="89" t="str">
        <f>IFERROR(IF(VLOOKUP(I444,Ingreso!K:P,6,0)=0,"Sin turtno ing",VLOOKUP(I444,Ingreso!K:P,6,0)),IF(F444&gt;0.25,IF(F444&lt;0.311805555555556,"Turno A",IF(F444&gt;0.3125,IF(F444&lt;0.354166666666667,"Turno C",IF(F444&gt;0.583333333333333,IF(F444&lt;0.625,"Turno B",IF(F444&gt;0.625694444444444,IF(F444&lt;0.8125,"Turno A",IF(F444&gt;0.875,IF(F444&lt;0.936805555555556,"Turno C",IF(F444&gt;0.9375,IF(F444&lt;0.979166666666667,"Turno B",""),"")),"")),"")),"")),"")),""))</f>
        <v>Turno A</v>
      </c>
      <c r="L444" s="91">
        <f t="shared" si="6"/>
        <v>0.3125</v>
      </c>
    </row>
    <row r="445" spans="1:12" s="40" customFormat="1">
      <c r="A445">
        <v>8733235</v>
      </c>
      <c r="B445" t="s">
        <v>404</v>
      </c>
      <c r="C445" t="s">
        <v>397</v>
      </c>
      <c r="D445" t="s">
        <v>403</v>
      </c>
      <c r="E445" t="s">
        <v>1440</v>
      </c>
      <c r="F445" s="78">
        <v>0.64547453703703705</v>
      </c>
      <c r="G445" t="s">
        <v>1406</v>
      </c>
      <c r="H445" t="s">
        <v>1336</v>
      </c>
      <c r="I445" s="88" t="str">
        <f>VLOOKUP(A445,Base!A:B,2,0)</f>
        <v>08.733.235-7</v>
      </c>
      <c r="J445" s="99" t="str">
        <f>VLOOKUP(A445,Base!A:F,6,0)</f>
        <v>EXEQUIEL  FUENZALIDA  VALENZUELA</v>
      </c>
      <c r="K445" s="89" t="str">
        <f>IFERROR(IF(VLOOKUP(I445,Ingreso!K:P,6,0)=0,"Sin turtno ing",VLOOKUP(I445,Ingreso!K:P,6,0)),IF(F445&gt;0.25,IF(F445&lt;0.311805555555556,"Turno A",IF(F445&gt;0.3125,IF(F445&lt;0.354166666666667,"Turno C",IF(F445&gt;0.583333333333333,IF(F445&lt;0.625,"Turno B",IF(F445&gt;0.625694444444444,IF(F445&lt;0.8125,"Turno A",IF(F445&gt;0.875,IF(F445&lt;0.936805555555556,"Turno C",IF(F445&gt;0.9375,IF(F445&lt;0.979166666666667,"Turno B",""),"")),"")),"")),"")),"")),""))</f>
        <v>Turno A</v>
      </c>
      <c r="L445" s="91">
        <f t="shared" si="6"/>
        <v>0.3125</v>
      </c>
    </row>
    <row r="446" spans="1:12" s="40" customFormat="1">
      <c r="A446">
        <v>8733235</v>
      </c>
      <c r="B446" t="s">
        <v>404</v>
      </c>
      <c r="C446" t="s">
        <v>397</v>
      </c>
      <c r="D446" t="s">
        <v>403</v>
      </c>
      <c r="E446" t="s">
        <v>1440</v>
      </c>
      <c r="F446" s="78">
        <v>0.29131944444444446</v>
      </c>
      <c r="G446" t="s">
        <v>1405</v>
      </c>
      <c r="H446" t="s">
        <v>1335</v>
      </c>
      <c r="I446" s="88" t="str">
        <f>VLOOKUP(A446,Base!A:B,2,0)</f>
        <v>08.733.235-7</v>
      </c>
      <c r="J446" s="99" t="str">
        <f>VLOOKUP(A446,Base!A:F,6,0)</f>
        <v>EXEQUIEL  FUENZALIDA  VALENZUELA</v>
      </c>
      <c r="K446" s="89" t="str">
        <f>IFERROR(IF(VLOOKUP(I446,Ingreso!K:P,6,0)=0,"Sin turtno ing",VLOOKUP(I446,Ingreso!K:P,6,0)),IF(F446&gt;0.25,IF(F446&lt;0.311805555555556,"Turno A",IF(F446&gt;0.3125,IF(F446&lt;0.354166666666667,"Turno C",IF(F446&gt;0.583333333333333,IF(F446&lt;0.625,"Turno B",IF(F446&gt;0.625694444444444,IF(F446&lt;0.8125,"Turno A",IF(F446&gt;0.875,IF(F446&lt;0.936805555555556,"Turno C",IF(F446&gt;0.9375,IF(F446&lt;0.979166666666667,"Turno B",""),"")),"")),"")),"")),"")),""))</f>
        <v>Turno A</v>
      </c>
      <c r="L446" s="91">
        <f t="shared" si="6"/>
        <v>0.3125</v>
      </c>
    </row>
    <row r="447" spans="1:12" s="40" customFormat="1">
      <c r="A447">
        <v>8733235</v>
      </c>
      <c r="B447" t="s">
        <v>404</v>
      </c>
      <c r="C447" t="s">
        <v>397</v>
      </c>
      <c r="D447" t="s">
        <v>403</v>
      </c>
      <c r="E447" t="s">
        <v>1441</v>
      </c>
      <c r="F447" s="78">
        <v>0.63596064814814812</v>
      </c>
      <c r="G447" t="s">
        <v>1406</v>
      </c>
      <c r="H447" t="s">
        <v>1336</v>
      </c>
      <c r="I447" s="88" t="str">
        <f>VLOOKUP(A447,Base!A:B,2,0)</f>
        <v>08.733.235-7</v>
      </c>
      <c r="J447" s="99" t="str">
        <f>VLOOKUP(A447,Base!A:F,6,0)</f>
        <v>EXEQUIEL  FUENZALIDA  VALENZUELA</v>
      </c>
      <c r="K447" s="89" t="str">
        <f>IFERROR(IF(VLOOKUP(I447,Ingreso!K:P,6,0)=0,"Sin turtno ing",VLOOKUP(I447,Ingreso!K:P,6,0)),IF(F447&gt;0.25,IF(F447&lt;0.311805555555556,"Turno A",IF(F447&gt;0.3125,IF(F447&lt;0.354166666666667,"Turno C",IF(F447&gt;0.583333333333333,IF(F447&lt;0.625,"Turno B",IF(F447&gt;0.625694444444444,IF(F447&lt;0.8125,"Turno A",IF(F447&gt;0.875,IF(F447&lt;0.936805555555556,"Turno C",IF(F447&gt;0.9375,IF(F447&lt;0.979166666666667,"Turno B",""),"")),"")),"")),"")),"")),""))</f>
        <v>Turno A</v>
      </c>
      <c r="L447" s="91">
        <f t="shared" si="6"/>
        <v>0.3125</v>
      </c>
    </row>
    <row r="448" spans="1:12" s="40" customFormat="1">
      <c r="A448">
        <v>8733235</v>
      </c>
      <c r="B448" t="s">
        <v>404</v>
      </c>
      <c r="C448" t="s">
        <v>397</v>
      </c>
      <c r="D448" t="s">
        <v>403</v>
      </c>
      <c r="E448" t="s">
        <v>1441</v>
      </c>
      <c r="F448" s="78">
        <v>0.29222222222222222</v>
      </c>
      <c r="G448" t="s">
        <v>1405</v>
      </c>
      <c r="H448" t="s">
        <v>1335</v>
      </c>
      <c r="I448" s="88" t="str">
        <f>VLOOKUP(A448,Base!A:B,2,0)</f>
        <v>08.733.235-7</v>
      </c>
      <c r="J448" s="99" t="str">
        <f>VLOOKUP(A448,Base!A:F,6,0)</f>
        <v>EXEQUIEL  FUENZALIDA  VALENZUELA</v>
      </c>
      <c r="K448" s="89" t="str">
        <f>IFERROR(IF(VLOOKUP(I448,Ingreso!K:P,6,0)=0,"Sin turtno ing",VLOOKUP(I448,Ingreso!K:P,6,0)),IF(F448&gt;0.25,IF(F448&lt;0.311805555555556,"Turno A",IF(F448&gt;0.3125,IF(F448&lt;0.354166666666667,"Turno C",IF(F448&gt;0.583333333333333,IF(F448&lt;0.625,"Turno B",IF(F448&gt;0.625694444444444,IF(F448&lt;0.8125,"Turno A",IF(F448&gt;0.875,IF(F448&lt;0.936805555555556,"Turno C",IF(F448&gt;0.9375,IF(F448&lt;0.979166666666667,"Turno B",""),"")),"")),"")),"")),"")),""))</f>
        <v>Turno A</v>
      </c>
      <c r="L448" s="91">
        <f t="shared" si="6"/>
        <v>0.3125</v>
      </c>
    </row>
    <row r="449" spans="1:12" s="40" customFormat="1">
      <c r="A449">
        <v>8733235</v>
      </c>
      <c r="B449" t="s">
        <v>404</v>
      </c>
      <c r="C449" t="s">
        <v>397</v>
      </c>
      <c r="D449" t="s">
        <v>403</v>
      </c>
      <c r="E449" t="s">
        <v>1437</v>
      </c>
      <c r="F449" s="78">
        <v>0.63930555555555557</v>
      </c>
      <c r="G449" t="s">
        <v>1406</v>
      </c>
      <c r="H449" t="s">
        <v>1336</v>
      </c>
      <c r="I449" s="88" t="str">
        <f>VLOOKUP(A449,Base!A:B,2,0)</f>
        <v>08.733.235-7</v>
      </c>
      <c r="J449" s="99" t="str">
        <f>VLOOKUP(A449,Base!A:F,6,0)</f>
        <v>EXEQUIEL  FUENZALIDA  VALENZUELA</v>
      </c>
      <c r="K449" s="89" t="str">
        <f>IFERROR(IF(VLOOKUP(I449,Ingreso!K:P,6,0)=0,"Sin turtno ing",VLOOKUP(I449,Ingreso!K:P,6,0)),IF(F449&gt;0.25,IF(F449&lt;0.311805555555556,"Turno A",IF(F449&gt;0.3125,IF(F449&lt;0.354166666666667,"Turno C",IF(F449&gt;0.583333333333333,IF(F449&lt;0.625,"Turno B",IF(F449&gt;0.625694444444444,IF(F449&lt;0.8125,"Turno A",IF(F449&gt;0.875,IF(F449&lt;0.936805555555556,"Turno C",IF(F449&gt;0.9375,IF(F449&lt;0.979166666666667,"Turno B",""),"")),"")),"")),"")),"")),""))</f>
        <v>Turno A</v>
      </c>
      <c r="L449" s="91">
        <f t="shared" si="6"/>
        <v>0.3125</v>
      </c>
    </row>
    <row r="450" spans="1:12" s="40" customFormat="1">
      <c r="A450">
        <v>8733235</v>
      </c>
      <c r="B450" t="s">
        <v>404</v>
      </c>
      <c r="C450" t="s">
        <v>397</v>
      </c>
      <c r="D450" t="s">
        <v>403</v>
      </c>
      <c r="E450" t="s">
        <v>1437</v>
      </c>
      <c r="F450" s="78">
        <v>0.29592592592592593</v>
      </c>
      <c r="G450" t="s">
        <v>1405</v>
      </c>
      <c r="H450" t="s">
        <v>1335</v>
      </c>
      <c r="I450" s="88" t="str">
        <f>VLOOKUP(A450,Base!A:B,2,0)</f>
        <v>08.733.235-7</v>
      </c>
      <c r="J450" s="99" t="str">
        <f>VLOOKUP(A450,Base!A:F,6,0)</f>
        <v>EXEQUIEL  FUENZALIDA  VALENZUELA</v>
      </c>
      <c r="K450" s="89" t="str">
        <f>IFERROR(IF(VLOOKUP(I450,Ingreso!K:P,6,0)=0,"Sin turtno ing",VLOOKUP(I450,Ingreso!K:P,6,0)),IF(F450&gt;0.25,IF(F450&lt;0.311805555555556,"Turno A",IF(F450&gt;0.3125,IF(F450&lt;0.354166666666667,"Turno C",IF(F450&gt;0.583333333333333,IF(F450&lt;0.625,"Turno B",IF(F450&gt;0.625694444444444,IF(F450&lt;0.8125,"Turno A",IF(F450&gt;0.875,IF(F450&lt;0.936805555555556,"Turno C",IF(F450&gt;0.9375,IF(F450&lt;0.979166666666667,"Turno B",""),"")),"")),"")),"")),"")),""))</f>
        <v>Turno A</v>
      </c>
      <c r="L450" s="91">
        <f t="shared" si="6"/>
        <v>0.3125</v>
      </c>
    </row>
    <row r="451" spans="1:12" s="40" customFormat="1">
      <c r="A451">
        <v>8733235</v>
      </c>
      <c r="B451" t="s">
        <v>404</v>
      </c>
      <c r="C451" t="s">
        <v>397</v>
      </c>
      <c r="D451" t="s">
        <v>403</v>
      </c>
      <c r="E451" t="s">
        <v>1438</v>
      </c>
      <c r="F451" s="78">
        <v>0.63438657407407406</v>
      </c>
      <c r="G451" t="s">
        <v>1406</v>
      </c>
      <c r="H451" t="s">
        <v>1336</v>
      </c>
      <c r="I451" s="88" t="str">
        <f>VLOOKUP(A451,Base!A:B,2,0)</f>
        <v>08.733.235-7</v>
      </c>
      <c r="J451" s="99" t="str">
        <f>VLOOKUP(A451,Base!A:F,6,0)</f>
        <v>EXEQUIEL  FUENZALIDA  VALENZUELA</v>
      </c>
      <c r="K451" s="89" t="str">
        <f>IFERROR(IF(VLOOKUP(I451,Ingreso!K:P,6,0)=0,"Sin turtno ing",VLOOKUP(I451,Ingreso!K:P,6,0)),IF(F451&gt;0.25,IF(F451&lt;0.311805555555556,"Turno A",IF(F451&gt;0.3125,IF(F451&lt;0.354166666666667,"Turno C",IF(F451&gt;0.583333333333333,IF(F451&lt;0.625,"Turno B",IF(F451&gt;0.625694444444444,IF(F451&lt;0.8125,"Turno A",IF(F451&gt;0.875,IF(F451&lt;0.936805555555556,"Turno C",IF(F451&gt;0.9375,IF(F451&lt;0.979166666666667,"Turno B",""),"")),"")),"")),"")),"")),""))</f>
        <v>Turno A</v>
      </c>
      <c r="L451" s="91">
        <f t="shared" ref="L451:L514" si="7">VLOOKUP(K451,$S$3:$T$7,2,0)</f>
        <v>0.3125</v>
      </c>
    </row>
    <row r="452" spans="1:12" s="40" customFormat="1">
      <c r="A452">
        <v>8733235</v>
      </c>
      <c r="B452" t="s">
        <v>404</v>
      </c>
      <c r="C452" t="s">
        <v>397</v>
      </c>
      <c r="D452" t="s">
        <v>403</v>
      </c>
      <c r="E452" t="s">
        <v>1438</v>
      </c>
      <c r="F452" s="78">
        <v>0.29188657407407409</v>
      </c>
      <c r="G452" t="s">
        <v>1405</v>
      </c>
      <c r="H452" t="s">
        <v>1335</v>
      </c>
      <c r="I452" s="88" t="str">
        <f>VLOOKUP(A452,Base!A:B,2,0)</f>
        <v>08.733.235-7</v>
      </c>
      <c r="J452" s="99" t="str">
        <f>VLOOKUP(A452,Base!A:F,6,0)</f>
        <v>EXEQUIEL  FUENZALIDA  VALENZUELA</v>
      </c>
      <c r="K452" s="89" t="str">
        <f>IFERROR(IF(VLOOKUP(I452,Ingreso!K:P,6,0)=0,"Sin turtno ing",VLOOKUP(I452,Ingreso!K:P,6,0)),IF(F452&gt;0.25,IF(F452&lt;0.311805555555556,"Turno A",IF(F452&gt;0.3125,IF(F452&lt;0.354166666666667,"Turno C",IF(F452&gt;0.583333333333333,IF(F452&lt;0.625,"Turno B",IF(F452&gt;0.625694444444444,IF(F452&lt;0.8125,"Turno A",IF(F452&gt;0.875,IF(F452&lt;0.936805555555556,"Turno C",IF(F452&gt;0.9375,IF(F452&lt;0.979166666666667,"Turno B",""),"")),"")),"")),"")),"")),""))</f>
        <v>Turno A</v>
      </c>
      <c r="L452" s="91">
        <f t="shared" si="7"/>
        <v>0.3125</v>
      </c>
    </row>
    <row r="453" spans="1:12" s="40" customFormat="1">
      <c r="A453">
        <v>8733235</v>
      </c>
      <c r="B453" t="s">
        <v>404</v>
      </c>
      <c r="C453" t="s">
        <v>397</v>
      </c>
      <c r="D453" t="s">
        <v>403</v>
      </c>
      <c r="E453" t="s">
        <v>1439</v>
      </c>
      <c r="F453" s="78">
        <v>0.6392592592592593</v>
      </c>
      <c r="G453" t="s">
        <v>1406</v>
      </c>
      <c r="H453" t="s">
        <v>1336</v>
      </c>
      <c r="I453" s="88" t="str">
        <f>VLOOKUP(A453,Base!A:B,2,0)</f>
        <v>08.733.235-7</v>
      </c>
      <c r="J453" s="99" t="str">
        <f>VLOOKUP(A453,Base!A:F,6,0)</f>
        <v>EXEQUIEL  FUENZALIDA  VALENZUELA</v>
      </c>
      <c r="K453" s="89" t="str">
        <f>IFERROR(IF(VLOOKUP(I453,Ingreso!K:P,6,0)=0,"Sin turtno ing",VLOOKUP(I453,Ingreso!K:P,6,0)),IF(F453&gt;0.25,IF(F453&lt;0.311805555555556,"Turno A",IF(F453&gt;0.3125,IF(F453&lt;0.354166666666667,"Turno C",IF(F453&gt;0.583333333333333,IF(F453&lt;0.625,"Turno B",IF(F453&gt;0.625694444444444,IF(F453&lt;0.8125,"Turno A",IF(F453&gt;0.875,IF(F453&lt;0.936805555555556,"Turno C",IF(F453&gt;0.9375,IF(F453&lt;0.979166666666667,"Turno B",""),"")),"")),"")),"")),"")),""))</f>
        <v>Turno A</v>
      </c>
      <c r="L453" s="91">
        <f t="shared" si="7"/>
        <v>0.3125</v>
      </c>
    </row>
    <row r="454" spans="1:12" s="40" customFormat="1">
      <c r="A454">
        <v>8733235</v>
      </c>
      <c r="B454" t="s">
        <v>404</v>
      </c>
      <c r="C454" t="s">
        <v>397</v>
      </c>
      <c r="D454" t="s">
        <v>403</v>
      </c>
      <c r="E454" t="s">
        <v>1439</v>
      </c>
      <c r="F454" s="78">
        <v>0.2925462962962963</v>
      </c>
      <c r="G454" t="s">
        <v>1405</v>
      </c>
      <c r="H454" t="s">
        <v>1335</v>
      </c>
      <c r="I454" s="88" t="str">
        <f>VLOOKUP(A454,Base!A:B,2,0)</f>
        <v>08.733.235-7</v>
      </c>
      <c r="J454" s="99" t="str">
        <f>VLOOKUP(A454,Base!A:F,6,0)</f>
        <v>EXEQUIEL  FUENZALIDA  VALENZUELA</v>
      </c>
      <c r="K454" s="89" t="str">
        <f>IFERROR(IF(VLOOKUP(I454,Ingreso!K:P,6,0)=0,"Sin turtno ing",VLOOKUP(I454,Ingreso!K:P,6,0)),IF(F454&gt;0.25,IF(F454&lt;0.311805555555556,"Turno A",IF(F454&gt;0.3125,IF(F454&lt;0.354166666666667,"Turno C",IF(F454&gt;0.583333333333333,IF(F454&lt;0.625,"Turno B",IF(F454&gt;0.625694444444444,IF(F454&lt;0.8125,"Turno A",IF(F454&gt;0.875,IF(F454&lt;0.936805555555556,"Turno C",IF(F454&gt;0.9375,IF(F454&lt;0.979166666666667,"Turno B",""),"")),"")),"")),"")),"")),""))</f>
        <v>Turno A</v>
      </c>
      <c r="L454" s="91">
        <f t="shared" si="7"/>
        <v>0.3125</v>
      </c>
    </row>
    <row r="455" spans="1:12" s="40" customFormat="1">
      <c r="A455">
        <v>8771787</v>
      </c>
      <c r="B455" t="s">
        <v>523</v>
      </c>
      <c r="C455" t="s">
        <v>521</v>
      </c>
      <c r="D455" t="s">
        <v>522</v>
      </c>
      <c r="E455" t="s">
        <v>1440</v>
      </c>
      <c r="F455" s="78">
        <v>0.32254629629629633</v>
      </c>
      <c r="G455" t="s">
        <v>1406</v>
      </c>
      <c r="H455" t="s">
        <v>1336</v>
      </c>
      <c r="I455" s="88" t="str">
        <f>VLOOKUP(A455,Base!A:B,2,0)</f>
        <v>08.771.787-9</v>
      </c>
      <c r="J455" s="99" t="str">
        <f>VLOOKUP(A455,Base!A:F,6,0)</f>
        <v>PABLO FLORENTINO  JIMENEZ  PAINECURA</v>
      </c>
      <c r="K455" s="89" t="str">
        <f>IFERROR(IF(VLOOKUP(I455,Ingreso!K:P,6,0)=0,"Sin turtno ing",VLOOKUP(I455,Ingreso!K:P,6,0)),IF(F455&gt;0.25,IF(F455&lt;0.311805555555556,"Turno A",IF(F455&gt;0.3125,IF(F455&lt;0.354166666666667,"Turno C",IF(F455&gt;0.583333333333333,IF(F455&lt;0.625,"Turno B",IF(F455&gt;0.625694444444444,IF(F455&lt;0.8125,"Turno A",IF(F455&gt;0.875,IF(F455&lt;0.936805555555556,"Turno C",IF(F455&gt;0.9375,IF(F455&lt;0.979166666666667,"Turno B",""),"")),"")),"")),"")),"")),""))</f>
        <v>Turno C</v>
      </c>
      <c r="L455" s="91">
        <f t="shared" si="7"/>
        <v>0.375</v>
      </c>
    </row>
    <row r="456" spans="1:12" s="40" customFormat="1">
      <c r="A456">
        <v>8771787</v>
      </c>
      <c r="B456" t="s">
        <v>523</v>
      </c>
      <c r="C456" t="s">
        <v>521</v>
      </c>
      <c r="D456" t="s">
        <v>522</v>
      </c>
      <c r="E456" t="s">
        <v>1440</v>
      </c>
      <c r="F456" s="78">
        <v>0.91913194444444446</v>
      </c>
      <c r="G456" t="s">
        <v>1405</v>
      </c>
      <c r="H456" t="s">
        <v>1335</v>
      </c>
      <c r="I456" s="88" t="str">
        <f>VLOOKUP(A456,Base!A:B,2,0)</f>
        <v>08.771.787-9</v>
      </c>
      <c r="J456" s="99" t="str">
        <f>VLOOKUP(A456,Base!A:F,6,0)</f>
        <v>PABLO FLORENTINO  JIMENEZ  PAINECURA</v>
      </c>
      <c r="K456" s="89" t="str">
        <f>IFERROR(IF(VLOOKUP(I456,Ingreso!K:P,6,0)=0,"Sin turtno ing",VLOOKUP(I456,Ingreso!K:P,6,0)),IF(F456&gt;0.25,IF(F456&lt;0.311805555555556,"Turno A",IF(F456&gt;0.3125,IF(F456&lt;0.354166666666667,"Turno C",IF(F456&gt;0.583333333333333,IF(F456&lt;0.625,"Turno B",IF(F456&gt;0.625694444444444,IF(F456&lt;0.8125,"Turno A",IF(F456&gt;0.875,IF(F456&lt;0.936805555555556,"Turno C",IF(F456&gt;0.9375,IF(F456&lt;0.979166666666667,"Turno B",""),"")),"")),"")),"")),"")),""))</f>
        <v>Turno C</v>
      </c>
      <c r="L456" s="91">
        <f t="shared" si="7"/>
        <v>0.375</v>
      </c>
    </row>
    <row r="457" spans="1:12" s="40" customFormat="1">
      <c r="A457">
        <v>8771787</v>
      </c>
      <c r="B457" t="s">
        <v>523</v>
      </c>
      <c r="C457" t="s">
        <v>521</v>
      </c>
      <c r="D457" t="s">
        <v>522</v>
      </c>
      <c r="E457" t="s">
        <v>1441</v>
      </c>
      <c r="F457" s="78">
        <v>0.32374999999999998</v>
      </c>
      <c r="G457" t="s">
        <v>1406</v>
      </c>
      <c r="H457" t="s">
        <v>1336</v>
      </c>
      <c r="I457" s="88" t="str">
        <f>VLOOKUP(A457,Base!A:B,2,0)</f>
        <v>08.771.787-9</v>
      </c>
      <c r="J457" s="99" t="str">
        <f>VLOOKUP(A457,Base!A:F,6,0)</f>
        <v>PABLO FLORENTINO  JIMENEZ  PAINECURA</v>
      </c>
      <c r="K457" s="89" t="str">
        <f>IFERROR(IF(VLOOKUP(I457,Ingreso!K:P,6,0)=0,"Sin turtno ing",VLOOKUP(I457,Ingreso!K:P,6,0)),IF(F457&gt;0.25,IF(F457&lt;0.311805555555556,"Turno A",IF(F457&gt;0.3125,IF(F457&lt;0.354166666666667,"Turno C",IF(F457&gt;0.583333333333333,IF(F457&lt;0.625,"Turno B",IF(F457&gt;0.625694444444444,IF(F457&lt;0.8125,"Turno A",IF(F457&gt;0.875,IF(F457&lt;0.936805555555556,"Turno C",IF(F457&gt;0.9375,IF(F457&lt;0.979166666666667,"Turno B",""),"")),"")),"")),"")),"")),""))</f>
        <v>Turno C</v>
      </c>
      <c r="L457" s="91">
        <f t="shared" si="7"/>
        <v>0.375</v>
      </c>
    </row>
    <row r="458" spans="1:12" s="40" customFormat="1">
      <c r="A458">
        <v>8771787</v>
      </c>
      <c r="B458" t="s">
        <v>523</v>
      </c>
      <c r="C458" t="s">
        <v>521</v>
      </c>
      <c r="D458" t="s">
        <v>522</v>
      </c>
      <c r="E458" t="s">
        <v>1437</v>
      </c>
      <c r="F458" s="78">
        <v>0.91930555555555549</v>
      </c>
      <c r="G458" t="s">
        <v>1405</v>
      </c>
      <c r="H458" t="s">
        <v>1335</v>
      </c>
      <c r="I458" s="88" t="str">
        <f>VLOOKUP(A458,Base!A:B,2,0)</f>
        <v>08.771.787-9</v>
      </c>
      <c r="J458" s="99" t="str">
        <f>VLOOKUP(A458,Base!A:F,6,0)</f>
        <v>PABLO FLORENTINO  JIMENEZ  PAINECURA</v>
      </c>
      <c r="K458" s="89" t="str">
        <f>IFERROR(IF(VLOOKUP(I458,Ingreso!K:P,6,0)=0,"Sin turtno ing",VLOOKUP(I458,Ingreso!K:P,6,0)),IF(F458&gt;0.25,IF(F458&lt;0.311805555555556,"Turno A",IF(F458&gt;0.3125,IF(F458&lt;0.354166666666667,"Turno C",IF(F458&gt;0.583333333333333,IF(F458&lt;0.625,"Turno B",IF(F458&gt;0.625694444444444,IF(F458&lt;0.8125,"Turno A",IF(F458&gt;0.875,IF(F458&lt;0.936805555555556,"Turno C",IF(F458&gt;0.9375,IF(F458&lt;0.979166666666667,"Turno B",""),"")),"")),"")),"")),"")),""))</f>
        <v>Turno C</v>
      </c>
      <c r="L458" s="91">
        <f t="shared" si="7"/>
        <v>0.375</v>
      </c>
    </row>
    <row r="459" spans="1:12" s="40" customFormat="1">
      <c r="A459">
        <v>8771787</v>
      </c>
      <c r="B459" t="s">
        <v>523</v>
      </c>
      <c r="C459" t="s">
        <v>521</v>
      </c>
      <c r="D459" t="s">
        <v>522</v>
      </c>
      <c r="E459" t="s">
        <v>1438</v>
      </c>
      <c r="F459" s="78">
        <v>0.31700231481481483</v>
      </c>
      <c r="G459" t="s">
        <v>1406</v>
      </c>
      <c r="H459" t="s">
        <v>1336</v>
      </c>
      <c r="I459" s="88" t="str">
        <f>VLOOKUP(A459,Base!A:B,2,0)</f>
        <v>08.771.787-9</v>
      </c>
      <c r="J459" s="99" t="str">
        <f>VLOOKUP(A459,Base!A:F,6,0)</f>
        <v>PABLO FLORENTINO  JIMENEZ  PAINECURA</v>
      </c>
      <c r="K459" s="89" t="str">
        <f>IFERROR(IF(VLOOKUP(I459,Ingreso!K:P,6,0)=0,"Sin turtno ing",VLOOKUP(I459,Ingreso!K:P,6,0)),IF(F459&gt;0.25,IF(F459&lt;0.311805555555556,"Turno A",IF(F459&gt;0.3125,IF(F459&lt;0.354166666666667,"Turno C",IF(F459&gt;0.583333333333333,IF(F459&lt;0.625,"Turno B",IF(F459&gt;0.625694444444444,IF(F459&lt;0.8125,"Turno A",IF(F459&gt;0.875,IF(F459&lt;0.936805555555556,"Turno C",IF(F459&gt;0.9375,IF(F459&lt;0.979166666666667,"Turno B",""),"")),"")),"")),"")),"")),""))</f>
        <v>Turno C</v>
      </c>
      <c r="L459" s="91">
        <f t="shared" si="7"/>
        <v>0.375</v>
      </c>
    </row>
    <row r="460" spans="1:12" s="40" customFormat="1">
      <c r="A460">
        <v>8771787</v>
      </c>
      <c r="B460" t="s">
        <v>523</v>
      </c>
      <c r="C460" t="s">
        <v>521</v>
      </c>
      <c r="D460" t="s">
        <v>522</v>
      </c>
      <c r="E460" t="s">
        <v>1438</v>
      </c>
      <c r="F460" s="78">
        <v>0.91861111111111116</v>
      </c>
      <c r="G460" t="s">
        <v>1405</v>
      </c>
      <c r="H460" t="s">
        <v>1335</v>
      </c>
      <c r="I460" s="88" t="str">
        <f>VLOOKUP(A460,Base!A:B,2,0)</f>
        <v>08.771.787-9</v>
      </c>
      <c r="J460" s="99" t="str">
        <f>VLOOKUP(A460,Base!A:F,6,0)</f>
        <v>PABLO FLORENTINO  JIMENEZ  PAINECURA</v>
      </c>
      <c r="K460" s="89" t="str">
        <f>IFERROR(IF(VLOOKUP(I460,Ingreso!K:P,6,0)=0,"Sin turtno ing",VLOOKUP(I460,Ingreso!K:P,6,0)),IF(F460&gt;0.25,IF(F460&lt;0.311805555555556,"Turno A",IF(F460&gt;0.3125,IF(F460&lt;0.354166666666667,"Turno C",IF(F460&gt;0.583333333333333,IF(F460&lt;0.625,"Turno B",IF(F460&gt;0.625694444444444,IF(F460&lt;0.8125,"Turno A",IF(F460&gt;0.875,IF(F460&lt;0.936805555555556,"Turno C",IF(F460&gt;0.9375,IF(F460&lt;0.979166666666667,"Turno B",""),"")),"")),"")),"")),"")),""))</f>
        <v>Turno C</v>
      </c>
      <c r="L460" s="91">
        <f t="shared" si="7"/>
        <v>0.375</v>
      </c>
    </row>
    <row r="461" spans="1:12" s="40" customFormat="1">
      <c r="A461">
        <v>8771787</v>
      </c>
      <c r="B461" t="s">
        <v>523</v>
      </c>
      <c r="C461" t="s">
        <v>521</v>
      </c>
      <c r="D461" t="s">
        <v>522</v>
      </c>
      <c r="E461" t="s">
        <v>1439</v>
      </c>
      <c r="F461" s="78">
        <v>0.32217592592592592</v>
      </c>
      <c r="G461" t="s">
        <v>1406</v>
      </c>
      <c r="H461" t="s">
        <v>1336</v>
      </c>
      <c r="I461" s="88" t="str">
        <f>VLOOKUP(A461,Base!A:B,2,0)</f>
        <v>08.771.787-9</v>
      </c>
      <c r="J461" s="99" t="str">
        <f>VLOOKUP(A461,Base!A:F,6,0)</f>
        <v>PABLO FLORENTINO  JIMENEZ  PAINECURA</v>
      </c>
      <c r="K461" s="89" t="str">
        <f>IFERROR(IF(VLOOKUP(I461,Ingreso!K:P,6,0)=0,"Sin turtno ing",VLOOKUP(I461,Ingreso!K:P,6,0)),IF(F461&gt;0.25,IF(F461&lt;0.311805555555556,"Turno A",IF(F461&gt;0.3125,IF(F461&lt;0.354166666666667,"Turno C",IF(F461&gt;0.583333333333333,IF(F461&lt;0.625,"Turno B",IF(F461&gt;0.625694444444444,IF(F461&lt;0.8125,"Turno A",IF(F461&gt;0.875,IF(F461&lt;0.936805555555556,"Turno C",IF(F461&gt;0.9375,IF(F461&lt;0.979166666666667,"Turno B",""),"")),"")),"")),"")),"")),""))</f>
        <v>Turno C</v>
      </c>
      <c r="L461" s="91">
        <f t="shared" si="7"/>
        <v>0.375</v>
      </c>
    </row>
    <row r="462" spans="1:12" s="40" customFormat="1">
      <c r="A462">
        <v>8771787</v>
      </c>
      <c r="B462" t="s">
        <v>523</v>
      </c>
      <c r="C462" t="s">
        <v>521</v>
      </c>
      <c r="D462" t="s">
        <v>522</v>
      </c>
      <c r="E462" t="s">
        <v>1439</v>
      </c>
      <c r="F462" s="78">
        <v>0.91862268518518519</v>
      </c>
      <c r="G462" t="s">
        <v>1405</v>
      </c>
      <c r="H462" t="s">
        <v>1335</v>
      </c>
      <c r="I462" s="88" t="str">
        <f>VLOOKUP(A462,Base!A:B,2,0)</f>
        <v>08.771.787-9</v>
      </c>
      <c r="J462" s="99" t="str">
        <f>VLOOKUP(A462,Base!A:F,6,0)</f>
        <v>PABLO FLORENTINO  JIMENEZ  PAINECURA</v>
      </c>
      <c r="K462" s="89" t="str">
        <f>IFERROR(IF(VLOOKUP(I462,Ingreso!K:P,6,0)=0,"Sin turtno ing",VLOOKUP(I462,Ingreso!K:P,6,0)),IF(F462&gt;0.25,IF(F462&lt;0.311805555555556,"Turno A",IF(F462&gt;0.3125,IF(F462&lt;0.354166666666667,"Turno C",IF(F462&gt;0.583333333333333,IF(F462&lt;0.625,"Turno B",IF(F462&gt;0.625694444444444,IF(F462&lt;0.8125,"Turno A",IF(F462&gt;0.875,IF(F462&lt;0.936805555555556,"Turno C",IF(F462&gt;0.9375,IF(F462&lt;0.979166666666667,"Turno B",""),"")),"")),"")),"")),"")),""))</f>
        <v>Turno C</v>
      </c>
      <c r="L462" s="91">
        <f t="shared" si="7"/>
        <v>0.375</v>
      </c>
    </row>
    <row r="463" spans="1:12" s="40" customFormat="1">
      <c r="A463">
        <v>8809784</v>
      </c>
      <c r="B463" t="s">
        <v>41</v>
      </c>
      <c r="C463" t="s">
        <v>39</v>
      </c>
      <c r="D463" t="s">
        <v>40</v>
      </c>
      <c r="E463" t="s">
        <v>1440</v>
      </c>
      <c r="F463" s="78">
        <v>0.32313657407407409</v>
      </c>
      <c r="G463" t="s">
        <v>1406</v>
      </c>
      <c r="H463" t="s">
        <v>1336</v>
      </c>
      <c r="I463" s="88" t="str">
        <f>VLOOKUP(A463,Base!A:B,2,0)</f>
        <v>08.809.784-K</v>
      </c>
      <c r="J463" s="99" t="str">
        <f>VLOOKUP(A463,Base!A:F,6,0)</f>
        <v>CARLOS ANTONIO  AGUILERA  LABRIN</v>
      </c>
      <c r="K463" s="89" t="str">
        <f>IFERROR(IF(VLOOKUP(I463,Ingreso!K:P,6,0)=0,"Sin turtno ing",VLOOKUP(I463,Ingreso!K:P,6,0)),IF(F463&gt;0.25,IF(F463&lt;0.311805555555556,"Turno A",IF(F463&gt;0.3125,IF(F463&lt;0.354166666666667,"Turno C",IF(F463&gt;0.583333333333333,IF(F463&lt;0.625,"Turno B",IF(F463&gt;0.625694444444444,IF(F463&lt;0.8125,"Turno A",IF(F463&gt;0.875,IF(F463&lt;0.936805555555556,"Turno C",IF(F463&gt;0.9375,IF(F463&lt;0.979166666666667,"Turno B",""),"")),"")),"")),"")),"")),""))</f>
        <v>Turno C</v>
      </c>
      <c r="L463" s="91">
        <f t="shared" si="7"/>
        <v>0.375</v>
      </c>
    </row>
    <row r="464" spans="1:12" s="40" customFormat="1">
      <c r="A464">
        <v>8809784</v>
      </c>
      <c r="B464" t="s">
        <v>41</v>
      </c>
      <c r="C464" t="s">
        <v>39</v>
      </c>
      <c r="D464" t="s">
        <v>40</v>
      </c>
      <c r="E464" t="s">
        <v>1440</v>
      </c>
      <c r="F464" s="78">
        <v>0.91429398148148155</v>
      </c>
      <c r="G464" t="s">
        <v>1405</v>
      </c>
      <c r="H464" t="s">
        <v>1335</v>
      </c>
      <c r="I464" s="88" t="str">
        <f>VLOOKUP(A464,Base!A:B,2,0)</f>
        <v>08.809.784-K</v>
      </c>
      <c r="J464" s="99" t="str">
        <f>VLOOKUP(A464,Base!A:F,6,0)</f>
        <v>CARLOS ANTONIO  AGUILERA  LABRIN</v>
      </c>
      <c r="K464" s="89" t="str">
        <f>IFERROR(IF(VLOOKUP(I464,Ingreso!K:P,6,0)=0,"Sin turtno ing",VLOOKUP(I464,Ingreso!K:P,6,0)),IF(F464&gt;0.25,IF(F464&lt;0.311805555555556,"Turno A",IF(F464&gt;0.3125,IF(F464&lt;0.354166666666667,"Turno C",IF(F464&gt;0.583333333333333,IF(F464&lt;0.625,"Turno B",IF(F464&gt;0.625694444444444,IF(F464&lt;0.8125,"Turno A",IF(F464&gt;0.875,IF(F464&lt;0.936805555555556,"Turno C",IF(F464&gt;0.9375,IF(F464&lt;0.979166666666667,"Turno B",""),"")),"")),"")),"")),"")),""))</f>
        <v>Turno C</v>
      </c>
      <c r="L464" s="91">
        <f t="shared" si="7"/>
        <v>0.375</v>
      </c>
    </row>
    <row r="465" spans="1:12" s="40" customFormat="1">
      <c r="A465">
        <v>8809784</v>
      </c>
      <c r="B465" t="s">
        <v>41</v>
      </c>
      <c r="C465" t="s">
        <v>39</v>
      </c>
      <c r="D465" t="s">
        <v>40</v>
      </c>
      <c r="E465" t="s">
        <v>1441</v>
      </c>
      <c r="F465" s="78">
        <v>0.32120370370370371</v>
      </c>
      <c r="G465" t="s">
        <v>1406</v>
      </c>
      <c r="H465" t="s">
        <v>1336</v>
      </c>
      <c r="I465" s="88" t="str">
        <f>VLOOKUP(A465,Base!A:B,2,0)</f>
        <v>08.809.784-K</v>
      </c>
      <c r="J465" s="99" t="str">
        <f>VLOOKUP(A465,Base!A:F,6,0)</f>
        <v>CARLOS ANTONIO  AGUILERA  LABRIN</v>
      </c>
      <c r="K465" s="89" t="str">
        <f>IFERROR(IF(VLOOKUP(I465,Ingreso!K:P,6,0)=0,"Sin turtno ing",VLOOKUP(I465,Ingreso!K:P,6,0)),IF(F465&gt;0.25,IF(F465&lt;0.311805555555556,"Turno A",IF(F465&gt;0.3125,IF(F465&lt;0.354166666666667,"Turno C",IF(F465&gt;0.583333333333333,IF(F465&lt;0.625,"Turno B",IF(F465&gt;0.625694444444444,IF(F465&lt;0.8125,"Turno A",IF(F465&gt;0.875,IF(F465&lt;0.936805555555556,"Turno C",IF(F465&gt;0.9375,IF(F465&lt;0.979166666666667,"Turno B",""),"")),"")),"")),"")),"")),""))</f>
        <v>Turno C</v>
      </c>
      <c r="L465" s="91">
        <f t="shared" si="7"/>
        <v>0.375</v>
      </c>
    </row>
    <row r="466" spans="1:12" s="40" customFormat="1">
      <c r="A466">
        <v>8809784</v>
      </c>
      <c r="B466" t="s">
        <v>41</v>
      </c>
      <c r="C466" t="s">
        <v>39</v>
      </c>
      <c r="D466" t="s">
        <v>40</v>
      </c>
      <c r="E466" t="s">
        <v>1436</v>
      </c>
      <c r="F466" s="78">
        <v>0.98420138888888886</v>
      </c>
      <c r="G466" t="s">
        <v>1405</v>
      </c>
      <c r="H466" t="s">
        <v>1335</v>
      </c>
      <c r="I466" s="88" t="str">
        <f>VLOOKUP(A466,Base!A:B,2,0)</f>
        <v>08.809.784-K</v>
      </c>
      <c r="J466" s="99" t="str">
        <f>VLOOKUP(A466,Base!A:F,6,0)</f>
        <v>CARLOS ANTONIO  AGUILERA  LABRIN</v>
      </c>
      <c r="K466" s="89" t="str">
        <f>IFERROR(IF(VLOOKUP(I466,Ingreso!K:P,6,0)=0,"Sin turtno ing",VLOOKUP(I466,Ingreso!K:P,6,0)),IF(F466&gt;0.25,IF(F466&lt;0.311805555555556,"Turno A",IF(F466&gt;0.3125,IF(F466&lt;0.354166666666667,"Turno C",IF(F466&gt;0.583333333333333,IF(F466&lt;0.625,"Turno B",IF(F466&gt;0.625694444444444,IF(F466&lt;0.8125,"Turno A",IF(F466&gt;0.875,IF(F466&lt;0.936805555555556,"Turno C",IF(F466&gt;0.9375,IF(F466&lt;0.979166666666667,"Turno B",""),"")),"")),"")),"")),"")),""))</f>
        <v/>
      </c>
      <c r="L466" s="91" t="e">
        <f t="shared" si="7"/>
        <v>#N/A</v>
      </c>
    </row>
    <row r="467" spans="1:12" s="40" customFormat="1">
      <c r="A467">
        <v>8809784</v>
      </c>
      <c r="B467" t="s">
        <v>41</v>
      </c>
      <c r="C467" t="s">
        <v>39</v>
      </c>
      <c r="D467" t="s">
        <v>40</v>
      </c>
      <c r="E467" t="s">
        <v>1437</v>
      </c>
      <c r="F467" s="78">
        <v>0.32042824074074078</v>
      </c>
      <c r="G467" t="s">
        <v>1406</v>
      </c>
      <c r="H467" t="s">
        <v>1336</v>
      </c>
      <c r="I467" s="88" t="str">
        <f>VLOOKUP(A467,Base!A:B,2,0)</f>
        <v>08.809.784-K</v>
      </c>
      <c r="J467" s="99" t="str">
        <f>VLOOKUP(A467,Base!A:F,6,0)</f>
        <v>CARLOS ANTONIO  AGUILERA  LABRIN</v>
      </c>
      <c r="K467" s="89" t="str">
        <f>IFERROR(IF(VLOOKUP(I467,Ingreso!K:P,6,0)=0,"Sin turtno ing",VLOOKUP(I467,Ingreso!K:P,6,0)),IF(F467&gt;0.25,IF(F467&lt;0.311805555555556,"Turno A",IF(F467&gt;0.3125,IF(F467&lt;0.354166666666667,"Turno C",IF(F467&gt;0.583333333333333,IF(F467&lt;0.625,"Turno B",IF(F467&gt;0.625694444444444,IF(F467&lt;0.8125,"Turno A",IF(F467&gt;0.875,IF(F467&lt;0.936805555555556,"Turno C",IF(F467&gt;0.9375,IF(F467&lt;0.979166666666667,"Turno B",""),"")),"")),"")),"")),"")),""))</f>
        <v>Turno C</v>
      </c>
      <c r="L467" s="91">
        <f t="shared" si="7"/>
        <v>0.375</v>
      </c>
    </row>
    <row r="468" spans="1:12" s="40" customFormat="1">
      <c r="A468">
        <v>8809784</v>
      </c>
      <c r="B468" t="s">
        <v>41</v>
      </c>
      <c r="C468" t="s">
        <v>39</v>
      </c>
      <c r="D468" t="s">
        <v>40</v>
      </c>
      <c r="E468" t="s">
        <v>1437</v>
      </c>
      <c r="F468" s="78">
        <v>0.91973379629629637</v>
      </c>
      <c r="G468" t="s">
        <v>1405</v>
      </c>
      <c r="H468" t="s">
        <v>1335</v>
      </c>
      <c r="I468" s="88" t="str">
        <f>VLOOKUP(A468,Base!A:B,2,0)</f>
        <v>08.809.784-K</v>
      </c>
      <c r="J468" s="99" t="str">
        <f>VLOOKUP(A468,Base!A:F,6,0)</f>
        <v>CARLOS ANTONIO  AGUILERA  LABRIN</v>
      </c>
      <c r="K468" s="89" t="str">
        <f>IFERROR(IF(VLOOKUP(I468,Ingreso!K:P,6,0)=0,"Sin turtno ing",VLOOKUP(I468,Ingreso!K:P,6,0)),IF(F468&gt;0.25,IF(F468&lt;0.311805555555556,"Turno A",IF(F468&gt;0.3125,IF(F468&lt;0.354166666666667,"Turno C",IF(F468&gt;0.583333333333333,IF(F468&lt;0.625,"Turno B",IF(F468&gt;0.625694444444444,IF(F468&lt;0.8125,"Turno A",IF(F468&gt;0.875,IF(F468&lt;0.936805555555556,"Turno C",IF(F468&gt;0.9375,IF(F468&lt;0.979166666666667,"Turno B",""),"")),"")),"")),"")),"")),""))</f>
        <v>Turno C</v>
      </c>
      <c r="L468" s="91">
        <f t="shared" si="7"/>
        <v>0.375</v>
      </c>
    </row>
    <row r="469" spans="1:12" s="40" customFormat="1">
      <c r="A469">
        <v>8809784</v>
      </c>
      <c r="B469" t="s">
        <v>41</v>
      </c>
      <c r="C469" t="s">
        <v>39</v>
      </c>
      <c r="D469" t="s">
        <v>40</v>
      </c>
      <c r="E469" t="s">
        <v>1438</v>
      </c>
      <c r="F469" s="78">
        <v>0.32219907407407405</v>
      </c>
      <c r="G469" t="s">
        <v>1406</v>
      </c>
      <c r="H469" t="s">
        <v>1336</v>
      </c>
      <c r="I469" s="88" t="str">
        <f>VLOOKUP(A469,Base!A:B,2,0)</f>
        <v>08.809.784-K</v>
      </c>
      <c r="J469" s="99" t="str">
        <f>VLOOKUP(A469,Base!A:F,6,0)</f>
        <v>CARLOS ANTONIO  AGUILERA  LABRIN</v>
      </c>
      <c r="K469" s="89" t="str">
        <f>IFERROR(IF(VLOOKUP(I469,Ingreso!K:P,6,0)=0,"Sin turtno ing",VLOOKUP(I469,Ingreso!K:P,6,0)),IF(F469&gt;0.25,IF(F469&lt;0.311805555555556,"Turno A",IF(F469&gt;0.3125,IF(F469&lt;0.354166666666667,"Turno C",IF(F469&gt;0.583333333333333,IF(F469&lt;0.625,"Turno B",IF(F469&gt;0.625694444444444,IF(F469&lt;0.8125,"Turno A",IF(F469&gt;0.875,IF(F469&lt;0.936805555555556,"Turno C",IF(F469&gt;0.9375,IF(F469&lt;0.979166666666667,"Turno B",""),"")),"")),"")),"")),"")),""))</f>
        <v>Turno C</v>
      </c>
      <c r="L469" s="91">
        <f t="shared" si="7"/>
        <v>0.375</v>
      </c>
    </row>
    <row r="470" spans="1:12" s="40" customFormat="1">
      <c r="A470">
        <v>8809784</v>
      </c>
      <c r="B470" t="s">
        <v>41</v>
      </c>
      <c r="C470" t="s">
        <v>39</v>
      </c>
      <c r="D470" t="s">
        <v>40</v>
      </c>
      <c r="E470" t="s">
        <v>1438</v>
      </c>
      <c r="F470" s="78">
        <v>0.92054398148148142</v>
      </c>
      <c r="G470" t="s">
        <v>1405</v>
      </c>
      <c r="H470" t="s">
        <v>1335</v>
      </c>
      <c r="I470" s="88" t="str">
        <f>VLOOKUP(A470,Base!A:B,2,0)</f>
        <v>08.809.784-K</v>
      </c>
      <c r="J470" s="99" t="str">
        <f>VLOOKUP(A470,Base!A:F,6,0)</f>
        <v>CARLOS ANTONIO  AGUILERA  LABRIN</v>
      </c>
      <c r="K470" s="89" t="str">
        <f>IFERROR(IF(VLOOKUP(I470,Ingreso!K:P,6,0)=0,"Sin turtno ing",VLOOKUP(I470,Ingreso!K:P,6,0)),IF(F470&gt;0.25,IF(F470&lt;0.311805555555556,"Turno A",IF(F470&gt;0.3125,IF(F470&lt;0.354166666666667,"Turno C",IF(F470&gt;0.583333333333333,IF(F470&lt;0.625,"Turno B",IF(F470&gt;0.625694444444444,IF(F470&lt;0.8125,"Turno A",IF(F470&gt;0.875,IF(F470&lt;0.936805555555556,"Turno C",IF(F470&gt;0.9375,IF(F470&lt;0.979166666666667,"Turno B",""),"")),"")),"")),"")),"")),""))</f>
        <v>Turno C</v>
      </c>
      <c r="L470" s="91">
        <f t="shared" si="7"/>
        <v>0.375</v>
      </c>
    </row>
    <row r="471" spans="1:12" s="40" customFormat="1">
      <c r="A471">
        <v>8809784</v>
      </c>
      <c r="B471" t="s">
        <v>41</v>
      </c>
      <c r="C471" t="s">
        <v>39</v>
      </c>
      <c r="D471" t="s">
        <v>40</v>
      </c>
      <c r="E471" t="s">
        <v>1439</v>
      </c>
      <c r="F471" s="78">
        <v>0.32295138888888891</v>
      </c>
      <c r="G471" t="s">
        <v>1406</v>
      </c>
      <c r="H471" t="s">
        <v>1336</v>
      </c>
      <c r="I471" s="88" t="str">
        <f>VLOOKUP(A471,Base!A:B,2,0)</f>
        <v>08.809.784-K</v>
      </c>
      <c r="J471" s="99" t="str">
        <f>VLOOKUP(A471,Base!A:F,6,0)</f>
        <v>CARLOS ANTONIO  AGUILERA  LABRIN</v>
      </c>
      <c r="K471" s="89" t="str">
        <f>IFERROR(IF(VLOOKUP(I471,Ingreso!K:P,6,0)=0,"Sin turtno ing",VLOOKUP(I471,Ingreso!K:P,6,0)),IF(F471&gt;0.25,IF(F471&lt;0.311805555555556,"Turno A",IF(F471&gt;0.3125,IF(F471&lt;0.354166666666667,"Turno C",IF(F471&gt;0.583333333333333,IF(F471&lt;0.625,"Turno B",IF(F471&gt;0.625694444444444,IF(F471&lt;0.8125,"Turno A",IF(F471&gt;0.875,IF(F471&lt;0.936805555555556,"Turno C",IF(F471&gt;0.9375,IF(F471&lt;0.979166666666667,"Turno B",""),"")),"")),"")),"")),"")),""))</f>
        <v>Turno C</v>
      </c>
      <c r="L471" s="91">
        <f t="shared" si="7"/>
        <v>0.375</v>
      </c>
    </row>
    <row r="472" spans="1:12" s="40" customFormat="1">
      <c r="A472">
        <v>8809784</v>
      </c>
      <c r="B472" t="s">
        <v>41</v>
      </c>
      <c r="C472" t="s">
        <v>39</v>
      </c>
      <c r="D472" t="s">
        <v>40</v>
      </c>
      <c r="E472" t="s">
        <v>1439</v>
      </c>
      <c r="F472" s="78">
        <v>0.91913194444444446</v>
      </c>
      <c r="G472" t="s">
        <v>1405</v>
      </c>
      <c r="H472" t="s">
        <v>1335</v>
      </c>
      <c r="I472" s="88" t="str">
        <f>VLOOKUP(A472,Base!A:B,2,0)</f>
        <v>08.809.784-K</v>
      </c>
      <c r="J472" s="99" t="str">
        <f>VLOOKUP(A472,Base!A:F,6,0)</f>
        <v>CARLOS ANTONIO  AGUILERA  LABRIN</v>
      </c>
      <c r="K472" s="89" t="str">
        <f>IFERROR(IF(VLOOKUP(I472,Ingreso!K:P,6,0)=0,"Sin turtno ing",VLOOKUP(I472,Ingreso!K:P,6,0)),IF(F472&gt;0.25,IF(F472&lt;0.311805555555556,"Turno A",IF(F472&gt;0.3125,IF(F472&lt;0.354166666666667,"Turno C",IF(F472&gt;0.583333333333333,IF(F472&lt;0.625,"Turno B",IF(F472&gt;0.625694444444444,IF(F472&lt;0.8125,"Turno A",IF(F472&gt;0.875,IF(F472&lt;0.936805555555556,"Turno C",IF(F472&gt;0.9375,IF(F472&lt;0.979166666666667,"Turno B",""),"")),"")),"")),"")),"")),""))</f>
        <v>Turno C</v>
      </c>
      <c r="L472" s="91">
        <f t="shared" si="7"/>
        <v>0.375</v>
      </c>
    </row>
    <row r="473" spans="1:12" s="40" customFormat="1">
      <c r="A473">
        <v>8881760</v>
      </c>
      <c r="B473" t="s">
        <v>1071</v>
      </c>
      <c r="C473" t="s">
        <v>1010</v>
      </c>
      <c r="D473" t="s">
        <v>1070</v>
      </c>
      <c r="E473" t="s">
        <v>1440</v>
      </c>
      <c r="F473" s="78">
        <v>0.63792824074074073</v>
      </c>
      <c r="G473" t="s">
        <v>1406</v>
      </c>
      <c r="H473" t="s">
        <v>1336</v>
      </c>
      <c r="I473" s="88" t="str">
        <f>VLOOKUP(A473,Base!A:B,2,0)</f>
        <v>08.881.760-5</v>
      </c>
      <c r="J473" s="99" t="str">
        <f>VLOOKUP(A473,Base!A:F,6,0)</f>
        <v>MANUEL ORLANDO  VEGA  LEYTON</v>
      </c>
      <c r="K473" s="89" t="str">
        <f>IFERROR(IF(VLOOKUP(I473,Ingreso!K:P,6,0)=0,"Sin turtno ing",VLOOKUP(I473,Ingreso!K:P,6,0)),IF(F473&gt;0.25,IF(F473&lt;0.311805555555556,"Turno A",IF(F473&gt;0.3125,IF(F473&lt;0.354166666666667,"Turno C",IF(F473&gt;0.583333333333333,IF(F473&lt;0.625,"Turno B",IF(F473&gt;0.625694444444444,IF(F473&lt;0.8125,"Turno A",IF(F473&gt;0.875,IF(F473&lt;0.936805555555556,"Turno C",IF(F473&gt;0.9375,IF(F473&lt;0.979166666666667,"Turno B",""),"")),"")),"")),"")),"")),""))</f>
        <v>Turno A</v>
      </c>
      <c r="L473" s="91">
        <f t="shared" si="7"/>
        <v>0.3125</v>
      </c>
    </row>
    <row r="474" spans="1:12" s="40" customFormat="1">
      <c r="A474">
        <v>8881760</v>
      </c>
      <c r="B474" t="s">
        <v>1071</v>
      </c>
      <c r="C474" t="s">
        <v>1010</v>
      </c>
      <c r="D474" t="s">
        <v>1070</v>
      </c>
      <c r="E474" t="s">
        <v>1440</v>
      </c>
      <c r="F474" s="78">
        <v>0.29457175925925927</v>
      </c>
      <c r="G474" t="s">
        <v>1405</v>
      </c>
      <c r="H474" t="s">
        <v>1335</v>
      </c>
      <c r="I474" s="88" t="str">
        <f>VLOOKUP(A474,Base!A:B,2,0)</f>
        <v>08.881.760-5</v>
      </c>
      <c r="J474" s="99" t="str">
        <f>VLOOKUP(A474,Base!A:F,6,0)</f>
        <v>MANUEL ORLANDO  VEGA  LEYTON</v>
      </c>
      <c r="K474" s="89" t="str">
        <f>IFERROR(IF(VLOOKUP(I474,Ingreso!K:P,6,0)=0,"Sin turtno ing",VLOOKUP(I474,Ingreso!K:P,6,0)),IF(F474&gt;0.25,IF(F474&lt;0.311805555555556,"Turno A",IF(F474&gt;0.3125,IF(F474&lt;0.354166666666667,"Turno C",IF(F474&gt;0.583333333333333,IF(F474&lt;0.625,"Turno B",IF(F474&gt;0.625694444444444,IF(F474&lt;0.8125,"Turno A",IF(F474&gt;0.875,IF(F474&lt;0.936805555555556,"Turno C",IF(F474&gt;0.9375,IF(F474&lt;0.979166666666667,"Turno B",""),"")),"")),"")),"")),"")),""))</f>
        <v>Turno A</v>
      </c>
      <c r="L474" s="91">
        <f t="shared" si="7"/>
        <v>0.3125</v>
      </c>
    </row>
    <row r="475" spans="1:12" s="40" customFormat="1">
      <c r="A475">
        <v>8881760</v>
      </c>
      <c r="B475" t="s">
        <v>1071</v>
      </c>
      <c r="C475" t="s">
        <v>1010</v>
      </c>
      <c r="D475" t="s">
        <v>1070</v>
      </c>
      <c r="E475" t="s">
        <v>1441</v>
      </c>
      <c r="F475" s="78">
        <v>0.63908564814814817</v>
      </c>
      <c r="G475" t="s">
        <v>1406</v>
      </c>
      <c r="H475" t="s">
        <v>1336</v>
      </c>
      <c r="I475" s="88" t="str">
        <f>VLOOKUP(A475,Base!A:B,2,0)</f>
        <v>08.881.760-5</v>
      </c>
      <c r="J475" s="99" t="str">
        <f>VLOOKUP(A475,Base!A:F,6,0)</f>
        <v>MANUEL ORLANDO  VEGA  LEYTON</v>
      </c>
      <c r="K475" s="89" t="str">
        <f>IFERROR(IF(VLOOKUP(I475,Ingreso!K:P,6,0)=0,"Sin turtno ing",VLOOKUP(I475,Ingreso!K:P,6,0)),IF(F475&gt;0.25,IF(F475&lt;0.311805555555556,"Turno A",IF(F475&gt;0.3125,IF(F475&lt;0.354166666666667,"Turno C",IF(F475&gt;0.583333333333333,IF(F475&lt;0.625,"Turno B",IF(F475&gt;0.625694444444444,IF(F475&lt;0.8125,"Turno A",IF(F475&gt;0.875,IF(F475&lt;0.936805555555556,"Turno C",IF(F475&gt;0.9375,IF(F475&lt;0.979166666666667,"Turno B",""),"")),"")),"")),"")),"")),""))</f>
        <v>Turno A</v>
      </c>
      <c r="L475" s="91">
        <f t="shared" si="7"/>
        <v>0.3125</v>
      </c>
    </row>
    <row r="476" spans="1:12" s="40" customFormat="1">
      <c r="A476">
        <v>8881760</v>
      </c>
      <c r="B476" t="s">
        <v>1071</v>
      </c>
      <c r="C476" t="s">
        <v>1010</v>
      </c>
      <c r="D476" t="s">
        <v>1070</v>
      </c>
      <c r="E476" t="s">
        <v>1441</v>
      </c>
      <c r="F476" s="78">
        <v>0.29431712962962964</v>
      </c>
      <c r="G476" t="s">
        <v>1405</v>
      </c>
      <c r="H476" t="s">
        <v>1335</v>
      </c>
      <c r="I476" s="88" t="str">
        <f>VLOOKUP(A476,Base!A:B,2,0)</f>
        <v>08.881.760-5</v>
      </c>
      <c r="J476" s="99" t="str">
        <f>VLOOKUP(A476,Base!A:F,6,0)</f>
        <v>MANUEL ORLANDO  VEGA  LEYTON</v>
      </c>
      <c r="K476" s="89" t="str">
        <f>IFERROR(IF(VLOOKUP(I476,Ingreso!K:P,6,0)=0,"Sin turtno ing",VLOOKUP(I476,Ingreso!K:P,6,0)),IF(F476&gt;0.25,IF(F476&lt;0.311805555555556,"Turno A",IF(F476&gt;0.3125,IF(F476&lt;0.354166666666667,"Turno C",IF(F476&gt;0.583333333333333,IF(F476&lt;0.625,"Turno B",IF(F476&gt;0.625694444444444,IF(F476&lt;0.8125,"Turno A",IF(F476&gt;0.875,IF(F476&lt;0.936805555555556,"Turno C",IF(F476&gt;0.9375,IF(F476&lt;0.979166666666667,"Turno B",""),"")),"")),"")),"")),"")),""))</f>
        <v>Turno A</v>
      </c>
      <c r="L476" s="91">
        <f t="shared" si="7"/>
        <v>0.3125</v>
      </c>
    </row>
    <row r="477" spans="1:12" s="40" customFormat="1">
      <c r="A477">
        <v>8881760</v>
      </c>
      <c r="B477" t="s">
        <v>1071</v>
      </c>
      <c r="C477" t="s">
        <v>1010</v>
      </c>
      <c r="D477" t="s">
        <v>1070</v>
      </c>
      <c r="E477" t="s">
        <v>1442</v>
      </c>
      <c r="F477" s="78">
        <v>0.99812499999999993</v>
      </c>
      <c r="G477" t="s">
        <v>1405</v>
      </c>
      <c r="H477" t="s">
        <v>1335</v>
      </c>
      <c r="I477" s="88" t="str">
        <f>VLOOKUP(A477,Base!A:B,2,0)</f>
        <v>08.881.760-5</v>
      </c>
      <c r="J477" s="99" t="str">
        <f>VLOOKUP(A477,Base!A:F,6,0)</f>
        <v>MANUEL ORLANDO  VEGA  LEYTON</v>
      </c>
      <c r="K477" s="89" t="str">
        <f>IFERROR(IF(VLOOKUP(I477,Ingreso!K:P,6,0)=0,"Sin turtno ing",VLOOKUP(I477,Ingreso!K:P,6,0)),IF(F477&gt;0.25,IF(F477&lt;0.311805555555556,"Turno A",IF(F477&gt;0.3125,IF(F477&lt;0.354166666666667,"Turno C",IF(F477&gt;0.583333333333333,IF(F477&lt;0.625,"Turno B",IF(F477&gt;0.625694444444444,IF(F477&lt;0.8125,"Turno A",IF(F477&gt;0.875,IF(F477&lt;0.936805555555556,"Turno C",IF(F477&gt;0.9375,IF(F477&lt;0.979166666666667,"Turno B",""),"")),"")),"")),"")),"")),""))</f>
        <v/>
      </c>
      <c r="L477" s="91" t="e">
        <f t="shared" si="7"/>
        <v>#N/A</v>
      </c>
    </row>
    <row r="478" spans="1:12" s="40" customFormat="1">
      <c r="A478">
        <v>8881760</v>
      </c>
      <c r="B478" t="s">
        <v>1071</v>
      </c>
      <c r="C478" t="s">
        <v>1010</v>
      </c>
      <c r="D478" t="s">
        <v>1070</v>
      </c>
      <c r="E478" t="s">
        <v>1437</v>
      </c>
      <c r="F478" s="78">
        <v>0.6383564814814815</v>
      </c>
      <c r="G478" t="s">
        <v>1406</v>
      </c>
      <c r="H478" t="s">
        <v>1336</v>
      </c>
      <c r="I478" s="88" t="str">
        <f>VLOOKUP(A478,Base!A:B,2,0)</f>
        <v>08.881.760-5</v>
      </c>
      <c r="J478" s="99" t="str">
        <f>VLOOKUP(A478,Base!A:F,6,0)</f>
        <v>MANUEL ORLANDO  VEGA  LEYTON</v>
      </c>
      <c r="K478" s="89" t="str">
        <f>IFERROR(IF(VLOOKUP(I478,Ingreso!K:P,6,0)=0,"Sin turtno ing",VLOOKUP(I478,Ingreso!K:P,6,0)),IF(F478&gt;0.25,IF(F478&lt;0.311805555555556,"Turno A",IF(F478&gt;0.3125,IF(F478&lt;0.354166666666667,"Turno C",IF(F478&gt;0.583333333333333,IF(F478&lt;0.625,"Turno B",IF(F478&gt;0.625694444444444,IF(F478&lt;0.8125,"Turno A",IF(F478&gt;0.875,IF(F478&lt;0.936805555555556,"Turno C",IF(F478&gt;0.9375,IF(F478&lt;0.979166666666667,"Turno B",""),"")),"")),"")),"")),"")),""))</f>
        <v>Turno A</v>
      </c>
      <c r="L478" s="91">
        <f t="shared" si="7"/>
        <v>0.3125</v>
      </c>
    </row>
    <row r="479" spans="1:12" s="40" customFormat="1">
      <c r="A479">
        <v>8881760</v>
      </c>
      <c r="B479" t="s">
        <v>1071</v>
      </c>
      <c r="C479" t="s">
        <v>1010</v>
      </c>
      <c r="D479" t="s">
        <v>1070</v>
      </c>
      <c r="E479" t="s">
        <v>1437</v>
      </c>
      <c r="F479" s="78">
        <v>0.29319444444444448</v>
      </c>
      <c r="G479" t="s">
        <v>1405</v>
      </c>
      <c r="H479" t="s">
        <v>1335</v>
      </c>
      <c r="I479" s="88" t="str">
        <f>VLOOKUP(A479,Base!A:B,2,0)</f>
        <v>08.881.760-5</v>
      </c>
      <c r="J479" s="99" t="str">
        <f>VLOOKUP(A479,Base!A:F,6,0)</f>
        <v>MANUEL ORLANDO  VEGA  LEYTON</v>
      </c>
      <c r="K479" s="89" t="str">
        <f>IFERROR(IF(VLOOKUP(I479,Ingreso!K:P,6,0)=0,"Sin turtno ing",VLOOKUP(I479,Ingreso!K:P,6,0)),IF(F479&gt;0.25,IF(F479&lt;0.311805555555556,"Turno A",IF(F479&gt;0.3125,IF(F479&lt;0.354166666666667,"Turno C",IF(F479&gt;0.583333333333333,IF(F479&lt;0.625,"Turno B",IF(F479&gt;0.625694444444444,IF(F479&lt;0.8125,"Turno A",IF(F479&gt;0.875,IF(F479&lt;0.936805555555556,"Turno C",IF(F479&gt;0.9375,IF(F479&lt;0.979166666666667,"Turno B",""),"")),"")),"")),"")),"")),""))</f>
        <v>Turno A</v>
      </c>
      <c r="L479" s="91">
        <f t="shared" si="7"/>
        <v>0.3125</v>
      </c>
    </row>
    <row r="480" spans="1:12" s="40" customFormat="1">
      <c r="A480">
        <v>8881760</v>
      </c>
      <c r="B480" t="s">
        <v>1071</v>
      </c>
      <c r="C480" t="s">
        <v>1010</v>
      </c>
      <c r="D480" t="s">
        <v>1070</v>
      </c>
      <c r="E480" t="s">
        <v>1438</v>
      </c>
      <c r="F480" s="78">
        <v>0.63746527777777773</v>
      </c>
      <c r="G480" t="s">
        <v>1406</v>
      </c>
      <c r="H480" t="s">
        <v>1336</v>
      </c>
      <c r="I480" s="88" t="str">
        <f>VLOOKUP(A480,Base!A:B,2,0)</f>
        <v>08.881.760-5</v>
      </c>
      <c r="J480" s="99" t="str">
        <f>VLOOKUP(A480,Base!A:F,6,0)</f>
        <v>MANUEL ORLANDO  VEGA  LEYTON</v>
      </c>
      <c r="K480" s="89" t="str">
        <f>IFERROR(IF(VLOOKUP(I480,Ingreso!K:P,6,0)=0,"Sin turtno ing",VLOOKUP(I480,Ingreso!K:P,6,0)),IF(F480&gt;0.25,IF(F480&lt;0.311805555555556,"Turno A",IF(F480&gt;0.3125,IF(F480&lt;0.354166666666667,"Turno C",IF(F480&gt;0.583333333333333,IF(F480&lt;0.625,"Turno B",IF(F480&gt;0.625694444444444,IF(F480&lt;0.8125,"Turno A",IF(F480&gt;0.875,IF(F480&lt;0.936805555555556,"Turno C",IF(F480&gt;0.9375,IF(F480&lt;0.979166666666667,"Turno B",""),"")),"")),"")),"")),"")),""))</f>
        <v>Turno A</v>
      </c>
      <c r="L480" s="91">
        <f t="shared" si="7"/>
        <v>0.3125</v>
      </c>
    </row>
    <row r="481" spans="1:12" s="40" customFormat="1">
      <c r="A481">
        <v>8881760</v>
      </c>
      <c r="B481" t="s">
        <v>1071</v>
      </c>
      <c r="C481" t="s">
        <v>1010</v>
      </c>
      <c r="D481" t="s">
        <v>1070</v>
      </c>
      <c r="E481" t="s">
        <v>1438</v>
      </c>
      <c r="F481" s="78">
        <v>0.29412037037037037</v>
      </c>
      <c r="G481" t="s">
        <v>1405</v>
      </c>
      <c r="H481" t="s">
        <v>1335</v>
      </c>
      <c r="I481" s="88" t="str">
        <f>VLOOKUP(A481,Base!A:B,2,0)</f>
        <v>08.881.760-5</v>
      </c>
      <c r="J481" s="99" t="str">
        <f>VLOOKUP(A481,Base!A:F,6,0)</f>
        <v>MANUEL ORLANDO  VEGA  LEYTON</v>
      </c>
      <c r="K481" s="89" t="str">
        <f>IFERROR(IF(VLOOKUP(I481,Ingreso!K:P,6,0)=0,"Sin turtno ing",VLOOKUP(I481,Ingreso!K:P,6,0)),IF(F481&gt;0.25,IF(F481&lt;0.311805555555556,"Turno A",IF(F481&gt;0.3125,IF(F481&lt;0.354166666666667,"Turno C",IF(F481&gt;0.583333333333333,IF(F481&lt;0.625,"Turno B",IF(F481&gt;0.625694444444444,IF(F481&lt;0.8125,"Turno A",IF(F481&gt;0.875,IF(F481&lt;0.936805555555556,"Turno C",IF(F481&gt;0.9375,IF(F481&lt;0.979166666666667,"Turno B",""),"")),"")),"")),"")),"")),""))</f>
        <v>Turno A</v>
      </c>
      <c r="L481" s="91">
        <f t="shared" si="7"/>
        <v>0.3125</v>
      </c>
    </row>
    <row r="482" spans="1:12" s="40" customFormat="1">
      <c r="A482">
        <v>8881760</v>
      </c>
      <c r="B482" t="s">
        <v>1071</v>
      </c>
      <c r="C482" t="s">
        <v>1010</v>
      </c>
      <c r="D482" t="s">
        <v>1070</v>
      </c>
      <c r="E482" t="s">
        <v>1439</v>
      </c>
      <c r="F482" s="78">
        <v>0.63776620370370374</v>
      </c>
      <c r="G482" t="s">
        <v>1406</v>
      </c>
      <c r="H482" t="s">
        <v>1336</v>
      </c>
      <c r="I482" s="88" t="str">
        <f>VLOOKUP(A482,Base!A:B,2,0)</f>
        <v>08.881.760-5</v>
      </c>
      <c r="J482" s="99" t="str">
        <f>VLOOKUP(A482,Base!A:F,6,0)</f>
        <v>MANUEL ORLANDO  VEGA  LEYTON</v>
      </c>
      <c r="K482" s="89" t="str">
        <f>IFERROR(IF(VLOOKUP(I482,Ingreso!K:P,6,0)=0,"Sin turtno ing",VLOOKUP(I482,Ingreso!K:P,6,0)),IF(F482&gt;0.25,IF(F482&lt;0.311805555555556,"Turno A",IF(F482&gt;0.3125,IF(F482&lt;0.354166666666667,"Turno C",IF(F482&gt;0.583333333333333,IF(F482&lt;0.625,"Turno B",IF(F482&gt;0.625694444444444,IF(F482&lt;0.8125,"Turno A",IF(F482&gt;0.875,IF(F482&lt;0.936805555555556,"Turno C",IF(F482&gt;0.9375,IF(F482&lt;0.979166666666667,"Turno B",""),"")),"")),"")),"")),"")),""))</f>
        <v>Turno A</v>
      </c>
      <c r="L482" s="91">
        <f t="shared" si="7"/>
        <v>0.3125</v>
      </c>
    </row>
    <row r="483" spans="1:12" s="40" customFormat="1">
      <c r="A483">
        <v>8881760</v>
      </c>
      <c r="B483" t="s">
        <v>1071</v>
      </c>
      <c r="C483" t="s">
        <v>1010</v>
      </c>
      <c r="D483" t="s">
        <v>1070</v>
      </c>
      <c r="E483" t="s">
        <v>1439</v>
      </c>
      <c r="F483" s="78">
        <v>0.29444444444444445</v>
      </c>
      <c r="G483" t="s">
        <v>1405</v>
      </c>
      <c r="H483" t="s">
        <v>1335</v>
      </c>
      <c r="I483" s="88" t="str">
        <f>VLOOKUP(A483,Base!A:B,2,0)</f>
        <v>08.881.760-5</v>
      </c>
      <c r="J483" s="99" t="str">
        <f>VLOOKUP(A483,Base!A:F,6,0)</f>
        <v>MANUEL ORLANDO  VEGA  LEYTON</v>
      </c>
      <c r="K483" s="89" t="str">
        <f>IFERROR(IF(VLOOKUP(I483,Ingreso!K:P,6,0)=0,"Sin turtno ing",VLOOKUP(I483,Ingreso!K:P,6,0)),IF(F483&gt;0.25,IF(F483&lt;0.311805555555556,"Turno A",IF(F483&gt;0.3125,IF(F483&lt;0.354166666666667,"Turno C",IF(F483&gt;0.583333333333333,IF(F483&lt;0.625,"Turno B",IF(F483&gt;0.625694444444444,IF(F483&lt;0.8125,"Turno A",IF(F483&gt;0.875,IF(F483&lt;0.936805555555556,"Turno C",IF(F483&gt;0.9375,IF(F483&lt;0.979166666666667,"Turno B",""),"")),"")),"")),"")),"")),""))</f>
        <v>Turno A</v>
      </c>
      <c r="L483" s="91">
        <f t="shared" si="7"/>
        <v>0.3125</v>
      </c>
    </row>
    <row r="484" spans="1:12" s="40" customFormat="1">
      <c r="A484">
        <v>8962599</v>
      </c>
      <c r="B484" t="s">
        <v>465</v>
      </c>
      <c r="C484" t="s">
        <v>83</v>
      </c>
      <c r="D484" t="s">
        <v>33</v>
      </c>
      <c r="E484" t="s">
        <v>1440</v>
      </c>
      <c r="F484" s="78">
        <v>0.64034722222222229</v>
      </c>
      <c r="G484" t="s">
        <v>1406</v>
      </c>
      <c r="H484" t="s">
        <v>1336</v>
      </c>
      <c r="I484" s="88" t="str">
        <f>VLOOKUP(A484,Base!A:B,2,0)</f>
        <v>08.962.599-8</v>
      </c>
      <c r="J484" s="99" t="str">
        <f>VLOOKUP(A484,Base!A:F,6,0)</f>
        <v>HUGO SIMON  GONZALEZ  MUÑOZ</v>
      </c>
      <c r="K484" s="89" t="str">
        <f>IFERROR(IF(VLOOKUP(I484,Ingreso!K:P,6,0)=0,"Sin turtno ing",VLOOKUP(I484,Ingreso!K:P,6,0)),IF(F484&gt;0.25,IF(F484&lt;0.311805555555556,"Turno A",IF(F484&gt;0.3125,IF(F484&lt;0.354166666666667,"Turno C",IF(F484&gt;0.583333333333333,IF(F484&lt;0.625,"Turno B",IF(F484&gt;0.625694444444444,IF(F484&lt;0.8125,"Turno A",IF(F484&gt;0.875,IF(F484&lt;0.936805555555556,"Turno C",IF(F484&gt;0.9375,IF(F484&lt;0.979166666666667,"Turno B",""),"")),"")),"")),"")),"")),""))</f>
        <v>Turno A</v>
      </c>
      <c r="L484" s="91">
        <f t="shared" si="7"/>
        <v>0.3125</v>
      </c>
    </row>
    <row r="485" spans="1:12" s="40" customFormat="1">
      <c r="A485">
        <v>8962599</v>
      </c>
      <c r="B485" t="s">
        <v>465</v>
      </c>
      <c r="C485" t="s">
        <v>83</v>
      </c>
      <c r="D485" t="s">
        <v>33</v>
      </c>
      <c r="E485" t="s">
        <v>1440</v>
      </c>
      <c r="F485" s="78">
        <v>0.29615740740740742</v>
      </c>
      <c r="G485" t="s">
        <v>1405</v>
      </c>
      <c r="H485" t="s">
        <v>1335</v>
      </c>
      <c r="I485" s="88" t="str">
        <f>VLOOKUP(A485,Base!A:B,2,0)</f>
        <v>08.962.599-8</v>
      </c>
      <c r="J485" s="99" t="str">
        <f>VLOOKUP(A485,Base!A:F,6,0)</f>
        <v>HUGO SIMON  GONZALEZ  MUÑOZ</v>
      </c>
      <c r="K485" s="89" t="str">
        <f>IFERROR(IF(VLOOKUP(I485,Ingreso!K:P,6,0)=0,"Sin turtno ing",VLOOKUP(I485,Ingreso!K:P,6,0)),IF(F485&gt;0.25,IF(F485&lt;0.311805555555556,"Turno A",IF(F485&gt;0.3125,IF(F485&lt;0.354166666666667,"Turno C",IF(F485&gt;0.583333333333333,IF(F485&lt;0.625,"Turno B",IF(F485&gt;0.625694444444444,IF(F485&lt;0.8125,"Turno A",IF(F485&gt;0.875,IF(F485&lt;0.936805555555556,"Turno C",IF(F485&gt;0.9375,IF(F485&lt;0.979166666666667,"Turno B",""),"")),"")),"")),"")),"")),""))</f>
        <v>Turno A</v>
      </c>
      <c r="L485" s="91">
        <f t="shared" si="7"/>
        <v>0.3125</v>
      </c>
    </row>
    <row r="486" spans="1:12" s="40" customFormat="1">
      <c r="A486">
        <v>8962599</v>
      </c>
      <c r="B486" t="s">
        <v>465</v>
      </c>
      <c r="C486" t="s">
        <v>83</v>
      </c>
      <c r="D486" t="s">
        <v>33</v>
      </c>
      <c r="E486" t="s">
        <v>1441</v>
      </c>
      <c r="F486" s="78">
        <v>0.64196759259259262</v>
      </c>
      <c r="G486" t="s">
        <v>1406</v>
      </c>
      <c r="H486" t="s">
        <v>1336</v>
      </c>
      <c r="I486" s="88" t="str">
        <f>VLOOKUP(A486,Base!A:B,2,0)</f>
        <v>08.962.599-8</v>
      </c>
      <c r="J486" s="99" t="str">
        <f>VLOOKUP(A486,Base!A:F,6,0)</f>
        <v>HUGO SIMON  GONZALEZ  MUÑOZ</v>
      </c>
      <c r="K486" s="89" t="str">
        <f>IFERROR(IF(VLOOKUP(I486,Ingreso!K:P,6,0)=0,"Sin turtno ing",VLOOKUP(I486,Ingreso!K:P,6,0)),IF(F486&gt;0.25,IF(F486&lt;0.311805555555556,"Turno A",IF(F486&gt;0.3125,IF(F486&lt;0.354166666666667,"Turno C",IF(F486&gt;0.583333333333333,IF(F486&lt;0.625,"Turno B",IF(F486&gt;0.625694444444444,IF(F486&lt;0.8125,"Turno A",IF(F486&gt;0.875,IF(F486&lt;0.936805555555556,"Turno C",IF(F486&gt;0.9375,IF(F486&lt;0.979166666666667,"Turno B",""),"")),"")),"")),"")),"")),""))</f>
        <v>Turno A</v>
      </c>
      <c r="L486" s="91">
        <f t="shared" si="7"/>
        <v>0.3125</v>
      </c>
    </row>
    <row r="487" spans="1:12" s="40" customFormat="1">
      <c r="A487">
        <v>8962599</v>
      </c>
      <c r="B487" t="s">
        <v>465</v>
      </c>
      <c r="C487" t="s">
        <v>83</v>
      </c>
      <c r="D487" t="s">
        <v>33</v>
      </c>
      <c r="E487" t="s">
        <v>1441</v>
      </c>
      <c r="F487" s="78">
        <v>0.29478009259259258</v>
      </c>
      <c r="G487" t="s">
        <v>1405</v>
      </c>
      <c r="H487" t="s">
        <v>1335</v>
      </c>
      <c r="I487" s="88" t="str">
        <f>VLOOKUP(A487,Base!A:B,2,0)</f>
        <v>08.962.599-8</v>
      </c>
      <c r="J487" s="99" t="str">
        <f>VLOOKUP(A487,Base!A:F,6,0)</f>
        <v>HUGO SIMON  GONZALEZ  MUÑOZ</v>
      </c>
      <c r="K487" s="89" t="str">
        <f>IFERROR(IF(VLOOKUP(I487,Ingreso!K:P,6,0)=0,"Sin turtno ing",VLOOKUP(I487,Ingreso!K:P,6,0)),IF(F487&gt;0.25,IF(F487&lt;0.311805555555556,"Turno A",IF(F487&gt;0.3125,IF(F487&lt;0.354166666666667,"Turno C",IF(F487&gt;0.583333333333333,IF(F487&lt;0.625,"Turno B",IF(F487&gt;0.625694444444444,IF(F487&lt;0.8125,"Turno A",IF(F487&gt;0.875,IF(F487&lt;0.936805555555556,"Turno C",IF(F487&gt;0.9375,IF(F487&lt;0.979166666666667,"Turno B",""),"")),"")),"")),"")),"")),""))</f>
        <v>Turno A</v>
      </c>
      <c r="L487" s="91">
        <f t="shared" si="7"/>
        <v>0.3125</v>
      </c>
    </row>
    <row r="488" spans="1:12" s="40" customFormat="1">
      <c r="A488">
        <v>8962599</v>
      </c>
      <c r="B488" t="s">
        <v>465</v>
      </c>
      <c r="C488" t="s">
        <v>83</v>
      </c>
      <c r="D488" t="s">
        <v>33</v>
      </c>
      <c r="E488" t="s">
        <v>1437</v>
      </c>
      <c r="F488" s="78">
        <v>0.63850694444444445</v>
      </c>
      <c r="G488" t="s">
        <v>1406</v>
      </c>
      <c r="H488" t="s">
        <v>1336</v>
      </c>
      <c r="I488" s="88" t="str">
        <f>VLOOKUP(A488,Base!A:B,2,0)</f>
        <v>08.962.599-8</v>
      </c>
      <c r="J488" s="99" t="str">
        <f>VLOOKUP(A488,Base!A:F,6,0)</f>
        <v>HUGO SIMON  GONZALEZ  MUÑOZ</v>
      </c>
      <c r="K488" s="89" t="str">
        <f>IFERROR(IF(VLOOKUP(I488,Ingreso!K:P,6,0)=0,"Sin turtno ing",VLOOKUP(I488,Ingreso!K:P,6,0)),IF(F488&gt;0.25,IF(F488&lt;0.311805555555556,"Turno A",IF(F488&gt;0.3125,IF(F488&lt;0.354166666666667,"Turno C",IF(F488&gt;0.583333333333333,IF(F488&lt;0.625,"Turno B",IF(F488&gt;0.625694444444444,IF(F488&lt;0.8125,"Turno A",IF(F488&gt;0.875,IF(F488&lt;0.936805555555556,"Turno C",IF(F488&gt;0.9375,IF(F488&lt;0.979166666666667,"Turno B",""),"")),"")),"")),"")),"")),""))</f>
        <v>Turno A</v>
      </c>
      <c r="L488" s="91">
        <f t="shared" si="7"/>
        <v>0.3125</v>
      </c>
    </row>
    <row r="489" spans="1:12" s="40" customFormat="1">
      <c r="A489">
        <v>8962599</v>
      </c>
      <c r="B489" t="s">
        <v>465</v>
      </c>
      <c r="C489" t="s">
        <v>83</v>
      </c>
      <c r="D489" t="s">
        <v>33</v>
      </c>
      <c r="E489" t="s">
        <v>1437</v>
      </c>
      <c r="F489" s="78">
        <v>0.29456018518518517</v>
      </c>
      <c r="G489" t="s">
        <v>1405</v>
      </c>
      <c r="H489" t="s">
        <v>1335</v>
      </c>
      <c r="I489" s="88" t="str">
        <f>VLOOKUP(A489,Base!A:B,2,0)</f>
        <v>08.962.599-8</v>
      </c>
      <c r="J489" s="99" t="str">
        <f>VLOOKUP(A489,Base!A:F,6,0)</f>
        <v>HUGO SIMON  GONZALEZ  MUÑOZ</v>
      </c>
      <c r="K489" s="89" t="str">
        <f>IFERROR(IF(VLOOKUP(I489,Ingreso!K:P,6,0)=0,"Sin turtno ing",VLOOKUP(I489,Ingreso!K:P,6,0)),IF(F489&gt;0.25,IF(F489&lt;0.311805555555556,"Turno A",IF(F489&gt;0.3125,IF(F489&lt;0.354166666666667,"Turno C",IF(F489&gt;0.583333333333333,IF(F489&lt;0.625,"Turno B",IF(F489&gt;0.625694444444444,IF(F489&lt;0.8125,"Turno A",IF(F489&gt;0.875,IF(F489&lt;0.936805555555556,"Turno C",IF(F489&gt;0.9375,IF(F489&lt;0.979166666666667,"Turno B",""),"")),"")),"")),"")),"")),""))</f>
        <v>Turno A</v>
      </c>
      <c r="L489" s="91">
        <f t="shared" si="7"/>
        <v>0.3125</v>
      </c>
    </row>
    <row r="490" spans="1:12" s="40" customFormat="1">
      <c r="A490">
        <v>8962599</v>
      </c>
      <c r="B490" t="s">
        <v>465</v>
      </c>
      <c r="C490" t="s">
        <v>83</v>
      </c>
      <c r="D490" t="s">
        <v>33</v>
      </c>
      <c r="E490" t="s">
        <v>1438</v>
      </c>
      <c r="F490" s="78">
        <v>0.6404050925925926</v>
      </c>
      <c r="G490" t="s">
        <v>1406</v>
      </c>
      <c r="H490" t="s">
        <v>1336</v>
      </c>
      <c r="I490" s="88" t="str">
        <f>VLOOKUP(A490,Base!A:B,2,0)</f>
        <v>08.962.599-8</v>
      </c>
      <c r="J490" s="99" t="str">
        <f>VLOOKUP(A490,Base!A:F,6,0)</f>
        <v>HUGO SIMON  GONZALEZ  MUÑOZ</v>
      </c>
      <c r="K490" s="89" t="str">
        <f>IFERROR(IF(VLOOKUP(I490,Ingreso!K:P,6,0)=0,"Sin turtno ing",VLOOKUP(I490,Ingreso!K:P,6,0)),IF(F490&gt;0.25,IF(F490&lt;0.311805555555556,"Turno A",IF(F490&gt;0.3125,IF(F490&lt;0.354166666666667,"Turno C",IF(F490&gt;0.583333333333333,IF(F490&lt;0.625,"Turno B",IF(F490&gt;0.625694444444444,IF(F490&lt;0.8125,"Turno A",IF(F490&gt;0.875,IF(F490&lt;0.936805555555556,"Turno C",IF(F490&gt;0.9375,IF(F490&lt;0.979166666666667,"Turno B",""),"")),"")),"")),"")),"")),""))</f>
        <v>Turno A</v>
      </c>
      <c r="L490" s="91">
        <f t="shared" si="7"/>
        <v>0.3125</v>
      </c>
    </row>
    <row r="491" spans="1:12" s="40" customFormat="1">
      <c r="A491">
        <v>8962599</v>
      </c>
      <c r="B491" t="s">
        <v>465</v>
      </c>
      <c r="C491" t="s">
        <v>83</v>
      </c>
      <c r="D491" t="s">
        <v>33</v>
      </c>
      <c r="E491" t="s">
        <v>1438</v>
      </c>
      <c r="F491" s="78">
        <v>0.29072916666666665</v>
      </c>
      <c r="G491" t="s">
        <v>1405</v>
      </c>
      <c r="H491" t="s">
        <v>1335</v>
      </c>
      <c r="I491" s="88" t="str">
        <f>VLOOKUP(A491,Base!A:B,2,0)</f>
        <v>08.962.599-8</v>
      </c>
      <c r="J491" s="99" t="str">
        <f>VLOOKUP(A491,Base!A:F,6,0)</f>
        <v>HUGO SIMON  GONZALEZ  MUÑOZ</v>
      </c>
      <c r="K491" s="89" t="str">
        <f>IFERROR(IF(VLOOKUP(I491,Ingreso!K:P,6,0)=0,"Sin turtno ing",VLOOKUP(I491,Ingreso!K:P,6,0)),IF(F491&gt;0.25,IF(F491&lt;0.311805555555556,"Turno A",IF(F491&gt;0.3125,IF(F491&lt;0.354166666666667,"Turno C",IF(F491&gt;0.583333333333333,IF(F491&lt;0.625,"Turno B",IF(F491&gt;0.625694444444444,IF(F491&lt;0.8125,"Turno A",IF(F491&gt;0.875,IF(F491&lt;0.936805555555556,"Turno C",IF(F491&gt;0.9375,IF(F491&lt;0.979166666666667,"Turno B",""),"")),"")),"")),"")),"")),""))</f>
        <v>Turno A</v>
      </c>
      <c r="L491" s="91">
        <f t="shared" si="7"/>
        <v>0.3125</v>
      </c>
    </row>
    <row r="492" spans="1:12" s="40" customFormat="1">
      <c r="A492">
        <v>8962599</v>
      </c>
      <c r="B492" t="s">
        <v>465</v>
      </c>
      <c r="C492" t="s">
        <v>83</v>
      </c>
      <c r="D492" t="s">
        <v>33</v>
      </c>
      <c r="E492" t="s">
        <v>1439</v>
      </c>
      <c r="F492" s="78">
        <v>0.63982638888888888</v>
      </c>
      <c r="G492" t="s">
        <v>1406</v>
      </c>
      <c r="H492" t="s">
        <v>1336</v>
      </c>
      <c r="I492" s="88" t="str">
        <f>VLOOKUP(A492,Base!A:B,2,0)</f>
        <v>08.962.599-8</v>
      </c>
      <c r="J492" s="99" t="str">
        <f>VLOOKUP(A492,Base!A:F,6,0)</f>
        <v>HUGO SIMON  GONZALEZ  MUÑOZ</v>
      </c>
      <c r="K492" s="89" t="str">
        <f>IFERROR(IF(VLOOKUP(I492,Ingreso!K:P,6,0)=0,"Sin turtno ing",VLOOKUP(I492,Ingreso!K:P,6,0)),IF(F492&gt;0.25,IF(F492&lt;0.311805555555556,"Turno A",IF(F492&gt;0.3125,IF(F492&lt;0.354166666666667,"Turno C",IF(F492&gt;0.583333333333333,IF(F492&lt;0.625,"Turno B",IF(F492&gt;0.625694444444444,IF(F492&lt;0.8125,"Turno A",IF(F492&gt;0.875,IF(F492&lt;0.936805555555556,"Turno C",IF(F492&gt;0.9375,IF(F492&lt;0.979166666666667,"Turno B",""),"")),"")),"")),"")),"")),""))</f>
        <v>Turno A</v>
      </c>
      <c r="L492" s="91">
        <f t="shared" si="7"/>
        <v>0.3125</v>
      </c>
    </row>
    <row r="493" spans="1:12" s="40" customFormat="1">
      <c r="A493">
        <v>8962599</v>
      </c>
      <c r="B493" t="s">
        <v>465</v>
      </c>
      <c r="C493" t="s">
        <v>83</v>
      </c>
      <c r="D493" t="s">
        <v>33</v>
      </c>
      <c r="E493" t="s">
        <v>1439</v>
      </c>
      <c r="F493" s="78">
        <v>0.29496527777777776</v>
      </c>
      <c r="G493" t="s">
        <v>1405</v>
      </c>
      <c r="H493" t="s">
        <v>1335</v>
      </c>
      <c r="I493" s="88" t="str">
        <f>VLOOKUP(A493,Base!A:B,2,0)</f>
        <v>08.962.599-8</v>
      </c>
      <c r="J493" s="99" t="str">
        <f>VLOOKUP(A493,Base!A:F,6,0)</f>
        <v>HUGO SIMON  GONZALEZ  MUÑOZ</v>
      </c>
      <c r="K493" s="89" t="str">
        <f>IFERROR(IF(VLOOKUP(I493,Ingreso!K:P,6,0)=0,"Sin turtno ing",VLOOKUP(I493,Ingreso!K:P,6,0)),IF(F493&gt;0.25,IF(F493&lt;0.311805555555556,"Turno A",IF(F493&gt;0.3125,IF(F493&lt;0.354166666666667,"Turno C",IF(F493&gt;0.583333333333333,IF(F493&lt;0.625,"Turno B",IF(F493&gt;0.625694444444444,IF(F493&lt;0.8125,"Turno A",IF(F493&gt;0.875,IF(F493&lt;0.936805555555556,"Turno C",IF(F493&gt;0.9375,IF(F493&lt;0.979166666666667,"Turno B",""),"")),"")),"")),"")),"")),""))</f>
        <v>Turno A</v>
      </c>
      <c r="L493" s="91">
        <f t="shared" si="7"/>
        <v>0.3125</v>
      </c>
    </row>
    <row r="494" spans="1:12" s="40" customFormat="1">
      <c r="A494">
        <v>9004326</v>
      </c>
      <c r="B494" t="s">
        <v>1409</v>
      </c>
      <c r="C494" t="s">
        <v>1265</v>
      </c>
      <c r="D494" t="s">
        <v>1032</v>
      </c>
      <c r="E494" t="s">
        <v>1407</v>
      </c>
      <c r="F494" s="78">
        <v>0</v>
      </c>
      <c r="G494"/>
      <c r="H494"/>
      <c r="I494" s="88" t="str">
        <f>VLOOKUP(A494,Base!A:B,2,0)</f>
        <v>9.004.326-9</v>
      </c>
      <c r="J494" s="99" t="str">
        <f>VLOOKUP(A494,Base!A:F,6,0)</f>
        <v>ANDRES EDUARDO  LORCA  FARIAS</v>
      </c>
      <c r="K494" s="89" t="str">
        <f>IFERROR(IF(VLOOKUP(I494,Ingreso!K:P,6,0)=0,"Sin turtno ing",VLOOKUP(I494,Ingreso!K:P,6,0)),IF(F494&gt;0.25,IF(F494&lt;0.311805555555556,"Turno A",IF(F494&gt;0.3125,IF(F494&lt;0.354166666666667,"Turno C",IF(F494&gt;0.583333333333333,IF(F494&lt;0.625,"Turno B",IF(F494&gt;0.625694444444444,IF(F494&lt;0.8125,"Turno A",IF(F494&gt;0.875,IF(F494&lt;0.936805555555556,"Turno C",IF(F494&gt;0.9375,IF(F494&lt;0.979166666666667,"Turno B",""),"")),"")),"")),"")),"")),""))</f>
        <v/>
      </c>
      <c r="L494" s="91" t="e">
        <f t="shared" si="7"/>
        <v>#N/A</v>
      </c>
    </row>
    <row r="495" spans="1:12" s="40" customFormat="1">
      <c r="A495">
        <v>9048185</v>
      </c>
      <c r="B495" t="s">
        <v>445</v>
      </c>
      <c r="C495" t="s">
        <v>444</v>
      </c>
      <c r="D495" t="s">
        <v>179</v>
      </c>
      <c r="E495" t="s">
        <v>1440</v>
      </c>
      <c r="F495" s="78">
        <v>0.73265046296296299</v>
      </c>
      <c r="G495" t="s">
        <v>1406</v>
      </c>
      <c r="H495" t="s">
        <v>1336</v>
      </c>
      <c r="I495" s="88" t="str">
        <f>VLOOKUP(A495,Base!A:B,2,0)</f>
        <v>09.048.185-1</v>
      </c>
      <c r="J495" s="99" t="str">
        <f>VLOOKUP(A495,Base!A:F,6,0)</f>
        <v>PABLO HORACIO  GARCIA  DIAZ</v>
      </c>
      <c r="K495" s="89" t="str">
        <f>IFERROR(IF(VLOOKUP(I495,Ingreso!K:P,6,0)=0,"Sin turtno ing",VLOOKUP(I495,Ingreso!K:P,6,0)),IF(F495&gt;0.25,IF(F495&lt;0.311805555555556,"Turno A",IF(F495&gt;0.3125,IF(F495&lt;0.354166666666667,"Turno C",IF(F495&gt;0.583333333333333,IF(F495&lt;0.625,"Turno B",IF(F495&gt;0.625694444444444,IF(F495&lt;0.8125,"Turno A",IF(F495&gt;0.875,IF(F495&lt;0.936805555555556,"Turno C",IF(F495&gt;0.9375,IF(F495&lt;0.979166666666667,"Turno B",""),"")),"")),"")),"")),"")),""))</f>
        <v>Sin turtno ing</v>
      </c>
      <c r="L495" s="91" t="e">
        <f t="shared" si="7"/>
        <v>#N/A</v>
      </c>
    </row>
    <row r="496" spans="1:12" s="40" customFormat="1">
      <c r="A496">
        <v>9048185</v>
      </c>
      <c r="B496" t="s">
        <v>445</v>
      </c>
      <c r="C496" t="s">
        <v>444</v>
      </c>
      <c r="D496" t="s">
        <v>179</v>
      </c>
      <c r="E496" t="s">
        <v>1440</v>
      </c>
      <c r="F496" s="78">
        <v>0.31291666666666668</v>
      </c>
      <c r="G496" t="s">
        <v>1405</v>
      </c>
      <c r="H496" t="s">
        <v>1335</v>
      </c>
      <c r="I496" s="88" t="str">
        <f>VLOOKUP(A496,Base!A:B,2,0)</f>
        <v>09.048.185-1</v>
      </c>
      <c r="J496" s="99" t="str">
        <f>VLOOKUP(A496,Base!A:F,6,0)</f>
        <v>PABLO HORACIO  GARCIA  DIAZ</v>
      </c>
      <c r="K496" s="89" t="str">
        <f>IFERROR(IF(VLOOKUP(I496,Ingreso!K:P,6,0)=0,"Sin turtno ing",VLOOKUP(I496,Ingreso!K:P,6,0)),IF(F496&gt;0.25,IF(F496&lt;0.311805555555556,"Turno A",IF(F496&gt;0.3125,IF(F496&lt;0.354166666666667,"Turno C",IF(F496&gt;0.583333333333333,IF(F496&lt;0.625,"Turno B",IF(F496&gt;0.625694444444444,IF(F496&lt;0.8125,"Turno A",IF(F496&gt;0.875,IF(F496&lt;0.936805555555556,"Turno C",IF(F496&gt;0.9375,IF(F496&lt;0.979166666666667,"Turno B",""),"")),"")),"")),"")),"")),""))</f>
        <v>Sin turtno ing</v>
      </c>
      <c r="L496" s="91" t="e">
        <f t="shared" si="7"/>
        <v>#N/A</v>
      </c>
    </row>
    <row r="497" spans="1:12" s="40" customFormat="1">
      <c r="A497">
        <v>9048185</v>
      </c>
      <c r="B497" t="s">
        <v>445</v>
      </c>
      <c r="C497" t="s">
        <v>444</v>
      </c>
      <c r="D497" t="s">
        <v>179</v>
      </c>
      <c r="E497" t="s">
        <v>1441</v>
      </c>
      <c r="F497" s="78">
        <v>0.67634259259259266</v>
      </c>
      <c r="G497" t="s">
        <v>1406</v>
      </c>
      <c r="H497" t="s">
        <v>1336</v>
      </c>
      <c r="I497" s="88" t="str">
        <f>VLOOKUP(A497,Base!A:B,2,0)</f>
        <v>09.048.185-1</v>
      </c>
      <c r="J497" s="99" t="str">
        <f>VLOOKUP(A497,Base!A:F,6,0)</f>
        <v>PABLO HORACIO  GARCIA  DIAZ</v>
      </c>
      <c r="K497" s="89" t="str">
        <f>IFERROR(IF(VLOOKUP(I497,Ingreso!K:P,6,0)=0,"Sin turtno ing",VLOOKUP(I497,Ingreso!K:P,6,0)),IF(F497&gt;0.25,IF(F497&lt;0.311805555555556,"Turno A",IF(F497&gt;0.3125,IF(F497&lt;0.354166666666667,"Turno C",IF(F497&gt;0.583333333333333,IF(F497&lt;0.625,"Turno B",IF(F497&gt;0.625694444444444,IF(F497&lt;0.8125,"Turno A",IF(F497&gt;0.875,IF(F497&lt;0.936805555555556,"Turno C",IF(F497&gt;0.9375,IF(F497&lt;0.979166666666667,"Turno B",""),"")),"")),"")),"")),"")),""))</f>
        <v>Sin turtno ing</v>
      </c>
      <c r="L497" s="91" t="e">
        <f t="shared" si="7"/>
        <v>#N/A</v>
      </c>
    </row>
    <row r="498" spans="1:12" s="40" customFormat="1">
      <c r="A498">
        <v>9048185</v>
      </c>
      <c r="B498" t="s">
        <v>445</v>
      </c>
      <c r="C498" t="s">
        <v>444</v>
      </c>
      <c r="D498" t="s">
        <v>179</v>
      </c>
      <c r="E498" t="s">
        <v>1441</v>
      </c>
      <c r="F498" s="78">
        <v>0.3222800925925926</v>
      </c>
      <c r="G498" t="s">
        <v>1405</v>
      </c>
      <c r="H498" t="s">
        <v>1335</v>
      </c>
      <c r="I498" s="88" t="str">
        <f>VLOOKUP(A498,Base!A:B,2,0)</f>
        <v>09.048.185-1</v>
      </c>
      <c r="J498" s="99" t="str">
        <f>VLOOKUP(A498,Base!A:F,6,0)</f>
        <v>PABLO HORACIO  GARCIA  DIAZ</v>
      </c>
      <c r="K498" s="89" t="str">
        <f>IFERROR(IF(VLOOKUP(I498,Ingreso!K:P,6,0)=0,"Sin turtno ing",VLOOKUP(I498,Ingreso!K:P,6,0)),IF(F498&gt;0.25,IF(F498&lt;0.311805555555556,"Turno A",IF(F498&gt;0.3125,IF(F498&lt;0.354166666666667,"Turno C",IF(F498&gt;0.583333333333333,IF(F498&lt;0.625,"Turno B",IF(F498&gt;0.625694444444444,IF(F498&lt;0.8125,"Turno A",IF(F498&gt;0.875,IF(F498&lt;0.936805555555556,"Turno C",IF(F498&gt;0.9375,IF(F498&lt;0.979166666666667,"Turno B",""),"")),"")),"")),"")),"")),""))</f>
        <v>Sin turtno ing</v>
      </c>
      <c r="L498" s="91" t="e">
        <f t="shared" si="7"/>
        <v>#N/A</v>
      </c>
    </row>
    <row r="499" spans="1:12" s="40" customFormat="1">
      <c r="A499">
        <v>9048185</v>
      </c>
      <c r="B499" t="s">
        <v>445</v>
      </c>
      <c r="C499" t="s">
        <v>444</v>
      </c>
      <c r="D499" t="s">
        <v>179</v>
      </c>
      <c r="E499" t="s">
        <v>1437</v>
      </c>
      <c r="F499" s="78">
        <v>0.76278935185185182</v>
      </c>
      <c r="G499" t="s">
        <v>1406</v>
      </c>
      <c r="H499" t="s">
        <v>1336</v>
      </c>
      <c r="I499" s="88" t="str">
        <f>VLOOKUP(A499,Base!A:B,2,0)</f>
        <v>09.048.185-1</v>
      </c>
      <c r="J499" s="99" t="str">
        <f>VLOOKUP(A499,Base!A:F,6,0)</f>
        <v>PABLO HORACIO  GARCIA  DIAZ</v>
      </c>
      <c r="K499" s="89" t="str">
        <f>IFERROR(IF(VLOOKUP(I499,Ingreso!K:P,6,0)=0,"Sin turtno ing",VLOOKUP(I499,Ingreso!K:P,6,0)),IF(F499&gt;0.25,IF(F499&lt;0.311805555555556,"Turno A",IF(F499&gt;0.3125,IF(F499&lt;0.354166666666667,"Turno C",IF(F499&gt;0.583333333333333,IF(F499&lt;0.625,"Turno B",IF(F499&gt;0.625694444444444,IF(F499&lt;0.8125,"Turno A",IF(F499&gt;0.875,IF(F499&lt;0.936805555555556,"Turno C",IF(F499&gt;0.9375,IF(F499&lt;0.979166666666667,"Turno B",""),"")),"")),"")),"")),"")),""))</f>
        <v>Sin turtno ing</v>
      </c>
      <c r="L499" s="91" t="e">
        <f t="shared" si="7"/>
        <v>#N/A</v>
      </c>
    </row>
    <row r="500" spans="1:12" s="40" customFormat="1">
      <c r="A500">
        <v>9048185</v>
      </c>
      <c r="B500" t="s">
        <v>445</v>
      </c>
      <c r="C500" t="s">
        <v>444</v>
      </c>
      <c r="D500" t="s">
        <v>179</v>
      </c>
      <c r="E500" t="s">
        <v>1437</v>
      </c>
      <c r="F500" s="78">
        <v>0.3134953703703704</v>
      </c>
      <c r="G500" t="s">
        <v>1405</v>
      </c>
      <c r="H500" t="s">
        <v>1335</v>
      </c>
      <c r="I500" s="88" t="str">
        <f>VLOOKUP(A500,Base!A:B,2,0)</f>
        <v>09.048.185-1</v>
      </c>
      <c r="J500" s="99" t="str">
        <f>VLOOKUP(A500,Base!A:F,6,0)</f>
        <v>PABLO HORACIO  GARCIA  DIAZ</v>
      </c>
      <c r="K500" s="89" t="str">
        <f>IFERROR(IF(VLOOKUP(I500,Ingreso!K:P,6,0)=0,"Sin turtno ing",VLOOKUP(I500,Ingreso!K:P,6,0)),IF(F500&gt;0.25,IF(F500&lt;0.311805555555556,"Turno A",IF(F500&gt;0.3125,IF(F500&lt;0.354166666666667,"Turno C",IF(F500&gt;0.583333333333333,IF(F500&lt;0.625,"Turno B",IF(F500&gt;0.625694444444444,IF(F500&lt;0.8125,"Turno A",IF(F500&gt;0.875,IF(F500&lt;0.936805555555556,"Turno C",IF(F500&gt;0.9375,IF(F500&lt;0.979166666666667,"Turno B",""),"")),"")),"")),"")),"")),""))</f>
        <v>Sin turtno ing</v>
      </c>
      <c r="L500" s="91" t="e">
        <f t="shared" si="7"/>
        <v>#N/A</v>
      </c>
    </row>
    <row r="501" spans="1:12" s="40" customFormat="1">
      <c r="A501">
        <v>9048185</v>
      </c>
      <c r="B501" t="s">
        <v>445</v>
      </c>
      <c r="C501" t="s">
        <v>444</v>
      </c>
      <c r="D501" t="s">
        <v>179</v>
      </c>
      <c r="E501" t="s">
        <v>1438</v>
      </c>
      <c r="F501" s="78">
        <v>0.73810185185185195</v>
      </c>
      <c r="G501" t="s">
        <v>1406</v>
      </c>
      <c r="H501" t="s">
        <v>1336</v>
      </c>
      <c r="I501" s="88" t="str">
        <f>VLOOKUP(A501,Base!A:B,2,0)</f>
        <v>09.048.185-1</v>
      </c>
      <c r="J501" s="99" t="str">
        <f>VLOOKUP(A501,Base!A:F,6,0)</f>
        <v>PABLO HORACIO  GARCIA  DIAZ</v>
      </c>
      <c r="K501" s="89" t="str">
        <f>IFERROR(IF(VLOOKUP(I501,Ingreso!K:P,6,0)=0,"Sin turtno ing",VLOOKUP(I501,Ingreso!K:P,6,0)),IF(F501&gt;0.25,IF(F501&lt;0.311805555555556,"Turno A",IF(F501&gt;0.3125,IF(F501&lt;0.354166666666667,"Turno C",IF(F501&gt;0.583333333333333,IF(F501&lt;0.625,"Turno B",IF(F501&gt;0.625694444444444,IF(F501&lt;0.8125,"Turno A",IF(F501&gt;0.875,IF(F501&lt;0.936805555555556,"Turno C",IF(F501&gt;0.9375,IF(F501&lt;0.979166666666667,"Turno B",""),"")),"")),"")),"")),"")),""))</f>
        <v>Sin turtno ing</v>
      </c>
      <c r="L501" s="91" t="e">
        <f t="shared" si="7"/>
        <v>#N/A</v>
      </c>
    </row>
    <row r="502" spans="1:12" s="40" customFormat="1">
      <c r="A502">
        <v>9048185</v>
      </c>
      <c r="B502" t="s">
        <v>445</v>
      </c>
      <c r="C502" t="s">
        <v>444</v>
      </c>
      <c r="D502" t="s">
        <v>179</v>
      </c>
      <c r="E502" t="s">
        <v>1438</v>
      </c>
      <c r="F502" s="78">
        <v>0.31443287037037038</v>
      </c>
      <c r="G502" t="s">
        <v>1405</v>
      </c>
      <c r="H502" t="s">
        <v>1335</v>
      </c>
      <c r="I502" s="88" t="str">
        <f>VLOOKUP(A502,Base!A:B,2,0)</f>
        <v>09.048.185-1</v>
      </c>
      <c r="J502" s="99" t="str">
        <f>VLOOKUP(A502,Base!A:F,6,0)</f>
        <v>PABLO HORACIO  GARCIA  DIAZ</v>
      </c>
      <c r="K502" s="89" t="str">
        <f>IFERROR(IF(VLOOKUP(I502,Ingreso!K:P,6,0)=0,"Sin turtno ing",VLOOKUP(I502,Ingreso!K:P,6,0)),IF(F502&gt;0.25,IF(F502&lt;0.311805555555556,"Turno A",IF(F502&gt;0.3125,IF(F502&lt;0.354166666666667,"Turno C",IF(F502&gt;0.583333333333333,IF(F502&lt;0.625,"Turno B",IF(F502&gt;0.625694444444444,IF(F502&lt;0.8125,"Turno A",IF(F502&gt;0.875,IF(F502&lt;0.936805555555556,"Turno C",IF(F502&gt;0.9375,IF(F502&lt;0.979166666666667,"Turno B",""),"")),"")),"")),"")),"")),""))</f>
        <v>Sin turtno ing</v>
      </c>
      <c r="L502" s="91" t="e">
        <f t="shared" si="7"/>
        <v>#N/A</v>
      </c>
    </row>
    <row r="503" spans="1:12" s="40" customFormat="1">
      <c r="A503">
        <v>9048185</v>
      </c>
      <c r="B503" t="s">
        <v>445</v>
      </c>
      <c r="C503" t="s">
        <v>444</v>
      </c>
      <c r="D503" t="s">
        <v>179</v>
      </c>
      <c r="E503" t="s">
        <v>1439</v>
      </c>
      <c r="F503" s="78">
        <v>0.76240740740740742</v>
      </c>
      <c r="G503" t="s">
        <v>1406</v>
      </c>
      <c r="H503" t="s">
        <v>1336</v>
      </c>
      <c r="I503" s="88" t="str">
        <f>VLOOKUP(A503,Base!A:B,2,0)</f>
        <v>09.048.185-1</v>
      </c>
      <c r="J503" s="99" t="str">
        <f>VLOOKUP(A503,Base!A:F,6,0)</f>
        <v>PABLO HORACIO  GARCIA  DIAZ</v>
      </c>
      <c r="K503" s="89" t="str">
        <f>IFERROR(IF(VLOOKUP(I503,Ingreso!K:P,6,0)=0,"Sin turtno ing",VLOOKUP(I503,Ingreso!K:P,6,0)),IF(F503&gt;0.25,IF(F503&lt;0.311805555555556,"Turno A",IF(F503&gt;0.3125,IF(F503&lt;0.354166666666667,"Turno C",IF(F503&gt;0.583333333333333,IF(F503&lt;0.625,"Turno B",IF(F503&gt;0.625694444444444,IF(F503&lt;0.8125,"Turno A",IF(F503&gt;0.875,IF(F503&lt;0.936805555555556,"Turno C",IF(F503&gt;0.9375,IF(F503&lt;0.979166666666667,"Turno B",""),"")),"")),"")),"")),"")),""))</f>
        <v>Sin turtno ing</v>
      </c>
      <c r="L503" s="91" t="e">
        <f t="shared" si="7"/>
        <v>#N/A</v>
      </c>
    </row>
    <row r="504" spans="1:12" s="40" customFormat="1">
      <c r="A504">
        <v>9048185</v>
      </c>
      <c r="B504" t="s">
        <v>445</v>
      </c>
      <c r="C504" t="s">
        <v>444</v>
      </c>
      <c r="D504" t="s">
        <v>179</v>
      </c>
      <c r="E504" t="s">
        <v>1439</v>
      </c>
      <c r="F504" s="78">
        <v>0.31033564814814812</v>
      </c>
      <c r="G504" t="s">
        <v>1405</v>
      </c>
      <c r="H504" t="s">
        <v>1335</v>
      </c>
      <c r="I504" s="88" t="str">
        <f>VLOOKUP(A504,Base!A:B,2,0)</f>
        <v>09.048.185-1</v>
      </c>
      <c r="J504" s="99" t="str">
        <f>VLOOKUP(A504,Base!A:F,6,0)</f>
        <v>PABLO HORACIO  GARCIA  DIAZ</v>
      </c>
      <c r="K504" s="89" t="str">
        <f>IFERROR(IF(VLOOKUP(I504,Ingreso!K:P,6,0)=0,"Sin turtno ing",VLOOKUP(I504,Ingreso!K:P,6,0)),IF(F504&gt;0.25,IF(F504&lt;0.311805555555556,"Turno A",IF(F504&gt;0.3125,IF(F504&lt;0.354166666666667,"Turno C",IF(F504&gt;0.583333333333333,IF(F504&lt;0.625,"Turno B",IF(F504&gt;0.625694444444444,IF(F504&lt;0.8125,"Turno A",IF(F504&gt;0.875,IF(F504&lt;0.936805555555556,"Turno C",IF(F504&gt;0.9375,IF(F504&lt;0.979166666666667,"Turno B",""),"")),"")),"")),"")),"")),""))</f>
        <v>Sin turtno ing</v>
      </c>
      <c r="L504" s="91" t="e">
        <f t="shared" si="7"/>
        <v>#N/A</v>
      </c>
    </row>
    <row r="505" spans="1:12" s="40" customFormat="1">
      <c r="A505">
        <v>9068490</v>
      </c>
      <c r="B505" t="s">
        <v>456</v>
      </c>
      <c r="C505" t="s">
        <v>83</v>
      </c>
      <c r="D505" t="s">
        <v>455</v>
      </c>
      <c r="E505" t="s">
        <v>1440</v>
      </c>
      <c r="F505" s="78">
        <v>0.94289351851851855</v>
      </c>
      <c r="G505" t="s">
        <v>1406</v>
      </c>
      <c r="H505" t="s">
        <v>1336</v>
      </c>
      <c r="I505" s="88" t="str">
        <f>VLOOKUP(A505,Base!A:B,2,0)</f>
        <v>09.068.490-6</v>
      </c>
      <c r="J505" s="99" t="str">
        <f>VLOOKUP(A505,Base!A:F,6,0)</f>
        <v>DARIO RODOLFO  GONZALEZ  DEL VALLE</v>
      </c>
      <c r="K505" s="89" t="str">
        <f>IFERROR(IF(VLOOKUP(I505,Ingreso!K:P,6,0)=0,"Sin turtno ing",VLOOKUP(I505,Ingreso!K:P,6,0)),IF(F505&gt;0.25,IF(F505&lt;0.311805555555556,"Turno A",IF(F505&gt;0.3125,IF(F505&lt;0.354166666666667,"Turno C",IF(F505&gt;0.583333333333333,IF(F505&lt;0.625,"Turno B",IF(F505&gt;0.625694444444444,IF(F505&lt;0.8125,"Turno A",IF(F505&gt;0.875,IF(F505&lt;0.936805555555556,"Turno C",IF(F505&gt;0.9375,IF(F505&lt;0.979166666666667,"Turno B",""),"")),"")),"")),"")),"")),""))</f>
        <v>Turno B</v>
      </c>
      <c r="L505" s="91">
        <f t="shared" si="7"/>
        <v>0.3125</v>
      </c>
    </row>
    <row r="506" spans="1:12" s="40" customFormat="1">
      <c r="A506">
        <v>9068490</v>
      </c>
      <c r="B506" t="s">
        <v>456</v>
      </c>
      <c r="C506" t="s">
        <v>83</v>
      </c>
      <c r="D506" t="s">
        <v>455</v>
      </c>
      <c r="E506" t="s">
        <v>1440</v>
      </c>
      <c r="F506" s="78">
        <v>0.60857638888888888</v>
      </c>
      <c r="G506" t="s">
        <v>1405</v>
      </c>
      <c r="H506" t="s">
        <v>1335</v>
      </c>
      <c r="I506" s="88" t="str">
        <f>VLOOKUP(A506,Base!A:B,2,0)</f>
        <v>09.068.490-6</v>
      </c>
      <c r="J506" s="99" t="str">
        <f>VLOOKUP(A506,Base!A:F,6,0)</f>
        <v>DARIO RODOLFO  GONZALEZ  DEL VALLE</v>
      </c>
      <c r="K506" s="89" t="str">
        <f>IFERROR(IF(VLOOKUP(I506,Ingreso!K:P,6,0)=0,"Sin turtno ing",VLOOKUP(I506,Ingreso!K:P,6,0)),IF(F506&gt;0.25,IF(F506&lt;0.311805555555556,"Turno A",IF(F506&gt;0.3125,IF(F506&lt;0.354166666666667,"Turno C",IF(F506&gt;0.583333333333333,IF(F506&lt;0.625,"Turno B",IF(F506&gt;0.625694444444444,IF(F506&lt;0.8125,"Turno A",IF(F506&gt;0.875,IF(F506&lt;0.936805555555556,"Turno C",IF(F506&gt;0.9375,IF(F506&lt;0.979166666666667,"Turno B",""),"")),"")),"")),"")),"")),""))</f>
        <v>Turno B</v>
      </c>
      <c r="L506" s="91">
        <f t="shared" si="7"/>
        <v>0.3125</v>
      </c>
    </row>
    <row r="507" spans="1:12" s="40" customFormat="1">
      <c r="A507">
        <v>9068490</v>
      </c>
      <c r="B507" t="s">
        <v>456</v>
      </c>
      <c r="C507" t="s">
        <v>83</v>
      </c>
      <c r="D507" t="s">
        <v>455</v>
      </c>
      <c r="E507" t="s">
        <v>1441</v>
      </c>
      <c r="F507" s="78">
        <v>0.94164351851851846</v>
      </c>
      <c r="G507" t="s">
        <v>1406</v>
      </c>
      <c r="H507" t="s">
        <v>1336</v>
      </c>
      <c r="I507" s="88" t="str">
        <f>VLOOKUP(A507,Base!A:B,2,0)</f>
        <v>09.068.490-6</v>
      </c>
      <c r="J507" s="99" t="str">
        <f>VLOOKUP(A507,Base!A:F,6,0)</f>
        <v>DARIO RODOLFO  GONZALEZ  DEL VALLE</v>
      </c>
      <c r="K507" s="89" t="str">
        <f>IFERROR(IF(VLOOKUP(I507,Ingreso!K:P,6,0)=0,"Sin turtno ing",VLOOKUP(I507,Ingreso!K:P,6,0)),IF(F507&gt;0.25,IF(F507&lt;0.311805555555556,"Turno A",IF(F507&gt;0.3125,IF(F507&lt;0.354166666666667,"Turno C",IF(F507&gt;0.583333333333333,IF(F507&lt;0.625,"Turno B",IF(F507&gt;0.625694444444444,IF(F507&lt;0.8125,"Turno A",IF(F507&gt;0.875,IF(F507&lt;0.936805555555556,"Turno C",IF(F507&gt;0.9375,IF(F507&lt;0.979166666666667,"Turno B",""),"")),"")),"")),"")),"")),""))</f>
        <v>Turno B</v>
      </c>
      <c r="L507" s="91">
        <f t="shared" si="7"/>
        <v>0.3125</v>
      </c>
    </row>
    <row r="508" spans="1:12" s="40" customFormat="1">
      <c r="A508">
        <v>9068490</v>
      </c>
      <c r="B508" t="s">
        <v>456</v>
      </c>
      <c r="C508" t="s">
        <v>83</v>
      </c>
      <c r="D508" t="s">
        <v>455</v>
      </c>
      <c r="E508" t="s">
        <v>1441</v>
      </c>
      <c r="F508" s="78">
        <v>0.61321759259259256</v>
      </c>
      <c r="G508" t="s">
        <v>1405</v>
      </c>
      <c r="H508" t="s">
        <v>1335</v>
      </c>
      <c r="I508" s="88" t="str">
        <f>VLOOKUP(A508,Base!A:B,2,0)</f>
        <v>09.068.490-6</v>
      </c>
      <c r="J508" s="99" t="str">
        <f>VLOOKUP(A508,Base!A:F,6,0)</f>
        <v>DARIO RODOLFO  GONZALEZ  DEL VALLE</v>
      </c>
      <c r="K508" s="89" t="str">
        <f>IFERROR(IF(VLOOKUP(I508,Ingreso!K:P,6,0)=0,"Sin turtno ing",VLOOKUP(I508,Ingreso!K:P,6,0)),IF(F508&gt;0.25,IF(F508&lt;0.311805555555556,"Turno A",IF(F508&gt;0.3125,IF(F508&lt;0.354166666666667,"Turno C",IF(F508&gt;0.583333333333333,IF(F508&lt;0.625,"Turno B",IF(F508&gt;0.625694444444444,IF(F508&lt;0.8125,"Turno A",IF(F508&gt;0.875,IF(F508&lt;0.936805555555556,"Turno C",IF(F508&gt;0.9375,IF(F508&lt;0.979166666666667,"Turno B",""),"")),"")),"")),"")),"")),""))</f>
        <v>Turno B</v>
      </c>
      <c r="L508" s="91">
        <f t="shared" si="7"/>
        <v>0.3125</v>
      </c>
    </row>
    <row r="509" spans="1:12" s="40" customFormat="1">
      <c r="A509">
        <v>9068490</v>
      </c>
      <c r="B509" t="s">
        <v>456</v>
      </c>
      <c r="C509" t="s">
        <v>83</v>
      </c>
      <c r="D509" t="s">
        <v>455</v>
      </c>
      <c r="E509" t="s">
        <v>1437</v>
      </c>
      <c r="F509" s="78">
        <v>0.93936342592592592</v>
      </c>
      <c r="G509" t="s">
        <v>1406</v>
      </c>
      <c r="H509" t="s">
        <v>1336</v>
      </c>
      <c r="I509" s="88" t="str">
        <f>VLOOKUP(A509,Base!A:B,2,0)</f>
        <v>09.068.490-6</v>
      </c>
      <c r="J509" s="99" t="str">
        <f>VLOOKUP(A509,Base!A:F,6,0)</f>
        <v>DARIO RODOLFO  GONZALEZ  DEL VALLE</v>
      </c>
      <c r="K509" s="89" t="str">
        <f>IFERROR(IF(VLOOKUP(I509,Ingreso!K:P,6,0)=0,"Sin turtno ing",VLOOKUP(I509,Ingreso!K:P,6,0)),IF(F509&gt;0.25,IF(F509&lt;0.311805555555556,"Turno A",IF(F509&gt;0.3125,IF(F509&lt;0.354166666666667,"Turno C",IF(F509&gt;0.583333333333333,IF(F509&lt;0.625,"Turno B",IF(F509&gt;0.625694444444444,IF(F509&lt;0.8125,"Turno A",IF(F509&gt;0.875,IF(F509&lt;0.936805555555556,"Turno C",IF(F509&gt;0.9375,IF(F509&lt;0.979166666666667,"Turno B",""),"")),"")),"")),"")),"")),""))</f>
        <v>Turno B</v>
      </c>
      <c r="L509" s="91">
        <f t="shared" si="7"/>
        <v>0.3125</v>
      </c>
    </row>
    <row r="510" spans="1:12" s="40" customFormat="1">
      <c r="A510">
        <v>9068490</v>
      </c>
      <c r="B510" t="s">
        <v>456</v>
      </c>
      <c r="C510" t="s">
        <v>83</v>
      </c>
      <c r="D510" t="s">
        <v>455</v>
      </c>
      <c r="E510" t="s">
        <v>1437</v>
      </c>
      <c r="F510" s="78">
        <v>0.60605324074074074</v>
      </c>
      <c r="G510" t="s">
        <v>1405</v>
      </c>
      <c r="H510" t="s">
        <v>1335</v>
      </c>
      <c r="I510" s="88" t="str">
        <f>VLOOKUP(A510,Base!A:B,2,0)</f>
        <v>09.068.490-6</v>
      </c>
      <c r="J510" s="99" t="str">
        <f>VLOOKUP(A510,Base!A:F,6,0)</f>
        <v>DARIO RODOLFO  GONZALEZ  DEL VALLE</v>
      </c>
      <c r="K510" s="89" t="str">
        <f>IFERROR(IF(VLOOKUP(I510,Ingreso!K:P,6,0)=0,"Sin turtno ing",VLOOKUP(I510,Ingreso!K:P,6,0)),IF(F510&gt;0.25,IF(F510&lt;0.311805555555556,"Turno A",IF(F510&gt;0.3125,IF(F510&lt;0.354166666666667,"Turno C",IF(F510&gt;0.583333333333333,IF(F510&lt;0.625,"Turno B",IF(F510&gt;0.625694444444444,IF(F510&lt;0.8125,"Turno A",IF(F510&gt;0.875,IF(F510&lt;0.936805555555556,"Turno C",IF(F510&gt;0.9375,IF(F510&lt;0.979166666666667,"Turno B",""),"")),"")),"")),"")),"")),""))</f>
        <v>Turno B</v>
      </c>
      <c r="L510" s="91">
        <f t="shared" si="7"/>
        <v>0.3125</v>
      </c>
    </row>
    <row r="511" spans="1:12" s="40" customFormat="1">
      <c r="A511">
        <v>9068490</v>
      </c>
      <c r="B511" t="s">
        <v>456</v>
      </c>
      <c r="C511" t="s">
        <v>83</v>
      </c>
      <c r="D511" t="s">
        <v>455</v>
      </c>
      <c r="E511" t="s">
        <v>1438</v>
      </c>
      <c r="F511" s="78">
        <v>0.94405092592592599</v>
      </c>
      <c r="G511" t="s">
        <v>1406</v>
      </c>
      <c r="H511" t="s">
        <v>1336</v>
      </c>
      <c r="I511" s="88" t="str">
        <f>VLOOKUP(A511,Base!A:B,2,0)</f>
        <v>09.068.490-6</v>
      </c>
      <c r="J511" s="99" t="str">
        <f>VLOOKUP(A511,Base!A:F,6,0)</f>
        <v>DARIO RODOLFO  GONZALEZ  DEL VALLE</v>
      </c>
      <c r="K511" s="89" t="str">
        <f>IFERROR(IF(VLOOKUP(I511,Ingreso!K:P,6,0)=0,"Sin turtno ing",VLOOKUP(I511,Ingreso!K:P,6,0)),IF(F511&gt;0.25,IF(F511&lt;0.311805555555556,"Turno A",IF(F511&gt;0.3125,IF(F511&lt;0.354166666666667,"Turno C",IF(F511&gt;0.583333333333333,IF(F511&lt;0.625,"Turno B",IF(F511&gt;0.625694444444444,IF(F511&lt;0.8125,"Turno A",IF(F511&gt;0.875,IF(F511&lt;0.936805555555556,"Turno C",IF(F511&gt;0.9375,IF(F511&lt;0.979166666666667,"Turno B",""),"")),"")),"")),"")),"")),""))</f>
        <v>Turno B</v>
      </c>
      <c r="L511" s="91">
        <f t="shared" si="7"/>
        <v>0.3125</v>
      </c>
    </row>
    <row r="512" spans="1:12" s="40" customFormat="1">
      <c r="A512">
        <v>9068490</v>
      </c>
      <c r="B512" t="s">
        <v>456</v>
      </c>
      <c r="C512" t="s">
        <v>83</v>
      </c>
      <c r="D512" t="s">
        <v>455</v>
      </c>
      <c r="E512" t="s">
        <v>1438</v>
      </c>
      <c r="F512" s="78">
        <v>0.60696759259259259</v>
      </c>
      <c r="G512" t="s">
        <v>1405</v>
      </c>
      <c r="H512" t="s">
        <v>1335</v>
      </c>
      <c r="I512" s="88" t="str">
        <f>VLOOKUP(A512,Base!A:B,2,0)</f>
        <v>09.068.490-6</v>
      </c>
      <c r="J512" s="99" t="str">
        <f>VLOOKUP(A512,Base!A:F,6,0)</f>
        <v>DARIO RODOLFO  GONZALEZ  DEL VALLE</v>
      </c>
      <c r="K512" s="89" t="str">
        <f>IFERROR(IF(VLOOKUP(I512,Ingreso!K:P,6,0)=0,"Sin turtno ing",VLOOKUP(I512,Ingreso!K:P,6,0)),IF(F512&gt;0.25,IF(F512&lt;0.311805555555556,"Turno A",IF(F512&gt;0.3125,IF(F512&lt;0.354166666666667,"Turno C",IF(F512&gt;0.583333333333333,IF(F512&lt;0.625,"Turno B",IF(F512&gt;0.625694444444444,IF(F512&lt;0.8125,"Turno A",IF(F512&gt;0.875,IF(F512&lt;0.936805555555556,"Turno C",IF(F512&gt;0.9375,IF(F512&lt;0.979166666666667,"Turno B",""),"")),"")),"")),"")),"")),""))</f>
        <v>Turno B</v>
      </c>
      <c r="L512" s="91">
        <f t="shared" si="7"/>
        <v>0.3125</v>
      </c>
    </row>
    <row r="513" spans="1:12" s="40" customFormat="1">
      <c r="A513">
        <v>9068490</v>
      </c>
      <c r="B513" t="s">
        <v>456</v>
      </c>
      <c r="C513" t="s">
        <v>83</v>
      </c>
      <c r="D513" t="s">
        <v>455</v>
      </c>
      <c r="E513" t="s">
        <v>1439</v>
      </c>
      <c r="F513" s="78">
        <v>0.94254629629629638</v>
      </c>
      <c r="G513" t="s">
        <v>1406</v>
      </c>
      <c r="H513" t="s">
        <v>1336</v>
      </c>
      <c r="I513" s="88" t="str">
        <f>VLOOKUP(A513,Base!A:B,2,0)</f>
        <v>09.068.490-6</v>
      </c>
      <c r="J513" s="99" t="str">
        <f>VLOOKUP(A513,Base!A:F,6,0)</f>
        <v>DARIO RODOLFO  GONZALEZ  DEL VALLE</v>
      </c>
      <c r="K513" s="89" t="str">
        <f>IFERROR(IF(VLOOKUP(I513,Ingreso!K:P,6,0)=0,"Sin turtno ing",VLOOKUP(I513,Ingreso!K:P,6,0)),IF(F513&gt;0.25,IF(F513&lt;0.311805555555556,"Turno A",IF(F513&gt;0.3125,IF(F513&lt;0.354166666666667,"Turno C",IF(F513&gt;0.583333333333333,IF(F513&lt;0.625,"Turno B",IF(F513&gt;0.625694444444444,IF(F513&lt;0.8125,"Turno A",IF(F513&gt;0.875,IF(F513&lt;0.936805555555556,"Turno C",IF(F513&gt;0.9375,IF(F513&lt;0.979166666666667,"Turno B",""),"")),"")),"")),"")),"")),""))</f>
        <v>Turno B</v>
      </c>
      <c r="L513" s="91">
        <f t="shared" si="7"/>
        <v>0.3125</v>
      </c>
    </row>
    <row r="514" spans="1:12" s="40" customFormat="1">
      <c r="A514">
        <v>9068490</v>
      </c>
      <c r="B514" t="s">
        <v>456</v>
      </c>
      <c r="C514" t="s">
        <v>83</v>
      </c>
      <c r="D514" t="s">
        <v>455</v>
      </c>
      <c r="E514" t="s">
        <v>1439</v>
      </c>
      <c r="F514" s="78">
        <v>0.60723379629629626</v>
      </c>
      <c r="G514" t="s">
        <v>1405</v>
      </c>
      <c r="H514" t="s">
        <v>1335</v>
      </c>
      <c r="I514" s="88" t="str">
        <f>VLOOKUP(A514,Base!A:B,2,0)</f>
        <v>09.068.490-6</v>
      </c>
      <c r="J514" s="99" t="str">
        <f>VLOOKUP(A514,Base!A:F,6,0)</f>
        <v>DARIO RODOLFO  GONZALEZ  DEL VALLE</v>
      </c>
      <c r="K514" s="89" t="str">
        <f>IFERROR(IF(VLOOKUP(I514,Ingreso!K:P,6,0)=0,"Sin turtno ing",VLOOKUP(I514,Ingreso!K:P,6,0)),IF(F514&gt;0.25,IF(F514&lt;0.311805555555556,"Turno A",IF(F514&gt;0.3125,IF(F514&lt;0.354166666666667,"Turno C",IF(F514&gt;0.583333333333333,IF(F514&lt;0.625,"Turno B",IF(F514&gt;0.625694444444444,IF(F514&lt;0.8125,"Turno A",IF(F514&gt;0.875,IF(F514&lt;0.936805555555556,"Turno C",IF(F514&gt;0.9375,IF(F514&lt;0.979166666666667,"Turno B",""),"")),"")),"")),"")),"")),""))</f>
        <v>Turno B</v>
      </c>
      <c r="L514" s="91">
        <f t="shared" si="7"/>
        <v>0.3125</v>
      </c>
    </row>
    <row r="515" spans="1:12" s="40" customFormat="1">
      <c r="A515">
        <v>9081025</v>
      </c>
      <c r="B515" t="s">
        <v>590</v>
      </c>
      <c r="C515" t="s">
        <v>585</v>
      </c>
      <c r="D515" t="s">
        <v>132</v>
      </c>
      <c r="E515" t="s">
        <v>1440</v>
      </c>
      <c r="F515" s="78">
        <v>0.94082175925925926</v>
      </c>
      <c r="G515" t="s">
        <v>1406</v>
      </c>
      <c r="H515" t="s">
        <v>1336</v>
      </c>
      <c r="I515" s="88" t="str">
        <f>VLOOKUP(A515,Base!A:B,2,0)</f>
        <v>09.081.025-1</v>
      </c>
      <c r="J515" s="99" t="str">
        <f>VLOOKUP(A515,Base!A:F,6,0)</f>
        <v>SERGIO SEGUNDO  MARDONES  ALVARADO</v>
      </c>
      <c r="K515" s="89" t="str">
        <f>IFERROR(IF(VLOOKUP(I515,Ingreso!K:P,6,0)=0,"Sin turtno ing",VLOOKUP(I515,Ingreso!K:P,6,0)),IF(F515&gt;0.25,IF(F515&lt;0.311805555555556,"Turno A",IF(F515&gt;0.3125,IF(F515&lt;0.354166666666667,"Turno C",IF(F515&gt;0.583333333333333,IF(F515&lt;0.625,"Turno B",IF(F515&gt;0.625694444444444,IF(F515&lt;0.8125,"Turno A",IF(F515&gt;0.875,IF(F515&lt;0.936805555555556,"Turno C",IF(F515&gt;0.9375,IF(F515&lt;0.979166666666667,"Turno B",""),"")),"")),"")),"")),"")),""))</f>
        <v>Turno B</v>
      </c>
      <c r="L515" s="91">
        <f t="shared" ref="L515:L578" si="8">VLOOKUP(K515,$S$3:$T$7,2,0)</f>
        <v>0.3125</v>
      </c>
    </row>
    <row r="516" spans="1:12" s="40" customFormat="1">
      <c r="A516">
        <v>9081025</v>
      </c>
      <c r="B516" t="s">
        <v>590</v>
      </c>
      <c r="C516" t="s">
        <v>585</v>
      </c>
      <c r="D516" t="s">
        <v>132</v>
      </c>
      <c r="E516" t="s">
        <v>1440</v>
      </c>
      <c r="F516" s="78">
        <v>0.60903935185185187</v>
      </c>
      <c r="G516" t="s">
        <v>1405</v>
      </c>
      <c r="H516" t="s">
        <v>1335</v>
      </c>
      <c r="I516" s="88" t="str">
        <f>VLOOKUP(A516,Base!A:B,2,0)</f>
        <v>09.081.025-1</v>
      </c>
      <c r="J516" s="99" t="str">
        <f>VLOOKUP(A516,Base!A:F,6,0)</f>
        <v>SERGIO SEGUNDO  MARDONES  ALVARADO</v>
      </c>
      <c r="K516" s="89" t="str">
        <f>IFERROR(IF(VLOOKUP(I516,Ingreso!K:P,6,0)=0,"Sin turtno ing",VLOOKUP(I516,Ingreso!K:P,6,0)),IF(F516&gt;0.25,IF(F516&lt;0.311805555555556,"Turno A",IF(F516&gt;0.3125,IF(F516&lt;0.354166666666667,"Turno C",IF(F516&gt;0.583333333333333,IF(F516&lt;0.625,"Turno B",IF(F516&gt;0.625694444444444,IF(F516&lt;0.8125,"Turno A",IF(F516&gt;0.875,IF(F516&lt;0.936805555555556,"Turno C",IF(F516&gt;0.9375,IF(F516&lt;0.979166666666667,"Turno B",""),"")),"")),"")),"")),"")),""))</f>
        <v>Turno B</v>
      </c>
      <c r="L516" s="91">
        <f t="shared" si="8"/>
        <v>0.3125</v>
      </c>
    </row>
    <row r="517" spans="1:12" s="40" customFormat="1">
      <c r="A517">
        <v>9081025</v>
      </c>
      <c r="B517" t="s">
        <v>590</v>
      </c>
      <c r="C517" t="s">
        <v>585</v>
      </c>
      <c r="D517" t="s">
        <v>132</v>
      </c>
      <c r="E517" t="s">
        <v>1441</v>
      </c>
      <c r="F517" s="78">
        <v>0.93730324074074067</v>
      </c>
      <c r="G517" t="s">
        <v>1406</v>
      </c>
      <c r="H517" t="s">
        <v>1336</v>
      </c>
      <c r="I517" s="88" t="str">
        <f>VLOOKUP(A517,Base!A:B,2,0)</f>
        <v>09.081.025-1</v>
      </c>
      <c r="J517" s="99" t="str">
        <f>VLOOKUP(A517,Base!A:F,6,0)</f>
        <v>SERGIO SEGUNDO  MARDONES  ALVARADO</v>
      </c>
      <c r="K517" s="89" t="str">
        <f>IFERROR(IF(VLOOKUP(I517,Ingreso!K:P,6,0)=0,"Sin turtno ing",VLOOKUP(I517,Ingreso!K:P,6,0)),IF(F517&gt;0.25,IF(F517&lt;0.311805555555556,"Turno A",IF(F517&gt;0.3125,IF(F517&lt;0.354166666666667,"Turno C",IF(F517&gt;0.583333333333333,IF(F517&lt;0.625,"Turno B",IF(F517&gt;0.625694444444444,IF(F517&lt;0.8125,"Turno A",IF(F517&gt;0.875,IF(F517&lt;0.936805555555556,"Turno C",IF(F517&gt;0.9375,IF(F517&lt;0.979166666666667,"Turno B",""),"")),"")),"")),"")),"")),""))</f>
        <v>Turno B</v>
      </c>
      <c r="L517" s="91">
        <f t="shared" si="8"/>
        <v>0.3125</v>
      </c>
    </row>
    <row r="518" spans="1:12" s="40" customFormat="1">
      <c r="A518">
        <v>9081025</v>
      </c>
      <c r="B518" t="s">
        <v>590</v>
      </c>
      <c r="C518" t="s">
        <v>585</v>
      </c>
      <c r="D518" t="s">
        <v>132</v>
      </c>
      <c r="E518" t="s">
        <v>1441</v>
      </c>
      <c r="F518" s="78">
        <v>0.6089930555555555</v>
      </c>
      <c r="G518" t="s">
        <v>1405</v>
      </c>
      <c r="H518" t="s">
        <v>1335</v>
      </c>
      <c r="I518" s="88" t="str">
        <f>VLOOKUP(A518,Base!A:B,2,0)</f>
        <v>09.081.025-1</v>
      </c>
      <c r="J518" s="99" t="str">
        <f>VLOOKUP(A518,Base!A:F,6,0)</f>
        <v>SERGIO SEGUNDO  MARDONES  ALVARADO</v>
      </c>
      <c r="K518" s="89" t="str">
        <f>IFERROR(IF(VLOOKUP(I518,Ingreso!K:P,6,0)=0,"Sin turtno ing",VLOOKUP(I518,Ingreso!K:P,6,0)),IF(F518&gt;0.25,IF(F518&lt;0.311805555555556,"Turno A",IF(F518&gt;0.3125,IF(F518&lt;0.354166666666667,"Turno C",IF(F518&gt;0.583333333333333,IF(F518&lt;0.625,"Turno B",IF(F518&gt;0.625694444444444,IF(F518&lt;0.8125,"Turno A",IF(F518&gt;0.875,IF(F518&lt;0.936805555555556,"Turno C",IF(F518&gt;0.9375,IF(F518&lt;0.979166666666667,"Turno B",""),"")),"")),"")),"")),"")),""))</f>
        <v>Turno B</v>
      </c>
      <c r="L518" s="91">
        <f t="shared" si="8"/>
        <v>0.3125</v>
      </c>
    </row>
    <row r="519" spans="1:12" s="40" customFormat="1">
      <c r="A519">
        <v>9081025</v>
      </c>
      <c r="B519" t="s">
        <v>590</v>
      </c>
      <c r="C519" t="s">
        <v>585</v>
      </c>
      <c r="D519" t="s">
        <v>132</v>
      </c>
      <c r="E519" t="s">
        <v>1437</v>
      </c>
      <c r="F519" s="78">
        <v>0.94038194444444445</v>
      </c>
      <c r="G519" t="s">
        <v>1406</v>
      </c>
      <c r="H519" t="s">
        <v>1336</v>
      </c>
      <c r="I519" s="88" t="str">
        <f>VLOOKUP(A519,Base!A:B,2,0)</f>
        <v>09.081.025-1</v>
      </c>
      <c r="J519" s="99" t="str">
        <f>VLOOKUP(A519,Base!A:F,6,0)</f>
        <v>SERGIO SEGUNDO  MARDONES  ALVARADO</v>
      </c>
      <c r="K519" s="89" t="str">
        <f>IFERROR(IF(VLOOKUP(I519,Ingreso!K:P,6,0)=0,"Sin turtno ing",VLOOKUP(I519,Ingreso!K:P,6,0)),IF(F519&gt;0.25,IF(F519&lt;0.311805555555556,"Turno A",IF(F519&gt;0.3125,IF(F519&lt;0.354166666666667,"Turno C",IF(F519&gt;0.583333333333333,IF(F519&lt;0.625,"Turno B",IF(F519&gt;0.625694444444444,IF(F519&lt;0.8125,"Turno A",IF(F519&gt;0.875,IF(F519&lt;0.936805555555556,"Turno C",IF(F519&gt;0.9375,IF(F519&lt;0.979166666666667,"Turno B",""),"")),"")),"")),"")),"")),""))</f>
        <v>Turno B</v>
      </c>
      <c r="L519" s="91">
        <f t="shared" si="8"/>
        <v>0.3125</v>
      </c>
    </row>
    <row r="520" spans="1:12" s="40" customFormat="1">
      <c r="A520">
        <v>9081025</v>
      </c>
      <c r="B520" t="s">
        <v>590</v>
      </c>
      <c r="C520" t="s">
        <v>585</v>
      </c>
      <c r="D520" t="s">
        <v>132</v>
      </c>
      <c r="E520" t="s">
        <v>1437</v>
      </c>
      <c r="F520" s="78">
        <v>0.58564814814814814</v>
      </c>
      <c r="G520" t="s">
        <v>1405</v>
      </c>
      <c r="H520" t="s">
        <v>1335</v>
      </c>
      <c r="I520" s="88" t="str">
        <f>VLOOKUP(A520,Base!A:B,2,0)</f>
        <v>09.081.025-1</v>
      </c>
      <c r="J520" s="99" t="str">
        <f>VLOOKUP(A520,Base!A:F,6,0)</f>
        <v>SERGIO SEGUNDO  MARDONES  ALVARADO</v>
      </c>
      <c r="K520" s="89" t="str">
        <f>IFERROR(IF(VLOOKUP(I520,Ingreso!K:P,6,0)=0,"Sin turtno ing",VLOOKUP(I520,Ingreso!K:P,6,0)),IF(F520&gt;0.25,IF(F520&lt;0.311805555555556,"Turno A",IF(F520&gt;0.3125,IF(F520&lt;0.354166666666667,"Turno C",IF(F520&gt;0.583333333333333,IF(F520&lt;0.625,"Turno B",IF(F520&gt;0.625694444444444,IF(F520&lt;0.8125,"Turno A",IF(F520&gt;0.875,IF(F520&lt;0.936805555555556,"Turno C",IF(F520&gt;0.9375,IF(F520&lt;0.979166666666667,"Turno B",""),"")),"")),"")),"")),"")),""))</f>
        <v>Turno B</v>
      </c>
      <c r="L520" s="91">
        <f t="shared" si="8"/>
        <v>0.3125</v>
      </c>
    </row>
    <row r="521" spans="1:12" s="40" customFormat="1">
      <c r="A521">
        <v>9081025</v>
      </c>
      <c r="B521" t="s">
        <v>590</v>
      </c>
      <c r="C521" t="s">
        <v>585</v>
      </c>
      <c r="D521" t="s">
        <v>132</v>
      </c>
      <c r="E521" t="s">
        <v>1438</v>
      </c>
      <c r="F521" s="78">
        <v>0.94259259259259265</v>
      </c>
      <c r="G521" t="s">
        <v>1406</v>
      </c>
      <c r="H521" t="s">
        <v>1336</v>
      </c>
      <c r="I521" s="88" t="str">
        <f>VLOOKUP(A521,Base!A:B,2,0)</f>
        <v>09.081.025-1</v>
      </c>
      <c r="J521" s="99" t="str">
        <f>VLOOKUP(A521,Base!A:F,6,0)</f>
        <v>SERGIO SEGUNDO  MARDONES  ALVARADO</v>
      </c>
      <c r="K521" s="89" t="str">
        <f>IFERROR(IF(VLOOKUP(I521,Ingreso!K:P,6,0)=0,"Sin turtno ing",VLOOKUP(I521,Ingreso!K:P,6,0)),IF(F521&gt;0.25,IF(F521&lt;0.311805555555556,"Turno A",IF(F521&gt;0.3125,IF(F521&lt;0.354166666666667,"Turno C",IF(F521&gt;0.583333333333333,IF(F521&lt;0.625,"Turno B",IF(F521&gt;0.625694444444444,IF(F521&lt;0.8125,"Turno A",IF(F521&gt;0.875,IF(F521&lt;0.936805555555556,"Turno C",IF(F521&gt;0.9375,IF(F521&lt;0.979166666666667,"Turno B",""),"")),"")),"")),"")),"")),""))</f>
        <v>Turno B</v>
      </c>
      <c r="L521" s="91">
        <f t="shared" si="8"/>
        <v>0.3125</v>
      </c>
    </row>
    <row r="522" spans="1:12" s="40" customFormat="1">
      <c r="A522">
        <v>9081025</v>
      </c>
      <c r="B522" t="s">
        <v>590</v>
      </c>
      <c r="C522" t="s">
        <v>585</v>
      </c>
      <c r="D522" t="s">
        <v>132</v>
      </c>
      <c r="E522" t="s">
        <v>1438</v>
      </c>
      <c r="F522" s="78">
        <v>0.60625000000000007</v>
      </c>
      <c r="G522" t="s">
        <v>1405</v>
      </c>
      <c r="H522" t="s">
        <v>1335</v>
      </c>
      <c r="I522" s="88" t="str">
        <f>VLOOKUP(A522,Base!A:B,2,0)</f>
        <v>09.081.025-1</v>
      </c>
      <c r="J522" s="99" t="str">
        <f>VLOOKUP(A522,Base!A:F,6,0)</f>
        <v>SERGIO SEGUNDO  MARDONES  ALVARADO</v>
      </c>
      <c r="K522" s="89" t="str">
        <f>IFERROR(IF(VLOOKUP(I522,Ingreso!K:P,6,0)=0,"Sin turtno ing",VLOOKUP(I522,Ingreso!K:P,6,0)),IF(F522&gt;0.25,IF(F522&lt;0.311805555555556,"Turno A",IF(F522&gt;0.3125,IF(F522&lt;0.354166666666667,"Turno C",IF(F522&gt;0.583333333333333,IF(F522&lt;0.625,"Turno B",IF(F522&gt;0.625694444444444,IF(F522&lt;0.8125,"Turno A",IF(F522&gt;0.875,IF(F522&lt;0.936805555555556,"Turno C",IF(F522&gt;0.9375,IF(F522&lt;0.979166666666667,"Turno B",""),"")),"")),"")),"")),"")),""))</f>
        <v>Turno B</v>
      </c>
      <c r="L522" s="91">
        <f t="shared" si="8"/>
        <v>0.3125</v>
      </c>
    </row>
    <row r="523" spans="1:12" s="40" customFormat="1">
      <c r="A523">
        <v>9081025</v>
      </c>
      <c r="B523" t="s">
        <v>590</v>
      </c>
      <c r="C523" t="s">
        <v>585</v>
      </c>
      <c r="D523" t="s">
        <v>132</v>
      </c>
      <c r="E523" t="s">
        <v>1439</v>
      </c>
      <c r="F523" s="78">
        <v>0.94119212962962961</v>
      </c>
      <c r="G523" t="s">
        <v>1406</v>
      </c>
      <c r="H523" t="s">
        <v>1336</v>
      </c>
      <c r="I523" s="88" t="str">
        <f>VLOOKUP(A523,Base!A:B,2,0)</f>
        <v>09.081.025-1</v>
      </c>
      <c r="J523" s="99" t="str">
        <f>VLOOKUP(A523,Base!A:F,6,0)</f>
        <v>SERGIO SEGUNDO  MARDONES  ALVARADO</v>
      </c>
      <c r="K523" s="89" t="str">
        <f>IFERROR(IF(VLOOKUP(I523,Ingreso!K:P,6,0)=0,"Sin turtno ing",VLOOKUP(I523,Ingreso!K:P,6,0)),IF(F523&gt;0.25,IF(F523&lt;0.311805555555556,"Turno A",IF(F523&gt;0.3125,IF(F523&lt;0.354166666666667,"Turno C",IF(F523&gt;0.583333333333333,IF(F523&lt;0.625,"Turno B",IF(F523&gt;0.625694444444444,IF(F523&lt;0.8125,"Turno A",IF(F523&gt;0.875,IF(F523&lt;0.936805555555556,"Turno C",IF(F523&gt;0.9375,IF(F523&lt;0.979166666666667,"Turno B",""),"")),"")),"")),"")),"")),""))</f>
        <v>Turno B</v>
      </c>
      <c r="L523" s="91">
        <f t="shared" si="8"/>
        <v>0.3125</v>
      </c>
    </row>
    <row r="524" spans="1:12" s="40" customFormat="1">
      <c r="A524">
        <v>9081025</v>
      </c>
      <c r="B524" t="s">
        <v>590</v>
      </c>
      <c r="C524" t="s">
        <v>585</v>
      </c>
      <c r="D524" t="s">
        <v>132</v>
      </c>
      <c r="E524" t="s">
        <v>1439</v>
      </c>
      <c r="F524" s="78">
        <v>0.60763888888888895</v>
      </c>
      <c r="G524" t="s">
        <v>1405</v>
      </c>
      <c r="H524" t="s">
        <v>1335</v>
      </c>
      <c r="I524" s="88" t="str">
        <f>VLOOKUP(A524,Base!A:B,2,0)</f>
        <v>09.081.025-1</v>
      </c>
      <c r="J524" s="99" t="str">
        <f>VLOOKUP(A524,Base!A:F,6,0)</f>
        <v>SERGIO SEGUNDO  MARDONES  ALVARADO</v>
      </c>
      <c r="K524" s="89" t="str">
        <f>IFERROR(IF(VLOOKUP(I524,Ingreso!K:P,6,0)=0,"Sin turtno ing",VLOOKUP(I524,Ingreso!K:P,6,0)),IF(F524&gt;0.25,IF(F524&lt;0.311805555555556,"Turno A",IF(F524&gt;0.3125,IF(F524&lt;0.354166666666667,"Turno C",IF(F524&gt;0.583333333333333,IF(F524&lt;0.625,"Turno B",IF(F524&gt;0.625694444444444,IF(F524&lt;0.8125,"Turno A",IF(F524&gt;0.875,IF(F524&lt;0.936805555555556,"Turno C",IF(F524&gt;0.9375,IF(F524&lt;0.979166666666667,"Turno B",""),"")),"")),"")),"")),"")),""))</f>
        <v>Turno B</v>
      </c>
      <c r="L524" s="91">
        <f t="shared" si="8"/>
        <v>0.3125</v>
      </c>
    </row>
    <row r="525" spans="1:12" s="40" customFormat="1">
      <c r="A525">
        <v>9148214</v>
      </c>
      <c r="B525" t="s">
        <v>138</v>
      </c>
      <c r="C525" t="s">
        <v>137</v>
      </c>
      <c r="D525" t="s">
        <v>76</v>
      </c>
      <c r="E525" t="s">
        <v>1440</v>
      </c>
      <c r="F525" s="78">
        <v>0.31253472222222223</v>
      </c>
      <c r="G525" t="s">
        <v>1406</v>
      </c>
      <c r="H525" t="s">
        <v>1336</v>
      </c>
      <c r="I525" s="88" t="str">
        <f>VLOOKUP(A525,Base!A:B,2,0)</f>
        <v>09.148.214-2</v>
      </c>
      <c r="J525" s="99" t="str">
        <f>VLOOKUP(A525,Base!A:F,6,0)</f>
        <v>JORGE  BAEZA  REYES</v>
      </c>
      <c r="K525" s="89" t="str">
        <f>IFERROR(IF(VLOOKUP(I525,Ingreso!K:P,6,0)=0,"Sin turtno ing",VLOOKUP(I525,Ingreso!K:P,6,0)),IF(F525&gt;0.25,IF(F525&lt;0.311805555555556,"Turno A",IF(F525&gt;0.3125,IF(F525&lt;0.354166666666667,"Turno C",IF(F525&gt;0.583333333333333,IF(F525&lt;0.625,"Turno B",IF(F525&gt;0.625694444444444,IF(F525&lt;0.8125,"Turno A",IF(F525&gt;0.875,IF(F525&lt;0.936805555555556,"Turno C",IF(F525&gt;0.9375,IF(F525&lt;0.979166666666667,"Turno B",""),"")),"")),"")),"")),"")),""))</f>
        <v>Turno C</v>
      </c>
      <c r="L525" s="91">
        <f t="shared" si="8"/>
        <v>0.375</v>
      </c>
    </row>
    <row r="526" spans="1:12" s="40" customFormat="1">
      <c r="A526">
        <v>9148214</v>
      </c>
      <c r="B526" t="s">
        <v>138</v>
      </c>
      <c r="C526" t="s">
        <v>137</v>
      </c>
      <c r="D526" t="s">
        <v>76</v>
      </c>
      <c r="E526" t="s">
        <v>1440</v>
      </c>
      <c r="F526" s="78">
        <v>0.91939814814814813</v>
      </c>
      <c r="G526" t="s">
        <v>1405</v>
      </c>
      <c r="H526" t="s">
        <v>1335</v>
      </c>
      <c r="I526" s="88" t="str">
        <f>VLOOKUP(A526,Base!A:B,2,0)</f>
        <v>09.148.214-2</v>
      </c>
      <c r="J526" s="99" t="str">
        <f>VLOOKUP(A526,Base!A:F,6,0)</f>
        <v>JORGE  BAEZA  REYES</v>
      </c>
      <c r="K526" s="89" t="str">
        <f>IFERROR(IF(VLOOKUP(I526,Ingreso!K:P,6,0)=0,"Sin turtno ing",VLOOKUP(I526,Ingreso!K:P,6,0)),IF(F526&gt;0.25,IF(F526&lt;0.311805555555556,"Turno A",IF(F526&gt;0.3125,IF(F526&lt;0.354166666666667,"Turno C",IF(F526&gt;0.583333333333333,IF(F526&lt;0.625,"Turno B",IF(F526&gt;0.625694444444444,IF(F526&lt;0.8125,"Turno A",IF(F526&gt;0.875,IF(F526&lt;0.936805555555556,"Turno C",IF(F526&gt;0.9375,IF(F526&lt;0.979166666666667,"Turno B",""),"")),"")),"")),"")),"")),""))</f>
        <v>Turno C</v>
      </c>
      <c r="L526" s="91">
        <f t="shared" si="8"/>
        <v>0.375</v>
      </c>
    </row>
    <row r="527" spans="1:12" s="40" customFormat="1">
      <c r="A527">
        <v>9148214</v>
      </c>
      <c r="B527" t="s">
        <v>138</v>
      </c>
      <c r="C527" t="s">
        <v>137</v>
      </c>
      <c r="D527" t="s">
        <v>76</v>
      </c>
      <c r="E527" t="s">
        <v>1441</v>
      </c>
      <c r="F527" s="78">
        <v>0.3349421296296296</v>
      </c>
      <c r="G527" t="s">
        <v>1406</v>
      </c>
      <c r="H527" t="s">
        <v>1336</v>
      </c>
      <c r="I527" s="88" t="str">
        <f>VLOOKUP(A527,Base!A:B,2,0)</f>
        <v>09.148.214-2</v>
      </c>
      <c r="J527" s="99" t="str">
        <f>VLOOKUP(A527,Base!A:F,6,0)</f>
        <v>JORGE  BAEZA  REYES</v>
      </c>
      <c r="K527" s="89" t="str">
        <f>IFERROR(IF(VLOOKUP(I527,Ingreso!K:P,6,0)=0,"Sin turtno ing",VLOOKUP(I527,Ingreso!K:P,6,0)),IF(F527&gt;0.25,IF(F527&lt;0.311805555555556,"Turno A",IF(F527&gt;0.3125,IF(F527&lt;0.354166666666667,"Turno C",IF(F527&gt;0.583333333333333,IF(F527&lt;0.625,"Turno B",IF(F527&gt;0.625694444444444,IF(F527&lt;0.8125,"Turno A",IF(F527&gt;0.875,IF(F527&lt;0.936805555555556,"Turno C",IF(F527&gt;0.9375,IF(F527&lt;0.979166666666667,"Turno B",""),"")),"")),"")),"")),"")),""))</f>
        <v>Turno C</v>
      </c>
      <c r="L527" s="91">
        <f t="shared" si="8"/>
        <v>0.375</v>
      </c>
    </row>
    <row r="528" spans="1:12" s="40" customFormat="1">
      <c r="A528">
        <v>9148214</v>
      </c>
      <c r="B528" t="s">
        <v>138</v>
      </c>
      <c r="C528" t="s">
        <v>137</v>
      </c>
      <c r="D528" t="s">
        <v>76</v>
      </c>
      <c r="E528" t="s">
        <v>1437</v>
      </c>
      <c r="F528" s="78">
        <v>0.91706018518518517</v>
      </c>
      <c r="G528" t="s">
        <v>1405</v>
      </c>
      <c r="H528" t="s">
        <v>1335</v>
      </c>
      <c r="I528" s="88" t="str">
        <f>VLOOKUP(A528,Base!A:B,2,0)</f>
        <v>09.148.214-2</v>
      </c>
      <c r="J528" s="99" t="str">
        <f>VLOOKUP(A528,Base!A:F,6,0)</f>
        <v>JORGE  BAEZA  REYES</v>
      </c>
      <c r="K528" s="89" t="str">
        <f>IFERROR(IF(VLOOKUP(I528,Ingreso!K:P,6,0)=0,"Sin turtno ing",VLOOKUP(I528,Ingreso!K:P,6,0)),IF(F528&gt;0.25,IF(F528&lt;0.311805555555556,"Turno A",IF(F528&gt;0.3125,IF(F528&lt;0.354166666666667,"Turno C",IF(F528&gt;0.583333333333333,IF(F528&lt;0.625,"Turno B",IF(F528&gt;0.625694444444444,IF(F528&lt;0.8125,"Turno A",IF(F528&gt;0.875,IF(F528&lt;0.936805555555556,"Turno C",IF(F528&gt;0.9375,IF(F528&lt;0.979166666666667,"Turno B",""),"")),"")),"")),"")),"")),""))</f>
        <v>Turno C</v>
      </c>
      <c r="L528" s="91">
        <f t="shared" si="8"/>
        <v>0.375</v>
      </c>
    </row>
    <row r="529" spans="1:12" s="40" customFormat="1">
      <c r="A529">
        <v>9148214</v>
      </c>
      <c r="B529" t="s">
        <v>138</v>
      </c>
      <c r="C529" t="s">
        <v>137</v>
      </c>
      <c r="D529" t="s">
        <v>76</v>
      </c>
      <c r="E529" t="s">
        <v>1438</v>
      </c>
      <c r="F529" s="78">
        <v>0.31290509259259258</v>
      </c>
      <c r="G529" t="s">
        <v>1406</v>
      </c>
      <c r="H529" t="s">
        <v>1336</v>
      </c>
      <c r="I529" s="88" t="str">
        <f>VLOOKUP(A529,Base!A:B,2,0)</f>
        <v>09.148.214-2</v>
      </c>
      <c r="J529" s="99" t="str">
        <f>VLOOKUP(A529,Base!A:F,6,0)</f>
        <v>JORGE  BAEZA  REYES</v>
      </c>
      <c r="K529" s="89" t="str">
        <f>IFERROR(IF(VLOOKUP(I529,Ingreso!K:P,6,0)=0,"Sin turtno ing",VLOOKUP(I529,Ingreso!K:P,6,0)),IF(F529&gt;0.25,IF(F529&lt;0.311805555555556,"Turno A",IF(F529&gt;0.3125,IF(F529&lt;0.354166666666667,"Turno C",IF(F529&gt;0.583333333333333,IF(F529&lt;0.625,"Turno B",IF(F529&gt;0.625694444444444,IF(F529&lt;0.8125,"Turno A",IF(F529&gt;0.875,IF(F529&lt;0.936805555555556,"Turno C",IF(F529&gt;0.9375,IF(F529&lt;0.979166666666667,"Turno B",""),"")),"")),"")),"")),"")),""))</f>
        <v>Turno C</v>
      </c>
      <c r="L529" s="91">
        <f t="shared" si="8"/>
        <v>0.375</v>
      </c>
    </row>
    <row r="530" spans="1:12" s="40" customFormat="1">
      <c r="A530">
        <v>9148214</v>
      </c>
      <c r="B530" t="s">
        <v>138</v>
      </c>
      <c r="C530" t="s">
        <v>137</v>
      </c>
      <c r="D530" t="s">
        <v>76</v>
      </c>
      <c r="E530" t="s">
        <v>1438</v>
      </c>
      <c r="F530" s="78">
        <v>0.91824074074074069</v>
      </c>
      <c r="G530" t="s">
        <v>1405</v>
      </c>
      <c r="H530" t="s">
        <v>1335</v>
      </c>
      <c r="I530" s="88" t="str">
        <f>VLOOKUP(A530,Base!A:B,2,0)</f>
        <v>09.148.214-2</v>
      </c>
      <c r="J530" s="99" t="str">
        <f>VLOOKUP(A530,Base!A:F,6,0)</f>
        <v>JORGE  BAEZA  REYES</v>
      </c>
      <c r="K530" s="89" t="str">
        <f>IFERROR(IF(VLOOKUP(I530,Ingreso!K:P,6,0)=0,"Sin turtno ing",VLOOKUP(I530,Ingreso!K:P,6,0)),IF(F530&gt;0.25,IF(F530&lt;0.311805555555556,"Turno A",IF(F530&gt;0.3125,IF(F530&lt;0.354166666666667,"Turno C",IF(F530&gt;0.583333333333333,IF(F530&lt;0.625,"Turno B",IF(F530&gt;0.625694444444444,IF(F530&lt;0.8125,"Turno A",IF(F530&gt;0.875,IF(F530&lt;0.936805555555556,"Turno C",IF(F530&gt;0.9375,IF(F530&lt;0.979166666666667,"Turno B",""),"")),"")),"")),"")),"")),""))</f>
        <v>Turno C</v>
      </c>
      <c r="L530" s="91">
        <f t="shared" si="8"/>
        <v>0.375</v>
      </c>
    </row>
    <row r="531" spans="1:12" s="40" customFormat="1">
      <c r="A531">
        <v>9148214</v>
      </c>
      <c r="B531" t="s">
        <v>138</v>
      </c>
      <c r="C531" t="s">
        <v>137</v>
      </c>
      <c r="D531" t="s">
        <v>76</v>
      </c>
      <c r="E531" t="s">
        <v>1439</v>
      </c>
      <c r="F531" s="78">
        <v>0.31153935185185183</v>
      </c>
      <c r="G531" t="s">
        <v>1406</v>
      </c>
      <c r="H531" t="s">
        <v>1336</v>
      </c>
      <c r="I531" s="88" t="str">
        <f>VLOOKUP(A531,Base!A:B,2,0)</f>
        <v>09.148.214-2</v>
      </c>
      <c r="J531" s="99" t="str">
        <f>VLOOKUP(A531,Base!A:F,6,0)</f>
        <v>JORGE  BAEZA  REYES</v>
      </c>
      <c r="K531" s="89" t="str">
        <f>IFERROR(IF(VLOOKUP(I531,Ingreso!K:P,6,0)=0,"Sin turtno ing",VLOOKUP(I531,Ingreso!K:P,6,0)),IF(F531&gt;0.25,IF(F531&lt;0.311805555555556,"Turno A",IF(F531&gt;0.3125,IF(F531&lt;0.354166666666667,"Turno C",IF(F531&gt;0.583333333333333,IF(F531&lt;0.625,"Turno B",IF(F531&gt;0.625694444444444,IF(F531&lt;0.8125,"Turno A",IF(F531&gt;0.875,IF(F531&lt;0.936805555555556,"Turno C",IF(F531&gt;0.9375,IF(F531&lt;0.979166666666667,"Turno B",""),"")),"")),"")),"")),"")),""))</f>
        <v>Turno C</v>
      </c>
      <c r="L531" s="91">
        <f t="shared" si="8"/>
        <v>0.375</v>
      </c>
    </row>
    <row r="532" spans="1:12" s="40" customFormat="1">
      <c r="A532">
        <v>9148214</v>
      </c>
      <c r="B532" t="s">
        <v>138</v>
      </c>
      <c r="C532" t="s">
        <v>137</v>
      </c>
      <c r="D532" t="s">
        <v>76</v>
      </c>
      <c r="E532" t="s">
        <v>1439</v>
      </c>
      <c r="F532" s="78">
        <v>0.91707175925925932</v>
      </c>
      <c r="G532" t="s">
        <v>1405</v>
      </c>
      <c r="H532" t="s">
        <v>1335</v>
      </c>
      <c r="I532" s="88" t="str">
        <f>VLOOKUP(A532,Base!A:B,2,0)</f>
        <v>09.148.214-2</v>
      </c>
      <c r="J532" s="99" t="str">
        <f>VLOOKUP(A532,Base!A:F,6,0)</f>
        <v>JORGE  BAEZA  REYES</v>
      </c>
      <c r="K532" s="89" t="str">
        <f>IFERROR(IF(VLOOKUP(I532,Ingreso!K:P,6,0)=0,"Sin turtno ing",VLOOKUP(I532,Ingreso!K:P,6,0)),IF(F532&gt;0.25,IF(F532&lt;0.311805555555556,"Turno A",IF(F532&gt;0.3125,IF(F532&lt;0.354166666666667,"Turno C",IF(F532&gt;0.583333333333333,IF(F532&lt;0.625,"Turno B",IF(F532&gt;0.625694444444444,IF(F532&lt;0.8125,"Turno A",IF(F532&gt;0.875,IF(F532&lt;0.936805555555556,"Turno C",IF(F532&gt;0.9375,IF(F532&lt;0.979166666666667,"Turno B",""),"")),"")),"")),"")),"")),""))</f>
        <v>Turno C</v>
      </c>
      <c r="L532" s="91">
        <f t="shared" si="8"/>
        <v>0.375</v>
      </c>
    </row>
    <row r="533" spans="1:12" s="40" customFormat="1">
      <c r="A533">
        <v>9253701</v>
      </c>
      <c r="B533" t="s">
        <v>558</v>
      </c>
      <c r="C533" t="s">
        <v>552</v>
      </c>
      <c r="D533" t="s">
        <v>557</v>
      </c>
      <c r="E533" t="s">
        <v>1440</v>
      </c>
      <c r="F533" s="78">
        <v>0.9487268518518519</v>
      </c>
      <c r="G533" t="s">
        <v>1406</v>
      </c>
      <c r="H533" t="s">
        <v>1336</v>
      </c>
      <c r="I533" s="88" t="str">
        <f>VLOOKUP(A533,Base!A:B,2,0)</f>
        <v>09.253.701-3</v>
      </c>
      <c r="J533" s="99" t="str">
        <f>VLOOKUP(A533,Base!A:F,6,0)</f>
        <v>JOSE FRANCISCO  LEON  NUÑEZ</v>
      </c>
      <c r="K533" s="89" t="str">
        <f>IFERROR(IF(VLOOKUP(I533,Ingreso!K:P,6,0)=0,"Sin turtno ing",VLOOKUP(I533,Ingreso!K:P,6,0)),IF(F533&gt;0.25,IF(F533&lt;0.311805555555556,"Turno A",IF(F533&gt;0.3125,IF(F533&lt;0.354166666666667,"Turno C",IF(F533&gt;0.583333333333333,IF(F533&lt;0.625,"Turno B",IF(F533&gt;0.625694444444444,IF(F533&lt;0.8125,"Turno A",IF(F533&gt;0.875,IF(F533&lt;0.936805555555556,"Turno C",IF(F533&gt;0.9375,IF(F533&lt;0.979166666666667,"Turno B",""),"")),"")),"")),"")),"")),""))</f>
        <v>Turno B</v>
      </c>
      <c r="L533" s="91">
        <f t="shared" si="8"/>
        <v>0.3125</v>
      </c>
    </row>
    <row r="534" spans="1:12" s="40" customFormat="1">
      <c r="A534">
        <v>9253701</v>
      </c>
      <c r="B534" t="s">
        <v>558</v>
      </c>
      <c r="C534" t="s">
        <v>552</v>
      </c>
      <c r="D534" t="s">
        <v>557</v>
      </c>
      <c r="E534" t="s">
        <v>1440</v>
      </c>
      <c r="F534" s="78">
        <v>0.5977083333333334</v>
      </c>
      <c r="G534" t="s">
        <v>1405</v>
      </c>
      <c r="H534" t="s">
        <v>1335</v>
      </c>
      <c r="I534" s="88" t="str">
        <f>VLOOKUP(A534,Base!A:B,2,0)</f>
        <v>09.253.701-3</v>
      </c>
      <c r="J534" s="99" t="str">
        <f>VLOOKUP(A534,Base!A:F,6,0)</f>
        <v>JOSE FRANCISCO  LEON  NUÑEZ</v>
      </c>
      <c r="K534" s="89" t="str">
        <f>IFERROR(IF(VLOOKUP(I534,Ingreso!K:P,6,0)=0,"Sin turtno ing",VLOOKUP(I534,Ingreso!K:P,6,0)),IF(F534&gt;0.25,IF(F534&lt;0.311805555555556,"Turno A",IF(F534&gt;0.3125,IF(F534&lt;0.354166666666667,"Turno C",IF(F534&gt;0.583333333333333,IF(F534&lt;0.625,"Turno B",IF(F534&gt;0.625694444444444,IF(F534&lt;0.8125,"Turno A",IF(F534&gt;0.875,IF(F534&lt;0.936805555555556,"Turno C",IF(F534&gt;0.9375,IF(F534&lt;0.979166666666667,"Turno B",""),"")),"")),"")),"")),"")),""))</f>
        <v>Turno B</v>
      </c>
      <c r="L534" s="91">
        <f t="shared" si="8"/>
        <v>0.3125</v>
      </c>
    </row>
    <row r="535" spans="1:12" s="40" customFormat="1">
      <c r="A535">
        <v>9253701</v>
      </c>
      <c r="B535" t="s">
        <v>558</v>
      </c>
      <c r="C535" t="s">
        <v>552</v>
      </c>
      <c r="D535" t="s">
        <v>557</v>
      </c>
      <c r="E535" t="s">
        <v>1441</v>
      </c>
      <c r="F535" s="78">
        <v>0.94152777777777785</v>
      </c>
      <c r="G535" t="s">
        <v>1406</v>
      </c>
      <c r="H535" t="s">
        <v>1336</v>
      </c>
      <c r="I535" s="88" t="str">
        <f>VLOOKUP(A535,Base!A:B,2,0)</f>
        <v>09.253.701-3</v>
      </c>
      <c r="J535" s="99" t="str">
        <f>VLOOKUP(A535,Base!A:F,6,0)</f>
        <v>JOSE FRANCISCO  LEON  NUÑEZ</v>
      </c>
      <c r="K535" s="89" t="str">
        <f>IFERROR(IF(VLOOKUP(I535,Ingreso!K:P,6,0)=0,"Sin turtno ing",VLOOKUP(I535,Ingreso!K:P,6,0)),IF(F535&gt;0.25,IF(F535&lt;0.311805555555556,"Turno A",IF(F535&gt;0.3125,IF(F535&lt;0.354166666666667,"Turno C",IF(F535&gt;0.583333333333333,IF(F535&lt;0.625,"Turno B",IF(F535&gt;0.625694444444444,IF(F535&lt;0.8125,"Turno A",IF(F535&gt;0.875,IF(F535&lt;0.936805555555556,"Turno C",IF(F535&gt;0.9375,IF(F535&lt;0.979166666666667,"Turno B",""),"")),"")),"")),"")),"")),""))</f>
        <v>Turno B</v>
      </c>
      <c r="L535" s="91">
        <f t="shared" si="8"/>
        <v>0.3125</v>
      </c>
    </row>
    <row r="536" spans="1:12" s="40" customFormat="1">
      <c r="A536">
        <v>9253701</v>
      </c>
      <c r="B536" t="s">
        <v>558</v>
      </c>
      <c r="C536" t="s">
        <v>552</v>
      </c>
      <c r="D536" t="s">
        <v>557</v>
      </c>
      <c r="E536" t="s">
        <v>1441</v>
      </c>
      <c r="F536" s="78">
        <v>0.60693287037037036</v>
      </c>
      <c r="G536" t="s">
        <v>1405</v>
      </c>
      <c r="H536" t="s">
        <v>1335</v>
      </c>
      <c r="I536" s="88" t="str">
        <f>VLOOKUP(A536,Base!A:B,2,0)</f>
        <v>09.253.701-3</v>
      </c>
      <c r="J536" s="99" t="str">
        <f>VLOOKUP(A536,Base!A:F,6,0)</f>
        <v>JOSE FRANCISCO  LEON  NUÑEZ</v>
      </c>
      <c r="K536" s="89" t="str">
        <f>IFERROR(IF(VLOOKUP(I536,Ingreso!K:P,6,0)=0,"Sin turtno ing",VLOOKUP(I536,Ingreso!K:P,6,0)),IF(F536&gt;0.25,IF(F536&lt;0.311805555555556,"Turno A",IF(F536&gt;0.3125,IF(F536&lt;0.354166666666667,"Turno C",IF(F536&gt;0.583333333333333,IF(F536&lt;0.625,"Turno B",IF(F536&gt;0.625694444444444,IF(F536&lt;0.8125,"Turno A",IF(F536&gt;0.875,IF(F536&lt;0.936805555555556,"Turno C",IF(F536&gt;0.9375,IF(F536&lt;0.979166666666667,"Turno B",""),"")),"")),"")),"")),"")),""))</f>
        <v>Turno B</v>
      </c>
      <c r="L536" s="91">
        <f t="shared" si="8"/>
        <v>0.3125</v>
      </c>
    </row>
    <row r="537" spans="1:12" s="40" customFormat="1">
      <c r="A537">
        <v>9253701</v>
      </c>
      <c r="B537" t="s">
        <v>558</v>
      </c>
      <c r="C537" t="s">
        <v>552</v>
      </c>
      <c r="D537" t="s">
        <v>557</v>
      </c>
      <c r="E537" t="s">
        <v>1437</v>
      </c>
      <c r="F537" s="78">
        <v>0.94548611111111114</v>
      </c>
      <c r="G537" t="s">
        <v>1406</v>
      </c>
      <c r="H537" t="s">
        <v>1336</v>
      </c>
      <c r="I537" s="88" t="str">
        <f>VLOOKUP(A537,Base!A:B,2,0)</f>
        <v>09.253.701-3</v>
      </c>
      <c r="J537" s="99" t="str">
        <f>VLOOKUP(A537,Base!A:F,6,0)</f>
        <v>JOSE FRANCISCO  LEON  NUÑEZ</v>
      </c>
      <c r="K537" s="89" t="str">
        <f>IFERROR(IF(VLOOKUP(I537,Ingreso!K:P,6,0)=0,"Sin turtno ing",VLOOKUP(I537,Ingreso!K:P,6,0)),IF(F537&gt;0.25,IF(F537&lt;0.311805555555556,"Turno A",IF(F537&gt;0.3125,IF(F537&lt;0.354166666666667,"Turno C",IF(F537&gt;0.583333333333333,IF(F537&lt;0.625,"Turno B",IF(F537&gt;0.625694444444444,IF(F537&lt;0.8125,"Turno A",IF(F537&gt;0.875,IF(F537&lt;0.936805555555556,"Turno C",IF(F537&gt;0.9375,IF(F537&lt;0.979166666666667,"Turno B",""),"")),"")),"")),"")),"")),""))</f>
        <v>Turno B</v>
      </c>
      <c r="L537" s="91">
        <f t="shared" si="8"/>
        <v>0.3125</v>
      </c>
    </row>
    <row r="538" spans="1:12" s="40" customFormat="1">
      <c r="A538">
        <v>9253701</v>
      </c>
      <c r="B538" t="s">
        <v>558</v>
      </c>
      <c r="C538" t="s">
        <v>552</v>
      </c>
      <c r="D538" t="s">
        <v>557</v>
      </c>
      <c r="E538" t="s">
        <v>1437</v>
      </c>
      <c r="F538" s="78">
        <v>0.59311342592592597</v>
      </c>
      <c r="G538" t="s">
        <v>1405</v>
      </c>
      <c r="H538" t="s">
        <v>1335</v>
      </c>
      <c r="I538" s="88" t="str">
        <f>VLOOKUP(A538,Base!A:B,2,0)</f>
        <v>09.253.701-3</v>
      </c>
      <c r="J538" s="99" t="str">
        <f>VLOOKUP(A538,Base!A:F,6,0)</f>
        <v>JOSE FRANCISCO  LEON  NUÑEZ</v>
      </c>
      <c r="K538" s="89" t="str">
        <f>IFERROR(IF(VLOOKUP(I538,Ingreso!K:P,6,0)=0,"Sin turtno ing",VLOOKUP(I538,Ingreso!K:P,6,0)),IF(F538&gt;0.25,IF(F538&lt;0.311805555555556,"Turno A",IF(F538&gt;0.3125,IF(F538&lt;0.354166666666667,"Turno C",IF(F538&gt;0.583333333333333,IF(F538&lt;0.625,"Turno B",IF(F538&gt;0.625694444444444,IF(F538&lt;0.8125,"Turno A",IF(F538&gt;0.875,IF(F538&lt;0.936805555555556,"Turno C",IF(F538&gt;0.9375,IF(F538&lt;0.979166666666667,"Turno B",""),"")),"")),"")),"")),"")),""))</f>
        <v>Turno B</v>
      </c>
      <c r="L538" s="91">
        <f t="shared" si="8"/>
        <v>0.3125</v>
      </c>
    </row>
    <row r="539" spans="1:12" s="40" customFormat="1">
      <c r="A539">
        <v>9253701</v>
      </c>
      <c r="B539" t="s">
        <v>558</v>
      </c>
      <c r="C539" t="s">
        <v>552</v>
      </c>
      <c r="D539" t="s">
        <v>557</v>
      </c>
      <c r="E539" t="s">
        <v>1438</v>
      </c>
      <c r="F539" s="78">
        <v>0.94851851851851843</v>
      </c>
      <c r="G539" t="s">
        <v>1406</v>
      </c>
      <c r="H539" t="s">
        <v>1336</v>
      </c>
      <c r="I539" s="88" t="str">
        <f>VLOOKUP(A539,Base!A:B,2,0)</f>
        <v>09.253.701-3</v>
      </c>
      <c r="J539" s="99" t="str">
        <f>VLOOKUP(A539,Base!A:F,6,0)</f>
        <v>JOSE FRANCISCO  LEON  NUÑEZ</v>
      </c>
      <c r="K539" s="89" t="str">
        <f>IFERROR(IF(VLOOKUP(I539,Ingreso!K:P,6,0)=0,"Sin turtno ing",VLOOKUP(I539,Ingreso!K:P,6,0)),IF(F539&gt;0.25,IF(F539&lt;0.311805555555556,"Turno A",IF(F539&gt;0.3125,IF(F539&lt;0.354166666666667,"Turno C",IF(F539&gt;0.583333333333333,IF(F539&lt;0.625,"Turno B",IF(F539&gt;0.625694444444444,IF(F539&lt;0.8125,"Turno A",IF(F539&gt;0.875,IF(F539&lt;0.936805555555556,"Turno C",IF(F539&gt;0.9375,IF(F539&lt;0.979166666666667,"Turno B",""),"")),"")),"")),"")),"")),""))</f>
        <v>Turno B</v>
      </c>
      <c r="L539" s="91">
        <f t="shared" si="8"/>
        <v>0.3125</v>
      </c>
    </row>
    <row r="540" spans="1:12" s="40" customFormat="1">
      <c r="A540">
        <v>9253701</v>
      </c>
      <c r="B540" t="s">
        <v>558</v>
      </c>
      <c r="C540" t="s">
        <v>552</v>
      </c>
      <c r="D540" t="s">
        <v>557</v>
      </c>
      <c r="E540" t="s">
        <v>1438</v>
      </c>
      <c r="F540" s="78">
        <v>0.60135416666666663</v>
      </c>
      <c r="G540" t="s">
        <v>1405</v>
      </c>
      <c r="H540" t="s">
        <v>1335</v>
      </c>
      <c r="I540" s="88" t="str">
        <f>VLOOKUP(A540,Base!A:B,2,0)</f>
        <v>09.253.701-3</v>
      </c>
      <c r="J540" s="99" t="str">
        <f>VLOOKUP(A540,Base!A:F,6,0)</f>
        <v>JOSE FRANCISCO  LEON  NUÑEZ</v>
      </c>
      <c r="K540" s="89" t="str">
        <f>IFERROR(IF(VLOOKUP(I540,Ingreso!K:P,6,0)=0,"Sin turtno ing",VLOOKUP(I540,Ingreso!K:P,6,0)),IF(F540&gt;0.25,IF(F540&lt;0.311805555555556,"Turno A",IF(F540&gt;0.3125,IF(F540&lt;0.354166666666667,"Turno C",IF(F540&gt;0.583333333333333,IF(F540&lt;0.625,"Turno B",IF(F540&gt;0.625694444444444,IF(F540&lt;0.8125,"Turno A",IF(F540&gt;0.875,IF(F540&lt;0.936805555555556,"Turno C",IF(F540&gt;0.9375,IF(F540&lt;0.979166666666667,"Turno B",""),"")),"")),"")),"")),"")),""))</f>
        <v>Turno B</v>
      </c>
      <c r="L540" s="91">
        <f t="shared" si="8"/>
        <v>0.3125</v>
      </c>
    </row>
    <row r="541" spans="1:12" s="40" customFormat="1">
      <c r="A541">
        <v>9253701</v>
      </c>
      <c r="B541" t="s">
        <v>558</v>
      </c>
      <c r="C541" t="s">
        <v>552</v>
      </c>
      <c r="D541" t="s">
        <v>557</v>
      </c>
      <c r="E541" t="s">
        <v>1439</v>
      </c>
      <c r="F541" s="78">
        <v>0.94478009259259255</v>
      </c>
      <c r="G541" t="s">
        <v>1406</v>
      </c>
      <c r="H541" t="s">
        <v>1336</v>
      </c>
      <c r="I541" s="88" t="str">
        <f>VLOOKUP(A541,Base!A:B,2,0)</f>
        <v>09.253.701-3</v>
      </c>
      <c r="J541" s="99" t="str">
        <f>VLOOKUP(A541,Base!A:F,6,0)</f>
        <v>JOSE FRANCISCO  LEON  NUÑEZ</v>
      </c>
      <c r="K541" s="89" t="str">
        <f>IFERROR(IF(VLOOKUP(I541,Ingreso!K:P,6,0)=0,"Sin turtno ing",VLOOKUP(I541,Ingreso!K:P,6,0)),IF(F541&gt;0.25,IF(F541&lt;0.311805555555556,"Turno A",IF(F541&gt;0.3125,IF(F541&lt;0.354166666666667,"Turno C",IF(F541&gt;0.583333333333333,IF(F541&lt;0.625,"Turno B",IF(F541&gt;0.625694444444444,IF(F541&lt;0.8125,"Turno A",IF(F541&gt;0.875,IF(F541&lt;0.936805555555556,"Turno C",IF(F541&gt;0.9375,IF(F541&lt;0.979166666666667,"Turno B",""),"")),"")),"")),"")),"")),""))</f>
        <v>Turno B</v>
      </c>
      <c r="L541" s="91">
        <f t="shared" si="8"/>
        <v>0.3125</v>
      </c>
    </row>
    <row r="542" spans="1:12" s="40" customFormat="1">
      <c r="A542">
        <v>9253701</v>
      </c>
      <c r="B542" t="s">
        <v>558</v>
      </c>
      <c r="C542" t="s">
        <v>552</v>
      </c>
      <c r="D542" t="s">
        <v>557</v>
      </c>
      <c r="E542" t="s">
        <v>1439</v>
      </c>
      <c r="F542" s="78">
        <v>0.60053240740740743</v>
      </c>
      <c r="G542" t="s">
        <v>1405</v>
      </c>
      <c r="H542" t="s">
        <v>1335</v>
      </c>
      <c r="I542" s="88" t="str">
        <f>VLOOKUP(A542,Base!A:B,2,0)</f>
        <v>09.253.701-3</v>
      </c>
      <c r="J542" s="99" t="str">
        <f>VLOOKUP(A542,Base!A:F,6,0)</f>
        <v>JOSE FRANCISCO  LEON  NUÑEZ</v>
      </c>
      <c r="K542" s="89" t="str">
        <f>IFERROR(IF(VLOOKUP(I542,Ingreso!K:P,6,0)=0,"Sin turtno ing",VLOOKUP(I542,Ingreso!K:P,6,0)),IF(F542&gt;0.25,IF(F542&lt;0.311805555555556,"Turno A",IF(F542&gt;0.3125,IF(F542&lt;0.354166666666667,"Turno C",IF(F542&gt;0.583333333333333,IF(F542&lt;0.625,"Turno B",IF(F542&gt;0.625694444444444,IF(F542&lt;0.8125,"Turno A",IF(F542&gt;0.875,IF(F542&lt;0.936805555555556,"Turno C",IF(F542&gt;0.9375,IF(F542&lt;0.979166666666667,"Turno B",""),"")),"")),"")),"")),"")),""))</f>
        <v>Turno B</v>
      </c>
      <c r="L542" s="91">
        <f t="shared" si="8"/>
        <v>0.3125</v>
      </c>
    </row>
    <row r="543" spans="1:12" s="40" customFormat="1">
      <c r="A543">
        <v>9471557</v>
      </c>
      <c r="B543" t="s">
        <v>109</v>
      </c>
      <c r="C543" t="s">
        <v>107</v>
      </c>
      <c r="D543" t="s">
        <v>108</v>
      </c>
      <c r="E543" t="s">
        <v>1407</v>
      </c>
      <c r="F543" s="78">
        <v>0</v>
      </c>
      <c r="G543"/>
      <c r="H543"/>
      <c r="I543" s="88" t="str">
        <f>VLOOKUP(A543,Base!A:B,2,0)</f>
        <v>09.471.557-1</v>
      </c>
      <c r="J543" s="99" t="str">
        <f>VLOOKUP(A543,Base!A:F,6,0)</f>
        <v>SANDRA  ARANGUIZ  ALIAGA</v>
      </c>
      <c r="K543" s="89" t="str">
        <f>IFERROR(IF(VLOOKUP(I543,Ingreso!K:P,6,0)=0,"Sin turtno ing",VLOOKUP(I543,Ingreso!K:P,6,0)),IF(F543&gt;0.25,IF(F543&lt;0.311805555555556,"Turno A",IF(F543&gt;0.3125,IF(F543&lt;0.354166666666667,"Turno C",IF(F543&gt;0.583333333333333,IF(F543&lt;0.625,"Turno B",IF(F543&gt;0.625694444444444,IF(F543&lt;0.8125,"Turno A",IF(F543&gt;0.875,IF(F543&lt;0.936805555555556,"Turno C",IF(F543&gt;0.9375,IF(F543&lt;0.979166666666667,"Turno B",""),"")),"")),"")),"")),"")),""))</f>
        <v/>
      </c>
      <c r="L543" s="91" t="e">
        <f t="shared" si="8"/>
        <v>#N/A</v>
      </c>
    </row>
    <row r="544" spans="1:12" s="40" customFormat="1">
      <c r="A544">
        <v>9485526</v>
      </c>
      <c r="B544" t="s">
        <v>133</v>
      </c>
      <c r="C544" t="s">
        <v>847</v>
      </c>
      <c r="D544" t="s">
        <v>83</v>
      </c>
      <c r="E544" t="s">
        <v>1440</v>
      </c>
      <c r="F544" s="78">
        <v>0.32868055555555559</v>
      </c>
      <c r="G544" t="s">
        <v>1406</v>
      </c>
      <c r="H544" t="s">
        <v>1336</v>
      </c>
      <c r="I544" s="88" t="str">
        <f>VLOOKUP(A544,Base!A:B,2,0)</f>
        <v>09.485.526-8</v>
      </c>
      <c r="J544" s="99" t="str">
        <f>VLOOKUP(A544,Base!A:F,6,0)</f>
        <v>LUIS ALBERTO  ROJAS  GONZALEZ</v>
      </c>
      <c r="K544" s="89" t="str">
        <f>IFERROR(IF(VLOOKUP(I544,Ingreso!K:P,6,0)=0,"Sin turtno ing",VLOOKUP(I544,Ingreso!K:P,6,0)),IF(F544&gt;0.25,IF(F544&lt;0.311805555555556,"Turno A",IF(F544&gt;0.3125,IF(F544&lt;0.354166666666667,"Turno C",IF(F544&gt;0.583333333333333,IF(F544&lt;0.625,"Turno B",IF(F544&gt;0.625694444444444,IF(F544&lt;0.8125,"Turno A",IF(F544&gt;0.875,IF(F544&lt;0.936805555555556,"Turno C",IF(F544&gt;0.9375,IF(F544&lt;0.979166666666667,"Turno B",""),"")),"")),"")),"")),"")),""))</f>
        <v>Turno C</v>
      </c>
      <c r="L544" s="91">
        <f t="shared" si="8"/>
        <v>0.375</v>
      </c>
    </row>
    <row r="545" spans="1:12" s="40" customFormat="1">
      <c r="A545">
        <v>9485526</v>
      </c>
      <c r="B545" t="s">
        <v>133</v>
      </c>
      <c r="C545" t="s">
        <v>847</v>
      </c>
      <c r="D545" t="s">
        <v>83</v>
      </c>
      <c r="E545" t="s">
        <v>1440</v>
      </c>
      <c r="F545" s="78">
        <v>0.92063657407407407</v>
      </c>
      <c r="G545" t="s">
        <v>1405</v>
      </c>
      <c r="H545" t="s">
        <v>1335</v>
      </c>
      <c r="I545" s="88" t="str">
        <f>VLOOKUP(A545,Base!A:B,2,0)</f>
        <v>09.485.526-8</v>
      </c>
      <c r="J545" s="99" t="str">
        <f>VLOOKUP(A545,Base!A:F,6,0)</f>
        <v>LUIS ALBERTO  ROJAS  GONZALEZ</v>
      </c>
      <c r="K545" s="89" t="str">
        <f>IFERROR(IF(VLOOKUP(I545,Ingreso!K:P,6,0)=0,"Sin turtno ing",VLOOKUP(I545,Ingreso!K:P,6,0)),IF(F545&gt;0.25,IF(F545&lt;0.311805555555556,"Turno A",IF(F545&gt;0.3125,IF(F545&lt;0.354166666666667,"Turno C",IF(F545&gt;0.583333333333333,IF(F545&lt;0.625,"Turno B",IF(F545&gt;0.625694444444444,IF(F545&lt;0.8125,"Turno A",IF(F545&gt;0.875,IF(F545&lt;0.936805555555556,"Turno C",IF(F545&gt;0.9375,IF(F545&lt;0.979166666666667,"Turno B",""),"")),"")),"")),"")),"")),""))</f>
        <v>Turno C</v>
      </c>
      <c r="L545" s="91">
        <f t="shared" si="8"/>
        <v>0.375</v>
      </c>
    </row>
    <row r="546" spans="1:12" s="40" customFormat="1">
      <c r="A546">
        <v>9485526</v>
      </c>
      <c r="B546" t="s">
        <v>133</v>
      </c>
      <c r="C546" t="s">
        <v>847</v>
      </c>
      <c r="D546" t="s">
        <v>83</v>
      </c>
      <c r="E546" t="s">
        <v>1441</v>
      </c>
      <c r="F546" s="78">
        <v>0.32907407407407407</v>
      </c>
      <c r="G546" t="s">
        <v>1406</v>
      </c>
      <c r="H546" t="s">
        <v>1336</v>
      </c>
      <c r="I546" s="88" t="str">
        <f>VLOOKUP(A546,Base!A:B,2,0)</f>
        <v>09.485.526-8</v>
      </c>
      <c r="J546" s="99" t="str">
        <f>VLOOKUP(A546,Base!A:F,6,0)</f>
        <v>LUIS ALBERTO  ROJAS  GONZALEZ</v>
      </c>
      <c r="K546" s="89" t="str">
        <f>IFERROR(IF(VLOOKUP(I546,Ingreso!K:P,6,0)=0,"Sin turtno ing",VLOOKUP(I546,Ingreso!K:P,6,0)),IF(F546&gt;0.25,IF(F546&lt;0.311805555555556,"Turno A",IF(F546&gt;0.3125,IF(F546&lt;0.354166666666667,"Turno C",IF(F546&gt;0.583333333333333,IF(F546&lt;0.625,"Turno B",IF(F546&gt;0.625694444444444,IF(F546&lt;0.8125,"Turno A",IF(F546&gt;0.875,IF(F546&lt;0.936805555555556,"Turno C",IF(F546&gt;0.9375,IF(F546&lt;0.979166666666667,"Turno B",""),"")),"")),"")),"")),"")),""))</f>
        <v>Turno C</v>
      </c>
      <c r="L546" s="91">
        <f t="shared" si="8"/>
        <v>0.375</v>
      </c>
    </row>
    <row r="547" spans="1:12" s="40" customFormat="1">
      <c r="A547">
        <v>9485526</v>
      </c>
      <c r="B547" t="s">
        <v>133</v>
      </c>
      <c r="C547" t="s">
        <v>847</v>
      </c>
      <c r="D547" t="s">
        <v>83</v>
      </c>
      <c r="E547" t="s">
        <v>1436</v>
      </c>
      <c r="F547" s="78">
        <v>0.99329861111111117</v>
      </c>
      <c r="G547" t="s">
        <v>1405</v>
      </c>
      <c r="H547" t="s">
        <v>1335</v>
      </c>
      <c r="I547" s="88" t="str">
        <f>VLOOKUP(A547,Base!A:B,2,0)</f>
        <v>09.485.526-8</v>
      </c>
      <c r="J547" s="99" t="str">
        <f>VLOOKUP(A547,Base!A:F,6,0)</f>
        <v>LUIS ALBERTO  ROJAS  GONZALEZ</v>
      </c>
      <c r="K547" s="89" t="str">
        <f>IFERROR(IF(VLOOKUP(I547,Ingreso!K:P,6,0)=0,"Sin turtno ing",VLOOKUP(I547,Ingreso!K:P,6,0)),IF(F547&gt;0.25,IF(F547&lt;0.311805555555556,"Turno A",IF(F547&gt;0.3125,IF(F547&lt;0.354166666666667,"Turno C",IF(F547&gt;0.583333333333333,IF(F547&lt;0.625,"Turno B",IF(F547&gt;0.625694444444444,IF(F547&lt;0.8125,"Turno A",IF(F547&gt;0.875,IF(F547&lt;0.936805555555556,"Turno C",IF(F547&gt;0.9375,IF(F547&lt;0.979166666666667,"Turno B",""),"")),"")),"")),"")),"")),""))</f>
        <v>Turno C</v>
      </c>
      <c r="L547" s="91">
        <f t="shared" si="8"/>
        <v>0.375</v>
      </c>
    </row>
    <row r="548" spans="1:12" s="40" customFormat="1">
      <c r="A548">
        <v>9485526</v>
      </c>
      <c r="B548" t="s">
        <v>133</v>
      </c>
      <c r="C548" t="s">
        <v>847</v>
      </c>
      <c r="D548" t="s">
        <v>83</v>
      </c>
      <c r="E548" t="s">
        <v>1437</v>
      </c>
      <c r="F548" s="78">
        <v>0.32488425925925929</v>
      </c>
      <c r="G548" t="s">
        <v>1406</v>
      </c>
      <c r="H548" t="s">
        <v>1336</v>
      </c>
      <c r="I548" s="88" t="str">
        <f>VLOOKUP(A548,Base!A:B,2,0)</f>
        <v>09.485.526-8</v>
      </c>
      <c r="J548" s="99" t="str">
        <f>VLOOKUP(A548,Base!A:F,6,0)</f>
        <v>LUIS ALBERTO  ROJAS  GONZALEZ</v>
      </c>
      <c r="K548" s="89" t="str">
        <f>IFERROR(IF(VLOOKUP(I548,Ingreso!K:P,6,0)=0,"Sin turtno ing",VLOOKUP(I548,Ingreso!K:P,6,0)),IF(F548&gt;0.25,IF(F548&lt;0.311805555555556,"Turno A",IF(F548&gt;0.3125,IF(F548&lt;0.354166666666667,"Turno C",IF(F548&gt;0.583333333333333,IF(F548&lt;0.625,"Turno B",IF(F548&gt;0.625694444444444,IF(F548&lt;0.8125,"Turno A",IF(F548&gt;0.875,IF(F548&lt;0.936805555555556,"Turno C",IF(F548&gt;0.9375,IF(F548&lt;0.979166666666667,"Turno B",""),"")),"")),"")),"")),"")),""))</f>
        <v>Turno C</v>
      </c>
      <c r="L548" s="91">
        <f t="shared" si="8"/>
        <v>0.375</v>
      </c>
    </row>
    <row r="549" spans="1:12" s="40" customFormat="1">
      <c r="A549">
        <v>9485526</v>
      </c>
      <c r="B549" t="s">
        <v>133</v>
      </c>
      <c r="C549" t="s">
        <v>847</v>
      </c>
      <c r="D549" t="s">
        <v>83</v>
      </c>
      <c r="E549" t="s">
        <v>1437</v>
      </c>
      <c r="F549" s="78">
        <v>0.91844907407407417</v>
      </c>
      <c r="G549" t="s">
        <v>1405</v>
      </c>
      <c r="H549" t="s">
        <v>1335</v>
      </c>
      <c r="I549" s="88" t="str">
        <f>VLOOKUP(A549,Base!A:B,2,0)</f>
        <v>09.485.526-8</v>
      </c>
      <c r="J549" s="99" t="str">
        <f>VLOOKUP(A549,Base!A:F,6,0)</f>
        <v>LUIS ALBERTO  ROJAS  GONZALEZ</v>
      </c>
      <c r="K549" s="89" t="str">
        <f>IFERROR(IF(VLOOKUP(I549,Ingreso!K:P,6,0)=0,"Sin turtno ing",VLOOKUP(I549,Ingreso!K:P,6,0)),IF(F549&gt;0.25,IF(F549&lt;0.311805555555556,"Turno A",IF(F549&gt;0.3125,IF(F549&lt;0.354166666666667,"Turno C",IF(F549&gt;0.583333333333333,IF(F549&lt;0.625,"Turno B",IF(F549&gt;0.625694444444444,IF(F549&lt;0.8125,"Turno A",IF(F549&gt;0.875,IF(F549&lt;0.936805555555556,"Turno C",IF(F549&gt;0.9375,IF(F549&lt;0.979166666666667,"Turno B",""),"")),"")),"")),"")),"")),""))</f>
        <v>Turno C</v>
      </c>
      <c r="L549" s="91">
        <f t="shared" si="8"/>
        <v>0.375</v>
      </c>
    </row>
    <row r="550" spans="1:12" s="40" customFormat="1">
      <c r="A550">
        <v>9485526</v>
      </c>
      <c r="B550" t="s">
        <v>133</v>
      </c>
      <c r="C550" t="s">
        <v>847</v>
      </c>
      <c r="D550" t="s">
        <v>83</v>
      </c>
      <c r="E550" t="s">
        <v>1438</v>
      </c>
      <c r="F550" s="78">
        <v>0.31884259259259257</v>
      </c>
      <c r="G550" t="s">
        <v>1406</v>
      </c>
      <c r="H550" t="s">
        <v>1336</v>
      </c>
      <c r="I550" s="88" t="str">
        <f>VLOOKUP(A550,Base!A:B,2,0)</f>
        <v>09.485.526-8</v>
      </c>
      <c r="J550" s="99" t="str">
        <f>VLOOKUP(A550,Base!A:F,6,0)</f>
        <v>LUIS ALBERTO  ROJAS  GONZALEZ</v>
      </c>
      <c r="K550" s="89" t="str">
        <f>IFERROR(IF(VLOOKUP(I550,Ingreso!K:P,6,0)=0,"Sin turtno ing",VLOOKUP(I550,Ingreso!K:P,6,0)),IF(F550&gt;0.25,IF(F550&lt;0.311805555555556,"Turno A",IF(F550&gt;0.3125,IF(F550&lt;0.354166666666667,"Turno C",IF(F550&gt;0.583333333333333,IF(F550&lt;0.625,"Turno B",IF(F550&gt;0.625694444444444,IF(F550&lt;0.8125,"Turno A",IF(F550&gt;0.875,IF(F550&lt;0.936805555555556,"Turno C",IF(F550&gt;0.9375,IF(F550&lt;0.979166666666667,"Turno B",""),"")),"")),"")),"")),"")),""))</f>
        <v>Turno C</v>
      </c>
      <c r="L550" s="91">
        <f t="shared" si="8"/>
        <v>0.375</v>
      </c>
    </row>
    <row r="551" spans="1:12" s="40" customFormat="1">
      <c r="A551">
        <v>9485526</v>
      </c>
      <c r="B551" t="s">
        <v>133</v>
      </c>
      <c r="C551" t="s">
        <v>847</v>
      </c>
      <c r="D551" t="s">
        <v>83</v>
      </c>
      <c r="E551" t="s">
        <v>1438</v>
      </c>
      <c r="F551" s="78">
        <v>0.92012731481481491</v>
      </c>
      <c r="G551" t="s">
        <v>1405</v>
      </c>
      <c r="H551" t="s">
        <v>1335</v>
      </c>
      <c r="I551" s="88" t="str">
        <f>VLOOKUP(A551,Base!A:B,2,0)</f>
        <v>09.485.526-8</v>
      </c>
      <c r="J551" s="99" t="str">
        <f>VLOOKUP(A551,Base!A:F,6,0)</f>
        <v>LUIS ALBERTO  ROJAS  GONZALEZ</v>
      </c>
      <c r="K551" s="89" t="str">
        <f>IFERROR(IF(VLOOKUP(I551,Ingreso!K:P,6,0)=0,"Sin turtno ing",VLOOKUP(I551,Ingreso!K:P,6,0)),IF(F551&gt;0.25,IF(F551&lt;0.311805555555556,"Turno A",IF(F551&gt;0.3125,IF(F551&lt;0.354166666666667,"Turno C",IF(F551&gt;0.583333333333333,IF(F551&lt;0.625,"Turno B",IF(F551&gt;0.625694444444444,IF(F551&lt;0.8125,"Turno A",IF(F551&gt;0.875,IF(F551&lt;0.936805555555556,"Turno C",IF(F551&gt;0.9375,IF(F551&lt;0.979166666666667,"Turno B",""),"")),"")),"")),"")),"")),""))</f>
        <v>Turno C</v>
      </c>
      <c r="L551" s="91">
        <f t="shared" si="8"/>
        <v>0.375</v>
      </c>
    </row>
    <row r="552" spans="1:12" s="40" customFormat="1">
      <c r="A552">
        <v>9485526</v>
      </c>
      <c r="B552" t="s">
        <v>133</v>
      </c>
      <c r="C552" t="s">
        <v>847</v>
      </c>
      <c r="D552" t="s">
        <v>83</v>
      </c>
      <c r="E552" t="s">
        <v>1439</v>
      </c>
      <c r="F552" s="78">
        <v>0.32006944444444446</v>
      </c>
      <c r="G552" t="s">
        <v>1406</v>
      </c>
      <c r="H552" t="s">
        <v>1336</v>
      </c>
      <c r="I552" s="88" t="str">
        <f>VLOOKUP(A552,Base!A:B,2,0)</f>
        <v>09.485.526-8</v>
      </c>
      <c r="J552" s="99" t="str">
        <f>VLOOKUP(A552,Base!A:F,6,0)</f>
        <v>LUIS ALBERTO  ROJAS  GONZALEZ</v>
      </c>
      <c r="K552" s="89" t="str">
        <f>IFERROR(IF(VLOOKUP(I552,Ingreso!K:P,6,0)=0,"Sin turtno ing",VLOOKUP(I552,Ingreso!K:P,6,0)),IF(F552&gt;0.25,IF(F552&lt;0.311805555555556,"Turno A",IF(F552&gt;0.3125,IF(F552&lt;0.354166666666667,"Turno C",IF(F552&gt;0.583333333333333,IF(F552&lt;0.625,"Turno B",IF(F552&gt;0.625694444444444,IF(F552&lt;0.8125,"Turno A",IF(F552&gt;0.875,IF(F552&lt;0.936805555555556,"Turno C",IF(F552&gt;0.9375,IF(F552&lt;0.979166666666667,"Turno B",""),"")),"")),"")),"")),"")),""))</f>
        <v>Turno C</v>
      </c>
      <c r="L552" s="91">
        <f t="shared" si="8"/>
        <v>0.375</v>
      </c>
    </row>
    <row r="553" spans="1:12" s="40" customFormat="1">
      <c r="A553">
        <v>9485526</v>
      </c>
      <c r="B553" t="s">
        <v>133</v>
      </c>
      <c r="C553" t="s">
        <v>847</v>
      </c>
      <c r="D553" t="s">
        <v>83</v>
      </c>
      <c r="E553" t="s">
        <v>1439</v>
      </c>
      <c r="F553" s="78">
        <v>0.91853009259259266</v>
      </c>
      <c r="G553" t="s">
        <v>1405</v>
      </c>
      <c r="H553" t="s">
        <v>1335</v>
      </c>
      <c r="I553" s="88" t="str">
        <f>VLOOKUP(A553,Base!A:B,2,0)</f>
        <v>09.485.526-8</v>
      </c>
      <c r="J553" s="99" t="str">
        <f>VLOOKUP(A553,Base!A:F,6,0)</f>
        <v>LUIS ALBERTO  ROJAS  GONZALEZ</v>
      </c>
      <c r="K553" s="89" t="str">
        <f>IFERROR(IF(VLOOKUP(I553,Ingreso!K:P,6,0)=0,"Sin turtno ing",VLOOKUP(I553,Ingreso!K:P,6,0)),IF(F553&gt;0.25,IF(F553&lt;0.311805555555556,"Turno A",IF(F553&gt;0.3125,IF(F553&lt;0.354166666666667,"Turno C",IF(F553&gt;0.583333333333333,IF(F553&lt;0.625,"Turno B",IF(F553&gt;0.625694444444444,IF(F553&lt;0.8125,"Turno A",IF(F553&gt;0.875,IF(F553&lt;0.936805555555556,"Turno C",IF(F553&gt;0.9375,IF(F553&lt;0.979166666666667,"Turno B",""),"")),"")),"")),"")),"")),""))</f>
        <v>Turno C</v>
      </c>
      <c r="L553" s="91">
        <f t="shared" si="8"/>
        <v>0.375</v>
      </c>
    </row>
    <row r="554" spans="1:12" s="40" customFormat="1">
      <c r="A554">
        <v>9488801</v>
      </c>
      <c r="B554" t="s">
        <v>778</v>
      </c>
      <c r="C554" t="s">
        <v>126</v>
      </c>
      <c r="D554" t="s">
        <v>770</v>
      </c>
      <c r="E554" t="s">
        <v>1440</v>
      </c>
      <c r="F554" s="78">
        <v>0.31914351851851852</v>
      </c>
      <c r="G554" t="s">
        <v>1406</v>
      </c>
      <c r="H554" t="s">
        <v>1336</v>
      </c>
      <c r="I554" s="88" t="str">
        <f>VLOOKUP(A554,Base!A:B,2,0)</f>
        <v>09.488.801-8</v>
      </c>
      <c r="J554" s="99" t="str">
        <f>VLOOKUP(A554,Base!A:F,6,0)</f>
        <v>LUIS RICARDO  PALMA  SEREÑO</v>
      </c>
      <c r="K554" s="89" t="str">
        <f>IFERROR(IF(VLOOKUP(I554,Ingreso!K:P,6,0)=0,"Sin turtno ing",VLOOKUP(I554,Ingreso!K:P,6,0)),IF(F554&gt;0.25,IF(F554&lt;0.311805555555556,"Turno A",IF(F554&gt;0.3125,IF(F554&lt;0.354166666666667,"Turno C",IF(F554&gt;0.583333333333333,IF(F554&lt;0.625,"Turno B",IF(F554&gt;0.625694444444444,IF(F554&lt;0.8125,"Turno A",IF(F554&gt;0.875,IF(F554&lt;0.936805555555556,"Turno C",IF(F554&gt;0.9375,IF(F554&lt;0.979166666666667,"Turno B",""),"")),"")),"")),"")),"")),""))</f>
        <v>Turno C</v>
      </c>
      <c r="L554" s="91">
        <f t="shared" si="8"/>
        <v>0.375</v>
      </c>
    </row>
    <row r="555" spans="1:12" s="40" customFormat="1">
      <c r="A555">
        <v>9488801</v>
      </c>
      <c r="B555" t="s">
        <v>778</v>
      </c>
      <c r="C555" t="s">
        <v>126</v>
      </c>
      <c r="D555" t="s">
        <v>770</v>
      </c>
      <c r="E555" t="s">
        <v>1440</v>
      </c>
      <c r="F555" s="78">
        <v>0.92662037037037026</v>
      </c>
      <c r="G555" t="s">
        <v>1405</v>
      </c>
      <c r="H555" t="s">
        <v>1335</v>
      </c>
      <c r="I555" s="88" t="str">
        <f>VLOOKUP(A555,Base!A:B,2,0)</f>
        <v>09.488.801-8</v>
      </c>
      <c r="J555" s="99" t="str">
        <f>VLOOKUP(A555,Base!A:F,6,0)</f>
        <v>LUIS RICARDO  PALMA  SEREÑO</v>
      </c>
      <c r="K555" s="89" t="str">
        <f>IFERROR(IF(VLOOKUP(I555,Ingreso!K:P,6,0)=0,"Sin turtno ing",VLOOKUP(I555,Ingreso!K:P,6,0)),IF(F555&gt;0.25,IF(F555&lt;0.311805555555556,"Turno A",IF(F555&gt;0.3125,IF(F555&lt;0.354166666666667,"Turno C",IF(F555&gt;0.583333333333333,IF(F555&lt;0.625,"Turno B",IF(F555&gt;0.625694444444444,IF(F555&lt;0.8125,"Turno A",IF(F555&gt;0.875,IF(F555&lt;0.936805555555556,"Turno C",IF(F555&gt;0.9375,IF(F555&lt;0.979166666666667,"Turno B",""),"")),"")),"")),"")),"")),""))</f>
        <v>Turno C</v>
      </c>
      <c r="L555" s="91">
        <f t="shared" si="8"/>
        <v>0.375</v>
      </c>
    </row>
    <row r="556" spans="1:12" s="40" customFormat="1">
      <c r="A556">
        <v>9488801</v>
      </c>
      <c r="B556" t="s">
        <v>778</v>
      </c>
      <c r="C556" t="s">
        <v>126</v>
      </c>
      <c r="D556" t="s">
        <v>770</v>
      </c>
      <c r="E556" t="s">
        <v>1441</v>
      </c>
      <c r="F556" s="78">
        <v>0.32072916666666668</v>
      </c>
      <c r="G556" t="s">
        <v>1406</v>
      </c>
      <c r="H556" t="s">
        <v>1336</v>
      </c>
      <c r="I556" s="88" t="str">
        <f>VLOOKUP(A556,Base!A:B,2,0)</f>
        <v>09.488.801-8</v>
      </c>
      <c r="J556" s="99" t="str">
        <f>VLOOKUP(A556,Base!A:F,6,0)</f>
        <v>LUIS RICARDO  PALMA  SEREÑO</v>
      </c>
      <c r="K556" s="89" t="str">
        <f>IFERROR(IF(VLOOKUP(I556,Ingreso!K:P,6,0)=0,"Sin turtno ing",VLOOKUP(I556,Ingreso!K:P,6,0)),IF(F556&gt;0.25,IF(F556&lt;0.311805555555556,"Turno A",IF(F556&gt;0.3125,IF(F556&lt;0.354166666666667,"Turno C",IF(F556&gt;0.583333333333333,IF(F556&lt;0.625,"Turno B",IF(F556&gt;0.625694444444444,IF(F556&lt;0.8125,"Turno A",IF(F556&gt;0.875,IF(F556&lt;0.936805555555556,"Turno C",IF(F556&gt;0.9375,IF(F556&lt;0.979166666666667,"Turno B",""),"")),"")),"")),"")),"")),""))</f>
        <v>Turno C</v>
      </c>
      <c r="L556" s="91">
        <f t="shared" si="8"/>
        <v>0.375</v>
      </c>
    </row>
    <row r="557" spans="1:12" s="40" customFormat="1">
      <c r="A557">
        <v>9488801</v>
      </c>
      <c r="B557" t="s">
        <v>778</v>
      </c>
      <c r="C557" t="s">
        <v>126</v>
      </c>
      <c r="D557" t="s">
        <v>770</v>
      </c>
      <c r="E557" t="s">
        <v>1437</v>
      </c>
      <c r="F557" s="78">
        <v>0.92901620370370364</v>
      </c>
      <c r="G557" t="s">
        <v>1405</v>
      </c>
      <c r="H557" t="s">
        <v>1335</v>
      </c>
      <c r="I557" s="88" t="str">
        <f>VLOOKUP(A557,Base!A:B,2,0)</f>
        <v>09.488.801-8</v>
      </c>
      <c r="J557" s="99" t="str">
        <f>VLOOKUP(A557,Base!A:F,6,0)</f>
        <v>LUIS RICARDO  PALMA  SEREÑO</v>
      </c>
      <c r="K557" s="89" t="str">
        <f>IFERROR(IF(VLOOKUP(I557,Ingreso!K:P,6,0)=0,"Sin turtno ing",VLOOKUP(I557,Ingreso!K:P,6,0)),IF(F557&gt;0.25,IF(F557&lt;0.311805555555556,"Turno A",IF(F557&gt;0.3125,IF(F557&lt;0.354166666666667,"Turno C",IF(F557&gt;0.583333333333333,IF(F557&lt;0.625,"Turno B",IF(F557&gt;0.625694444444444,IF(F557&lt;0.8125,"Turno A",IF(F557&gt;0.875,IF(F557&lt;0.936805555555556,"Turno C",IF(F557&gt;0.9375,IF(F557&lt;0.979166666666667,"Turno B",""),"")),"")),"")),"")),"")),""))</f>
        <v>Turno C</v>
      </c>
      <c r="L557" s="91">
        <f t="shared" si="8"/>
        <v>0.375</v>
      </c>
    </row>
    <row r="558" spans="1:12" s="40" customFormat="1">
      <c r="A558">
        <v>9488801</v>
      </c>
      <c r="B558" t="s">
        <v>778</v>
      </c>
      <c r="C558" t="s">
        <v>126</v>
      </c>
      <c r="D558" t="s">
        <v>770</v>
      </c>
      <c r="E558" t="s">
        <v>1438</v>
      </c>
      <c r="F558" s="78">
        <v>0.31915509259259262</v>
      </c>
      <c r="G558" t="s">
        <v>1406</v>
      </c>
      <c r="H558" t="s">
        <v>1336</v>
      </c>
      <c r="I558" s="88" t="str">
        <f>VLOOKUP(A558,Base!A:B,2,0)</f>
        <v>09.488.801-8</v>
      </c>
      <c r="J558" s="99" t="str">
        <f>VLOOKUP(A558,Base!A:F,6,0)</f>
        <v>LUIS RICARDO  PALMA  SEREÑO</v>
      </c>
      <c r="K558" s="89" t="str">
        <f>IFERROR(IF(VLOOKUP(I558,Ingreso!K:P,6,0)=0,"Sin turtno ing",VLOOKUP(I558,Ingreso!K:P,6,0)),IF(F558&gt;0.25,IF(F558&lt;0.311805555555556,"Turno A",IF(F558&gt;0.3125,IF(F558&lt;0.354166666666667,"Turno C",IF(F558&gt;0.583333333333333,IF(F558&lt;0.625,"Turno B",IF(F558&gt;0.625694444444444,IF(F558&lt;0.8125,"Turno A",IF(F558&gt;0.875,IF(F558&lt;0.936805555555556,"Turno C",IF(F558&gt;0.9375,IF(F558&lt;0.979166666666667,"Turno B",""),"")),"")),"")),"")),"")),""))</f>
        <v>Turno C</v>
      </c>
      <c r="L558" s="91">
        <f t="shared" si="8"/>
        <v>0.375</v>
      </c>
    </row>
    <row r="559" spans="1:12" s="40" customFormat="1">
      <c r="A559">
        <v>9488801</v>
      </c>
      <c r="B559" t="s">
        <v>778</v>
      </c>
      <c r="C559" t="s">
        <v>126</v>
      </c>
      <c r="D559" t="s">
        <v>770</v>
      </c>
      <c r="E559" t="s">
        <v>1438</v>
      </c>
      <c r="F559" s="78">
        <v>0.92925925925925934</v>
      </c>
      <c r="G559" t="s">
        <v>1405</v>
      </c>
      <c r="H559" t="s">
        <v>1335</v>
      </c>
      <c r="I559" s="88" t="str">
        <f>VLOOKUP(A559,Base!A:B,2,0)</f>
        <v>09.488.801-8</v>
      </c>
      <c r="J559" s="99" t="str">
        <f>VLOOKUP(A559,Base!A:F,6,0)</f>
        <v>LUIS RICARDO  PALMA  SEREÑO</v>
      </c>
      <c r="K559" s="89" t="str">
        <f>IFERROR(IF(VLOOKUP(I559,Ingreso!K:P,6,0)=0,"Sin turtno ing",VLOOKUP(I559,Ingreso!K:P,6,0)),IF(F559&gt;0.25,IF(F559&lt;0.311805555555556,"Turno A",IF(F559&gt;0.3125,IF(F559&lt;0.354166666666667,"Turno C",IF(F559&gt;0.583333333333333,IF(F559&lt;0.625,"Turno B",IF(F559&gt;0.625694444444444,IF(F559&lt;0.8125,"Turno A",IF(F559&gt;0.875,IF(F559&lt;0.936805555555556,"Turno C",IF(F559&gt;0.9375,IF(F559&lt;0.979166666666667,"Turno B",""),"")),"")),"")),"")),"")),""))</f>
        <v>Turno C</v>
      </c>
      <c r="L559" s="91">
        <f t="shared" si="8"/>
        <v>0.375</v>
      </c>
    </row>
    <row r="560" spans="1:12" s="40" customFormat="1">
      <c r="A560">
        <v>9488801</v>
      </c>
      <c r="B560" t="s">
        <v>778</v>
      </c>
      <c r="C560" t="s">
        <v>126</v>
      </c>
      <c r="D560" t="s">
        <v>770</v>
      </c>
      <c r="E560" t="s">
        <v>1439</v>
      </c>
      <c r="F560" s="78">
        <v>0.32083333333333336</v>
      </c>
      <c r="G560" t="s">
        <v>1406</v>
      </c>
      <c r="H560" t="s">
        <v>1336</v>
      </c>
      <c r="I560" s="88" t="str">
        <f>VLOOKUP(A560,Base!A:B,2,0)</f>
        <v>09.488.801-8</v>
      </c>
      <c r="J560" s="99" t="str">
        <f>VLOOKUP(A560,Base!A:F,6,0)</f>
        <v>LUIS RICARDO  PALMA  SEREÑO</v>
      </c>
      <c r="K560" s="89" t="str">
        <f>IFERROR(IF(VLOOKUP(I560,Ingreso!K:P,6,0)=0,"Sin turtno ing",VLOOKUP(I560,Ingreso!K:P,6,0)),IF(F560&gt;0.25,IF(F560&lt;0.311805555555556,"Turno A",IF(F560&gt;0.3125,IF(F560&lt;0.354166666666667,"Turno C",IF(F560&gt;0.583333333333333,IF(F560&lt;0.625,"Turno B",IF(F560&gt;0.625694444444444,IF(F560&lt;0.8125,"Turno A",IF(F560&gt;0.875,IF(F560&lt;0.936805555555556,"Turno C",IF(F560&gt;0.9375,IF(F560&lt;0.979166666666667,"Turno B",""),"")),"")),"")),"")),"")),""))</f>
        <v>Turno C</v>
      </c>
      <c r="L560" s="91">
        <f t="shared" si="8"/>
        <v>0.375</v>
      </c>
    </row>
    <row r="561" spans="1:12" s="40" customFormat="1">
      <c r="A561">
        <v>9488801</v>
      </c>
      <c r="B561" t="s">
        <v>778</v>
      </c>
      <c r="C561" t="s">
        <v>126</v>
      </c>
      <c r="D561" t="s">
        <v>770</v>
      </c>
      <c r="E561" t="s">
        <v>1439</v>
      </c>
      <c r="F561" s="78">
        <v>0.92826388888888889</v>
      </c>
      <c r="G561" t="s">
        <v>1405</v>
      </c>
      <c r="H561" t="s">
        <v>1335</v>
      </c>
      <c r="I561" s="88" t="str">
        <f>VLOOKUP(A561,Base!A:B,2,0)</f>
        <v>09.488.801-8</v>
      </c>
      <c r="J561" s="99" t="str">
        <f>VLOOKUP(A561,Base!A:F,6,0)</f>
        <v>LUIS RICARDO  PALMA  SEREÑO</v>
      </c>
      <c r="K561" s="89" t="str">
        <f>IFERROR(IF(VLOOKUP(I561,Ingreso!K:P,6,0)=0,"Sin turtno ing",VLOOKUP(I561,Ingreso!K:P,6,0)),IF(F561&gt;0.25,IF(F561&lt;0.311805555555556,"Turno A",IF(F561&gt;0.3125,IF(F561&lt;0.354166666666667,"Turno C",IF(F561&gt;0.583333333333333,IF(F561&lt;0.625,"Turno B",IF(F561&gt;0.625694444444444,IF(F561&lt;0.8125,"Turno A",IF(F561&gt;0.875,IF(F561&lt;0.936805555555556,"Turno C",IF(F561&gt;0.9375,IF(F561&lt;0.979166666666667,"Turno B",""),"")),"")),"")),"")),"")),""))</f>
        <v>Turno C</v>
      </c>
      <c r="L561" s="91">
        <f t="shared" si="8"/>
        <v>0.375</v>
      </c>
    </row>
    <row r="562" spans="1:12" s="40" customFormat="1">
      <c r="A562">
        <v>9488820</v>
      </c>
      <c r="B562" t="s">
        <v>165</v>
      </c>
      <c r="C562" t="s">
        <v>33</v>
      </c>
      <c r="D562" t="s">
        <v>156</v>
      </c>
      <c r="E562" t="s">
        <v>1440</v>
      </c>
      <c r="F562" s="78">
        <v>0.32326388888888885</v>
      </c>
      <c r="G562" t="s">
        <v>1406</v>
      </c>
      <c r="H562" t="s">
        <v>1336</v>
      </c>
      <c r="I562" s="88" t="str">
        <f>VLOOKUP(A562,Base!A:B,2,0)</f>
        <v>09.488.820-4</v>
      </c>
      <c r="J562" s="99" t="str">
        <f>VLOOKUP(A562,Base!A:F,6,0)</f>
        <v>MARCO ANTONIO  MUÑOZ  BUGUEÑO</v>
      </c>
      <c r="K562" s="89" t="str">
        <f>IFERROR(IF(VLOOKUP(I562,Ingreso!K:P,6,0)=0,"Sin turtno ing",VLOOKUP(I562,Ingreso!K:P,6,0)),IF(F562&gt;0.25,IF(F562&lt;0.311805555555556,"Turno A",IF(F562&gt;0.3125,IF(F562&lt;0.354166666666667,"Turno C",IF(F562&gt;0.583333333333333,IF(F562&lt;0.625,"Turno B",IF(F562&gt;0.625694444444444,IF(F562&lt;0.8125,"Turno A",IF(F562&gt;0.875,IF(F562&lt;0.936805555555556,"Turno C",IF(F562&gt;0.9375,IF(F562&lt;0.979166666666667,"Turno B",""),"")),"")),"")),"")),"")),""))</f>
        <v>Turno C</v>
      </c>
      <c r="L562" s="91">
        <f t="shared" si="8"/>
        <v>0.375</v>
      </c>
    </row>
    <row r="563" spans="1:12" s="40" customFormat="1">
      <c r="A563">
        <v>9488820</v>
      </c>
      <c r="B563" t="s">
        <v>165</v>
      </c>
      <c r="C563" t="s">
        <v>33</v>
      </c>
      <c r="D563" t="s">
        <v>156</v>
      </c>
      <c r="E563" t="s">
        <v>1440</v>
      </c>
      <c r="F563" s="78">
        <v>0.79596064814814815</v>
      </c>
      <c r="G563" t="s">
        <v>1405</v>
      </c>
      <c r="H563" t="s">
        <v>1335</v>
      </c>
      <c r="I563" s="88" t="str">
        <f>VLOOKUP(A563,Base!A:B,2,0)</f>
        <v>09.488.820-4</v>
      </c>
      <c r="J563" s="99" t="str">
        <f>VLOOKUP(A563,Base!A:F,6,0)</f>
        <v>MARCO ANTONIO  MUÑOZ  BUGUEÑO</v>
      </c>
      <c r="K563" s="89" t="str">
        <f>IFERROR(IF(VLOOKUP(I563,Ingreso!K:P,6,0)=0,"Sin turtno ing",VLOOKUP(I563,Ingreso!K:P,6,0)),IF(F563&gt;0.25,IF(F563&lt;0.311805555555556,"Turno A",IF(F563&gt;0.3125,IF(F563&lt;0.354166666666667,"Turno C",IF(F563&gt;0.583333333333333,IF(F563&lt;0.625,"Turno B",IF(F563&gt;0.625694444444444,IF(F563&lt;0.8125,"Turno A",IF(F563&gt;0.875,IF(F563&lt;0.936805555555556,"Turno C",IF(F563&gt;0.9375,IF(F563&lt;0.979166666666667,"Turno B",""),"")),"")),"")),"")),"")),""))</f>
        <v>Turno A</v>
      </c>
      <c r="L563" s="91">
        <f t="shared" si="8"/>
        <v>0.3125</v>
      </c>
    </row>
    <row r="564" spans="1:12" s="40" customFormat="1">
      <c r="A564">
        <v>9488820</v>
      </c>
      <c r="B564" t="s">
        <v>165</v>
      </c>
      <c r="C564" t="s">
        <v>33</v>
      </c>
      <c r="D564" t="s">
        <v>156</v>
      </c>
      <c r="E564" t="s">
        <v>1441</v>
      </c>
      <c r="F564" s="78">
        <v>0.32520833333333332</v>
      </c>
      <c r="G564" t="s">
        <v>1406</v>
      </c>
      <c r="H564" t="s">
        <v>1336</v>
      </c>
      <c r="I564" s="88" t="str">
        <f>VLOOKUP(A564,Base!A:B,2,0)</f>
        <v>09.488.820-4</v>
      </c>
      <c r="J564" s="99" t="str">
        <f>VLOOKUP(A564,Base!A:F,6,0)</f>
        <v>MARCO ANTONIO  MUÑOZ  BUGUEÑO</v>
      </c>
      <c r="K564" s="89" t="str">
        <f>IFERROR(IF(VLOOKUP(I564,Ingreso!K:P,6,0)=0,"Sin turtno ing",VLOOKUP(I564,Ingreso!K:P,6,0)),IF(F564&gt;0.25,IF(F564&lt;0.311805555555556,"Turno A",IF(F564&gt;0.3125,IF(F564&lt;0.354166666666667,"Turno C",IF(F564&gt;0.583333333333333,IF(F564&lt;0.625,"Turno B",IF(F564&gt;0.625694444444444,IF(F564&lt;0.8125,"Turno A",IF(F564&gt;0.875,IF(F564&lt;0.936805555555556,"Turno C",IF(F564&gt;0.9375,IF(F564&lt;0.979166666666667,"Turno B",""),"")),"")),"")),"")),"")),""))</f>
        <v>Turno C</v>
      </c>
      <c r="L564" s="91">
        <f t="shared" si="8"/>
        <v>0.375</v>
      </c>
    </row>
    <row r="565" spans="1:12" s="40" customFormat="1">
      <c r="A565">
        <v>9488820</v>
      </c>
      <c r="B565" t="s">
        <v>165</v>
      </c>
      <c r="C565" t="s">
        <v>33</v>
      </c>
      <c r="D565" t="s">
        <v>156</v>
      </c>
      <c r="E565" t="s">
        <v>1441</v>
      </c>
      <c r="F565" s="78">
        <v>0.94981481481481478</v>
      </c>
      <c r="G565" t="s">
        <v>1406</v>
      </c>
      <c r="H565" t="s">
        <v>1336</v>
      </c>
      <c r="I565" s="88" t="str">
        <f>VLOOKUP(A565,Base!A:B,2,0)</f>
        <v>09.488.820-4</v>
      </c>
      <c r="J565" s="99" t="str">
        <f>VLOOKUP(A565,Base!A:F,6,0)</f>
        <v>MARCO ANTONIO  MUÑOZ  BUGUEÑO</v>
      </c>
      <c r="K565" s="89" t="str">
        <f>IFERROR(IF(VLOOKUP(I565,Ingreso!K:P,6,0)=0,"Sin turtno ing",VLOOKUP(I565,Ingreso!K:P,6,0)),IF(F565&gt;0.25,IF(F565&lt;0.311805555555556,"Turno A",IF(F565&gt;0.3125,IF(F565&lt;0.354166666666667,"Turno C",IF(F565&gt;0.583333333333333,IF(F565&lt;0.625,"Turno B",IF(F565&gt;0.625694444444444,IF(F565&lt;0.8125,"Turno A",IF(F565&gt;0.875,IF(F565&lt;0.936805555555556,"Turno C",IF(F565&gt;0.9375,IF(F565&lt;0.979166666666667,"Turno B",""),"")),"")),"")),"")),"")),""))</f>
        <v>Turno B</v>
      </c>
      <c r="L565" s="91">
        <f t="shared" si="8"/>
        <v>0.3125</v>
      </c>
    </row>
    <row r="566" spans="1:12" s="40" customFormat="1">
      <c r="A566">
        <v>9488820</v>
      </c>
      <c r="B566" t="s">
        <v>165</v>
      </c>
      <c r="C566" t="s">
        <v>33</v>
      </c>
      <c r="D566" t="s">
        <v>156</v>
      </c>
      <c r="E566" t="s">
        <v>1441</v>
      </c>
      <c r="F566" s="78">
        <v>0.60958333333333337</v>
      </c>
      <c r="G566" t="s">
        <v>1405</v>
      </c>
      <c r="H566" t="s">
        <v>1335</v>
      </c>
      <c r="I566" s="88" t="str">
        <f>VLOOKUP(A566,Base!A:B,2,0)</f>
        <v>09.488.820-4</v>
      </c>
      <c r="J566" s="99" t="str">
        <f>VLOOKUP(A566,Base!A:F,6,0)</f>
        <v>MARCO ANTONIO  MUÑOZ  BUGUEÑO</v>
      </c>
      <c r="K566" s="89" t="str">
        <f>IFERROR(IF(VLOOKUP(I566,Ingreso!K:P,6,0)=0,"Sin turtno ing",VLOOKUP(I566,Ingreso!K:P,6,0)),IF(F566&gt;0.25,IF(F566&lt;0.311805555555556,"Turno A",IF(F566&gt;0.3125,IF(F566&lt;0.354166666666667,"Turno C",IF(F566&gt;0.583333333333333,IF(F566&lt;0.625,"Turno B",IF(F566&gt;0.625694444444444,IF(F566&lt;0.8125,"Turno A",IF(F566&gt;0.875,IF(F566&lt;0.936805555555556,"Turno C",IF(F566&gt;0.9375,IF(F566&lt;0.979166666666667,"Turno B",""),"")),"")),"")),"")),"")),""))</f>
        <v>Turno B</v>
      </c>
      <c r="L566" s="91">
        <f t="shared" si="8"/>
        <v>0.3125</v>
      </c>
    </row>
    <row r="567" spans="1:12" s="40" customFormat="1">
      <c r="A567">
        <v>9488820</v>
      </c>
      <c r="B567" t="s">
        <v>165</v>
      </c>
      <c r="C567" t="s">
        <v>33</v>
      </c>
      <c r="D567" t="s">
        <v>156</v>
      </c>
      <c r="E567" t="s">
        <v>1437</v>
      </c>
      <c r="F567" s="78">
        <v>0.91812499999999997</v>
      </c>
      <c r="G567" t="s">
        <v>1405</v>
      </c>
      <c r="H567" t="s">
        <v>1335</v>
      </c>
      <c r="I567" s="88" t="str">
        <f>VLOOKUP(A567,Base!A:B,2,0)</f>
        <v>09.488.820-4</v>
      </c>
      <c r="J567" s="99" t="str">
        <f>VLOOKUP(A567,Base!A:F,6,0)</f>
        <v>MARCO ANTONIO  MUÑOZ  BUGUEÑO</v>
      </c>
      <c r="K567" s="89" t="str">
        <f>IFERROR(IF(VLOOKUP(I567,Ingreso!K:P,6,0)=0,"Sin turtno ing",VLOOKUP(I567,Ingreso!K:P,6,0)),IF(F567&gt;0.25,IF(F567&lt;0.311805555555556,"Turno A",IF(F567&gt;0.3125,IF(F567&lt;0.354166666666667,"Turno C",IF(F567&gt;0.583333333333333,IF(F567&lt;0.625,"Turno B",IF(F567&gt;0.625694444444444,IF(F567&lt;0.8125,"Turno A",IF(F567&gt;0.875,IF(F567&lt;0.936805555555556,"Turno C",IF(F567&gt;0.9375,IF(F567&lt;0.979166666666667,"Turno B",""),"")),"")),"")),"")),"")),""))</f>
        <v>Turno C</v>
      </c>
      <c r="L567" s="91">
        <f t="shared" si="8"/>
        <v>0.375</v>
      </c>
    </row>
    <row r="568" spans="1:12" s="40" customFormat="1">
      <c r="A568">
        <v>9488820</v>
      </c>
      <c r="B568" t="s">
        <v>165</v>
      </c>
      <c r="C568" t="s">
        <v>33</v>
      </c>
      <c r="D568" t="s">
        <v>156</v>
      </c>
      <c r="E568" t="s">
        <v>1438</v>
      </c>
      <c r="F568" s="78">
        <v>0.3210763888888889</v>
      </c>
      <c r="G568" t="s">
        <v>1406</v>
      </c>
      <c r="H568" t="s">
        <v>1336</v>
      </c>
      <c r="I568" s="88" t="str">
        <f>VLOOKUP(A568,Base!A:B,2,0)</f>
        <v>09.488.820-4</v>
      </c>
      <c r="J568" s="99" t="str">
        <f>VLOOKUP(A568,Base!A:F,6,0)</f>
        <v>MARCO ANTONIO  MUÑOZ  BUGUEÑO</v>
      </c>
      <c r="K568" s="89" t="str">
        <f>IFERROR(IF(VLOOKUP(I568,Ingreso!K:P,6,0)=0,"Sin turtno ing",VLOOKUP(I568,Ingreso!K:P,6,0)),IF(F568&gt;0.25,IF(F568&lt;0.311805555555556,"Turno A",IF(F568&gt;0.3125,IF(F568&lt;0.354166666666667,"Turno C",IF(F568&gt;0.583333333333333,IF(F568&lt;0.625,"Turno B",IF(F568&gt;0.625694444444444,IF(F568&lt;0.8125,"Turno A",IF(F568&gt;0.875,IF(F568&lt;0.936805555555556,"Turno C",IF(F568&gt;0.9375,IF(F568&lt;0.979166666666667,"Turno B",""),"")),"")),"")),"")),"")),""))</f>
        <v>Turno C</v>
      </c>
      <c r="L568" s="91">
        <f t="shared" si="8"/>
        <v>0.375</v>
      </c>
    </row>
    <row r="569" spans="1:12" s="40" customFormat="1">
      <c r="A569">
        <v>9488820</v>
      </c>
      <c r="B569" t="s">
        <v>165</v>
      </c>
      <c r="C569" t="s">
        <v>33</v>
      </c>
      <c r="D569" t="s">
        <v>156</v>
      </c>
      <c r="E569" t="s">
        <v>1438</v>
      </c>
      <c r="F569" s="78">
        <v>0.92017361111111118</v>
      </c>
      <c r="G569" t="s">
        <v>1405</v>
      </c>
      <c r="H569" t="s">
        <v>1335</v>
      </c>
      <c r="I569" s="88" t="str">
        <f>VLOOKUP(A569,Base!A:B,2,0)</f>
        <v>09.488.820-4</v>
      </c>
      <c r="J569" s="99" t="str">
        <f>VLOOKUP(A569,Base!A:F,6,0)</f>
        <v>MARCO ANTONIO  MUÑOZ  BUGUEÑO</v>
      </c>
      <c r="K569" s="89" t="str">
        <f>IFERROR(IF(VLOOKUP(I569,Ingreso!K:P,6,0)=0,"Sin turtno ing",VLOOKUP(I569,Ingreso!K:P,6,0)),IF(F569&gt;0.25,IF(F569&lt;0.311805555555556,"Turno A",IF(F569&gt;0.3125,IF(F569&lt;0.354166666666667,"Turno C",IF(F569&gt;0.583333333333333,IF(F569&lt;0.625,"Turno B",IF(F569&gt;0.625694444444444,IF(F569&lt;0.8125,"Turno A",IF(F569&gt;0.875,IF(F569&lt;0.936805555555556,"Turno C",IF(F569&gt;0.9375,IF(F569&lt;0.979166666666667,"Turno B",""),"")),"")),"")),"")),"")),""))</f>
        <v>Turno C</v>
      </c>
      <c r="L569" s="91">
        <f t="shared" si="8"/>
        <v>0.375</v>
      </c>
    </row>
    <row r="570" spans="1:12" s="40" customFormat="1">
      <c r="A570">
        <v>9488820</v>
      </c>
      <c r="B570" t="s">
        <v>165</v>
      </c>
      <c r="C570" t="s">
        <v>33</v>
      </c>
      <c r="D570" t="s">
        <v>156</v>
      </c>
      <c r="E570" t="s">
        <v>1439</v>
      </c>
      <c r="F570" s="78">
        <v>0.3228935185185185</v>
      </c>
      <c r="G570" t="s">
        <v>1406</v>
      </c>
      <c r="H570" t="s">
        <v>1336</v>
      </c>
      <c r="I570" s="88" t="str">
        <f>VLOOKUP(A570,Base!A:B,2,0)</f>
        <v>09.488.820-4</v>
      </c>
      <c r="J570" s="99" t="str">
        <f>VLOOKUP(A570,Base!A:F,6,0)</f>
        <v>MARCO ANTONIO  MUÑOZ  BUGUEÑO</v>
      </c>
      <c r="K570" s="89" t="str">
        <f>IFERROR(IF(VLOOKUP(I570,Ingreso!K:P,6,0)=0,"Sin turtno ing",VLOOKUP(I570,Ingreso!K:P,6,0)),IF(F570&gt;0.25,IF(F570&lt;0.311805555555556,"Turno A",IF(F570&gt;0.3125,IF(F570&lt;0.354166666666667,"Turno C",IF(F570&gt;0.583333333333333,IF(F570&lt;0.625,"Turno B",IF(F570&gt;0.625694444444444,IF(F570&lt;0.8125,"Turno A",IF(F570&gt;0.875,IF(F570&lt;0.936805555555556,"Turno C",IF(F570&gt;0.9375,IF(F570&lt;0.979166666666667,"Turno B",""),"")),"")),"")),"")),"")),""))</f>
        <v>Turno C</v>
      </c>
      <c r="L570" s="91">
        <f t="shared" si="8"/>
        <v>0.375</v>
      </c>
    </row>
    <row r="571" spans="1:12" s="40" customFormat="1">
      <c r="A571">
        <v>9488820</v>
      </c>
      <c r="B571" t="s">
        <v>165</v>
      </c>
      <c r="C571" t="s">
        <v>33</v>
      </c>
      <c r="D571" t="s">
        <v>156</v>
      </c>
      <c r="E571" t="s">
        <v>1439</v>
      </c>
      <c r="F571" s="78">
        <v>0.80846064814814822</v>
      </c>
      <c r="G571" t="s">
        <v>1405</v>
      </c>
      <c r="H571" t="s">
        <v>1335</v>
      </c>
      <c r="I571" s="88" t="str">
        <f>VLOOKUP(A571,Base!A:B,2,0)</f>
        <v>09.488.820-4</v>
      </c>
      <c r="J571" s="99" t="str">
        <f>VLOOKUP(A571,Base!A:F,6,0)</f>
        <v>MARCO ANTONIO  MUÑOZ  BUGUEÑO</v>
      </c>
      <c r="K571" s="89" t="str">
        <f>IFERROR(IF(VLOOKUP(I571,Ingreso!K:P,6,0)=0,"Sin turtno ing",VLOOKUP(I571,Ingreso!K:P,6,0)),IF(F571&gt;0.25,IF(F571&lt;0.311805555555556,"Turno A",IF(F571&gt;0.3125,IF(F571&lt;0.354166666666667,"Turno C",IF(F571&gt;0.583333333333333,IF(F571&lt;0.625,"Turno B",IF(F571&gt;0.625694444444444,IF(F571&lt;0.8125,"Turno A",IF(F571&gt;0.875,IF(F571&lt;0.936805555555556,"Turno C",IF(F571&gt;0.9375,IF(F571&lt;0.979166666666667,"Turno B",""),"")),"")),"")),"")),"")),""))</f>
        <v>Turno A</v>
      </c>
      <c r="L571" s="91">
        <f t="shared" si="8"/>
        <v>0.3125</v>
      </c>
    </row>
    <row r="572" spans="1:12" s="40" customFormat="1">
      <c r="A572">
        <v>9503712</v>
      </c>
      <c r="B572" t="s">
        <v>728</v>
      </c>
      <c r="C572" t="s">
        <v>727</v>
      </c>
      <c r="D572" t="s">
        <v>69</v>
      </c>
      <c r="E572" t="s">
        <v>1440</v>
      </c>
      <c r="F572" s="78">
        <v>0.63421296296296303</v>
      </c>
      <c r="G572" t="s">
        <v>1406</v>
      </c>
      <c r="H572" t="s">
        <v>1336</v>
      </c>
      <c r="I572" s="88" t="str">
        <f>VLOOKUP(A572,Base!A:B,2,0)</f>
        <v>09.503.712-7</v>
      </c>
      <c r="J572" s="99" t="str">
        <f>VLOOKUP(A572,Base!A:F,6,0)</f>
        <v>MANUEL  ORTIZ  CONTRERAS</v>
      </c>
      <c r="K572" s="89" t="str">
        <f>IFERROR(IF(VLOOKUP(I572,Ingreso!K:P,6,0)=0,"Sin turtno ing",VLOOKUP(I572,Ingreso!K:P,6,0)),IF(F572&gt;0.25,IF(F572&lt;0.311805555555556,"Turno A",IF(F572&gt;0.3125,IF(F572&lt;0.354166666666667,"Turno C",IF(F572&gt;0.583333333333333,IF(F572&lt;0.625,"Turno B",IF(F572&gt;0.625694444444444,IF(F572&lt;0.8125,"Turno A",IF(F572&gt;0.875,IF(F572&lt;0.936805555555556,"Turno C",IF(F572&gt;0.9375,IF(F572&lt;0.979166666666667,"Turno B",""),"")),"")),"")),"")),"")),""))</f>
        <v>Turno A</v>
      </c>
      <c r="L572" s="91">
        <f t="shared" si="8"/>
        <v>0.3125</v>
      </c>
    </row>
    <row r="573" spans="1:12" s="40" customFormat="1">
      <c r="A573">
        <v>9503712</v>
      </c>
      <c r="B573" t="s">
        <v>728</v>
      </c>
      <c r="C573" t="s">
        <v>727</v>
      </c>
      <c r="D573" t="s">
        <v>69</v>
      </c>
      <c r="E573" t="s">
        <v>1440</v>
      </c>
      <c r="F573" s="78">
        <v>0.29093750000000002</v>
      </c>
      <c r="G573" t="s">
        <v>1405</v>
      </c>
      <c r="H573" t="s">
        <v>1335</v>
      </c>
      <c r="I573" s="88" t="str">
        <f>VLOOKUP(A573,Base!A:B,2,0)</f>
        <v>09.503.712-7</v>
      </c>
      <c r="J573" s="99" t="str">
        <f>VLOOKUP(A573,Base!A:F,6,0)</f>
        <v>MANUEL  ORTIZ  CONTRERAS</v>
      </c>
      <c r="K573" s="89" t="str">
        <f>IFERROR(IF(VLOOKUP(I573,Ingreso!K:P,6,0)=0,"Sin turtno ing",VLOOKUP(I573,Ingreso!K:P,6,0)),IF(F573&gt;0.25,IF(F573&lt;0.311805555555556,"Turno A",IF(F573&gt;0.3125,IF(F573&lt;0.354166666666667,"Turno C",IF(F573&gt;0.583333333333333,IF(F573&lt;0.625,"Turno B",IF(F573&gt;0.625694444444444,IF(F573&lt;0.8125,"Turno A",IF(F573&gt;0.875,IF(F573&lt;0.936805555555556,"Turno C",IF(F573&gt;0.9375,IF(F573&lt;0.979166666666667,"Turno B",""),"")),"")),"")),"")),"")),""))</f>
        <v>Turno A</v>
      </c>
      <c r="L573" s="91">
        <f t="shared" si="8"/>
        <v>0.3125</v>
      </c>
    </row>
    <row r="574" spans="1:12" s="40" customFormat="1">
      <c r="A574">
        <v>9503712</v>
      </c>
      <c r="B574" t="s">
        <v>728</v>
      </c>
      <c r="C574" t="s">
        <v>727</v>
      </c>
      <c r="D574" t="s">
        <v>69</v>
      </c>
      <c r="E574" t="s">
        <v>1441</v>
      </c>
      <c r="F574" s="78">
        <v>0.63535879629629632</v>
      </c>
      <c r="G574" t="s">
        <v>1406</v>
      </c>
      <c r="H574" t="s">
        <v>1336</v>
      </c>
      <c r="I574" s="88" t="str">
        <f>VLOOKUP(A574,Base!A:B,2,0)</f>
        <v>09.503.712-7</v>
      </c>
      <c r="J574" s="99" t="str">
        <f>VLOOKUP(A574,Base!A:F,6,0)</f>
        <v>MANUEL  ORTIZ  CONTRERAS</v>
      </c>
      <c r="K574" s="89" t="str">
        <f>IFERROR(IF(VLOOKUP(I574,Ingreso!K:P,6,0)=0,"Sin turtno ing",VLOOKUP(I574,Ingreso!K:P,6,0)),IF(F574&gt;0.25,IF(F574&lt;0.311805555555556,"Turno A",IF(F574&gt;0.3125,IF(F574&lt;0.354166666666667,"Turno C",IF(F574&gt;0.583333333333333,IF(F574&lt;0.625,"Turno B",IF(F574&gt;0.625694444444444,IF(F574&lt;0.8125,"Turno A",IF(F574&gt;0.875,IF(F574&lt;0.936805555555556,"Turno C",IF(F574&gt;0.9375,IF(F574&lt;0.979166666666667,"Turno B",""),"")),"")),"")),"")),"")),""))</f>
        <v>Turno A</v>
      </c>
      <c r="L574" s="91">
        <f t="shared" si="8"/>
        <v>0.3125</v>
      </c>
    </row>
    <row r="575" spans="1:12" s="40" customFormat="1">
      <c r="A575">
        <v>9503712</v>
      </c>
      <c r="B575" t="s">
        <v>728</v>
      </c>
      <c r="C575" t="s">
        <v>727</v>
      </c>
      <c r="D575" t="s">
        <v>69</v>
      </c>
      <c r="E575" t="s">
        <v>1441</v>
      </c>
      <c r="F575" s="78">
        <v>0.29151620370370374</v>
      </c>
      <c r="G575" t="s">
        <v>1405</v>
      </c>
      <c r="H575" t="s">
        <v>1335</v>
      </c>
      <c r="I575" s="88" t="str">
        <f>VLOOKUP(A575,Base!A:B,2,0)</f>
        <v>09.503.712-7</v>
      </c>
      <c r="J575" s="99" t="str">
        <f>VLOOKUP(A575,Base!A:F,6,0)</f>
        <v>MANUEL  ORTIZ  CONTRERAS</v>
      </c>
      <c r="K575" s="89" t="str">
        <f>IFERROR(IF(VLOOKUP(I575,Ingreso!K:P,6,0)=0,"Sin turtno ing",VLOOKUP(I575,Ingreso!K:P,6,0)),IF(F575&gt;0.25,IF(F575&lt;0.311805555555556,"Turno A",IF(F575&gt;0.3125,IF(F575&lt;0.354166666666667,"Turno C",IF(F575&gt;0.583333333333333,IF(F575&lt;0.625,"Turno B",IF(F575&gt;0.625694444444444,IF(F575&lt;0.8125,"Turno A",IF(F575&gt;0.875,IF(F575&lt;0.936805555555556,"Turno C",IF(F575&gt;0.9375,IF(F575&lt;0.979166666666667,"Turno B",""),"")),"")),"")),"")),"")),""))</f>
        <v>Turno A</v>
      </c>
      <c r="L575" s="91">
        <f t="shared" si="8"/>
        <v>0.3125</v>
      </c>
    </row>
    <row r="576" spans="1:12" s="40" customFormat="1">
      <c r="A576">
        <v>9503712</v>
      </c>
      <c r="B576" t="s">
        <v>728</v>
      </c>
      <c r="C576" t="s">
        <v>727</v>
      </c>
      <c r="D576" t="s">
        <v>69</v>
      </c>
      <c r="E576" t="s">
        <v>1438</v>
      </c>
      <c r="F576" s="78">
        <v>0.63627314814814817</v>
      </c>
      <c r="G576" t="s">
        <v>1406</v>
      </c>
      <c r="H576" t="s">
        <v>1336</v>
      </c>
      <c r="I576" s="88" t="str">
        <f>VLOOKUP(A576,Base!A:B,2,0)</f>
        <v>09.503.712-7</v>
      </c>
      <c r="J576" s="99" t="str">
        <f>VLOOKUP(A576,Base!A:F,6,0)</f>
        <v>MANUEL  ORTIZ  CONTRERAS</v>
      </c>
      <c r="K576" s="89" t="str">
        <f>IFERROR(IF(VLOOKUP(I576,Ingreso!K:P,6,0)=0,"Sin turtno ing",VLOOKUP(I576,Ingreso!K:P,6,0)),IF(F576&gt;0.25,IF(F576&lt;0.311805555555556,"Turno A",IF(F576&gt;0.3125,IF(F576&lt;0.354166666666667,"Turno C",IF(F576&gt;0.583333333333333,IF(F576&lt;0.625,"Turno B",IF(F576&gt;0.625694444444444,IF(F576&lt;0.8125,"Turno A",IF(F576&gt;0.875,IF(F576&lt;0.936805555555556,"Turno C",IF(F576&gt;0.9375,IF(F576&lt;0.979166666666667,"Turno B",""),"")),"")),"")),"")),"")),""))</f>
        <v>Turno A</v>
      </c>
      <c r="L576" s="91">
        <f t="shared" si="8"/>
        <v>0.3125</v>
      </c>
    </row>
    <row r="577" spans="1:12" s="40" customFormat="1">
      <c r="A577">
        <v>9503712</v>
      </c>
      <c r="B577" t="s">
        <v>728</v>
      </c>
      <c r="C577" t="s">
        <v>727</v>
      </c>
      <c r="D577" t="s">
        <v>69</v>
      </c>
      <c r="E577" t="s">
        <v>1438</v>
      </c>
      <c r="F577" s="78">
        <v>0.28836805555555556</v>
      </c>
      <c r="G577" t="s">
        <v>1405</v>
      </c>
      <c r="H577" t="s">
        <v>1335</v>
      </c>
      <c r="I577" s="88" t="str">
        <f>VLOOKUP(A577,Base!A:B,2,0)</f>
        <v>09.503.712-7</v>
      </c>
      <c r="J577" s="99" t="str">
        <f>VLOOKUP(A577,Base!A:F,6,0)</f>
        <v>MANUEL  ORTIZ  CONTRERAS</v>
      </c>
      <c r="K577" s="89" t="str">
        <f>IFERROR(IF(VLOOKUP(I577,Ingreso!K:P,6,0)=0,"Sin turtno ing",VLOOKUP(I577,Ingreso!K:P,6,0)),IF(F577&gt;0.25,IF(F577&lt;0.311805555555556,"Turno A",IF(F577&gt;0.3125,IF(F577&lt;0.354166666666667,"Turno C",IF(F577&gt;0.583333333333333,IF(F577&lt;0.625,"Turno B",IF(F577&gt;0.625694444444444,IF(F577&lt;0.8125,"Turno A",IF(F577&gt;0.875,IF(F577&lt;0.936805555555556,"Turno C",IF(F577&gt;0.9375,IF(F577&lt;0.979166666666667,"Turno B",""),"")),"")),"")),"")),"")),""))</f>
        <v>Turno A</v>
      </c>
      <c r="L577" s="91">
        <f t="shared" si="8"/>
        <v>0.3125</v>
      </c>
    </row>
    <row r="578" spans="1:12" s="40" customFormat="1">
      <c r="A578">
        <v>9503712</v>
      </c>
      <c r="B578" t="s">
        <v>728</v>
      </c>
      <c r="C578" t="s">
        <v>727</v>
      </c>
      <c r="D578" t="s">
        <v>69</v>
      </c>
      <c r="E578" t="s">
        <v>1439</v>
      </c>
      <c r="F578" s="78">
        <v>0.63555555555555554</v>
      </c>
      <c r="G578" t="s">
        <v>1406</v>
      </c>
      <c r="H578" t="s">
        <v>1336</v>
      </c>
      <c r="I578" s="88" t="str">
        <f>VLOOKUP(A578,Base!A:B,2,0)</f>
        <v>09.503.712-7</v>
      </c>
      <c r="J578" s="99" t="str">
        <f>VLOOKUP(A578,Base!A:F,6,0)</f>
        <v>MANUEL  ORTIZ  CONTRERAS</v>
      </c>
      <c r="K578" s="89" t="str">
        <f>IFERROR(IF(VLOOKUP(I578,Ingreso!K:P,6,0)=0,"Sin turtno ing",VLOOKUP(I578,Ingreso!K:P,6,0)),IF(F578&gt;0.25,IF(F578&lt;0.311805555555556,"Turno A",IF(F578&gt;0.3125,IF(F578&lt;0.354166666666667,"Turno C",IF(F578&gt;0.583333333333333,IF(F578&lt;0.625,"Turno B",IF(F578&gt;0.625694444444444,IF(F578&lt;0.8125,"Turno A",IF(F578&gt;0.875,IF(F578&lt;0.936805555555556,"Turno C",IF(F578&gt;0.9375,IF(F578&lt;0.979166666666667,"Turno B",""),"")),"")),"")),"")),"")),""))</f>
        <v>Turno A</v>
      </c>
      <c r="L578" s="91">
        <f t="shared" si="8"/>
        <v>0.3125</v>
      </c>
    </row>
    <row r="579" spans="1:12" s="40" customFormat="1">
      <c r="A579">
        <v>9503712</v>
      </c>
      <c r="B579" t="s">
        <v>728</v>
      </c>
      <c r="C579" t="s">
        <v>727</v>
      </c>
      <c r="D579" t="s">
        <v>69</v>
      </c>
      <c r="E579" t="s">
        <v>1439</v>
      </c>
      <c r="F579" s="78">
        <v>0.29115740740740742</v>
      </c>
      <c r="G579" t="s">
        <v>1405</v>
      </c>
      <c r="H579" t="s">
        <v>1335</v>
      </c>
      <c r="I579" s="88" t="str">
        <f>VLOOKUP(A579,Base!A:B,2,0)</f>
        <v>09.503.712-7</v>
      </c>
      <c r="J579" s="99" t="str">
        <f>VLOOKUP(A579,Base!A:F,6,0)</f>
        <v>MANUEL  ORTIZ  CONTRERAS</v>
      </c>
      <c r="K579" s="89" t="str">
        <f>IFERROR(IF(VLOOKUP(I579,Ingreso!K:P,6,0)=0,"Sin turtno ing",VLOOKUP(I579,Ingreso!K:P,6,0)),IF(F579&gt;0.25,IF(F579&lt;0.311805555555556,"Turno A",IF(F579&gt;0.3125,IF(F579&lt;0.354166666666667,"Turno C",IF(F579&gt;0.583333333333333,IF(F579&lt;0.625,"Turno B",IF(F579&gt;0.625694444444444,IF(F579&lt;0.8125,"Turno A",IF(F579&gt;0.875,IF(F579&lt;0.936805555555556,"Turno C",IF(F579&gt;0.9375,IF(F579&lt;0.979166666666667,"Turno B",""),"")),"")),"")),"")),"")),""))</f>
        <v>Turno A</v>
      </c>
      <c r="L579" s="91">
        <f t="shared" ref="L579:L642" si="9">VLOOKUP(K579,$S$3:$T$7,2,0)</f>
        <v>0.3125</v>
      </c>
    </row>
    <row r="580" spans="1:12" s="40" customFormat="1">
      <c r="A580">
        <v>9571017</v>
      </c>
      <c r="B580" t="s">
        <v>420</v>
      </c>
      <c r="C580" t="s">
        <v>419</v>
      </c>
      <c r="D580" t="s">
        <v>308</v>
      </c>
      <c r="E580" t="s">
        <v>1440</v>
      </c>
      <c r="F580" s="78">
        <v>2.0162037037037037E-2</v>
      </c>
      <c r="G580" t="s">
        <v>1406</v>
      </c>
      <c r="H580" t="s">
        <v>1336</v>
      </c>
      <c r="I580" s="88" t="str">
        <f>VLOOKUP(A580,Base!A:B,2,0)</f>
        <v>09.571.017-4</v>
      </c>
      <c r="J580" s="99" t="str">
        <f>VLOOKUP(A580,Base!A:F,6,0)</f>
        <v>MIGUEL FRANCISCO  GALLARDO  CASTRO</v>
      </c>
      <c r="K580" s="89" t="str">
        <f>IFERROR(IF(VLOOKUP(I580,Ingreso!K:P,6,0)=0,"Sin turtno ing",VLOOKUP(I580,Ingreso!K:P,6,0)),IF(F580&gt;0.25,IF(F580&lt;0.311805555555556,"Turno A",IF(F580&gt;0.3125,IF(F580&lt;0.354166666666667,"Turno C",IF(F580&gt;0.583333333333333,IF(F580&lt;0.625,"Turno B",IF(F580&gt;0.625694444444444,IF(F580&lt;0.8125,"Turno A",IF(F580&gt;0.875,IF(F580&lt;0.936805555555556,"Turno C",IF(F580&gt;0.9375,IF(F580&lt;0.979166666666667,"Turno B",""),"")),"")),"")),"")),"")),""))</f>
        <v>Turno B</v>
      </c>
      <c r="L580" s="91">
        <f t="shared" si="9"/>
        <v>0.3125</v>
      </c>
    </row>
    <row r="581" spans="1:12" s="40" customFormat="1">
      <c r="A581">
        <v>9571017</v>
      </c>
      <c r="B581" t="s">
        <v>420</v>
      </c>
      <c r="C581" t="s">
        <v>419</v>
      </c>
      <c r="D581" t="s">
        <v>308</v>
      </c>
      <c r="E581" t="s">
        <v>1440</v>
      </c>
      <c r="F581" s="78">
        <v>0.95990740740740732</v>
      </c>
      <c r="G581" t="s">
        <v>1406</v>
      </c>
      <c r="H581" t="s">
        <v>1336</v>
      </c>
      <c r="I581" s="88" t="str">
        <f>VLOOKUP(A581,Base!A:B,2,0)</f>
        <v>09.571.017-4</v>
      </c>
      <c r="J581" s="99" t="str">
        <f>VLOOKUP(A581,Base!A:F,6,0)</f>
        <v>MIGUEL FRANCISCO  GALLARDO  CASTRO</v>
      </c>
      <c r="K581" s="89" t="str">
        <f>IFERROR(IF(VLOOKUP(I581,Ingreso!K:P,6,0)=0,"Sin turtno ing",VLOOKUP(I581,Ingreso!K:P,6,0)),IF(F581&gt;0.25,IF(F581&lt;0.311805555555556,"Turno A",IF(F581&gt;0.3125,IF(F581&lt;0.354166666666667,"Turno C",IF(F581&gt;0.583333333333333,IF(F581&lt;0.625,"Turno B",IF(F581&gt;0.625694444444444,IF(F581&lt;0.8125,"Turno A",IF(F581&gt;0.875,IF(F581&lt;0.936805555555556,"Turno C",IF(F581&gt;0.9375,IF(F581&lt;0.979166666666667,"Turno B",""),"")),"")),"")),"")),"")),""))</f>
        <v>Turno B</v>
      </c>
      <c r="L581" s="91">
        <f t="shared" si="9"/>
        <v>0.3125</v>
      </c>
    </row>
    <row r="582" spans="1:12" s="40" customFormat="1">
      <c r="A582">
        <v>9571017</v>
      </c>
      <c r="B582" t="s">
        <v>420</v>
      </c>
      <c r="C582" t="s">
        <v>419</v>
      </c>
      <c r="D582" t="s">
        <v>308</v>
      </c>
      <c r="E582" t="s">
        <v>1440</v>
      </c>
      <c r="F582" s="78">
        <v>0.56723379629629633</v>
      </c>
      <c r="G582" t="s">
        <v>1405</v>
      </c>
      <c r="H582" t="s">
        <v>1335</v>
      </c>
      <c r="I582" s="88" t="str">
        <f>VLOOKUP(A582,Base!A:B,2,0)</f>
        <v>09.571.017-4</v>
      </c>
      <c r="J582" s="99" t="str">
        <f>VLOOKUP(A582,Base!A:F,6,0)</f>
        <v>MIGUEL FRANCISCO  GALLARDO  CASTRO</v>
      </c>
      <c r="K582" s="89" t="str">
        <f>IFERROR(IF(VLOOKUP(I582,Ingreso!K:P,6,0)=0,"Sin turtno ing",VLOOKUP(I582,Ingreso!K:P,6,0)),IF(F582&gt;0.25,IF(F582&lt;0.311805555555556,"Turno A",IF(F582&gt;0.3125,IF(F582&lt;0.354166666666667,"Turno C",IF(F582&gt;0.583333333333333,IF(F582&lt;0.625,"Turno B",IF(F582&gt;0.625694444444444,IF(F582&lt;0.8125,"Turno A",IF(F582&gt;0.875,IF(F582&lt;0.936805555555556,"Turno C",IF(F582&gt;0.9375,IF(F582&lt;0.979166666666667,"Turno B",""),"")),"")),"")),"")),"")),""))</f>
        <v>Turno B</v>
      </c>
      <c r="L582" s="91">
        <f t="shared" si="9"/>
        <v>0.3125</v>
      </c>
    </row>
    <row r="583" spans="1:12" s="40" customFormat="1">
      <c r="A583">
        <v>9571017</v>
      </c>
      <c r="B583" t="s">
        <v>420</v>
      </c>
      <c r="C583" t="s">
        <v>419</v>
      </c>
      <c r="D583" t="s">
        <v>308</v>
      </c>
      <c r="E583" t="s">
        <v>1441</v>
      </c>
      <c r="F583" s="78">
        <v>0.91630787037037031</v>
      </c>
      <c r="G583" t="s">
        <v>1406</v>
      </c>
      <c r="H583" t="s">
        <v>1336</v>
      </c>
      <c r="I583" s="88" t="str">
        <f>VLOOKUP(A583,Base!A:B,2,0)</f>
        <v>09.571.017-4</v>
      </c>
      <c r="J583" s="99" t="str">
        <f>VLOOKUP(A583,Base!A:F,6,0)</f>
        <v>MIGUEL FRANCISCO  GALLARDO  CASTRO</v>
      </c>
      <c r="K583" s="89" t="str">
        <f>IFERROR(IF(VLOOKUP(I583,Ingreso!K:P,6,0)=0,"Sin turtno ing",VLOOKUP(I583,Ingreso!K:P,6,0)),IF(F583&gt;0.25,IF(F583&lt;0.311805555555556,"Turno A",IF(F583&gt;0.3125,IF(F583&lt;0.354166666666667,"Turno C",IF(F583&gt;0.583333333333333,IF(F583&lt;0.625,"Turno B",IF(F583&gt;0.625694444444444,IF(F583&lt;0.8125,"Turno A",IF(F583&gt;0.875,IF(F583&lt;0.936805555555556,"Turno C",IF(F583&gt;0.9375,IF(F583&lt;0.979166666666667,"Turno B",""),"")),"")),"")),"")),"")),""))</f>
        <v>Turno B</v>
      </c>
      <c r="L583" s="91">
        <f t="shared" si="9"/>
        <v>0.3125</v>
      </c>
    </row>
    <row r="584" spans="1:12" s="40" customFormat="1">
      <c r="A584">
        <v>9571017</v>
      </c>
      <c r="B584" t="s">
        <v>420</v>
      </c>
      <c r="C584" t="s">
        <v>419</v>
      </c>
      <c r="D584" t="s">
        <v>308</v>
      </c>
      <c r="E584" t="s">
        <v>1441</v>
      </c>
      <c r="F584" s="78">
        <v>0.648900462962963</v>
      </c>
      <c r="G584" t="s">
        <v>1405</v>
      </c>
      <c r="H584" t="s">
        <v>1335</v>
      </c>
      <c r="I584" s="88" t="str">
        <f>VLOOKUP(A584,Base!A:B,2,0)</f>
        <v>09.571.017-4</v>
      </c>
      <c r="J584" s="99" t="str">
        <f>VLOOKUP(A584,Base!A:F,6,0)</f>
        <v>MIGUEL FRANCISCO  GALLARDO  CASTRO</v>
      </c>
      <c r="K584" s="89" t="str">
        <f>IFERROR(IF(VLOOKUP(I584,Ingreso!K:P,6,0)=0,"Sin turtno ing",VLOOKUP(I584,Ingreso!K:P,6,0)),IF(F584&gt;0.25,IF(F584&lt;0.311805555555556,"Turno A",IF(F584&gt;0.3125,IF(F584&lt;0.354166666666667,"Turno C",IF(F584&gt;0.583333333333333,IF(F584&lt;0.625,"Turno B",IF(F584&gt;0.625694444444444,IF(F584&lt;0.8125,"Turno A",IF(F584&gt;0.875,IF(F584&lt;0.936805555555556,"Turno C",IF(F584&gt;0.9375,IF(F584&lt;0.979166666666667,"Turno B",""),"")),"")),"")),"")),"")),""))</f>
        <v>Turno B</v>
      </c>
      <c r="L584" s="91">
        <f t="shared" si="9"/>
        <v>0.3125</v>
      </c>
    </row>
    <row r="585" spans="1:12" s="40" customFormat="1">
      <c r="A585">
        <v>9571017</v>
      </c>
      <c r="B585" t="s">
        <v>420</v>
      </c>
      <c r="C585" t="s">
        <v>419</v>
      </c>
      <c r="D585" t="s">
        <v>308</v>
      </c>
      <c r="E585" t="s">
        <v>1437</v>
      </c>
      <c r="F585" s="78">
        <v>0.96462962962962961</v>
      </c>
      <c r="G585" t="s">
        <v>1406</v>
      </c>
      <c r="H585" t="s">
        <v>1336</v>
      </c>
      <c r="I585" s="88" t="str">
        <f>VLOOKUP(A585,Base!A:B,2,0)</f>
        <v>09.571.017-4</v>
      </c>
      <c r="J585" s="99" t="str">
        <f>VLOOKUP(A585,Base!A:F,6,0)</f>
        <v>MIGUEL FRANCISCO  GALLARDO  CASTRO</v>
      </c>
      <c r="K585" s="89" t="str">
        <f>IFERROR(IF(VLOOKUP(I585,Ingreso!K:P,6,0)=0,"Sin turtno ing",VLOOKUP(I585,Ingreso!K:P,6,0)),IF(F585&gt;0.25,IF(F585&lt;0.311805555555556,"Turno A",IF(F585&gt;0.3125,IF(F585&lt;0.354166666666667,"Turno C",IF(F585&gt;0.583333333333333,IF(F585&lt;0.625,"Turno B",IF(F585&gt;0.625694444444444,IF(F585&lt;0.8125,"Turno A",IF(F585&gt;0.875,IF(F585&lt;0.936805555555556,"Turno C",IF(F585&gt;0.9375,IF(F585&lt;0.979166666666667,"Turno B",""),"")),"")),"")),"")),"")),""))</f>
        <v>Turno B</v>
      </c>
      <c r="L585" s="91">
        <f t="shared" si="9"/>
        <v>0.3125</v>
      </c>
    </row>
    <row r="586" spans="1:12" s="40" customFormat="1">
      <c r="A586">
        <v>9571017</v>
      </c>
      <c r="B586" t="s">
        <v>420</v>
      </c>
      <c r="C586" t="s">
        <v>419</v>
      </c>
      <c r="D586" t="s">
        <v>308</v>
      </c>
      <c r="E586" t="s">
        <v>1437</v>
      </c>
      <c r="F586" s="78">
        <v>0.51922453703703708</v>
      </c>
      <c r="G586" t="s">
        <v>1405</v>
      </c>
      <c r="H586" t="s">
        <v>1335</v>
      </c>
      <c r="I586" s="88" t="str">
        <f>VLOOKUP(A586,Base!A:B,2,0)</f>
        <v>09.571.017-4</v>
      </c>
      <c r="J586" s="99" t="str">
        <f>VLOOKUP(A586,Base!A:F,6,0)</f>
        <v>MIGUEL FRANCISCO  GALLARDO  CASTRO</v>
      </c>
      <c r="K586" s="89" t="str">
        <f>IFERROR(IF(VLOOKUP(I586,Ingreso!K:P,6,0)=0,"Sin turtno ing",VLOOKUP(I586,Ingreso!K:P,6,0)),IF(F586&gt;0.25,IF(F586&lt;0.311805555555556,"Turno A",IF(F586&gt;0.3125,IF(F586&lt;0.354166666666667,"Turno C",IF(F586&gt;0.583333333333333,IF(F586&lt;0.625,"Turno B",IF(F586&gt;0.625694444444444,IF(F586&lt;0.8125,"Turno A",IF(F586&gt;0.875,IF(F586&lt;0.936805555555556,"Turno C",IF(F586&gt;0.9375,IF(F586&lt;0.979166666666667,"Turno B",""),"")),"")),"")),"")),"")),""))</f>
        <v>Turno B</v>
      </c>
      <c r="L586" s="91">
        <f t="shared" si="9"/>
        <v>0.3125</v>
      </c>
    </row>
    <row r="587" spans="1:12" s="40" customFormat="1">
      <c r="A587">
        <v>9571017</v>
      </c>
      <c r="B587" t="s">
        <v>420</v>
      </c>
      <c r="C587" t="s">
        <v>419</v>
      </c>
      <c r="D587" t="s">
        <v>308</v>
      </c>
      <c r="E587" t="s">
        <v>1438</v>
      </c>
      <c r="F587" s="78">
        <v>0.5379976851851852</v>
      </c>
      <c r="G587" t="s">
        <v>1405</v>
      </c>
      <c r="H587" t="s">
        <v>1335</v>
      </c>
      <c r="I587" s="88" t="str">
        <f>VLOOKUP(A587,Base!A:B,2,0)</f>
        <v>09.571.017-4</v>
      </c>
      <c r="J587" s="99" t="str">
        <f>VLOOKUP(A587,Base!A:F,6,0)</f>
        <v>MIGUEL FRANCISCO  GALLARDO  CASTRO</v>
      </c>
      <c r="K587" s="89" t="str">
        <f>IFERROR(IF(VLOOKUP(I587,Ingreso!K:P,6,0)=0,"Sin turtno ing",VLOOKUP(I587,Ingreso!K:P,6,0)),IF(F587&gt;0.25,IF(F587&lt;0.311805555555556,"Turno A",IF(F587&gt;0.3125,IF(F587&lt;0.354166666666667,"Turno C",IF(F587&gt;0.583333333333333,IF(F587&lt;0.625,"Turno B",IF(F587&gt;0.625694444444444,IF(F587&lt;0.8125,"Turno A",IF(F587&gt;0.875,IF(F587&lt;0.936805555555556,"Turno C",IF(F587&gt;0.9375,IF(F587&lt;0.979166666666667,"Turno B",""),"")),"")),"")),"")),"")),""))</f>
        <v>Turno B</v>
      </c>
      <c r="L587" s="91">
        <f t="shared" si="9"/>
        <v>0.3125</v>
      </c>
    </row>
    <row r="588" spans="1:12" s="40" customFormat="1">
      <c r="A588">
        <v>9571017</v>
      </c>
      <c r="B588" t="s">
        <v>420</v>
      </c>
      <c r="C588" t="s">
        <v>419</v>
      </c>
      <c r="D588" t="s">
        <v>308</v>
      </c>
      <c r="E588" t="s">
        <v>1439</v>
      </c>
      <c r="F588" s="78">
        <v>1.0729166666666666E-2</v>
      </c>
      <c r="G588" t="s">
        <v>1406</v>
      </c>
      <c r="H588" t="s">
        <v>1336</v>
      </c>
      <c r="I588" s="88" t="str">
        <f>VLOOKUP(A588,Base!A:B,2,0)</f>
        <v>09.571.017-4</v>
      </c>
      <c r="J588" s="99" t="str">
        <f>VLOOKUP(A588,Base!A:F,6,0)</f>
        <v>MIGUEL FRANCISCO  GALLARDO  CASTRO</v>
      </c>
      <c r="K588" s="89" t="str">
        <f>IFERROR(IF(VLOOKUP(I588,Ingreso!K:P,6,0)=0,"Sin turtno ing",VLOOKUP(I588,Ingreso!K:P,6,0)),IF(F588&gt;0.25,IF(F588&lt;0.311805555555556,"Turno A",IF(F588&gt;0.3125,IF(F588&lt;0.354166666666667,"Turno C",IF(F588&gt;0.583333333333333,IF(F588&lt;0.625,"Turno B",IF(F588&gt;0.625694444444444,IF(F588&lt;0.8125,"Turno A",IF(F588&gt;0.875,IF(F588&lt;0.936805555555556,"Turno C",IF(F588&gt;0.9375,IF(F588&lt;0.979166666666667,"Turno B",""),"")),"")),"")),"")),"")),""))</f>
        <v>Turno B</v>
      </c>
      <c r="L588" s="91">
        <f t="shared" si="9"/>
        <v>0.3125</v>
      </c>
    </row>
    <row r="589" spans="1:12" s="40" customFormat="1">
      <c r="A589">
        <v>9571017</v>
      </c>
      <c r="B589" t="s">
        <v>420</v>
      </c>
      <c r="C589" t="s">
        <v>419</v>
      </c>
      <c r="D589" t="s">
        <v>308</v>
      </c>
      <c r="E589" t="s">
        <v>1439</v>
      </c>
      <c r="F589" s="78">
        <v>0.56049768518518517</v>
      </c>
      <c r="G589" t="s">
        <v>1405</v>
      </c>
      <c r="H589" t="s">
        <v>1335</v>
      </c>
      <c r="I589" s="88" t="str">
        <f>VLOOKUP(A589,Base!A:B,2,0)</f>
        <v>09.571.017-4</v>
      </c>
      <c r="J589" s="99" t="str">
        <f>VLOOKUP(A589,Base!A:F,6,0)</f>
        <v>MIGUEL FRANCISCO  GALLARDO  CASTRO</v>
      </c>
      <c r="K589" s="89" t="str">
        <f>IFERROR(IF(VLOOKUP(I589,Ingreso!K:P,6,0)=0,"Sin turtno ing",VLOOKUP(I589,Ingreso!K:P,6,0)),IF(F589&gt;0.25,IF(F589&lt;0.311805555555556,"Turno A",IF(F589&gt;0.3125,IF(F589&lt;0.354166666666667,"Turno C",IF(F589&gt;0.583333333333333,IF(F589&lt;0.625,"Turno B",IF(F589&gt;0.625694444444444,IF(F589&lt;0.8125,"Turno A",IF(F589&gt;0.875,IF(F589&lt;0.936805555555556,"Turno C",IF(F589&gt;0.9375,IF(F589&lt;0.979166666666667,"Turno B",""),"")),"")),"")),"")),"")),""))</f>
        <v>Turno B</v>
      </c>
      <c r="L589" s="91">
        <f t="shared" si="9"/>
        <v>0.3125</v>
      </c>
    </row>
    <row r="590" spans="1:12" s="40" customFormat="1">
      <c r="A590">
        <v>9608532</v>
      </c>
      <c r="B590" t="s">
        <v>339</v>
      </c>
      <c r="C590" t="s">
        <v>796</v>
      </c>
      <c r="D590" t="s">
        <v>797</v>
      </c>
      <c r="E590" t="s">
        <v>1407</v>
      </c>
      <c r="F590" s="78">
        <v>0</v>
      </c>
      <c r="G590"/>
      <c r="H590"/>
      <c r="I590" s="88" t="str">
        <f>VLOOKUP(A590,Base!A:B,2,0)</f>
        <v>09.608.532-K</v>
      </c>
      <c r="J590" s="99" t="str">
        <f>VLOOKUP(A590,Base!A:F,6,0)</f>
        <v>LUIS  PEZO  ANRIQUEZ</v>
      </c>
      <c r="K590" s="89" t="str">
        <f>IFERROR(IF(VLOOKUP(I590,Ingreso!K:P,6,0)=0,"Sin turtno ing",VLOOKUP(I590,Ingreso!K:P,6,0)),IF(F590&gt;0.25,IF(F590&lt;0.311805555555556,"Turno A",IF(F590&gt;0.3125,IF(F590&lt;0.354166666666667,"Turno C",IF(F590&gt;0.583333333333333,IF(F590&lt;0.625,"Turno B",IF(F590&gt;0.625694444444444,IF(F590&lt;0.8125,"Turno A",IF(F590&gt;0.875,IF(F590&lt;0.936805555555556,"Turno C",IF(F590&gt;0.9375,IF(F590&lt;0.979166666666667,"Turno B",""),"")),"")),"")),"")),"")),""))</f>
        <v/>
      </c>
      <c r="L590" s="91" t="e">
        <f t="shared" si="9"/>
        <v>#N/A</v>
      </c>
    </row>
    <row r="591" spans="1:12" s="40" customFormat="1">
      <c r="A591">
        <v>9613720</v>
      </c>
      <c r="B591" t="s">
        <v>663</v>
      </c>
      <c r="C591" t="s">
        <v>33</v>
      </c>
      <c r="D591" t="s">
        <v>83</v>
      </c>
      <c r="E591" t="s">
        <v>1440</v>
      </c>
      <c r="F591" s="78">
        <v>0.95079861111111119</v>
      </c>
      <c r="G591" t="s">
        <v>1406</v>
      </c>
      <c r="H591" t="s">
        <v>1336</v>
      </c>
      <c r="I591" s="88" t="str">
        <f>VLOOKUP(A591,Base!A:B,2,0)</f>
        <v>09.613.720-6</v>
      </c>
      <c r="J591" s="99" t="str">
        <f>VLOOKUP(A591,Base!A:F,6,0)</f>
        <v>ANGELA  MUÑOZ  GONZALEZ</v>
      </c>
      <c r="K591" s="89" t="str">
        <f>IFERROR(IF(VLOOKUP(I591,Ingreso!K:P,6,0)=0,"Sin turtno ing",VLOOKUP(I591,Ingreso!K:P,6,0)),IF(F591&gt;0.25,IF(F591&lt;0.311805555555556,"Turno A",IF(F591&gt;0.3125,IF(F591&lt;0.354166666666667,"Turno C",IF(F591&gt;0.583333333333333,IF(F591&lt;0.625,"Turno B",IF(F591&gt;0.625694444444444,IF(F591&lt;0.8125,"Turno A",IF(F591&gt;0.875,IF(F591&lt;0.936805555555556,"Turno C",IF(F591&gt;0.9375,IF(F591&lt;0.979166666666667,"Turno B",""),"")),"")),"")),"")),"")),""))</f>
        <v>Turno B</v>
      </c>
      <c r="L591" s="91">
        <f t="shared" si="9"/>
        <v>0.3125</v>
      </c>
    </row>
    <row r="592" spans="1:12" s="40" customFormat="1">
      <c r="A592">
        <v>9613720</v>
      </c>
      <c r="B592" t="s">
        <v>663</v>
      </c>
      <c r="C592" t="s">
        <v>33</v>
      </c>
      <c r="D592" t="s">
        <v>83</v>
      </c>
      <c r="E592" t="s">
        <v>1440</v>
      </c>
      <c r="F592" s="78">
        <v>0.61798611111111112</v>
      </c>
      <c r="G592" t="s">
        <v>1405</v>
      </c>
      <c r="H592" t="s">
        <v>1335</v>
      </c>
      <c r="I592" s="88" t="str">
        <f>VLOOKUP(A592,Base!A:B,2,0)</f>
        <v>09.613.720-6</v>
      </c>
      <c r="J592" s="99" t="str">
        <f>VLOOKUP(A592,Base!A:F,6,0)</f>
        <v>ANGELA  MUÑOZ  GONZALEZ</v>
      </c>
      <c r="K592" s="89" t="str">
        <f>IFERROR(IF(VLOOKUP(I592,Ingreso!K:P,6,0)=0,"Sin turtno ing",VLOOKUP(I592,Ingreso!K:P,6,0)),IF(F592&gt;0.25,IF(F592&lt;0.311805555555556,"Turno A",IF(F592&gt;0.3125,IF(F592&lt;0.354166666666667,"Turno C",IF(F592&gt;0.583333333333333,IF(F592&lt;0.625,"Turno B",IF(F592&gt;0.625694444444444,IF(F592&lt;0.8125,"Turno A",IF(F592&gt;0.875,IF(F592&lt;0.936805555555556,"Turno C",IF(F592&gt;0.9375,IF(F592&lt;0.979166666666667,"Turno B",""),"")),"")),"")),"")),"")),""))</f>
        <v>Turno B</v>
      </c>
      <c r="L592" s="91">
        <f t="shared" si="9"/>
        <v>0.3125</v>
      </c>
    </row>
    <row r="593" spans="1:12" s="40" customFormat="1">
      <c r="A593">
        <v>9613720</v>
      </c>
      <c r="B593" t="s">
        <v>663</v>
      </c>
      <c r="C593" t="s">
        <v>33</v>
      </c>
      <c r="D593" t="s">
        <v>83</v>
      </c>
      <c r="E593" t="s">
        <v>1441</v>
      </c>
      <c r="F593" s="78">
        <v>0.95116898148148143</v>
      </c>
      <c r="G593" t="s">
        <v>1406</v>
      </c>
      <c r="H593" t="s">
        <v>1336</v>
      </c>
      <c r="I593" s="88" t="str">
        <f>VLOOKUP(A593,Base!A:B,2,0)</f>
        <v>09.613.720-6</v>
      </c>
      <c r="J593" s="99" t="str">
        <f>VLOOKUP(A593,Base!A:F,6,0)</f>
        <v>ANGELA  MUÑOZ  GONZALEZ</v>
      </c>
      <c r="K593" s="89" t="str">
        <f>IFERROR(IF(VLOOKUP(I593,Ingreso!K:P,6,0)=0,"Sin turtno ing",VLOOKUP(I593,Ingreso!K:P,6,0)),IF(F593&gt;0.25,IF(F593&lt;0.311805555555556,"Turno A",IF(F593&gt;0.3125,IF(F593&lt;0.354166666666667,"Turno C",IF(F593&gt;0.583333333333333,IF(F593&lt;0.625,"Turno B",IF(F593&gt;0.625694444444444,IF(F593&lt;0.8125,"Turno A",IF(F593&gt;0.875,IF(F593&lt;0.936805555555556,"Turno C",IF(F593&gt;0.9375,IF(F593&lt;0.979166666666667,"Turno B",""),"")),"")),"")),"")),"")),""))</f>
        <v>Turno B</v>
      </c>
      <c r="L593" s="91">
        <f t="shared" si="9"/>
        <v>0.3125</v>
      </c>
    </row>
    <row r="594" spans="1:12" s="40" customFormat="1">
      <c r="A594">
        <v>9613720</v>
      </c>
      <c r="B594" t="s">
        <v>663</v>
      </c>
      <c r="C594" t="s">
        <v>33</v>
      </c>
      <c r="D594" t="s">
        <v>83</v>
      </c>
      <c r="E594" t="s">
        <v>1441</v>
      </c>
      <c r="F594" s="78">
        <v>0.61438657407407404</v>
      </c>
      <c r="G594" t="s">
        <v>1405</v>
      </c>
      <c r="H594" t="s">
        <v>1335</v>
      </c>
      <c r="I594" s="88" t="str">
        <f>VLOOKUP(A594,Base!A:B,2,0)</f>
        <v>09.613.720-6</v>
      </c>
      <c r="J594" s="99" t="str">
        <f>VLOOKUP(A594,Base!A:F,6,0)</f>
        <v>ANGELA  MUÑOZ  GONZALEZ</v>
      </c>
      <c r="K594" s="89" t="str">
        <f>IFERROR(IF(VLOOKUP(I594,Ingreso!K:P,6,0)=0,"Sin turtno ing",VLOOKUP(I594,Ingreso!K:P,6,0)),IF(F594&gt;0.25,IF(F594&lt;0.311805555555556,"Turno A",IF(F594&gt;0.3125,IF(F594&lt;0.354166666666667,"Turno C",IF(F594&gt;0.583333333333333,IF(F594&lt;0.625,"Turno B",IF(F594&gt;0.625694444444444,IF(F594&lt;0.8125,"Turno A",IF(F594&gt;0.875,IF(F594&lt;0.936805555555556,"Turno C",IF(F594&gt;0.9375,IF(F594&lt;0.979166666666667,"Turno B",""),"")),"")),"")),"")),"")),""))</f>
        <v>Turno B</v>
      </c>
      <c r="L594" s="91">
        <f t="shared" si="9"/>
        <v>0.3125</v>
      </c>
    </row>
    <row r="595" spans="1:12" s="40" customFormat="1">
      <c r="A595">
        <v>9613720</v>
      </c>
      <c r="B595" t="s">
        <v>663</v>
      </c>
      <c r="C595" t="s">
        <v>33</v>
      </c>
      <c r="D595" t="s">
        <v>83</v>
      </c>
      <c r="E595" t="s">
        <v>1437</v>
      </c>
      <c r="F595" s="78">
        <v>0.94655092592592593</v>
      </c>
      <c r="G595" t="s">
        <v>1406</v>
      </c>
      <c r="H595" t="s">
        <v>1336</v>
      </c>
      <c r="I595" s="88" t="str">
        <f>VLOOKUP(A595,Base!A:B,2,0)</f>
        <v>09.613.720-6</v>
      </c>
      <c r="J595" s="99" t="str">
        <f>VLOOKUP(A595,Base!A:F,6,0)</f>
        <v>ANGELA  MUÑOZ  GONZALEZ</v>
      </c>
      <c r="K595" s="89" t="str">
        <f>IFERROR(IF(VLOOKUP(I595,Ingreso!K:P,6,0)=0,"Sin turtno ing",VLOOKUP(I595,Ingreso!K:P,6,0)),IF(F595&gt;0.25,IF(F595&lt;0.311805555555556,"Turno A",IF(F595&gt;0.3125,IF(F595&lt;0.354166666666667,"Turno C",IF(F595&gt;0.583333333333333,IF(F595&lt;0.625,"Turno B",IF(F595&gt;0.625694444444444,IF(F595&lt;0.8125,"Turno A",IF(F595&gt;0.875,IF(F595&lt;0.936805555555556,"Turno C",IF(F595&gt;0.9375,IF(F595&lt;0.979166666666667,"Turno B",""),"")),"")),"")),"")),"")),""))</f>
        <v>Turno B</v>
      </c>
      <c r="L595" s="91">
        <f t="shared" si="9"/>
        <v>0.3125</v>
      </c>
    </row>
    <row r="596" spans="1:12" s="40" customFormat="1">
      <c r="A596">
        <v>9613720</v>
      </c>
      <c r="B596" t="s">
        <v>663</v>
      </c>
      <c r="C596" t="s">
        <v>33</v>
      </c>
      <c r="D596" t="s">
        <v>83</v>
      </c>
      <c r="E596" t="s">
        <v>1437</v>
      </c>
      <c r="F596" s="78">
        <v>0.60878472222222224</v>
      </c>
      <c r="G596" t="s">
        <v>1405</v>
      </c>
      <c r="H596" t="s">
        <v>1335</v>
      </c>
      <c r="I596" s="88" t="str">
        <f>VLOOKUP(A596,Base!A:B,2,0)</f>
        <v>09.613.720-6</v>
      </c>
      <c r="J596" s="99" t="str">
        <f>VLOOKUP(A596,Base!A:F,6,0)</f>
        <v>ANGELA  MUÑOZ  GONZALEZ</v>
      </c>
      <c r="K596" s="89" t="str">
        <f>IFERROR(IF(VLOOKUP(I596,Ingreso!K:P,6,0)=0,"Sin turtno ing",VLOOKUP(I596,Ingreso!K:P,6,0)),IF(F596&gt;0.25,IF(F596&lt;0.311805555555556,"Turno A",IF(F596&gt;0.3125,IF(F596&lt;0.354166666666667,"Turno C",IF(F596&gt;0.583333333333333,IF(F596&lt;0.625,"Turno B",IF(F596&gt;0.625694444444444,IF(F596&lt;0.8125,"Turno A",IF(F596&gt;0.875,IF(F596&lt;0.936805555555556,"Turno C",IF(F596&gt;0.9375,IF(F596&lt;0.979166666666667,"Turno B",""),"")),"")),"")),"")),"")),""))</f>
        <v>Turno B</v>
      </c>
      <c r="L596" s="91">
        <f t="shared" si="9"/>
        <v>0.3125</v>
      </c>
    </row>
    <row r="597" spans="1:12" s="40" customFormat="1">
      <c r="A597">
        <v>9613720</v>
      </c>
      <c r="B597" t="s">
        <v>663</v>
      </c>
      <c r="C597" t="s">
        <v>33</v>
      </c>
      <c r="D597" t="s">
        <v>83</v>
      </c>
      <c r="E597" t="s">
        <v>1438</v>
      </c>
      <c r="F597" s="78">
        <v>0.94329861111111113</v>
      </c>
      <c r="G597" t="s">
        <v>1406</v>
      </c>
      <c r="H597" t="s">
        <v>1336</v>
      </c>
      <c r="I597" s="88" t="str">
        <f>VLOOKUP(A597,Base!A:B,2,0)</f>
        <v>09.613.720-6</v>
      </c>
      <c r="J597" s="99" t="str">
        <f>VLOOKUP(A597,Base!A:F,6,0)</f>
        <v>ANGELA  MUÑOZ  GONZALEZ</v>
      </c>
      <c r="K597" s="89" t="str">
        <f>IFERROR(IF(VLOOKUP(I597,Ingreso!K:P,6,0)=0,"Sin turtno ing",VLOOKUP(I597,Ingreso!K:P,6,0)),IF(F597&gt;0.25,IF(F597&lt;0.311805555555556,"Turno A",IF(F597&gt;0.3125,IF(F597&lt;0.354166666666667,"Turno C",IF(F597&gt;0.583333333333333,IF(F597&lt;0.625,"Turno B",IF(F597&gt;0.625694444444444,IF(F597&lt;0.8125,"Turno A",IF(F597&gt;0.875,IF(F597&lt;0.936805555555556,"Turno C",IF(F597&gt;0.9375,IF(F597&lt;0.979166666666667,"Turno B",""),"")),"")),"")),"")),"")),""))</f>
        <v>Turno B</v>
      </c>
      <c r="L597" s="91">
        <f t="shared" si="9"/>
        <v>0.3125</v>
      </c>
    </row>
    <row r="598" spans="1:12" s="40" customFormat="1">
      <c r="A598">
        <v>9613720</v>
      </c>
      <c r="B598" t="s">
        <v>663</v>
      </c>
      <c r="C598" t="s">
        <v>33</v>
      </c>
      <c r="D598" t="s">
        <v>83</v>
      </c>
      <c r="E598" t="s">
        <v>1438</v>
      </c>
      <c r="F598" s="78">
        <v>0.60822916666666671</v>
      </c>
      <c r="G598" t="s">
        <v>1405</v>
      </c>
      <c r="H598" t="s">
        <v>1335</v>
      </c>
      <c r="I598" s="88" t="str">
        <f>VLOOKUP(A598,Base!A:B,2,0)</f>
        <v>09.613.720-6</v>
      </c>
      <c r="J598" s="99" t="str">
        <f>VLOOKUP(A598,Base!A:F,6,0)</f>
        <v>ANGELA  MUÑOZ  GONZALEZ</v>
      </c>
      <c r="K598" s="89" t="str">
        <f>IFERROR(IF(VLOOKUP(I598,Ingreso!K:P,6,0)=0,"Sin turtno ing",VLOOKUP(I598,Ingreso!K:P,6,0)),IF(F598&gt;0.25,IF(F598&lt;0.311805555555556,"Turno A",IF(F598&gt;0.3125,IF(F598&lt;0.354166666666667,"Turno C",IF(F598&gt;0.583333333333333,IF(F598&lt;0.625,"Turno B",IF(F598&gt;0.625694444444444,IF(F598&lt;0.8125,"Turno A",IF(F598&gt;0.875,IF(F598&lt;0.936805555555556,"Turno C",IF(F598&gt;0.9375,IF(F598&lt;0.979166666666667,"Turno B",""),"")),"")),"")),"")),"")),""))</f>
        <v>Turno B</v>
      </c>
      <c r="L598" s="91">
        <f t="shared" si="9"/>
        <v>0.3125</v>
      </c>
    </row>
    <row r="599" spans="1:12" s="40" customFormat="1">
      <c r="A599">
        <v>9613720</v>
      </c>
      <c r="B599" t="s">
        <v>663</v>
      </c>
      <c r="C599" t="s">
        <v>33</v>
      </c>
      <c r="D599" t="s">
        <v>83</v>
      </c>
      <c r="E599" t="s">
        <v>1439</v>
      </c>
      <c r="F599" s="78">
        <v>0.94731481481481483</v>
      </c>
      <c r="G599" t="s">
        <v>1406</v>
      </c>
      <c r="H599" t="s">
        <v>1336</v>
      </c>
      <c r="I599" s="88" t="str">
        <f>VLOOKUP(A599,Base!A:B,2,0)</f>
        <v>09.613.720-6</v>
      </c>
      <c r="J599" s="99" t="str">
        <f>VLOOKUP(A599,Base!A:F,6,0)</f>
        <v>ANGELA  MUÑOZ  GONZALEZ</v>
      </c>
      <c r="K599" s="89" t="str">
        <f>IFERROR(IF(VLOOKUP(I599,Ingreso!K:P,6,0)=0,"Sin turtno ing",VLOOKUP(I599,Ingreso!K:P,6,0)),IF(F599&gt;0.25,IF(F599&lt;0.311805555555556,"Turno A",IF(F599&gt;0.3125,IF(F599&lt;0.354166666666667,"Turno C",IF(F599&gt;0.583333333333333,IF(F599&lt;0.625,"Turno B",IF(F599&gt;0.625694444444444,IF(F599&lt;0.8125,"Turno A",IF(F599&gt;0.875,IF(F599&lt;0.936805555555556,"Turno C",IF(F599&gt;0.9375,IF(F599&lt;0.979166666666667,"Turno B",""),"")),"")),"")),"")),"")),""))</f>
        <v>Turno B</v>
      </c>
      <c r="L599" s="91">
        <f t="shared" si="9"/>
        <v>0.3125</v>
      </c>
    </row>
    <row r="600" spans="1:12" s="40" customFormat="1">
      <c r="A600">
        <v>9613720</v>
      </c>
      <c r="B600" t="s">
        <v>663</v>
      </c>
      <c r="C600" t="s">
        <v>33</v>
      </c>
      <c r="D600" t="s">
        <v>83</v>
      </c>
      <c r="E600" t="s">
        <v>1439</v>
      </c>
      <c r="F600" s="78">
        <v>0.60827546296296298</v>
      </c>
      <c r="G600" t="s">
        <v>1405</v>
      </c>
      <c r="H600" t="s">
        <v>1335</v>
      </c>
      <c r="I600" s="88" t="str">
        <f>VLOOKUP(A600,Base!A:B,2,0)</f>
        <v>09.613.720-6</v>
      </c>
      <c r="J600" s="99" t="str">
        <f>VLOOKUP(A600,Base!A:F,6,0)</f>
        <v>ANGELA  MUÑOZ  GONZALEZ</v>
      </c>
      <c r="K600" s="89" t="str">
        <f>IFERROR(IF(VLOOKUP(I600,Ingreso!K:P,6,0)=0,"Sin turtno ing",VLOOKUP(I600,Ingreso!K:P,6,0)),IF(F600&gt;0.25,IF(F600&lt;0.311805555555556,"Turno A",IF(F600&gt;0.3125,IF(F600&lt;0.354166666666667,"Turno C",IF(F600&gt;0.583333333333333,IF(F600&lt;0.625,"Turno B",IF(F600&gt;0.625694444444444,IF(F600&lt;0.8125,"Turno A",IF(F600&gt;0.875,IF(F600&lt;0.936805555555556,"Turno C",IF(F600&gt;0.9375,IF(F600&lt;0.979166666666667,"Turno B",""),"")),"")),"")),"")),"")),""))</f>
        <v>Turno B</v>
      </c>
      <c r="L600" s="91">
        <f t="shared" si="9"/>
        <v>0.3125</v>
      </c>
    </row>
    <row r="601" spans="1:12" s="40" customFormat="1">
      <c r="A601">
        <v>9741880</v>
      </c>
      <c r="B601" t="s">
        <v>858</v>
      </c>
      <c r="C601" t="s">
        <v>856</v>
      </c>
      <c r="D601" t="s">
        <v>857</v>
      </c>
      <c r="E601" t="s">
        <v>1440</v>
      </c>
      <c r="F601" s="78">
        <v>0.95512731481481483</v>
      </c>
      <c r="G601" t="s">
        <v>1406</v>
      </c>
      <c r="H601" t="s">
        <v>1336</v>
      </c>
      <c r="I601" s="88" t="str">
        <f>VLOOKUP(A601,Base!A:B,2,0)</f>
        <v>09.741.880-2</v>
      </c>
      <c r="J601" s="99" t="str">
        <f>VLOOKUP(A601,Base!A:F,6,0)</f>
        <v>LAURA CECILIA  REINOSO  SALAS</v>
      </c>
      <c r="K601" s="89" t="str">
        <f>IFERROR(IF(VLOOKUP(I601,Ingreso!K:P,6,0)=0,"Sin turtno ing",VLOOKUP(I601,Ingreso!K:P,6,0)),IF(F601&gt;0.25,IF(F601&lt;0.311805555555556,"Turno A",IF(F601&gt;0.3125,IF(F601&lt;0.354166666666667,"Turno C",IF(F601&gt;0.583333333333333,IF(F601&lt;0.625,"Turno B",IF(F601&gt;0.625694444444444,IF(F601&lt;0.8125,"Turno A",IF(F601&gt;0.875,IF(F601&lt;0.936805555555556,"Turno C",IF(F601&gt;0.9375,IF(F601&lt;0.979166666666667,"Turno B",""),"")),"")),"")),"")),"")),""))</f>
        <v>Turno B</v>
      </c>
      <c r="L601" s="91">
        <f t="shared" si="9"/>
        <v>0.3125</v>
      </c>
    </row>
    <row r="602" spans="1:12" s="40" customFormat="1">
      <c r="A602">
        <v>9741880</v>
      </c>
      <c r="B602" t="s">
        <v>858</v>
      </c>
      <c r="C602" t="s">
        <v>856</v>
      </c>
      <c r="D602" t="s">
        <v>857</v>
      </c>
      <c r="E602" t="s">
        <v>1440</v>
      </c>
      <c r="F602" s="78">
        <v>0.63394675925925925</v>
      </c>
      <c r="G602" t="s">
        <v>1405</v>
      </c>
      <c r="H602" t="s">
        <v>1335</v>
      </c>
      <c r="I602" s="88" t="str">
        <f>VLOOKUP(A602,Base!A:B,2,0)</f>
        <v>09.741.880-2</v>
      </c>
      <c r="J602" s="99" t="str">
        <f>VLOOKUP(A602,Base!A:F,6,0)</f>
        <v>LAURA CECILIA  REINOSO  SALAS</v>
      </c>
      <c r="K602" s="89" t="str">
        <f>IFERROR(IF(VLOOKUP(I602,Ingreso!K:P,6,0)=0,"Sin turtno ing",VLOOKUP(I602,Ingreso!K:P,6,0)),IF(F602&gt;0.25,IF(F602&lt;0.311805555555556,"Turno A",IF(F602&gt;0.3125,IF(F602&lt;0.354166666666667,"Turno C",IF(F602&gt;0.583333333333333,IF(F602&lt;0.625,"Turno B",IF(F602&gt;0.625694444444444,IF(F602&lt;0.8125,"Turno A",IF(F602&gt;0.875,IF(F602&lt;0.936805555555556,"Turno C",IF(F602&gt;0.9375,IF(F602&lt;0.979166666666667,"Turno B",""),"")),"")),"")),"")),"")),""))</f>
        <v>Turno B</v>
      </c>
      <c r="L602" s="91">
        <f t="shared" si="9"/>
        <v>0.3125</v>
      </c>
    </row>
    <row r="603" spans="1:12" s="40" customFormat="1">
      <c r="A603">
        <v>9741880</v>
      </c>
      <c r="B603" t="s">
        <v>858</v>
      </c>
      <c r="C603" t="s">
        <v>856</v>
      </c>
      <c r="D603" t="s">
        <v>857</v>
      </c>
      <c r="E603" t="s">
        <v>1441</v>
      </c>
      <c r="F603" s="78">
        <v>0.63032407407407409</v>
      </c>
      <c r="G603" t="s">
        <v>1406</v>
      </c>
      <c r="H603" t="s">
        <v>1336</v>
      </c>
      <c r="I603" s="88" t="str">
        <f>VLOOKUP(A603,Base!A:B,2,0)</f>
        <v>09.741.880-2</v>
      </c>
      <c r="J603" s="99" t="str">
        <f>VLOOKUP(A603,Base!A:F,6,0)</f>
        <v>LAURA CECILIA  REINOSO  SALAS</v>
      </c>
      <c r="K603" s="89" t="str">
        <f>IFERROR(IF(VLOOKUP(I603,Ingreso!K:P,6,0)=0,"Sin turtno ing",VLOOKUP(I603,Ingreso!K:P,6,0)),IF(F603&gt;0.25,IF(F603&lt;0.311805555555556,"Turno A",IF(F603&gt;0.3125,IF(F603&lt;0.354166666666667,"Turno C",IF(F603&gt;0.583333333333333,IF(F603&lt;0.625,"Turno B",IF(F603&gt;0.625694444444444,IF(F603&lt;0.8125,"Turno A",IF(F603&gt;0.875,IF(F603&lt;0.936805555555556,"Turno C",IF(F603&gt;0.9375,IF(F603&lt;0.979166666666667,"Turno B",""),"")),"")),"")),"")),"")),""))</f>
        <v>Turno B</v>
      </c>
      <c r="L603" s="91">
        <f t="shared" si="9"/>
        <v>0.3125</v>
      </c>
    </row>
    <row r="604" spans="1:12" s="40" customFormat="1">
      <c r="A604">
        <v>9741880</v>
      </c>
      <c r="B604" t="s">
        <v>858</v>
      </c>
      <c r="C604" t="s">
        <v>856</v>
      </c>
      <c r="D604" t="s">
        <v>857</v>
      </c>
      <c r="E604" t="s">
        <v>1441</v>
      </c>
      <c r="F604" s="78">
        <v>0.29383101851851851</v>
      </c>
      <c r="G604" t="s">
        <v>1405</v>
      </c>
      <c r="H604" t="s">
        <v>1335</v>
      </c>
      <c r="I604" s="88" t="str">
        <f>VLOOKUP(A604,Base!A:B,2,0)</f>
        <v>09.741.880-2</v>
      </c>
      <c r="J604" s="99" t="str">
        <f>VLOOKUP(A604,Base!A:F,6,0)</f>
        <v>LAURA CECILIA  REINOSO  SALAS</v>
      </c>
      <c r="K604" s="89" t="str">
        <f>IFERROR(IF(VLOOKUP(I604,Ingreso!K:P,6,0)=0,"Sin turtno ing",VLOOKUP(I604,Ingreso!K:P,6,0)),IF(F604&gt;0.25,IF(F604&lt;0.311805555555556,"Turno A",IF(F604&gt;0.3125,IF(F604&lt;0.354166666666667,"Turno C",IF(F604&gt;0.583333333333333,IF(F604&lt;0.625,"Turno B",IF(F604&gt;0.625694444444444,IF(F604&lt;0.8125,"Turno A",IF(F604&gt;0.875,IF(F604&lt;0.936805555555556,"Turno C",IF(F604&gt;0.9375,IF(F604&lt;0.979166666666667,"Turno B",""),"")),"")),"")),"")),"")),""))</f>
        <v>Turno B</v>
      </c>
      <c r="L604" s="91">
        <f t="shared" si="9"/>
        <v>0.3125</v>
      </c>
    </row>
    <row r="605" spans="1:12" s="40" customFormat="1">
      <c r="A605">
        <v>9741880</v>
      </c>
      <c r="B605" t="s">
        <v>858</v>
      </c>
      <c r="C605" t="s">
        <v>856</v>
      </c>
      <c r="D605" t="s">
        <v>857</v>
      </c>
      <c r="E605" t="s">
        <v>1437</v>
      </c>
      <c r="F605" s="78">
        <v>0.62415509259259261</v>
      </c>
      <c r="G605" t="s">
        <v>1406</v>
      </c>
      <c r="H605" t="s">
        <v>1336</v>
      </c>
      <c r="I605" s="88" t="str">
        <f>VLOOKUP(A605,Base!A:B,2,0)</f>
        <v>09.741.880-2</v>
      </c>
      <c r="J605" s="99" t="str">
        <f>VLOOKUP(A605,Base!A:F,6,0)</f>
        <v>LAURA CECILIA  REINOSO  SALAS</v>
      </c>
      <c r="K605" s="89" t="str">
        <f>IFERROR(IF(VLOOKUP(I605,Ingreso!K:P,6,0)=0,"Sin turtno ing",VLOOKUP(I605,Ingreso!K:P,6,0)),IF(F605&gt;0.25,IF(F605&lt;0.311805555555556,"Turno A",IF(F605&gt;0.3125,IF(F605&lt;0.354166666666667,"Turno C",IF(F605&gt;0.583333333333333,IF(F605&lt;0.625,"Turno B",IF(F605&gt;0.625694444444444,IF(F605&lt;0.8125,"Turno A",IF(F605&gt;0.875,IF(F605&lt;0.936805555555556,"Turno C",IF(F605&gt;0.9375,IF(F605&lt;0.979166666666667,"Turno B",""),"")),"")),"")),"")),"")),""))</f>
        <v>Turno B</v>
      </c>
      <c r="L605" s="91">
        <f t="shared" si="9"/>
        <v>0.3125</v>
      </c>
    </row>
    <row r="606" spans="1:12" s="40" customFormat="1">
      <c r="A606">
        <v>9741880</v>
      </c>
      <c r="B606" t="s">
        <v>858</v>
      </c>
      <c r="C606" t="s">
        <v>856</v>
      </c>
      <c r="D606" t="s">
        <v>857</v>
      </c>
      <c r="E606" t="s">
        <v>1437</v>
      </c>
      <c r="F606" s="78">
        <v>0.28248842592592593</v>
      </c>
      <c r="G606" t="s">
        <v>1405</v>
      </c>
      <c r="H606" t="s">
        <v>1335</v>
      </c>
      <c r="I606" s="88" t="str">
        <f>VLOOKUP(A606,Base!A:B,2,0)</f>
        <v>09.741.880-2</v>
      </c>
      <c r="J606" s="99" t="str">
        <f>VLOOKUP(A606,Base!A:F,6,0)</f>
        <v>LAURA CECILIA  REINOSO  SALAS</v>
      </c>
      <c r="K606" s="89" t="str">
        <f>IFERROR(IF(VLOOKUP(I606,Ingreso!K:P,6,0)=0,"Sin turtno ing",VLOOKUP(I606,Ingreso!K:P,6,0)),IF(F606&gt;0.25,IF(F606&lt;0.311805555555556,"Turno A",IF(F606&gt;0.3125,IF(F606&lt;0.354166666666667,"Turno C",IF(F606&gt;0.583333333333333,IF(F606&lt;0.625,"Turno B",IF(F606&gt;0.625694444444444,IF(F606&lt;0.8125,"Turno A",IF(F606&gt;0.875,IF(F606&lt;0.936805555555556,"Turno C",IF(F606&gt;0.9375,IF(F606&lt;0.979166666666667,"Turno B",""),"")),"")),"")),"")),"")),""))</f>
        <v>Turno B</v>
      </c>
      <c r="L606" s="91">
        <f t="shared" si="9"/>
        <v>0.3125</v>
      </c>
    </row>
    <row r="607" spans="1:12" s="40" customFormat="1">
      <c r="A607">
        <v>9741880</v>
      </c>
      <c r="B607" t="s">
        <v>858</v>
      </c>
      <c r="C607" t="s">
        <v>856</v>
      </c>
      <c r="D607" t="s">
        <v>857</v>
      </c>
      <c r="E607" t="s">
        <v>1438</v>
      </c>
      <c r="F607" s="78">
        <v>0.97418981481481481</v>
      </c>
      <c r="G607" t="s">
        <v>1406</v>
      </c>
      <c r="H607" t="s">
        <v>1336</v>
      </c>
      <c r="I607" s="88" t="str">
        <f>VLOOKUP(A607,Base!A:B,2,0)</f>
        <v>09.741.880-2</v>
      </c>
      <c r="J607" s="99" t="str">
        <f>VLOOKUP(A607,Base!A:F,6,0)</f>
        <v>LAURA CECILIA  REINOSO  SALAS</v>
      </c>
      <c r="K607" s="89" t="str">
        <f>IFERROR(IF(VLOOKUP(I607,Ingreso!K:P,6,0)=0,"Sin turtno ing",VLOOKUP(I607,Ingreso!K:P,6,0)),IF(F607&gt;0.25,IF(F607&lt;0.311805555555556,"Turno A",IF(F607&gt;0.3125,IF(F607&lt;0.354166666666667,"Turno C",IF(F607&gt;0.583333333333333,IF(F607&lt;0.625,"Turno B",IF(F607&gt;0.625694444444444,IF(F607&lt;0.8125,"Turno A",IF(F607&gt;0.875,IF(F607&lt;0.936805555555556,"Turno C",IF(F607&gt;0.9375,IF(F607&lt;0.979166666666667,"Turno B",""),"")),"")),"")),"")),"")),""))</f>
        <v>Turno B</v>
      </c>
      <c r="L607" s="91">
        <f t="shared" si="9"/>
        <v>0.3125</v>
      </c>
    </row>
    <row r="608" spans="1:12" s="40" customFormat="1">
      <c r="A608">
        <v>9741880</v>
      </c>
      <c r="B608" t="s">
        <v>858</v>
      </c>
      <c r="C608" t="s">
        <v>856</v>
      </c>
      <c r="D608" t="s">
        <v>857</v>
      </c>
      <c r="E608" t="s">
        <v>1438</v>
      </c>
      <c r="F608" s="78">
        <v>0.61843749999999997</v>
      </c>
      <c r="G608" t="s">
        <v>1405</v>
      </c>
      <c r="H608" t="s">
        <v>1335</v>
      </c>
      <c r="I608" s="88" t="str">
        <f>VLOOKUP(A608,Base!A:B,2,0)</f>
        <v>09.741.880-2</v>
      </c>
      <c r="J608" s="99" t="str">
        <f>VLOOKUP(A608,Base!A:F,6,0)</f>
        <v>LAURA CECILIA  REINOSO  SALAS</v>
      </c>
      <c r="K608" s="89" t="str">
        <f>IFERROR(IF(VLOOKUP(I608,Ingreso!K:P,6,0)=0,"Sin turtno ing",VLOOKUP(I608,Ingreso!K:P,6,0)),IF(F608&gt;0.25,IF(F608&lt;0.311805555555556,"Turno A",IF(F608&gt;0.3125,IF(F608&lt;0.354166666666667,"Turno C",IF(F608&gt;0.583333333333333,IF(F608&lt;0.625,"Turno B",IF(F608&gt;0.625694444444444,IF(F608&lt;0.8125,"Turno A",IF(F608&gt;0.875,IF(F608&lt;0.936805555555556,"Turno C",IF(F608&gt;0.9375,IF(F608&lt;0.979166666666667,"Turno B",""),"")),"")),"")),"")),"")),""))</f>
        <v>Turno B</v>
      </c>
      <c r="L608" s="91">
        <f t="shared" si="9"/>
        <v>0.3125</v>
      </c>
    </row>
    <row r="609" spans="1:12" s="40" customFormat="1">
      <c r="A609">
        <v>9741880</v>
      </c>
      <c r="B609" t="s">
        <v>858</v>
      </c>
      <c r="C609" t="s">
        <v>856</v>
      </c>
      <c r="D609" t="s">
        <v>857</v>
      </c>
      <c r="E609" t="s">
        <v>1439</v>
      </c>
      <c r="F609" s="78">
        <v>0.94958333333333333</v>
      </c>
      <c r="G609" t="s">
        <v>1406</v>
      </c>
      <c r="H609" t="s">
        <v>1336</v>
      </c>
      <c r="I609" s="88" t="str">
        <f>VLOOKUP(A609,Base!A:B,2,0)</f>
        <v>09.741.880-2</v>
      </c>
      <c r="J609" s="99" t="str">
        <f>VLOOKUP(A609,Base!A:F,6,0)</f>
        <v>LAURA CECILIA  REINOSO  SALAS</v>
      </c>
      <c r="K609" s="89" t="str">
        <f>IFERROR(IF(VLOOKUP(I609,Ingreso!K:P,6,0)=0,"Sin turtno ing",VLOOKUP(I609,Ingreso!K:P,6,0)),IF(F609&gt;0.25,IF(F609&lt;0.311805555555556,"Turno A",IF(F609&gt;0.3125,IF(F609&lt;0.354166666666667,"Turno C",IF(F609&gt;0.583333333333333,IF(F609&lt;0.625,"Turno B",IF(F609&gt;0.625694444444444,IF(F609&lt;0.8125,"Turno A",IF(F609&gt;0.875,IF(F609&lt;0.936805555555556,"Turno C",IF(F609&gt;0.9375,IF(F609&lt;0.979166666666667,"Turno B",""),"")),"")),"")),"")),"")),""))</f>
        <v>Turno B</v>
      </c>
      <c r="L609" s="91">
        <f t="shared" si="9"/>
        <v>0.3125</v>
      </c>
    </row>
    <row r="610" spans="1:12" s="40" customFormat="1">
      <c r="A610">
        <v>9741880</v>
      </c>
      <c r="B610" t="s">
        <v>858</v>
      </c>
      <c r="C610" t="s">
        <v>856</v>
      </c>
      <c r="D610" t="s">
        <v>857</v>
      </c>
      <c r="E610" t="s">
        <v>1439</v>
      </c>
      <c r="F610" s="78">
        <v>0.6208217592592592</v>
      </c>
      <c r="G610" t="s">
        <v>1405</v>
      </c>
      <c r="H610" t="s">
        <v>1335</v>
      </c>
      <c r="I610" s="88" t="str">
        <f>VLOOKUP(A610,Base!A:B,2,0)</f>
        <v>09.741.880-2</v>
      </c>
      <c r="J610" s="99" t="str">
        <f>VLOOKUP(A610,Base!A:F,6,0)</f>
        <v>LAURA CECILIA  REINOSO  SALAS</v>
      </c>
      <c r="K610" s="89" t="str">
        <f>IFERROR(IF(VLOOKUP(I610,Ingreso!K:P,6,0)=0,"Sin turtno ing",VLOOKUP(I610,Ingreso!K:P,6,0)),IF(F610&gt;0.25,IF(F610&lt;0.311805555555556,"Turno A",IF(F610&gt;0.3125,IF(F610&lt;0.354166666666667,"Turno C",IF(F610&gt;0.583333333333333,IF(F610&lt;0.625,"Turno B",IF(F610&gt;0.625694444444444,IF(F610&lt;0.8125,"Turno A",IF(F610&gt;0.875,IF(F610&lt;0.936805555555556,"Turno C",IF(F610&gt;0.9375,IF(F610&lt;0.979166666666667,"Turno B",""),"")),"")),"")),"")),"")),""))</f>
        <v>Turno B</v>
      </c>
      <c r="L610" s="91">
        <f t="shared" si="9"/>
        <v>0.3125</v>
      </c>
    </row>
    <row r="611" spans="1:12" s="40" customFormat="1">
      <c r="A611">
        <v>9748915</v>
      </c>
      <c r="B611" t="s">
        <v>475</v>
      </c>
      <c r="C611" t="s">
        <v>318</v>
      </c>
      <c r="D611" t="s">
        <v>413</v>
      </c>
      <c r="E611" t="s">
        <v>1440</v>
      </c>
      <c r="F611" s="78">
        <v>0.6326504629629629</v>
      </c>
      <c r="G611" t="s">
        <v>1406</v>
      </c>
      <c r="H611" t="s">
        <v>1336</v>
      </c>
      <c r="I611" s="88" t="str">
        <f>VLOOKUP(A611,Base!A:B,2,0)</f>
        <v>09.748.915-7</v>
      </c>
      <c r="J611" s="99" t="str">
        <f>VLOOKUP(A611,Base!A:F,6,0)</f>
        <v>VICTOR MANUEL  HENRIQUEZ  FLORES</v>
      </c>
      <c r="K611" s="89" t="str">
        <f>IFERROR(IF(VLOOKUP(I611,Ingreso!K:P,6,0)=0,"Sin turtno ing",VLOOKUP(I611,Ingreso!K:P,6,0)),IF(F611&gt;0.25,IF(F611&lt;0.311805555555556,"Turno A",IF(F611&gt;0.3125,IF(F611&lt;0.354166666666667,"Turno C",IF(F611&gt;0.583333333333333,IF(F611&lt;0.625,"Turno B",IF(F611&gt;0.625694444444444,IF(F611&lt;0.8125,"Turno A",IF(F611&gt;0.875,IF(F611&lt;0.936805555555556,"Turno C",IF(F611&gt;0.9375,IF(F611&lt;0.979166666666667,"Turno B",""),"")),"")),"")),"")),"")),""))</f>
        <v>Sin turtno ing</v>
      </c>
      <c r="L611" s="91" t="e">
        <f t="shared" si="9"/>
        <v>#N/A</v>
      </c>
    </row>
    <row r="612" spans="1:12" s="40" customFormat="1">
      <c r="A612">
        <v>9748915</v>
      </c>
      <c r="B612" t="s">
        <v>475</v>
      </c>
      <c r="C612" t="s">
        <v>318</v>
      </c>
      <c r="D612" t="s">
        <v>413</v>
      </c>
      <c r="E612" t="s">
        <v>1440</v>
      </c>
      <c r="F612" s="78">
        <v>0.34038194444444447</v>
      </c>
      <c r="G612" t="s">
        <v>1405</v>
      </c>
      <c r="H612" t="s">
        <v>1335</v>
      </c>
      <c r="I612" s="88" t="str">
        <f>VLOOKUP(A612,Base!A:B,2,0)</f>
        <v>09.748.915-7</v>
      </c>
      <c r="J612" s="99" t="str">
        <f>VLOOKUP(A612,Base!A:F,6,0)</f>
        <v>VICTOR MANUEL  HENRIQUEZ  FLORES</v>
      </c>
      <c r="K612" s="89" t="str">
        <f>IFERROR(IF(VLOOKUP(I612,Ingreso!K:P,6,0)=0,"Sin turtno ing",VLOOKUP(I612,Ingreso!K:P,6,0)),IF(F612&gt;0.25,IF(F612&lt;0.311805555555556,"Turno A",IF(F612&gt;0.3125,IF(F612&lt;0.354166666666667,"Turno C",IF(F612&gt;0.583333333333333,IF(F612&lt;0.625,"Turno B",IF(F612&gt;0.625694444444444,IF(F612&lt;0.8125,"Turno A",IF(F612&gt;0.875,IF(F612&lt;0.936805555555556,"Turno C",IF(F612&gt;0.9375,IF(F612&lt;0.979166666666667,"Turno B",""),"")),"")),"")),"")),"")),""))</f>
        <v>Sin turtno ing</v>
      </c>
      <c r="L612" s="91" t="e">
        <f t="shared" si="9"/>
        <v>#N/A</v>
      </c>
    </row>
    <row r="613" spans="1:12" s="40" customFormat="1">
      <c r="A613">
        <v>9748915</v>
      </c>
      <c r="B613" t="s">
        <v>475</v>
      </c>
      <c r="C613" t="s">
        <v>318</v>
      </c>
      <c r="D613" t="s">
        <v>413</v>
      </c>
      <c r="E613" t="s">
        <v>1441</v>
      </c>
      <c r="F613" s="78">
        <v>0.69459490740740737</v>
      </c>
      <c r="G613" t="s">
        <v>1406</v>
      </c>
      <c r="H613" t="s">
        <v>1336</v>
      </c>
      <c r="I613" s="88" t="str">
        <f>VLOOKUP(A613,Base!A:B,2,0)</f>
        <v>09.748.915-7</v>
      </c>
      <c r="J613" s="99" t="str">
        <f>VLOOKUP(A613,Base!A:F,6,0)</f>
        <v>VICTOR MANUEL  HENRIQUEZ  FLORES</v>
      </c>
      <c r="K613" s="89" t="str">
        <f>IFERROR(IF(VLOOKUP(I613,Ingreso!K:P,6,0)=0,"Sin turtno ing",VLOOKUP(I613,Ingreso!K:P,6,0)),IF(F613&gt;0.25,IF(F613&lt;0.311805555555556,"Turno A",IF(F613&gt;0.3125,IF(F613&lt;0.354166666666667,"Turno C",IF(F613&gt;0.583333333333333,IF(F613&lt;0.625,"Turno B",IF(F613&gt;0.625694444444444,IF(F613&lt;0.8125,"Turno A",IF(F613&gt;0.875,IF(F613&lt;0.936805555555556,"Turno C",IF(F613&gt;0.9375,IF(F613&lt;0.979166666666667,"Turno B",""),"")),"")),"")),"")),"")),""))</f>
        <v>Sin turtno ing</v>
      </c>
      <c r="L613" s="91" t="e">
        <f t="shared" si="9"/>
        <v>#N/A</v>
      </c>
    </row>
    <row r="614" spans="1:12" s="40" customFormat="1">
      <c r="A614">
        <v>9748915</v>
      </c>
      <c r="B614" t="s">
        <v>475</v>
      </c>
      <c r="C614" t="s">
        <v>318</v>
      </c>
      <c r="D614" t="s">
        <v>413</v>
      </c>
      <c r="E614" t="s">
        <v>1441</v>
      </c>
      <c r="F614" s="78">
        <v>0.37945601851851851</v>
      </c>
      <c r="G614" t="s">
        <v>1405</v>
      </c>
      <c r="H614" t="s">
        <v>1335</v>
      </c>
      <c r="I614" s="88" t="str">
        <f>VLOOKUP(A614,Base!A:B,2,0)</f>
        <v>09.748.915-7</v>
      </c>
      <c r="J614" s="99" t="str">
        <f>VLOOKUP(A614,Base!A:F,6,0)</f>
        <v>VICTOR MANUEL  HENRIQUEZ  FLORES</v>
      </c>
      <c r="K614" s="89" t="str">
        <f>IFERROR(IF(VLOOKUP(I614,Ingreso!K:P,6,0)=0,"Sin turtno ing",VLOOKUP(I614,Ingreso!K:P,6,0)),IF(F614&gt;0.25,IF(F614&lt;0.311805555555556,"Turno A",IF(F614&gt;0.3125,IF(F614&lt;0.354166666666667,"Turno C",IF(F614&gt;0.583333333333333,IF(F614&lt;0.625,"Turno B",IF(F614&gt;0.625694444444444,IF(F614&lt;0.8125,"Turno A",IF(F614&gt;0.875,IF(F614&lt;0.936805555555556,"Turno C",IF(F614&gt;0.9375,IF(F614&lt;0.979166666666667,"Turno B",""),"")),"")),"")),"")),"")),""))</f>
        <v>Sin turtno ing</v>
      </c>
      <c r="L614" s="91" t="e">
        <f t="shared" si="9"/>
        <v>#N/A</v>
      </c>
    </row>
    <row r="615" spans="1:12" s="40" customFormat="1">
      <c r="A615">
        <v>9748915</v>
      </c>
      <c r="B615" t="s">
        <v>475</v>
      </c>
      <c r="C615" t="s">
        <v>318</v>
      </c>
      <c r="D615" t="s">
        <v>413</v>
      </c>
      <c r="E615" t="s">
        <v>1437</v>
      </c>
      <c r="F615" s="78">
        <v>0.64597222222222228</v>
      </c>
      <c r="G615" t="s">
        <v>1406</v>
      </c>
      <c r="H615" t="s">
        <v>1336</v>
      </c>
      <c r="I615" s="88" t="str">
        <f>VLOOKUP(A615,Base!A:B,2,0)</f>
        <v>09.748.915-7</v>
      </c>
      <c r="J615" s="99" t="str">
        <f>VLOOKUP(A615,Base!A:F,6,0)</f>
        <v>VICTOR MANUEL  HENRIQUEZ  FLORES</v>
      </c>
      <c r="K615" s="89" t="str">
        <f>IFERROR(IF(VLOOKUP(I615,Ingreso!K:P,6,0)=0,"Sin turtno ing",VLOOKUP(I615,Ingreso!K:P,6,0)),IF(F615&gt;0.25,IF(F615&lt;0.311805555555556,"Turno A",IF(F615&gt;0.3125,IF(F615&lt;0.354166666666667,"Turno C",IF(F615&gt;0.583333333333333,IF(F615&lt;0.625,"Turno B",IF(F615&gt;0.625694444444444,IF(F615&lt;0.8125,"Turno A",IF(F615&gt;0.875,IF(F615&lt;0.936805555555556,"Turno C",IF(F615&gt;0.9375,IF(F615&lt;0.979166666666667,"Turno B",""),"")),"")),"")),"")),"")),""))</f>
        <v>Sin turtno ing</v>
      </c>
      <c r="L615" s="91" t="e">
        <f t="shared" si="9"/>
        <v>#N/A</v>
      </c>
    </row>
    <row r="616" spans="1:12" s="40" customFormat="1">
      <c r="A616">
        <v>9748915</v>
      </c>
      <c r="B616" t="s">
        <v>475</v>
      </c>
      <c r="C616" t="s">
        <v>318</v>
      </c>
      <c r="D616" t="s">
        <v>413</v>
      </c>
      <c r="E616" t="s">
        <v>1437</v>
      </c>
      <c r="F616" s="78">
        <v>0.32931712962962961</v>
      </c>
      <c r="G616" t="s">
        <v>1405</v>
      </c>
      <c r="H616" t="s">
        <v>1335</v>
      </c>
      <c r="I616" s="88" t="str">
        <f>VLOOKUP(A616,Base!A:B,2,0)</f>
        <v>09.748.915-7</v>
      </c>
      <c r="J616" s="99" t="str">
        <f>VLOOKUP(A616,Base!A:F,6,0)</f>
        <v>VICTOR MANUEL  HENRIQUEZ  FLORES</v>
      </c>
      <c r="K616" s="89" t="str">
        <f>IFERROR(IF(VLOOKUP(I616,Ingreso!K:P,6,0)=0,"Sin turtno ing",VLOOKUP(I616,Ingreso!K:P,6,0)),IF(F616&gt;0.25,IF(F616&lt;0.311805555555556,"Turno A",IF(F616&gt;0.3125,IF(F616&lt;0.354166666666667,"Turno C",IF(F616&gt;0.583333333333333,IF(F616&lt;0.625,"Turno B",IF(F616&gt;0.625694444444444,IF(F616&lt;0.8125,"Turno A",IF(F616&gt;0.875,IF(F616&lt;0.936805555555556,"Turno C",IF(F616&gt;0.9375,IF(F616&lt;0.979166666666667,"Turno B",""),"")),"")),"")),"")),"")),""))</f>
        <v>Sin turtno ing</v>
      </c>
      <c r="L616" s="91" t="e">
        <f t="shared" si="9"/>
        <v>#N/A</v>
      </c>
    </row>
    <row r="617" spans="1:12" s="40" customFormat="1">
      <c r="A617">
        <v>9748915</v>
      </c>
      <c r="B617" t="s">
        <v>475</v>
      </c>
      <c r="C617" t="s">
        <v>318</v>
      </c>
      <c r="D617" t="s">
        <v>413</v>
      </c>
      <c r="E617" t="s">
        <v>1438</v>
      </c>
      <c r="F617" s="78">
        <v>0.66284722222222225</v>
      </c>
      <c r="G617" t="s">
        <v>1406</v>
      </c>
      <c r="H617" t="s">
        <v>1336</v>
      </c>
      <c r="I617" s="88" t="str">
        <f>VLOOKUP(A617,Base!A:B,2,0)</f>
        <v>09.748.915-7</v>
      </c>
      <c r="J617" s="99" t="str">
        <f>VLOOKUP(A617,Base!A:F,6,0)</f>
        <v>VICTOR MANUEL  HENRIQUEZ  FLORES</v>
      </c>
      <c r="K617" s="89" t="str">
        <f>IFERROR(IF(VLOOKUP(I617,Ingreso!K:P,6,0)=0,"Sin turtno ing",VLOOKUP(I617,Ingreso!K:P,6,0)),IF(F617&gt;0.25,IF(F617&lt;0.311805555555556,"Turno A",IF(F617&gt;0.3125,IF(F617&lt;0.354166666666667,"Turno C",IF(F617&gt;0.583333333333333,IF(F617&lt;0.625,"Turno B",IF(F617&gt;0.625694444444444,IF(F617&lt;0.8125,"Turno A",IF(F617&gt;0.875,IF(F617&lt;0.936805555555556,"Turno C",IF(F617&gt;0.9375,IF(F617&lt;0.979166666666667,"Turno B",""),"")),"")),"")),"")),"")),""))</f>
        <v>Sin turtno ing</v>
      </c>
      <c r="L617" s="91" t="e">
        <f t="shared" si="9"/>
        <v>#N/A</v>
      </c>
    </row>
    <row r="618" spans="1:12" s="40" customFormat="1">
      <c r="A618">
        <v>9748915</v>
      </c>
      <c r="B618" t="s">
        <v>475</v>
      </c>
      <c r="C618" t="s">
        <v>318</v>
      </c>
      <c r="D618" t="s">
        <v>413</v>
      </c>
      <c r="E618" t="s">
        <v>1438</v>
      </c>
      <c r="F618" s="78">
        <v>0.32340277777777776</v>
      </c>
      <c r="G618" t="s">
        <v>1405</v>
      </c>
      <c r="H618" t="s">
        <v>1335</v>
      </c>
      <c r="I618" s="88" t="str">
        <f>VLOOKUP(A618,Base!A:B,2,0)</f>
        <v>09.748.915-7</v>
      </c>
      <c r="J618" s="99" t="str">
        <f>VLOOKUP(A618,Base!A:F,6,0)</f>
        <v>VICTOR MANUEL  HENRIQUEZ  FLORES</v>
      </c>
      <c r="K618" s="89" t="str">
        <f>IFERROR(IF(VLOOKUP(I618,Ingreso!K:P,6,0)=0,"Sin turtno ing",VLOOKUP(I618,Ingreso!K:P,6,0)),IF(F618&gt;0.25,IF(F618&lt;0.311805555555556,"Turno A",IF(F618&gt;0.3125,IF(F618&lt;0.354166666666667,"Turno C",IF(F618&gt;0.583333333333333,IF(F618&lt;0.625,"Turno B",IF(F618&gt;0.625694444444444,IF(F618&lt;0.8125,"Turno A",IF(F618&gt;0.875,IF(F618&lt;0.936805555555556,"Turno C",IF(F618&gt;0.9375,IF(F618&lt;0.979166666666667,"Turno B",""),"")),"")),"")),"")),"")),""))</f>
        <v>Sin turtno ing</v>
      </c>
      <c r="L618" s="91" t="e">
        <f t="shared" si="9"/>
        <v>#N/A</v>
      </c>
    </row>
    <row r="619" spans="1:12" s="40" customFormat="1">
      <c r="A619">
        <v>9748915</v>
      </c>
      <c r="B619" t="s">
        <v>475</v>
      </c>
      <c r="C619" t="s">
        <v>318</v>
      </c>
      <c r="D619" t="s">
        <v>413</v>
      </c>
      <c r="E619" t="s">
        <v>1439</v>
      </c>
      <c r="F619" s="78">
        <v>0.94024305555555554</v>
      </c>
      <c r="G619" t="s">
        <v>1406</v>
      </c>
      <c r="H619" t="s">
        <v>1336</v>
      </c>
      <c r="I619" s="88" t="str">
        <f>VLOOKUP(A619,Base!A:B,2,0)</f>
        <v>09.748.915-7</v>
      </c>
      <c r="J619" s="99" t="str">
        <f>VLOOKUP(A619,Base!A:F,6,0)</f>
        <v>VICTOR MANUEL  HENRIQUEZ  FLORES</v>
      </c>
      <c r="K619" s="89" t="str">
        <f>IFERROR(IF(VLOOKUP(I619,Ingreso!K:P,6,0)=0,"Sin turtno ing",VLOOKUP(I619,Ingreso!K:P,6,0)),IF(F619&gt;0.25,IF(F619&lt;0.311805555555556,"Turno A",IF(F619&gt;0.3125,IF(F619&lt;0.354166666666667,"Turno C",IF(F619&gt;0.583333333333333,IF(F619&lt;0.625,"Turno B",IF(F619&gt;0.625694444444444,IF(F619&lt;0.8125,"Turno A",IF(F619&gt;0.875,IF(F619&lt;0.936805555555556,"Turno C",IF(F619&gt;0.9375,IF(F619&lt;0.979166666666667,"Turno B",""),"")),"")),"")),"")),"")),""))</f>
        <v>Sin turtno ing</v>
      </c>
      <c r="L619" s="91" t="e">
        <f t="shared" si="9"/>
        <v>#N/A</v>
      </c>
    </row>
    <row r="620" spans="1:12" s="40" customFormat="1">
      <c r="A620">
        <v>9748915</v>
      </c>
      <c r="B620" t="s">
        <v>475</v>
      </c>
      <c r="C620" t="s">
        <v>318</v>
      </c>
      <c r="D620" t="s">
        <v>413</v>
      </c>
      <c r="E620" t="s">
        <v>1439</v>
      </c>
      <c r="F620" s="78">
        <v>0.62631944444444443</v>
      </c>
      <c r="G620" t="s">
        <v>1405</v>
      </c>
      <c r="H620" t="s">
        <v>1335</v>
      </c>
      <c r="I620" s="88" t="str">
        <f>VLOOKUP(A620,Base!A:B,2,0)</f>
        <v>09.748.915-7</v>
      </c>
      <c r="J620" s="99" t="str">
        <f>VLOOKUP(A620,Base!A:F,6,0)</f>
        <v>VICTOR MANUEL  HENRIQUEZ  FLORES</v>
      </c>
      <c r="K620" s="89" t="str">
        <f>IFERROR(IF(VLOOKUP(I620,Ingreso!K:P,6,0)=0,"Sin turtno ing",VLOOKUP(I620,Ingreso!K:P,6,0)),IF(F620&gt;0.25,IF(F620&lt;0.311805555555556,"Turno A",IF(F620&gt;0.3125,IF(F620&lt;0.354166666666667,"Turno C",IF(F620&gt;0.583333333333333,IF(F620&lt;0.625,"Turno B",IF(F620&gt;0.625694444444444,IF(F620&lt;0.8125,"Turno A",IF(F620&gt;0.875,IF(F620&lt;0.936805555555556,"Turno C",IF(F620&gt;0.9375,IF(F620&lt;0.979166666666667,"Turno B",""),"")),"")),"")),"")),"")),""))</f>
        <v>Sin turtno ing</v>
      </c>
      <c r="L620" s="91" t="e">
        <f t="shared" si="9"/>
        <v>#N/A</v>
      </c>
    </row>
    <row r="621" spans="1:12" s="40" customFormat="1">
      <c r="A621">
        <v>9774031</v>
      </c>
      <c r="B621" t="s">
        <v>880</v>
      </c>
      <c r="C621" t="s">
        <v>184</v>
      </c>
      <c r="D621" t="s">
        <v>852</v>
      </c>
      <c r="E621" t="s">
        <v>1440</v>
      </c>
      <c r="F621" s="78">
        <v>0.32471064814814815</v>
      </c>
      <c r="G621" t="s">
        <v>1406</v>
      </c>
      <c r="H621" t="s">
        <v>1336</v>
      </c>
      <c r="I621" s="88" t="str">
        <f>VLOOKUP(A621,Base!A:B,2,0)</f>
        <v>09.774.031-3</v>
      </c>
      <c r="J621" s="99" t="str">
        <f>VLOOKUP(A621,Base!A:F,6,0)</f>
        <v>VICTOR  CACERES  VASQUEZ</v>
      </c>
      <c r="K621" s="89" t="str">
        <f>IFERROR(IF(VLOOKUP(I621,Ingreso!K:P,6,0)=0,"Sin turtno ing",VLOOKUP(I621,Ingreso!K:P,6,0)),IF(F621&gt;0.25,IF(F621&lt;0.311805555555556,"Turno A",IF(F621&gt;0.3125,IF(F621&lt;0.354166666666667,"Turno C",IF(F621&gt;0.583333333333333,IF(F621&lt;0.625,"Turno B",IF(F621&gt;0.625694444444444,IF(F621&lt;0.8125,"Turno A",IF(F621&gt;0.875,IF(F621&lt;0.936805555555556,"Turno C",IF(F621&gt;0.9375,IF(F621&lt;0.979166666666667,"Turno B",""),"")),"")),"")),"")),"")),""))</f>
        <v>Turno C</v>
      </c>
      <c r="L621" s="91">
        <f t="shared" si="9"/>
        <v>0.375</v>
      </c>
    </row>
    <row r="622" spans="1:12" s="40" customFormat="1">
      <c r="A622">
        <v>9774031</v>
      </c>
      <c r="B622" t="s">
        <v>880</v>
      </c>
      <c r="C622" t="s">
        <v>184</v>
      </c>
      <c r="D622" t="s">
        <v>852</v>
      </c>
      <c r="E622" t="s">
        <v>1440</v>
      </c>
      <c r="F622" s="78">
        <v>0.91781250000000003</v>
      </c>
      <c r="G622" t="s">
        <v>1405</v>
      </c>
      <c r="H622" t="s">
        <v>1335</v>
      </c>
      <c r="I622" s="88" t="str">
        <f>VLOOKUP(A622,Base!A:B,2,0)</f>
        <v>09.774.031-3</v>
      </c>
      <c r="J622" s="99" t="str">
        <f>VLOOKUP(A622,Base!A:F,6,0)</f>
        <v>VICTOR  CACERES  VASQUEZ</v>
      </c>
      <c r="K622" s="89" t="str">
        <f>IFERROR(IF(VLOOKUP(I622,Ingreso!K:P,6,0)=0,"Sin turtno ing",VLOOKUP(I622,Ingreso!K:P,6,0)),IF(F622&gt;0.25,IF(F622&lt;0.311805555555556,"Turno A",IF(F622&gt;0.3125,IF(F622&lt;0.354166666666667,"Turno C",IF(F622&gt;0.583333333333333,IF(F622&lt;0.625,"Turno B",IF(F622&gt;0.625694444444444,IF(F622&lt;0.8125,"Turno A",IF(F622&gt;0.875,IF(F622&lt;0.936805555555556,"Turno C",IF(F622&gt;0.9375,IF(F622&lt;0.979166666666667,"Turno B",""),"")),"")),"")),"")),"")),""))</f>
        <v>Turno C</v>
      </c>
      <c r="L622" s="91">
        <f t="shared" si="9"/>
        <v>0.375</v>
      </c>
    </row>
    <row r="623" spans="1:12" s="40" customFormat="1">
      <c r="A623">
        <v>9774031</v>
      </c>
      <c r="B623" t="s">
        <v>880</v>
      </c>
      <c r="C623" t="s">
        <v>184</v>
      </c>
      <c r="D623" t="s">
        <v>852</v>
      </c>
      <c r="E623" t="s">
        <v>1441</v>
      </c>
      <c r="F623" s="78">
        <v>0.32530092592592591</v>
      </c>
      <c r="G623" t="s">
        <v>1406</v>
      </c>
      <c r="H623" t="s">
        <v>1336</v>
      </c>
      <c r="I623" s="88" t="str">
        <f>VLOOKUP(A623,Base!A:B,2,0)</f>
        <v>09.774.031-3</v>
      </c>
      <c r="J623" s="99" t="str">
        <f>VLOOKUP(A623,Base!A:F,6,0)</f>
        <v>VICTOR  CACERES  VASQUEZ</v>
      </c>
      <c r="K623" s="89" t="str">
        <f>IFERROR(IF(VLOOKUP(I623,Ingreso!K:P,6,0)=0,"Sin turtno ing",VLOOKUP(I623,Ingreso!K:P,6,0)),IF(F623&gt;0.25,IF(F623&lt;0.311805555555556,"Turno A",IF(F623&gt;0.3125,IF(F623&lt;0.354166666666667,"Turno C",IF(F623&gt;0.583333333333333,IF(F623&lt;0.625,"Turno B",IF(F623&gt;0.625694444444444,IF(F623&lt;0.8125,"Turno A",IF(F623&gt;0.875,IF(F623&lt;0.936805555555556,"Turno C",IF(F623&gt;0.9375,IF(F623&lt;0.979166666666667,"Turno B",""),"")),"")),"")),"")),"")),""))</f>
        <v>Turno C</v>
      </c>
      <c r="L623" s="91">
        <f t="shared" si="9"/>
        <v>0.375</v>
      </c>
    </row>
    <row r="624" spans="1:12" s="40" customFormat="1">
      <c r="A624">
        <v>9774031</v>
      </c>
      <c r="B624" t="s">
        <v>880</v>
      </c>
      <c r="C624" t="s">
        <v>184</v>
      </c>
      <c r="D624" t="s">
        <v>852</v>
      </c>
      <c r="E624" t="s">
        <v>1437</v>
      </c>
      <c r="F624" s="78">
        <v>0.91724537037037035</v>
      </c>
      <c r="G624" t="s">
        <v>1405</v>
      </c>
      <c r="H624" t="s">
        <v>1335</v>
      </c>
      <c r="I624" s="88" t="str">
        <f>VLOOKUP(A624,Base!A:B,2,0)</f>
        <v>09.774.031-3</v>
      </c>
      <c r="J624" s="99" t="str">
        <f>VLOOKUP(A624,Base!A:F,6,0)</f>
        <v>VICTOR  CACERES  VASQUEZ</v>
      </c>
      <c r="K624" s="89" t="str">
        <f>IFERROR(IF(VLOOKUP(I624,Ingreso!K:P,6,0)=0,"Sin turtno ing",VLOOKUP(I624,Ingreso!K:P,6,0)),IF(F624&gt;0.25,IF(F624&lt;0.311805555555556,"Turno A",IF(F624&gt;0.3125,IF(F624&lt;0.354166666666667,"Turno C",IF(F624&gt;0.583333333333333,IF(F624&lt;0.625,"Turno B",IF(F624&gt;0.625694444444444,IF(F624&lt;0.8125,"Turno A",IF(F624&gt;0.875,IF(F624&lt;0.936805555555556,"Turno C",IF(F624&gt;0.9375,IF(F624&lt;0.979166666666667,"Turno B",""),"")),"")),"")),"")),"")),""))</f>
        <v>Turno C</v>
      </c>
      <c r="L624" s="91">
        <f t="shared" si="9"/>
        <v>0.375</v>
      </c>
    </row>
    <row r="625" spans="1:12" s="40" customFormat="1">
      <c r="A625">
        <v>9774031</v>
      </c>
      <c r="B625" t="s">
        <v>880</v>
      </c>
      <c r="C625" t="s">
        <v>184</v>
      </c>
      <c r="D625" t="s">
        <v>852</v>
      </c>
      <c r="E625" t="s">
        <v>1438</v>
      </c>
      <c r="F625" s="78">
        <v>0.3225115740740741</v>
      </c>
      <c r="G625" t="s">
        <v>1406</v>
      </c>
      <c r="H625" t="s">
        <v>1336</v>
      </c>
      <c r="I625" s="88" t="str">
        <f>VLOOKUP(A625,Base!A:B,2,0)</f>
        <v>09.774.031-3</v>
      </c>
      <c r="J625" s="99" t="str">
        <f>VLOOKUP(A625,Base!A:F,6,0)</f>
        <v>VICTOR  CACERES  VASQUEZ</v>
      </c>
      <c r="K625" s="89" t="str">
        <f>IFERROR(IF(VLOOKUP(I625,Ingreso!K:P,6,0)=0,"Sin turtno ing",VLOOKUP(I625,Ingreso!K:P,6,0)),IF(F625&gt;0.25,IF(F625&lt;0.311805555555556,"Turno A",IF(F625&gt;0.3125,IF(F625&lt;0.354166666666667,"Turno C",IF(F625&gt;0.583333333333333,IF(F625&lt;0.625,"Turno B",IF(F625&gt;0.625694444444444,IF(F625&lt;0.8125,"Turno A",IF(F625&gt;0.875,IF(F625&lt;0.936805555555556,"Turno C",IF(F625&gt;0.9375,IF(F625&lt;0.979166666666667,"Turno B",""),"")),"")),"")),"")),"")),""))</f>
        <v>Turno C</v>
      </c>
      <c r="L625" s="91">
        <f t="shared" si="9"/>
        <v>0.375</v>
      </c>
    </row>
    <row r="626" spans="1:12" s="40" customFormat="1">
      <c r="A626">
        <v>9774031</v>
      </c>
      <c r="B626" t="s">
        <v>880</v>
      </c>
      <c r="C626" t="s">
        <v>184</v>
      </c>
      <c r="D626" t="s">
        <v>852</v>
      </c>
      <c r="E626" t="s">
        <v>1438</v>
      </c>
      <c r="F626" s="78">
        <v>0.91856481481481478</v>
      </c>
      <c r="G626" t="s">
        <v>1405</v>
      </c>
      <c r="H626" t="s">
        <v>1335</v>
      </c>
      <c r="I626" s="88" t="str">
        <f>VLOOKUP(A626,Base!A:B,2,0)</f>
        <v>09.774.031-3</v>
      </c>
      <c r="J626" s="99" t="str">
        <f>VLOOKUP(A626,Base!A:F,6,0)</f>
        <v>VICTOR  CACERES  VASQUEZ</v>
      </c>
      <c r="K626" s="89" t="str">
        <f>IFERROR(IF(VLOOKUP(I626,Ingreso!K:P,6,0)=0,"Sin turtno ing",VLOOKUP(I626,Ingreso!K:P,6,0)),IF(F626&gt;0.25,IF(F626&lt;0.311805555555556,"Turno A",IF(F626&gt;0.3125,IF(F626&lt;0.354166666666667,"Turno C",IF(F626&gt;0.583333333333333,IF(F626&lt;0.625,"Turno B",IF(F626&gt;0.625694444444444,IF(F626&lt;0.8125,"Turno A",IF(F626&gt;0.875,IF(F626&lt;0.936805555555556,"Turno C",IF(F626&gt;0.9375,IF(F626&lt;0.979166666666667,"Turno B",""),"")),"")),"")),"")),"")),""))</f>
        <v>Turno C</v>
      </c>
      <c r="L626" s="91">
        <f t="shared" si="9"/>
        <v>0.375</v>
      </c>
    </row>
    <row r="627" spans="1:12" s="40" customFormat="1">
      <c r="A627">
        <v>9774031</v>
      </c>
      <c r="B627" t="s">
        <v>880</v>
      </c>
      <c r="C627" t="s">
        <v>184</v>
      </c>
      <c r="D627" t="s">
        <v>852</v>
      </c>
      <c r="E627" t="s">
        <v>1439</v>
      </c>
      <c r="F627" s="78">
        <v>0.32872685185185185</v>
      </c>
      <c r="G627" t="s">
        <v>1406</v>
      </c>
      <c r="H627" t="s">
        <v>1336</v>
      </c>
      <c r="I627" s="88" t="str">
        <f>VLOOKUP(A627,Base!A:B,2,0)</f>
        <v>09.774.031-3</v>
      </c>
      <c r="J627" s="99" t="str">
        <f>VLOOKUP(A627,Base!A:F,6,0)</f>
        <v>VICTOR  CACERES  VASQUEZ</v>
      </c>
      <c r="K627" s="89" t="str">
        <f>IFERROR(IF(VLOOKUP(I627,Ingreso!K:P,6,0)=0,"Sin turtno ing",VLOOKUP(I627,Ingreso!K:P,6,0)),IF(F627&gt;0.25,IF(F627&lt;0.311805555555556,"Turno A",IF(F627&gt;0.3125,IF(F627&lt;0.354166666666667,"Turno C",IF(F627&gt;0.583333333333333,IF(F627&lt;0.625,"Turno B",IF(F627&gt;0.625694444444444,IF(F627&lt;0.8125,"Turno A",IF(F627&gt;0.875,IF(F627&lt;0.936805555555556,"Turno C",IF(F627&gt;0.9375,IF(F627&lt;0.979166666666667,"Turno B",""),"")),"")),"")),"")),"")),""))</f>
        <v>Turno C</v>
      </c>
      <c r="L627" s="91">
        <f t="shared" si="9"/>
        <v>0.375</v>
      </c>
    </row>
    <row r="628" spans="1:12" s="40" customFormat="1">
      <c r="A628">
        <v>9774031</v>
      </c>
      <c r="B628" t="s">
        <v>880</v>
      </c>
      <c r="C628" t="s">
        <v>184</v>
      </c>
      <c r="D628" t="s">
        <v>852</v>
      </c>
      <c r="E628" t="s">
        <v>1439</v>
      </c>
      <c r="F628" s="78">
        <v>0.91716435185185186</v>
      </c>
      <c r="G628" t="s">
        <v>1405</v>
      </c>
      <c r="H628" t="s">
        <v>1335</v>
      </c>
      <c r="I628" s="88" t="str">
        <f>VLOOKUP(A628,Base!A:B,2,0)</f>
        <v>09.774.031-3</v>
      </c>
      <c r="J628" s="99" t="str">
        <f>VLOOKUP(A628,Base!A:F,6,0)</f>
        <v>VICTOR  CACERES  VASQUEZ</v>
      </c>
      <c r="K628" s="89" t="str">
        <f>IFERROR(IF(VLOOKUP(I628,Ingreso!K:P,6,0)=0,"Sin turtno ing",VLOOKUP(I628,Ingreso!K:P,6,0)),IF(F628&gt;0.25,IF(F628&lt;0.311805555555556,"Turno A",IF(F628&gt;0.3125,IF(F628&lt;0.354166666666667,"Turno C",IF(F628&gt;0.583333333333333,IF(F628&lt;0.625,"Turno B",IF(F628&gt;0.625694444444444,IF(F628&lt;0.8125,"Turno A",IF(F628&gt;0.875,IF(F628&lt;0.936805555555556,"Turno C",IF(F628&gt;0.9375,IF(F628&lt;0.979166666666667,"Turno B",""),"")),"")),"")),"")),"")),""))</f>
        <v>Turno C</v>
      </c>
      <c r="L628" s="91">
        <f t="shared" si="9"/>
        <v>0.375</v>
      </c>
    </row>
    <row r="629" spans="1:12" s="40" customFormat="1">
      <c r="A629">
        <v>9806171</v>
      </c>
      <c r="B629" t="s">
        <v>475</v>
      </c>
      <c r="C629" t="s">
        <v>894</v>
      </c>
      <c r="D629" t="s">
        <v>765</v>
      </c>
      <c r="E629" t="s">
        <v>1440</v>
      </c>
      <c r="F629" s="78">
        <v>0.32348379629629631</v>
      </c>
      <c r="G629" t="s">
        <v>1406</v>
      </c>
      <c r="H629" t="s">
        <v>1336</v>
      </c>
      <c r="I629" s="88" t="str">
        <f>VLOOKUP(A629,Base!A:B,2,0)</f>
        <v>09.806.171-1</v>
      </c>
      <c r="J629" s="99" t="str">
        <f>VLOOKUP(A629,Base!A:F,6,0)</f>
        <v>VICTOR MANUEL  RIOS  MIRANDA</v>
      </c>
      <c r="K629" s="89" t="str">
        <f>IFERROR(IF(VLOOKUP(I629,Ingreso!K:P,6,0)=0,"Sin turtno ing",VLOOKUP(I629,Ingreso!K:P,6,0)),IF(F629&gt;0.25,IF(F629&lt;0.311805555555556,"Turno A",IF(F629&gt;0.3125,IF(F629&lt;0.354166666666667,"Turno C",IF(F629&gt;0.583333333333333,IF(F629&lt;0.625,"Turno B",IF(F629&gt;0.625694444444444,IF(F629&lt;0.8125,"Turno A",IF(F629&gt;0.875,IF(F629&lt;0.936805555555556,"Turno C",IF(F629&gt;0.9375,IF(F629&lt;0.979166666666667,"Turno B",""),"")),"")),"")),"")),"")),""))</f>
        <v>Turno C</v>
      </c>
      <c r="L629" s="91">
        <f t="shared" si="9"/>
        <v>0.375</v>
      </c>
    </row>
    <row r="630" spans="1:12" s="40" customFormat="1">
      <c r="A630">
        <v>9806171</v>
      </c>
      <c r="B630" t="s">
        <v>475</v>
      </c>
      <c r="C630" t="s">
        <v>894</v>
      </c>
      <c r="D630" t="s">
        <v>765</v>
      </c>
      <c r="E630" t="s">
        <v>1440</v>
      </c>
      <c r="F630" s="78">
        <v>0.91292824074074075</v>
      </c>
      <c r="G630" t="s">
        <v>1405</v>
      </c>
      <c r="H630" t="s">
        <v>1335</v>
      </c>
      <c r="I630" s="88" t="str">
        <f>VLOOKUP(A630,Base!A:B,2,0)</f>
        <v>09.806.171-1</v>
      </c>
      <c r="J630" s="99" t="str">
        <f>VLOOKUP(A630,Base!A:F,6,0)</f>
        <v>VICTOR MANUEL  RIOS  MIRANDA</v>
      </c>
      <c r="K630" s="89" t="str">
        <f>IFERROR(IF(VLOOKUP(I630,Ingreso!K:P,6,0)=0,"Sin turtno ing",VLOOKUP(I630,Ingreso!K:P,6,0)),IF(F630&gt;0.25,IF(F630&lt;0.311805555555556,"Turno A",IF(F630&gt;0.3125,IF(F630&lt;0.354166666666667,"Turno C",IF(F630&gt;0.583333333333333,IF(F630&lt;0.625,"Turno B",IF(F630&gt;0.625694444444444,IF(F630&lt;0.8125,"Turno A",IF(F630&gt;0.875,IF(F630&lt;0.936805555555556,"Turno C",IF(F630&gt;0.9375,IF(F630&lt;0.979166666666667,"Turno B",""),"")),"")),"")),"")),"")),""))</f>
        <v>Turno C</v>
      </c>
      <c r="L630" s="91">
        <f t="shared" si="9"/>
        <v>0.375</v>
      </c>
    </row>
    <row r="631" spans="1:12" s="40" customFormat="1">
      <c r="A631">
        <v>9806171</v>
      </c>
      <c r="B631" t="s">
        <v>475</v>
      </c>
      <c r="C631" t="s">
        <v>894</v>
      </c>
      <c r="D631" t="s">
        <v>765</v>
      </c>
      <c r="E631" t="s">
        <v>1441</v>
      </c>
      <c r="F631" s="78">
        <v>0.33012731481481478</v>
      </c>
      <c r="G631" t="s">
        <v>1406</v>
      </c>
      <c r="H631" t="s">
        <v>1336</v>
      </c>
      <c r="I631" s="88" t="str">
        <f>VLOOKUP(A631,Base!A:B,2,0)</f>
        <v>09.806.171-1</v>
      </c>
      <c r="J631" s="99" t="str">
        <f>VLOOKUP(A631,Base!A:F,6,0)</f>
        <v>VICTOR MANUEL  RIOS  MIRANDA</v>
      </c>
      <c r="K631" s="89" t="str">
        <f>IFERROR(IF(VLOOKUP(I631,Ingreso!K:P,6,0)=0,"Sin turtno ing",VLOOKUP(I631,Ingreso!K:P,6,0)),IF(F631&gt;0.25,IF(F631&lt;0.311805555555556,"Turno A",IF(F631&gt;0.3125,IF(F631&lt;0.354166666666667,"Turno C",IF(F631&gt;0.583333333333333,IF(F631&lt;0.625,"Turno B",IF(F631&gt;0.625694444444444,IF(F631&lt;0.8125,"Turno A",IF(F631&gt;0.875,IF(F631&lt;0.936805555555556,"Turno C",IF(F631&gt;0.9375,IF(F631&lt;0.979166666666667,"Turno B",""),"")),"")),"")),"")),"")),""))</f>
        <v>Turno C</v>
      </c>
      <c r="L631" s="91">
        <f t="shared" si="9"/>
        <v>0.375</v>
      </c>
    </row>
    <row r="632" spans="1:12" s="40" customFormat="1">
      <c r="A632">
        <v>9806171</v>
      </c>
      <c r="B632" t="s">
        <v>475</v>
      </c>
      <c r="C632" t="s">
        <v>894</v>
      </c>
      <c r="D632" t="s">
        <v>765</v>
      </c>
      <c r="E632" t="s">
        <v>1437</v>
      </c>
      <c r="F632" s="78">
        <v>0.91093750000000007</v>
      </c>
      <c r="G632" t="s">
        <v>1405</v>
      </c>
      <c r="H632" t="s">
        <v>1335</v>
      </c>
      <c r="I632" s="88" t="str">
        <f>VLOOKUP(A632,Base!A:B,2,0)</f>
        <v>09.806.171-1</v>
      </c>
      <c r="J632" s="99" t="str">
        <f>VLOOKUP(A632,Base!A:F,6,0)</f>
        <v>VICTOR MANUEL  RIOS  MIRANDA</v>
      </c>
      <c r="K632" s="89" t="str">
        <f>IFERROR(IF(VLOOKUP(I632,Ingreso!K:P,6,0)=0,"Sin turtno ing",VLOOKUP(I632,Ingreso!K:P,6,0)),IF(F632&gt;0.25,IF(F632&lt;0.311805555555556,"Turno A",IF(F632&gt;0.3125,IF(F632&lt;0.354166666666667,"Turno C",IF(F632&gt;0.583333333333333,IF(F632&lt;0.625,"Turno B",IF(F632&gt;0.625694444444444,IF(F632&lt;0.8125,"Turno A",IF(F632&gt;0.875,IF(F632&lt;0.936805555555556,"Turno C",IF(F632&gt;0.9375,IF(F632&lt;0.979166666666667,"Turno B",""),"")),"")),"")),"")),"")),""))</f>
        <v>Turno C</v>
      </c>
      <c r="L632" s="91">
        <f t="shared" si="9"/>
        <v>0.375</v>
      </c>
    </row>
    <row r="633" spans="1:12" s="40" customFormat="1">
      <c r="A633">
        <v>9806171</v>
      </c>
      <c r="B633" t="s">
        <v>475</v>
      </c>
      <c r="C633" t="s">
        <v>894</v>
      </c>
      <c r="D633" t="s">
        <v>765</v>
      </c>
      <c r="E633" t="s">
        <v>1438</v>
      </c>
      <c r="F633" s="78">
        <v>0.32427083333333334</v>
      </c>
      <c r="G633" t="s">
        <v>1406</v>
      </c>
      <c r="H633" t="s">
        <v>1336</v>
      </c>
      <c r="I633" s="88" t="str">
        <f>VLOOKUP(A633,Base!A:B,2,0)</f>
        <v>09.806.171-1</v>
      </c>
      <c r="J633" s="99" t="str">
        <f>VLOOKUP(A633,Base!A:F,6,0)</f>
        <v>VICTOR MANUEL  RIOS  MIRANDA</v>
      </c>
      <c r="K633" s="89" t="str">
        <f>IFERROR(IF(VLOOKUP(I633,Ingreso!K:P,6,0)=0,"Sin turtno ing",VLOOKUP(I633,Ingreso!K:P,6,0)),IF(F633&gt;0.25,IF(F633&lt;0.311805555555556,"Turno A",IF(F633&gt;0.3125,IF(F633&lt;0.354166666666667,"Turno C",IF(F633&gt;0.583333333333333,IF(F633&lt;0.625,"Turno B",IF(F633&gt;0.625694444444444,IF(F633&lt;0.8125,"Turno A",IF(F633&gt;0.875,IF(F633&lt;0.936805555555556,"Turno C",IF(F633&gt;0.9375,IF(F633&lt;0.979166666666667,"Turno B",""),"")),"")),"")),"")),"")),""))</f>
        <v>Turno C</v>
      </c>
      <c r="L633" s="91">
        <f t="shared" si="9"/>
        <v>0.375</v>
      </c>
    </row>
    <row r="634" spans="1:12" s="40" customFormat="1">
      <c r="A634">
        <v>9806171</v>
      </c>
      <c r="B634" t="s">
        <v>475</v>
      </c>
      <c r="C634" t="s">
        <v>894</v>
      </c>
      <c r="D634" t="s">
        <v>765</v>
      </c>
      <c r="E634" t="s">
        <v>1438</v>
      </c>
      <c r="F634" s="78">
        <v>0.91699074074074083</v>
      </c>
      <c r="G634" t="s">
        <v>1405</v>
      </c>
      <c r="H634" t="s">
        <v>1335</v>
      </c>
      <c r="I634" s="88" t="str">
        <f>VLOOKUP(A634,Base!A:B,2,0)</f>
        <v>09.806.171-1</v>
      </c>
      <c r="J634" s="99" t="str">
        <f>VLOOKUP(A634,Base!A:F,6,0)</f>
        <v>VICTOR MANUEL  RIOS  MIRANDA</v>
      </c>
      <c r="K634" s="89" t="str">
        <f>IFERROR(IF(VLOOKUP(I634,Ingreso!K:P,6,0)=0,"Sin turtno ing",VLOOKUP(I634,Ingreso!K:P,6,0)),IF(F634&gt;0.25,IF(F634&lt;0.311805555555556,"Turno A",IF(F634&gt;0.3125,IF(F634&lt;0.354166666666667,"Turno C",IF(F634&gt;0.583333333333333,IF(F634&lt;0.625,"Turno B",IF(F634&gt;0.625694444444444,IF(F634&lt;0.8125,"Turno A",IF(F634&gt;0.875,IF(F634&lt;0.936805555555556,"Turno C",IF(F634&gt;0.9375,IF(F634&lt;0.979166666666667,"Turno B",""),"")),"")),"")),"")),"")),""))</f>
        <v>Turno C</v>
      </c>
      <c r="L634" s="91">
        <f t="shared" si="9"/>
        <v>0.375</v>
      </c>
    </row>
    <row r="635" spans="1:12" s="40" customFormat="1">
      <c r="A635">
        <v>9806171</v>
      </c>
      <c r="B635" t="s">
        <v>475</v>
      </c>
      <c r="C635" t="s">
        <v>894</v>
      </c>
      <c r="D635" t="s">
        <v>765</v>
      </c>
      <c r="E635" t="s">
        <v>1439</v>
      </c>
      <c r="F635" s="78">
        <v>0.32171296296296298</v>
      </c>
      <c r="G635" t="s">
        <v>1406</v>
      </c>
      <c r="H635" t="s">
        <v>1336</v>
      </c>
      <c r="I635" s="88" t="str">
        <f>VLOOKUP(A635,Base!A:B,2,0)</f>
        <v>09.806.171-1</v>
      </c>
      <c r="J635" s="99" t="str">
        <f>VLOOKUP(A635,Base!A:F,6,0)</f>
        <v>VICTOR MANUEL  RIOS  MIRANDA</v>
      </c>
      <c r="K635" s="89" t="str">
        <f>IFERROR(IF(VLOOKUP(I635,Ingreso!K:P,6,0)=0,"Sin turtno ing",VLOOKUP(I635,Ingreso!K:P,6,0)),IF(F635&gt;0.25,IF(F635&lt;0.311805555555556,"Turno A",IF(F635&gt;0.3125,IF(F635&lt;0.354166666666667,"Turno C",IF(F635&gt;0.583333333333333,IF(F635&lt;0.625,"Turno B",IF(F635&gt;0.625694444444444,IF(F635&lt;0.8125,"Turno A",IF(F635&gt;0.875,IF(F635&lt;0.936805555555556,"Turno C",IF(F635&gt;0.9375,IF(F635&lt;0.979166666666667,"Turno B",""),"")),"")),"")),"")),"")),""))</f>
        <v>Turno C</v>
      </c>
      <c r="L635" s="91">
        <f t="shared" si="9"/>
        <v>0.375</v>
      </c>
    </row>
    <row r="636" spans="1:12" s="40" customFormat="1">
      <c r="A636">
        <v>9806171</v>
      </c>
      <c r="B636" t="s">
        <v>475</v>
      </c>
      <c r="C636" t="s">
        <v>894</v>
      </c>
      <c r="D636" t="s">
        <v>765</v>
      </c>
      <c r="E636" t="s">
        <v>1439</v>
      </c>
      <c r="F636" s="78">
        <v>0.91347222222222213</v>
      </c>
      <c r="G636" t="s">
        <v>1405</v>
      </c>
      <c r="H636" t="s">
        <v>1335</v>
      </c>
      <c r="I636" s="88" t="str">
        <f>VLOOKUP(A636,Base!A:B,2,0)</f>
        <v>09.806.171-1</v>
      </c>
      <c r="J636" s="99" t="str">
        <f>VLOOKUP(A636,Base!A:F,6,0)</f>
        <v>VICTOR MANUEL  RIOS  MIRANDA</v>
      </c>
      <c r="K636" s="89" t="str">
        <f>IFERROR(IF(VLOOKUP(I636,Ingreso!K:P,6,0)=0,"Sin turtno ing",VLOOKUP(I636,Ingreso!K:P,6,0)),IF(F636&gt;0.25,IF(F636&lt;0.311805555555556,"Turno A",IF(F636&gt;0.3125,IF(F636&lt;0.354166666666667,"Turno C",IF(F636&gt;0.583333333333333,IF(F636&lt;0.625,"Turno B",IF(F636&gt;0.625694444444444,IF(F636&lt;0.8125,"Turno A",IF(F636&gt;0.875,IF(F636&lt;0.936805555555556,"Turno C",IF(F636&gt;0.9375,IF(F636&lt;0.979166666666667,"Turno B",""),"")),"")),"")),"")),"")),""))</f>
        <v>Turno C</v>
      </c>
      <c r="L636" s="91">
        <f t="shared" si="9"/>
        <v>0.375</v>
      </c>
    </row>
    <row r="637" spans="1:12" s="40" customFormat="1">
      <c r="A637">
        <v>9832710</v>
      </c>
      <c r="B637" t="s">
        <v>209</v>
      </c>
      <c r="C637" t="s">
        <v>207</v>
      </c>
      <c r="D637" t="s">
        <v>208</v>
      </c>
      <c r="E637" t="s">
        <v>1440</v>
      </c>
      <c r="F637" s="78">
        <v>0.76119212962962957</v>
      </c>
      <c r="G637" t="s">
        <v>1406</v>
      </c>
      <c r="H637" t="s">
        <v>1336</v>
      </c>
      <c r="I637" s="88" t="str">
        <f>VLOOKUP(A637,Base!A:B,2,0)</f>
        <v>09.832.710-K</v>
      </c>
      <c r="J637" s="99" t="str">
        <f>VLOOKUP(A637,Base!A:F,6,0)</f>
        <v>OMAR FCO.  CARO  RODRIGUEZ</v>
      </c>
      <c r="K637" s="89" t="str">
        <f>IFERROR(IF(VLOOKUP(I637,Ingreso!K:P,6,0)=0,"Sin turtno ing",VLOOKUP(I637,Ingreso!K:P,6,0)),IF(F637&gt;0.25,IF(F637&lt;0.311805555555556,"Turno A",IF(F637&gt;0.3125,IF(F637&lt;0.354166666666667,"Turno C",IF(F637&gt;0.583333333333333,IF(F637&lt;0.625,"Turno B",IF(F637&gt;0.625694444444444,IF(F637&lt;0.8125,"Turno A",IF(F637&gt;0.875,IF(F637&lt;0.936805555555556,"Turno C",IF(F637&gt;0.9375,IF(F637&lt;0.979166666666667,"Turno B",""),"")),"")),"")),"")),"")),""))</f>
        <v>Sin turtno ing</v>
      </c>
      <c r="L637" s="91" t="e">
        <f t="shared" si="9"/>
        <v>#N/A</v>
      </c>
    </row>
    <row r="638" spans="1:12" s="40" customFormat="1">
      <c r="A638">
        <v>9832710</v>
      </c>
      <c r="B638" t="s">
        <v>209</v>
      </c>
      <c r="C638" t="s">
        <v>207</v>
      </c>
      <c r="D638" t="s">
        <v>208</v>
      </c>
      <c r="E638" t="s">
        <v>1440</v>
      </c>
      <c r="F638" s="78">
        <v>0.34684027777777776</v>
      </c>
      <c r="G638" t="s">
        <v>1405</v>
      </c>
      <c r="H638" t="s">
        <v>1335</v>
      </c>
      <c r="I638" s="88" t="str">
        <f>VLOOKUP(A638,Base!A:B,2,0)</f>
        <v>09.832.710-K</v>
      </c>
      <c r="J638" s="99" t="str">
        <f>VLOOKUP(A638,Base!A:F,6,0)</f>
        <v>OMAR FCO.  CARO  RODRIGUEZ</v>
      </c>
      <c r="K638" s="89" t="str">
        <f>IFERROR(IF(VLOOKUP(I638,Ingreso!K:P,6,0)=0,"Sin turtno ing",VLOOKUP(I638,Ingreso!K:P,6,0)),IF(F638&gt;0.25,IF(F638&lt;0.311805555555556,"Turno A",IF(F638&gt;0.3125,IF(F638&lt;0.354166666666667,"Turno C",IF(F638&gt;0.583333333333333,IF(F638&lt;0.625,"Turno B",IF(F638&gt;0.625694444444444,IF(F638&lt;0.8125,"Turno A",IF(F638&gt;0.875,IF(F638&lt;0.936805555555556,"Turno C",IF(F638&gt;0.9375,IF(F638&lt;0.979166666666667,"Turno B",""),"")),"")),"")),"")),"")),""))</f>
        <v>Sin turtno ing</v>
      </c>
      <c r="L638" s="91" t="e">
        <f t="shared" si="9"/>
        <v>#N/A</v>
      </c>
    </row>
    <row r="639" spans="1:12" s="40" customFormat="1">
      <c r="A639">
        <v>9832710</v>
      </c>
      <c r="B639" t="s">
        <v>209</v>
      </c>
      <c r="C639" t="s">
        <v>207</v>
      </c>
      <c r="D639" t="s">
        <v>208</v>
      </c>
      <c r="E639" t="s">
        <v>1437</v>
      </c>
      <c r="F639" s="78">
        <v>0.76387731481481491</v>
      </c>
      <c r="G639" t="s">
        <v>1406</v>
      </c>
      <c r="H639" t="s">
        <v>1336</v>
      </c>
      <c r="I639" s="88" t="str">
        <f>VLOOKUP(A639,Base!A:B,2,0)</f>
        <v>09.832.710-K</v>
      </c>
      <c r="J639" s="99" t="str">
        <f>VLOOKUP(A639,Base!A:F,6,0)</f>
        <v>OMAR FCO.  CARO  RODRIGUEZ</v>
      </c>
      <c r="K639" s="89" t="str">
        <f>IFERROR(IF(VLOOKUP(I639,Ingreso!K:P,6,0)=0,"Sin turtno ing",VLOOKUP(I639,Ingreso!K:P,6,0)),IF(F639&gt;0.25,IF(F639&lt;0.311805555555556,"Turno A",IF(F639&gt;0.3125,IF(F639&lt;0.354166666666667,"Turno C",IF(F639&gt;0.583333333333333,IF(F639&lt;0.625,"Turno B",IF(F639&gt;0.625694444444444,IF(F639&lt;0.8125,"Turno A",IF(F639&gt;0.875,IF(F639&lt;0.936805555555556,"Turno C",IF(F639&gt;0.9375,IF(F639&lt;0.979166666666667,"Turno B",""),"")),"")),"")),"")),"")),""))</f>
        <v>Sin turtno ing</v>
      </c>
      <c r="L639" s="91" t="e">
        <f t="shared" si="9"/>
        <v>#N/A</v>
      </c>
    </row>
    <row r="640" spans="1:12" s="40" customFormat="1">
      <c r="A640">
        <v>9832710</v>
      </c>
      <c r="B640" t="s">
        <v>209</v>
      </c>
      <c r="C640" t="s">
        <v>207</v>
      </c>
      <c r="D640" t="s">
        <v>208</v>
      </c>
      <c r="E640" t="s">
        <v>1437</v>
      </c>
      <c r="F640" s="78">
        <v>0.34454861111111112</v>
      </c>
      <c r="G640" t="s">
        <v>1405</v>
      </c>
      <c r="H640" t="s">
        <v>1335</v>
      </c>
      <c r="I640" s="88" t="str">
        <f>VLOOKUP(A640,Base!A:B,2,0)</f>
        <v>09.832.710-K</v>
      </c>
      <c r="J640" s="99" t="str">
        <f>VLOOKUP(A640,Base!A:F,6,0)</f>
        <v>OMAR FCO.  CARO  RODRIGUEZ</v>
      </c>
      <c r="K640" s="89" t="str">
        <f>IFERROR(IF(VLOOKUP(I640,Ingreso!K:P,6,0)=0,"Sin turtno ing",VLOOKUP(I640,Ingreso!K:P,6,0)),IF(F640&gt;0.25,IF(F640&lt;0.311805555555556,"Turno A",IF(F640&gt;0.3125,IF(F640&lt;0.354166666666667,"Turno C",IF(F640&gt;0.583333333333333,IF(F640&lt;0.625,"Turno B",IF(F640&gt;0.625694444444444,IF(F640&lt;0.8125,"Turno A",IF(F640&gt;0.875,IF(F640&lt;0.936805555555556,"Turno C",IF(F640&gt;0.9375,IF(F640&lt;0.979166666666667,"Turno B",""),"")),"")),"")),"")),"")),""))</f>
        <v>Sin turtno ing</v>
      </c>
      <c r="L640" s="91" t="e">
        <f t="shared" si="9"/>
        <v>#N/A</v>
      </c>
    </row>
    <row r="641" spans="1:12" s="40" customFormat="1">
      <c r="A641">
        <v>9832710</v>
      </c>
      <c r="B641" t="s">
        <v>209</v>
      </c>
      <c r="C641" t="s">
        <v>207</v>
      </c>
      <c r="D641" t="s">
        <v>208</v>
      </c>
      <c r="E641" t="s">
        <v>1438</v>
      </c>
      <c r="F641" s="78">
        <v>0.76662037037037034</v>
      </c>
      <c r="G641" t="s">
        <v>1406</v>
      </c>
      <c r="H641" t="s">
        <v>1336</v>
      </c>
      <c r="I641" s="88" t="str">
        <f>VLOOKUP(A641,Base!A:B,2,0)</f>
        <v>09.832.710-K</v>
      </c>
      <c r="J641" s="99" t="str">
        <f>VLOOKUP(A641,Base!A:F,6,0)</f>
        <v>OMAR FCO.  CARO  RODRIGUEZ</v>
      </c>
      <c r="K641" s="89" t="str">
        <f>IFERROR(IF(VLOOKUP(I641,Ingreso!K:P,6,0)=0,"Sin turtno ing",VLOOKUP(I641,Ingreso!K:P,6,0)),IF(F641&gt;0.25,IF(F641&lt;0.311805555555556,"Turno A",IF(F641&gt;0.3125,IF(F641&lt;0.354166666666667,"Turno C",IF(F641&gt;0.583333333333333,IF(F641&lt;0.625,"Turno B",IF(F641&gt;0.625694444444444,IF(F641&lt;0.8125,"Turno A",IF(F641&gt;0.875,IF(F641&lt;0.936805555555556,"Turno C",IF(F641&gt;0.9375,IF(F641&lt;0.979166666666667,"Turno B",""),"")),"")),"")),"")),"")),""))</f>
        <v>Sin turtno ing</v>
      </c>
      <c r="L641" s="91" t="e">
        <f t="shared" si="9"/>
        <v>#N/A</v>
      </c>
    </row>
    <row r="642" spans="1:12" s="40" customFormat="1">
      <c r="A642">
        <v>9832710</v>
      </c>
      <c r="B642" t="s">
        <v>209</v>
      </c>
      <c r="C642" t="s">
        <v>207</v>
      </c>
      <c r="D642" t="s">
        <v>208</v>
      </c>
      <c r="E642" t="s">
        <v>1438</v>
      </c>
      <c r="F642" s="78">
        <v>0.3543634259259259</v>
      </c>
      <c r="G642" t="s">
        <v>1405</v>
      </c>
      <c r="H642" t="s">
        <v>1335</v>
      </c>
      <c r="I642" s="88" t="str">
        <f>VLOOKUP(A642,Base!A:B,2,0)</f>
        <v>09.832.710-K</v>
      </c>
      <c r="J642" s="99" t="str">
        <f>VLOOKUP(A642,Base!A:F,6,0)</f>
        <v>OMAR FCO.  CARO  RODRIGUEZ</v>
      </c>
      <c r="K642" s="89" t="str">
        <f>IFERROR(IF(VLOOKUP(I642,Ingreso!K:P,6,0)=0,"Sin turtno ing",VLOOKUP(I642,Ingreso!K:P,6,0)),IF(F642&gt;0.25,IF(F642&lt;0.311805555555556,"Turno A",IF(F642&gt;0.3125,IF(F642&lt;0.354166666666667,"Turno C",IF(F642&gt;0.583333333333333,IF(F642&lt;0.625,"Turno B",IF(F642&gt;0.625694444444444,IF(F642&lt;0.8125,"Turno A",IF(F642&gt;0.875,IF(F642&lt;0.936805555555556,"Turno C",IF(F642&gt;0.9375,IF(F642&lt;0.979166666666667,"Turno B",""),"")),"")),"")),"")),"")),""))</f>
        <v>Sin turtno ing</v>
      </c>
      <c r="L642" s="91" t="e">
        <f t="shared" si="9"/>
        <v>#N/A</v>
      </c>
    </row>
    <row r="643" spans="1:12" s="40" customFormat="1">
      <c r="A643">
        <v>9832710</v>
      </c>
      <c r="B643" t="s">
        <v>209</v>
      </c>
      <c r="C643" t="s">
        <v>207</v>
      </c>
      <c r="D643" t="s">
        <v>208</v>
      </c>
      <c r="E643" t="s">
        <v>1439</v>
      </c>
      <c r="F643" s="78">
        <v>0.76906249999999998</v>
      </c>
      <c r="G643" t="s">
        <v>1406</v>
      </c>
      <c r="H643" t="s">
        <v>1336</v>
      </c>
      <c r="I643" s="88" t="str">
        <f>VLOOKUP(A643,Base!A:B,2,0)</f>
        <v>09.832.710-K</v>
      </c>
      <c r="J643" s="99" t="str">
        <f>VLOOKUP(A643,Base!A:F,6,0)</f>
        <v>OMAR FCO.  CARO  RODRIGUEZ</v>
      </c>
      <c r="K643" s="89" t="str">
        <f>IFERROR(IF(VLOOKUP(I643,Ingreso!K:P,6,0)=0,"Sin turtno ing",VLOOKUP(I643,Ingreso!K:P,6,0)),IF(F643&gt;0.25,IF(F643&lt;0.311805555555556,"Turno A",IF(F643&gt;0.3125,IF(F643&lt;0.354166666666667,"Turno C",IF(F643&gt;0.583333333333333,IF(F643&lt;0.625,"Turno B",IF(F643&gt;0.625694444444444,IF(F643&lt;0.8125,"Turno A",IF(F643&gt;0.875,IF(F643&lt;0.936805555555556,"Turno C",IF(F643&gt;0.9375,IF(F643&lt;0.979166666666667,"Turno B",""),"")),"")),"")),"")),"")),""))</f>
        <v>Sin turtno ing</v>
      </c>
      <c r="L643" s="91" t="e">
        <f t="shared" ref="L643:L706" si="10">VLOOKUP(K643,$S$3:$T$7,2,0)</f>
        <v>#N/A</v>
      </c>
    </row>
    <row r="644" spans="1:12" s="40" customFormat="1">
      <c r="A644">
        <v>9832710</v>
      </c>
      <c r="B644" t="s">
        <v>209</v>
      </c>
      <c r="C644" t="s">
        <v>207</v>
      </c>
      <c r="D644" t="s">
        <v>208</v>
      </c>
      <c r="E644" t="s">
        <v>1439</v>
      </c>
      <c r="F644" s="78">
        <v>0.3449652777777778</v>
      </c>
      <c r="G644" t="s">
        <v>1405</v>
      </c>
      <c r="H644" t="s">
        <v>1335</v>
      </c>
      <c r="I644" s="88" t="str">
        <f>VLOOKUP(A644,Base!A:B,2,0)</f>
        <v>09.832.710-K</v>
      </c>
      <c r="J644" s="99" t="str">
        <f>VLOOKUP(A644,Base!A:F,6,0)</f>
        <v>OMAR FCO.  CARO  RODRIGUEZ</v>
      </c>
      <c r="K644" s="89" t="str">
        <f>IFERROR(IF(VLOOKUP(I644,Ingreso!K:P,6,0)=0,"Sin turtno ing",VLOOKUP(I644,Ingreso!K:P,6,0)),IF(F644&gt;0.25,IF(F644&lt;0.311805555555556,"Turno A",IF(F644&gt;0.3125,IF(F644&lt;0.354166666666667,"Turno C",IF(F644&gt;0.583333333333333,IF(F644&lt;0.625,"Turno B",IF(F644&gt;0.625694444444444,IF(F644&lt;0.8125,"Turno A",IF(F644&gt;0.875,IF(F644&lt;0.936805555555556,"Turno C",IF(F644&gt;0.9375,IF(F644&lt;0.979166666666667,"Turno B",""),"")),"")),"")),"")),"")),""))</f>
        <v>Sin turtno ing</v>
      </c>
      <c r="L644" s="91" t="e">
        <f t="shared" si="10"/>
        <v>#N/A</v>
      </c>
    </row>
    <row r="645" spans="1:12" s="40" customFormat="1">
      <c r="A645">
        <v>9839411</v>
      </c>
      <c r="B645" t="s">
        <v>475</v>
      </c>
      <c r="C645" t="s">
        <v>528</v>
      </c>
      <c r="D645" t="s">
        <v>929</v>
      </c>
      <c r="E645" t="s">
        <v>1440</v>
      </c>
      <c r="F645" s="78">
        <v>0.82937500000000008</v>
      </c>
      <c r="G645" t="s">
        <v>1406</v>
      </c>
      <c r="H645" t="s">
        <v>1336</v>
      </c>
      <c r="I645" s="88" t="str">
        <f>VLOOKUP(A645,Base!A:B,2,0)</f>
        <v>09.839.411-7</v>
      </c>
      <c r="J645" s="99" t="str">
        <f>VLOOKUP(A645,Base!A:F,6,0)</f>
        <v>VICTOR MANUEL  RUBIO  AYALA</v>
      </c>
      <c r="K645" s="89" t="str">
        <f>IFERROR(IF(VLOOKUP(I645,Ingreso!K:P,6,0)=0,"Sin turtno ing",VLOOKUP(I645,Ingreso!K:P,6,0)),IF(F645&gt;0.25,IF(F645&lt;0.311805555555556,"Turno A",IF(F645&gt;0.3125,IF(F645&lt;0.354166666666667,"Turno C",IF(F645&gt;0.583333333333333,IF(F645&lt;0.625,"Turno B",IF(F645&gt;0.625694444444444,IF(F645&lt;0.8125,"Turno A",IF(F645&gt;0.875,IF(F645&lt;0.936805555555556,"Turno C",IF(F645&gt;0.9375,IF(F645&lt;0.979166666666667,"Turno B",""),"")),"")),"")),"")),"")),""))</f>
        <v/>
      </c>
      <c r="L645" s="91" t="e">
        <f t="shared" si="10"/>
        <v>#N/A</v>
      </c>
    </row>
    <row r="646" spans="1:12" s="40" customFormat="1">
      <c r="A646">
        <v>9839411</v>
      </c>
      <c r="B646" t="s">
        <v>475</v>
      </c>
      <c r="C646" t="s">
        <v>528</v>
      </c>
      <c r="D646" t="s">
        <v>929</v>
      </c>
      <c r="E646" t="s">
        <v>1440</v>
      </c>
      <c r="F646" s="78">
        <v>0.30076388888888889</v>
      </c>
      <c r="G646" t="s">
        <v>1405</v>
      </c>
      <c r="H646" t="s">
        <v>1335</v>
      </c>
      <c r="I646" s="88" t="str">
        <f>VLOOKUP(A646,Base!A:B,2,0)</f>
        <v>09.839.411-7</v>
      </c>
      <c r="J646" s="99" t="str">
        <f>VLOOKUP(A646,Base!A:F,6,0)</f>
        <v>VICTOR MANUEL  RUBIO  AYALA</v>
      </c>
      <c r="K646" s="89" t="str">
        <f>IFERROR(IF(VLOOKUP(I646,Ingreso!K:P,6,0)=0,"Sin turtno ing",VLOOKUP(I646,Ingreso!K:P,6,0)),IF(F646&gt;0.25,IF(F646&lt;0.311805555555556,"Turno A",IF(F646&gt;0.3125,IF(F646&lt;0.354166666666667,"Turno C",IF(F646&gt;0.583333333333333,IF(F646&lt;0.625,"Turno B",IF(F646&gt;0.625694444444444,IF(F646&lt;0.8125,"Turno A",IF(F646&gt;0.875,IF(F646&lt;0.936805555555556,"Turno C",IF(F646&gt;0.9375,IF(F646&lt;0.979166666666667,"Turno B",""),"")),"")),"")),"")),"")),""))</f>
        <v>Turno A</v>
      </c>
      <c r="L646" s="91">
        <f t="shared" si="10"/>
        <v>0.3125</v>
      </c>
    </row>
    <row r="647" spans="1:12" s="40" customFormat="1">
      <c r="A647">
        <v>9839411</v>
      </c>
      <c r="B647" t="s">
        <v>475</v>
      </c>
      <c r="C647" t="s">
        <v>528</v>
      </c>
      <c r="D647" t="s">
        <v>929</v>
      </c>
      <c r="E647" t="s">
        <v>1441</v>
      </c>
      <c r="F647" s="78">
        <v>0.6514699074074074</v>
      </c>
      <c r="G647" t="s">
        <v>1406</v>
      </c>
      <c r="H647" t="s">
        <v>1336</v>
      </c>
      <c r="I647" s="88" t="str">
        <f>VLOOKUP(A647,Base!A:B,2,0)</f>
        <v>09.839.411-7</v>
      </c>
      <c r="J647" s="99" t="str">
        <f>VLOOKUP(A647,Base!A:F,6,0)</f>
        <v>VICTOR MANUEL  RUBIO  AYALA</v>
      </c>
      <c r="K647" s="89" t="str">
        <f>IFERROR(IF(VLOOKUP(I647,Ingreso!K:P,6,0)=0,"Sin turtno ing",VLOOKUP(I647,Ingreso!K:P,6,0)),IF(F647&gt;0.25,IF(F647&lt;0.311805555555556,"Turno A",IF(F647&gt;0.3125,IF(F647&lt;0.354166666666667,"Turno C",IF(F647&gt;0.583333333333333,IF(F647&lt;0.625,"Turno B",IF(F647&gt;0.625694444444444,IF(F647&lt;0.8125,"Turno A",IF(F647&gt;0.875,IF(F647&lt;0.936805555555556,"Turno C",IF(F647&gt;0.9375,IF(F647&lt;0.979166666666667,"Turno B",""),"")),"")),"")),"")),"")),""))</f>
        <v>Turno A</v>
      </c>
      <c r="L647" s="91">
        <f t="shared" si="10"/>
        <v>0.3125</v>
      </c>
    </row>
    <row r="648" spans="1:12" s="40" customFormat="1">
      <c r="A648">
        <v>9839411</v>
      </c>
      <c r="B648" t="s">
        <v>475</v>
      </c>
      <c r="C648" t="s">
        <v>528</v>
      </c>
      <c r="D648" t="s">
        <v>929</v>
      </c>
      <c r="E648" t="s">
        <v>1441</v>
      </c>
      <c r="F648" s="78">
        <v>0.30799768518518517</v>
      </c>
      <c r="G648" t="s">
        <v>1405</v>
      </c>
      <c r="H648" t="s">
        <v>1335</v>
      </c>
      <c r="I648" s="88" t="str">
        <f>VLOOKUP(A648,Base!A:B,2,0)</f>
        <v>09.839.411-7</v>
      </c>
      <c r="J648" s="99" t="str">
        <f>VLOOKUP(A648,Base!A:F,6,0)</f>
        <v>VICTOR MANUEL  RUBIO  AYALA</v>
      </c>
      <c r="K648" s="89" t="str">
        <f>IFERROR(IF(VLOOKUP(I648,Ingreso!K:P,6,0)=0,"Sin turtno ing",VLOOKUP(I648,Ingreso!K:P,6,0)),IF(F648&gt;0.25,IF(F648&lt;0.311805555555556,"Turno A",IF(F648&gt;0.3125,IF(F648&lt;0.354166666666667,"Turno C",IF(F648&gt;0.583333333333333,IF(F648&lt;0.625,"Turno B",IF(F648&gt;0.625694444444444,IF(F648&lt;0.8125,"Turno A",IF(F648&gt;0.875,IF(F648&lt;0.936805555555556,"Turno C",IF(F648&gt;0.9375,IF(F648&lt;0.979166666666667,"Turno B",""),"")),"")),"")),"")),"")),""))</f>
        <v>Turno A</v>
      </c>
      <c r="L648" s="91">
        <f t="shared" si="10"/>
        <v>0.3125</v>
      </c>
    </row>
    <row r="649" spans="1:12" s="40" customFormat="1">
      <c r="A649">
        <v>9839411</v>
      </c>
      <c r="B649" t="s">
        <v>475</v>
      </c>
      <c r="C649" t="s">
        <v>528</v>
      </c>
      <c r="D649" t="s">
        <v>929</v>
      </c>
      <c r="E649" t="s">
        <v>1437</v>
      </c>
      <c r="F649" s="78">
        <v>0.82490740740740742</v>
      </c>
      <c r="G649" t="s">
        <v>1406</v>
      </c>
      <c r="H649" t="s">
        <v>1336</v>
      </c>
      <c r="I649" s="88" t="str">
        <f>VLOOKUP(A649,Base!A:B,2,0)</f>
        <v>09.839.411-7</v>
      </c>
      <c r="J649" s="99" t="str">
        <f>VLOOKUP(A649,Base!A:F,6,0)</f>
        <v>VICTOR MANUEL  RUBIO  AYALA</v>
      </c>
      <c r="K649" s="89" t="str">
        <f>IFERROR(IF(VLOOKUP(I649,Ingreso!K:P,6,0)=0,"Sin turtno ing",VLOOKUP(I649,Ingreso!K:P,6,0)),IF(F649&gt;0.25,IF(F649&lt;0.311805555555556,"Turno A",IF(F649&gt;0.3125,IF(F649&lt;0.354166666666667,"Turno C",IF(F649&gt;0.583333333333333,IF(F649&lt;0.625,"Turno B",IF(F649&gt;0.625694444444444,IF(F649&lt;0.8125,"Turno A",IF(F649&gt;0.875,IF(F649&lt;0.936805555555556,"Turno C",IF(F649&gt;0.9375,IF(F649&lt;0.979166666666667,"Turno B",""),"")),"")),"")),"")),"")),""))</f>
        <v/>
      </c>
      <c r="L649" s="91" t="e">
        <f t="shared" si="10"/>
        <v>#N/A</v>
      </c>
    </row>
    <row r="650" spans="1:12" s="40" customFormat="1">
      <c r="A650">
        <v>9839411</v>
      </c>
      <c r="B650" t="s">
        <v>475</v>
      </c>
      <c r="C650" t="s">
        <v>528</v>
      </c>
      <c r="D650" t="s">
        <v>929</v>
      </c>
      <c r="E650" t="s">
        <v>1437</v>
      </c>
      <c r="F650" s="78">
        <v>0.30171296296296296</v>
      </c>
      <c r="G650" t="s">
        <v>1405</v>
      </c>
      <c r="H650" t="s">
        <v>1335</v>
      </c>
      <c r="I650" s="88" t="str">
        <f>VLOOKUP(A650,Base!A:B,2,0)</f>
        <v>09.839.411-7</v>
      </c>
      <c r="J650" s="99" t="str">
        <f>VLOOKUP(A650,Base!A:F,6,0)</f>
        <v>VICTOR MANUEL  RUBIO  AYALA</v>
      </c>
      <c r="K650" s="89" t="str">
        <f>IFERROR(IF(VLOOKUP(I650,Ingreso!K:P,6,0)=0,"Sin turtno ing",VLOOKUP(I650,Ingreso!K:P,6,0)),IF(F650&gt;0.25,IF(F650&lt;0.311805555555556,"Turno A",IF(F650&gt;0.3125,IF(F650&lt;0.354166666666667,"Turno C",IF(F650&gt;0.583333333333333,IF(F650&lt;0.625,"Turno B",IF(F650&gt;0.625694444444444,IF(F650&lt;0.8125,"Turno A",IF(F650&gt;0.875,IF(F650&lt;0.936805555555556,"Turno C",IF(F650&gt;0.9375,IF(F650&lt;0.979166666666667,"Turno B",""),"")),"")),"")),"")),"")),""))</f>
        <v>Turno A</v>
      </c>
      <c r="L650" s="91">
        <f t="shared" si="10"/>
        <v>0.3125</v>
      </c>
    </row>
    <row r="651" spans="1:12" s="40" customFormat="1">
      <c r="A651">
        <v>9839411</v>
      </c>
      <c r="B651" t="s">
        <v>475</v>
      </c>
      <c r="C651" t="s">
        <v>528</v>
      </c>
      <c r="D651" t="s">
        <v>929</v>
      </c>
      <c r="E651" t="s">
        <v>1438</v>
      </c>
      <c r="F651" s="78">
        <v>0.8208333333333333</v>
      </c>
      <c r="G651" t="s">
        <v>1406</v>
      </c>
      <c r="H651" t="s">
        <v>1336</v>
      </c>
      <c r="I651" s="88" t="str">
        <f>VLOOKUP(A651,Base!A:B,2,0)</f>
        <v>09.839.411-7</v>
      </c>
      <c r="J651" s="99" t="str">
        <f>VLOOKUP(A651,Base!A:F,6,0)</f>
        <v>VICTOR MANUEL  RUBIO  AYALA</v>
      </c>
      <c r="K651" s="89" t="str">
        <f>IFERROR(IF(VLOOKUP(I651,Ingreso!K:P,6,0)=0,"Sin turtno ing",VLOOKUP(I651,Ingreso!K:P,6,0)),IF(F651&gt;0.25,IF(F651&lt;0.311805555555556,"Turno A",IF(F651&gt;0.3125,IF(F651&lt;0.354166666666667,"Turno C",IF(F651&gt;0.583333333333333,IF(F651&lt;0.625,"Turno B",IF(F651&gt;0.625694444444444,IF(F651&lt;0.8125,"Turno A",IF(F651&gt;0.875,IF(F651&lt;0.936805555555556,"Turno C",IF(F651&gt;0.9375,IF(F651&lt;0.979166666666667,"Turno B",""),"")),"")),"")),"")),"")),""))</f>
        <v/>
      </c>
      <c r="L651" s="91" t="e">
        <f t="shared" si="10"/>
        <v>#N/A</v>
      </c>
    </row>
    <row r="652" spans="1:12" s="40" customFormat="1">
      <c r="A652">
        <v>9839411</v>
      </c>
      <c r="B652" t="s">
        <v>475</v>
      </c>
      <c r="C652" t="s">
        <v>528</v>
      </c>
      <c r="D652" t="s">
        <v>929</v>
      </c>
      <c r="E652" t="s">
        <v>1438</v>
      </c>
      <c r="F652" s="78">
        <v>0.30356481481481484</v>
      </c>
      <c r="G652" t="s">
        <v>1405</v>
      </c>
      <c r="H652" t="s">
        <v>1335</v>
      </c>
      <c r="I652" s="88" t="str">
        <f>VLOOKUP(A652,Base!A:B,2,0)</f>
        <v>09.839.411-7</v>
      </c>
      <c r="J652" s="99" t="str">
        <f>VLOOKUP(A652,Base!A:F,6,0)</f>
        <v>VICTOR MANUEL  RUBIO  AYALA</v>
      </c>
      <c r="K652" s="89" t="str">
        <f>IFERROR(IF(VLOOKUP(I652,Ingreso!K:P,6,0)=0,"Sin turtno ing",VLOOKUP(I652,Ingreso!K:P,6,0)),IF(F652&gt;0.25,IF(F652&lt;0.311805555555556,"Turno A",IF(F652&gt;0.3125,IF(F652&lt;0.354166666666667,"Turno C",IF(F652&gt;0.583333333333333,IF(F652&lt;0.625,"Turno B",IF(F652&gt;0.625694444444444,IF(F652&lt;0.8125,"Turno A",IF(F652&gt;0.875,IF(F652&lt;0.936805555555556,"Turno C",IF(F652&gt;0.9375,IF(F652&lt;0.979166666666667,"Turno B",""),"")),"")),"")),"")),"")),""))</f>
        <v>Turno A</v>
      </c>
      <c r="L652" s="91">
        <f t="shared" si="10"/>
        <v>0.3125</v>
      </c>
    </row>
    <row r="653" spans="1:12" s="40" customFormat="1">
      <c r="A653">
        <v>9839411</v>
      </c>
      <c r="B653" t="s">
        <v>475</v>
      </c>
      <c r="C653" t="s">
        <v>528</v>
      </c>
      <c r="D653" t="s">
        <v>929</v>
      </c>
      <c r="E653" t="s">
        <v>1439</v>
      </c>
      <c r="F653" s="78">
        <v>0.81976851851851851</v>
      </c>
      <c r="G653" t="s">
        <v>1406</v>
      </c>
      <c r="H653" t="s">
        <v>1336</v>
      </c>
      <c r="I653" s="88" t="str">
        <f>VLOOKUP(A653,Base!A:B,2,0)</f>
        <v>09.839.411-7</v>
      </c>
      <c r="J653" s="99" t="str">
        <f>VLOOKUP(A653,Base!A:F,6,0)</f>
        <v>VICTOR MANUEL  RUBIO  AYALA</v>
      </c>
      <c r="K653" s="89" t="str">
        <f>IFERROR(IF(VLOOKUP(I653,Ingreso!K:P,6,0)=0,"Sin turtno ing",VLOOKUP(I653,Ingreso!K:P,6,0)),IF(F653&gt;0.25,IF(F653&lt;0.311805555555556,"Turno A",IF(F653&gt;0.3125,IF(F653&lt;0.354166666666667,"Turno C",IF(F653&gt;0.583333333333333,IF(F653&lt;0.625,"Turno B",IF(F653&gt;0.625694444444444,IF(F653&lt;0.8125,"Turno A",IF(F653&gt;0.875,IF(F653&lt;0.936805555555556,"Turno C",IF(F653&gt;0.9375,IF(F653&lt;0.979166666666667,"Turno B",""),"")),"")),"")),"")),"")),""))</f>
        <v/>
      </c>
      <c r="L653" s="91" t="e">
        <f t="shared" si="10"/>
        <v>#N/A</v>
      </c>
    </row>
    <row r="654" spans="1:12" s="40" customFormat="1">
      <c r="A654">
        <v>9839411</v>
      </c>
      <c r="B654" t="s">
        <v>475</v>
      </c>
      <c r="C654" t="s">
        <v>528</v>
      </c>
      <c r="D654" t="s">
        <v>929</v>
      </c>
      <c r="E654" t="s">
        <v>1439</v>
      </c>
      <c r="F654" s="78">
        <v>0.30290509259259263</v>
      </c>
      <c r="G654" t="s">
        <v>1405</v>
      </c>
      <c r="H654" t="s">
        <v>1335</v>
      </c>
      <c r="I654" s="88" t="str">
        <f>VLOOKUP(A654,Base!A:B,2,0)</f>
        <v>09.839.411-7</v>
      </c>
      <c r="J654" s="99" t="str">
        <f>VLOOKUP(A654,Base!A:F,6,0)</f>
        <v>VICTOR MANUEL  RUBIO  AYALA</v>
      </c>
      <c r="K654" s="89" t="str">
        <f>IFERROR(IF(VLOOKUP(I654,Ingreso!K:P,6,0)=0,"Sin turtno ing",VLOOKUP(I654,Ingreso!K:P,6,0)),IF(F654&gt;0.25,IF(F654&lt;0.311805555555556,"Turno A",IF(F654&gt;0.3125,IF(F654&lt;0.354166666666667,"Turno C",IF(F654&gt;0.583333333333333,IF(F654&lt;0.625,"Turno B",IF(F654&gt;0.625694444444444,IF(F654&lt;0.8125,"Turno A",IF(F654&gt;0.875,IF(F654&lt;0.936805555555556,"Turno C",IF(F654&gt;0.9375,IF(F654&lt;0.979166666666667,"Turno B",""),"")),"")),"")),"")),"")),""))</f>
        <v>Turno A</v>
      </c>
      <c r="L654" s="91">
        <f t="shared" si="10"/>
        <v>0.3125</v>
      </c>
    </row>
    <row r="655" spans="1:12" s="40" customFormat="1">
      <c r="A655">
        <v>9878189</v>
      </c>
      <c r="B655" t="s">
        <v>553</v>
      </c>
      <c r="C655" t="s">
        <v>552</v>
      </c>
      <c r="D655" t="s">
        <v>313</v>
      </c>
      <c r="E655" t="s">
        <v>1440</v>
      </c>
      <c r="F655" s="78">
        <v>0.63863425925925921</v>
      </c>
      <c r="G655" t="s">
        <v>1406</v>
      </c>
      <c r="H655" t="s">
        <v>1336</v>
      </c>
      <c r="I655" s="88" t="str">
        <f>VLOOKUP(A655,Base!A:B,2,0)</f>
        <v>09.878.189-7</v>
      </c>
      <c r="J655" s="99" t="str">
        <f>VLOOKUP(A655,Base!A:F,6,0)</f>
        <v>GUILLERMO  LEON  GALVEZ</v>
      </c>
      <c r="K655" s="89" t="str">
        <f>IFERROR(IF(VLOOKUP(I655,Ingreso!K:P,6,0)=0,"Sin turtno ing",VLOOKUP(I655,Ingreso!K:P,6,0)),IF(F655&gt;0.25,IF(F655&lt;0.311805555555556,"Turno A",IF(F655&gt;0.3125,IF(F655&lt;0.354166666666667,"Turno C",IF(F655&gt;0.583333333333333,IF(F655&lt;0.625,"Turno B",IF(F655&gt;0.625694444444444,IF(F655&lt;0.8125,"Turno A",IF(F655&gt;0.875,IF(F655&lt;0.936805555555556,"Turno C",IF(F655&gt;0.9375,IF(F655&lt;0.979166666666667,"Turno B",""),"")),"")),"")),"")),"")),""))</f>
        <v>Turno A</v>
      </c>
      <c r="L655" s="91">
        <f t="shared" si="10"/>
        <v>0.3125</v>
      </c>
    </row>
    <row r="656" spans="1:12" s="40" customFormat="1">
      <c r="A656">
        <v>9878189</v>
      </c>
      <c r="B656" t="s">
        <v>553</v>
      </c>
      <c r="C656" t="s">
        <v>552</v>
      </c>
      <c r="D656" t="s">
        <v>313</v>
      </c>
      <c r="E656" t="s">
        <v>1440</v>
      </c>
      <c r="F656" s="78">
        <v>0.29621527777777779</v>
      </c>
      <c r="G656" t="s">
        <v>1405</v>
      </c>
      <c r="H656" t="s">
        <v>1335</v>
      </c>
      <c r="I656" s="88" t="str">
        <f>VLOOKUP(A656,Base!A:B,2,0)</f>
        <v>09.878.189-7</v>
      </c>
      <c r="J656" s="99" t="str">
        <f>VLOOKUP(A656,Base!A:F,6,0)</f>
        <v>GUILLERMO  LEON  GALVEZ</v>
      </c>
      <c r="K656" s="89" t="str">
        <f>IFERROR(IF(VLOOKUP(I656,Ingreso!K:P,6,0)=0,"Sin turtno ing",VLOOKUP(I656,Ingreso!K:P,6,0)),IF(F656&gt;0.25,IF(F656&lt;0.311805555555556,"Turno A",IF(F656&gt;0.3125,IF(F656&lt;0.354166666666667,"Turno C",IF(F656&gt;0.583333333333333,IF(F656&lt;0.625,"Turno B",IF(F656&gt;0.625694444444444,IF(F656&lt;0.8125,"Turno A",IF(F656&gt;0.875,IF(F656&lt;0.936805555555556,"Turno C",IF(F656&gt;0.9375,IF(F656&lt;0.979166666666667,"Turno B",""),"")),"")),"")),"")),"")),""))</f>
        <v>Turno A</v>
      </c>
      <c r="L656" s="91">
        <f t="shared" si="10"/>
        <v>0.3125</v>
      </c>
    </row>
    <row r="657" spans="1:12" s="40" customFormat="1">
      <c r="A657">
        <v>9878189</v>
      </c>
      <c r="B657" t="s">
        <v>553</v>
      </c>
      <c r="C657" t="s">
        <v>552</v>
      </c>
      <c r="D657" t="s">
        <v>313</v>
      </c>
      <c r="E657" t="s">
        <v>1437</v>
      </c>
      <c r="F657" s="78">
        <v>0.6369097222222222</v>
      </c>
      <c r="G657" t="s">
        <v>1406</v>
      </c>
      <c r="H657" t="s">
        <v>1336</v>
      </c>
      <c r="I657" s="88" t="str">
        <f>VLOOKUP(A657,Base!A:B,2,0)</f>
        <v>09.878.189-7</v>
      </c>
      <c r="J657" s="99" t="str">
        <f>VLOOKUP(A657,Base!A:F,6,0)</f>
        <v>GUILLERMO  LEON  GALVEZ</v>
      </c>
      <c r="K657" s="89" t="str">
        <f>IFERROR(IF(VLOOKUP(I657,Ingreso!K:P,6,0)=0,"Sin turtno ing",VLOOKUP(I657,Ingreso!K:P,6,0)),IF(F657&gt;0.25,IF(F657&lt;0.311805555555556,"Turno A",IF(F657&gt;0.3125,IF(F657&lt;0.354166666666667,"Turno C",IF(F657&gt;0.583333333333333,IF(F657&lt;0.625,"Turno B",IF(F657&gt;0.625694444444444,IF(F657&lt;0.8125,"Turno A",IF(F657&gt;0.875,IF(F657&lt;0.936805555555556,"Turno C",IF(F657&gt;0.9375,IF(F657&lt;0.979166666666667,"Turno B",""),"")),"")),"")),"")),"")),""))</f>
        <v>Turno A</v>
      </c>
      <c r="L657" s="91">
        <f t="shared" si="10"/>
        <v>0.3125</v>
      </c>
    </row>
    <row r="658" spans="1:12" s="40" customFormat="1">
      <c r="A658">
        <v>9878189</v>
      </c>
      <c r="B658" t="s">
        <v>553</v>
      </c>
      <c r="C658" t="s">
        <v>552</v>
      </c>
      <c r="D658" t="s">
        <v>313</v>
      </c>
      <c r="E658" t="s">
        <v>1437</v>
      </c>
      <c r="F658" s="78">
        <v>0.29143518518518519</v>
      </c>
      <c r="G658" t="s">
        <v>1405</v>
      </c>
      <c r="H658" t="s">
        <v>1335</v>
      </c>
      <c r="I658" s="88" t="str">
        <f>VLOOKUP(A658,Base!A:B,2,0)</f>
        <v>09.878.189-7</v>
      </c>
      <c r="J658" s="99" t="str">
        <f>VLOOKUP(A658,Base!A:F,6,0)</f>
        <v>GUILLERMO  LEON  GALVEZ</v>
      </c>
      <c r="K658" s="89" t="str">
        <f>IFERROR(IF(VLOOKUP(I658,Ingreso!K:P,6,0)=0,"Sin turtno ing",VLOOKUP(I658,Ingreso!K:P,6,0)),IF(F658&gt;0.25,IF(F658&lt;0.311805555555556,"Turno A",IF(F658&gt;0.3125,IF(F658&lt;0.354166666666667,"Turno C",IF(F658&gt;0.583333333333333,IF(F658&lt;0.625,"Turno B",IF(F658&gt;0.625694444444444,IF(F658&lt;0.8125,"Turno A",IF(F658&gt;0.875,IF(F658&lt;0.936805555555556,"Turno C",IF(F658&gt;0.9375,IF(F658&lt;0.979166666666667,"Turno B",""),"")),"")),"")),"")),"")),""))</f>
        <v>Turno A</v>
      </c>
      <c r="L658" s="91">
        <f t="shared" si="10"/>
        <v>0.3125</v>
      </c>
    </row>
    <row r="659" spans="1:12" s="40" customFormat="1">
      <c r="A659">
        <v>9878189</v>
      </c>
      <c r="B659" t="s">
        <v>553</v>
      </c>
      <c r="C659" t="s">
        <v>552</v>
      </c>
      <c r="D659" t="s">
        <v>313</v>
      </c>
      <c r="E659" t="s">
        <v>1438</v>
      </c>
      <c r="F659" s="78">
        <v>0.63829861111111108</v>
      </c>
      <c r="G659" t="s">
        <v>1406</v>
      </c>
      <c r="H659" t="s">
        <v>1336</v>
      </c>
      <c r="I659" s="88" t="str">
        <f>VLOOKUP(A659,Base!A:B,2,0)</f>
        <v>09.878.189-7</v>
      </c>
      <c r="J659" s="99" t="str">
        <f>VLOOKUP(A659,Base!A:F,6,0)</f>
        <v>GUILLERMO  LEON  GALVEZ</v>
      </c>
      <c r="K659" s="89" t="str">
        <f>IFERROR(IF(VLOOKUP(I659,Ingreso!K:P,6,0)=0,"Sin turtno ing",VLOOKUP(I659,Ingreso!K:P,6,0)),IF(F659&gt;0.25,IF(F659&lt;0.311805555555556,"Turno A",IF(F659&gt;0.3125,IF(F659&lt;0.354166666666667,"Turno C",IF(F659&gt;0.583333333333333,IF(F659&lt;0.625,"Turno B",IF(F659&gt;0.625694444444444,IF(F659&lt;0.8125,"Turno A",IF(F659&gt;0.875,IF(F659&lt;0.936805555555556,"Turno C",IF(F659&gt;0.9375,IF(F659&lt;0.979166666666667,"Turno B",""),"")),"")),"")),"")),"")),""))</f>
        <v>Turno A</v>
      </c>
      <c r="L659" s="91">
        <f t="shared" si="10"/>
        <v>0.3125</v>
      </c>
    </row>
    <row r="660" spans="1:12" s="40" customFormat="1">
      <c r="A660">
        <v>9878189</v>
      </c>
      <c r="B660" t="s">
        <v>553</v>
      </c>
      <c r="C660" t="s">
        <v>552</v>
      </c>
      <c r="D660" t="s">
        <v>313</v>
      </c>
      <c r="E660" t="s">
        <v>1438</v>
      </c>
      <c r="F660" s="78">
        <v>0.2862615740740741</v>
      </c>
      <c r="G660" t="s">
        <v>1405</v>
      </c>
      <c r="H660" t="s">
        <v>1335</v>
      </c>
      <c r="I660" s="88" t="str">
        <f>VLOOKUP(A660,Base!A:B,2,0)</f>
        <v>09.878.189-7</v>
      </c>
      <c r="J660" s="99" t="str">
        <f>VLOOKUP(A660,Base!A:F,6,0)</f>
        <v>GUILLERMO  LEON  GALVEZ</v>
      </c>
      <c r="K660" s="89" t="str">
        <f>IFERROR(IF(VLOOKUP(I660,Ingreso!K:P,6,0)=0,"Sin turtno ing",VLOOKUP(I660,Ingreso!K:P,6,0)),IF(F660&gt;0.25,IF(F660&lt;0.311805555555556,"Turno A",IF(F660&gt;0.3125,IF(F660&lt;0.354166666666667,"Turno C",IF(F660&gt;0.583333333333333,IF(F660&lt;0.625,"Turno B",IF(F660&gt;0.625694444444444,IF(F660&lt;0.8125,"Turno A",IF(F660&gt;0.875,IF(F660&lt;0.936805555555556,"Turno C",IF(F660&gt;0.9375,IF(F660&lt;0.979166666666667,"Turno B",""),"")),"")),"")),"")),"")),""))</f>
        <v>Turno A</v>
      </c>
      <c r="L660" s="91">
        <f t="shared" si="10"/>
        <v>0.3125</v>
      </c>
    </row>
    <row r="661" spans="1:12" s="40" customFormat="1">
      <c r="A661">
        <v>9878189</v>
      </c>
      <c r="B661" t="s">
        <v>553</v>
      </c>
      <c r="C661" t="s">
        <v>552</v>
      </c>
      <c r="D661" t="s">
        <v>313</v>
      </c>
      <c r="E661" t="s">
        <v>1439</v>
      </c>
      <c r="F661" s="78">
        <v>0.63858796296296294</v>
      </c>
      <c r="G661" t="s">
        <v>1406</v>
      </c>
      <c r="H661" t="s">
        <v>1336</v>
      </c>
      <c r="I661" s="88" t="str">
        <f>VLOOKUP(A661,Base!A:B,2,0)</f>
        <v>09.878.189-7</v>
      </c>
      <c r="J661" s="99" t="str">
        <f>VLOOKUP(A661,Base!A:F,6,0)</f>
        <v>GUILLERMO  LEON  GALVEZ</v>
      </c>
      <c r="K661" s="89" t="str">
        <f>IFERROR(IF(VLOOKUP(I661,Ingreso!K:P,6,0)=0,"Sin turtno ing",VLOOKUP(I661,Ingreso!K:P,6,0)),IF(F661&gt;0.25,IF(F661&lt;0.311805555555556,"Turno A",IF(F661&gt;0.3125,IF(F661&lt;0.354166666666667,"Turno C",IF(F661&gt;0.583333333333333,IF(F661&lt;0.625,"Turno B",IF(F661&gt;0.625694444444444,IF(F661&lt;0.8125,"Turno A",IF(F661&gt;0.875,IF(F661&lt;0.936805555555556,"Turno C",IF(F661&gt;0.9375,IF(F661&lt;0.979166666666667,"Turno B",""),"")),"")),"")),"")),"")),""))</f>
        <v>Turno A</v>
      </c>
      <c r="L661" s="91">
        <f t="shared" si="10"/>
        <v>0.3125</v>
      </c>
    </row>
    <row r="662" spans="1:12" s="40" customFormat="1">
      <c r="A662">
        <v>9878189</v>
      </c>
      <c r="B662" t="s">
        <v>553</v>
      </c>
      <c r="C662" t="s">
        <v>552</v>
      </c>
      <c r="D662" t="s">
        <v>313</v>
      </c>
      <c r="E662" t="s">
        <v>1439</v>
      </c>
      <c r="F662" s="78">
        <v>0.28644675925925928</v>
      </c>
      <c r="G662" t="s">
        <v>1405</v>
      </c>
      <c r="H662" t="s">
        <v>1335</v>
      </c>
      <c r="I662" s="88" t="str">
        <f>VLOOKUP(A662,Base!A:B,2,0)</f>
        <v>09.878.189-7</v>
      </c>
      <c r="J662" s="99" t="str">
        <f>VLOOKUP(A662,Base!A:F,6,0)</f>
        <v>GUILLERMO  LEON  GALVEZ</v>
      </c>
      <c r="K662" s="89" t="str">
        <f>IFERROR(IF(VLOOKUP(I662,Ingreso!K:P,6,0)=0,"Sin turtno ing",VLOOKUP(I662,Ingreso!K:P,6,0)),IF(F662&gt;0.25,IF(F662&lt;0.311805555555556,"Turno A",IF(F662&gt;0.3125,IF(F662&lt;0.354166666666667,"Turno C",IF(F662&gt;0.583333333333333,IF(F662&lt;0.625,"Turno B",IF(F662&gt;0.625694444444444,IF(F662&lt;0.8125,"Turno A",IF(F662&gt;0.875,IF(F662&lt;0.936805555555556,"Turno C",IF(F662&gt;0.9375,IF(F662&lt;0.979166666666667,"Turno B",""),"")),"")),"")),"")),"")),""))</f>
        <v>Turno A</v>
      </c>
      <c r="L662" s="91">
        <f t="shared" si="10"/>
        <v>0.3125</v>
      </c>
    </row>
    <row r="663" spans="1:12" s="40" customFormat="1">
      <c r="A663">
        <v>9905897</v>
      </c>
      <c r="B663" t="s">
        <v>496</v>
      </c>
      <c r="C663" t="s">
        <v>1410</v>
      </c>
      <c r="D663" t="s">
        <v>1411</v>
      </c>
      <c r="E663" t="s">
        <v>1407</v>
      </c>
      <c r="F663" s="78">
        <v>0</v>
      </c>
      <c r="G663"/>
      <c r="H663"/>
      <c r="I663" s="88" t="str">
        <f>VLOOKUP(A663,Base!A:B,2,0)</f>
        <v>9.905.897-8</v>
      </c>
      <c r="J663" s="99" t="str">
        <f>VLOOKUP(A663,Base!A:F,6,0)</f>
        <v xml:space="preserve">JUAN PABLO  HERREROS   INFANTE </v>
      </c>
      <c r="K663" s="89" t="str">
        <f>IFERROR(IF(VLOOKUP(I663,Ingreso!K:P,6,0)=0,"Sin turtno ing",VLOOKUP(I663,Ingreso!K:P,6,0)),IF(F663&gt;0.25,IF(F663&lt;0.311805555555556,"Turno A",IF(F663&gt;0.3125,IF(F663&lt;0.354166666666667,"Turno C",IF(F663&gt;0.583333333333333,IF(F663&lt;0.625,"Turno B",IF(F663&gt;0.625694444444444,IF(F663&lt;0.8125,"Turno A",IF(F663&gt;0.875,IF(F663&lt;0.936805555555556,"Turno C",IF(F663&gt;0.9375,IF(F663&lt;0.979166666666667,"Turno B",""),"")),"")),"")),"")),"")),""))</f>
        <v/>
      </c>
      <c r="L663" s="91" t="e">
        <f t="shared" si="10"/>
        <v>#N/A</v>
      </c>
    </row>
    <row r="664" spans="1:12" s="40" customFormat="1">
      <c r="A664">
        <v>9957527</v>
      </c>
      <c r="B664" t="s">
        <v>348</v>
      </c>
      <c r="C664" t="s">
        <v>343</v>
      </c>
      <c r="D664" t="s">
        <v>33</v>
      </c>
      <c r="E664" t="s">
        <v>1407</v>
      </c>
      <c r="F664" s="78">
        <v>0</v>
      </c>
      <c r="G664"/>
      <c r="H664"/>
      <c r="I664" s="88" t="str">
        <f>VLOOKUP(A664,Base!A:B,2,0)</f>
        <v>09.957.527-1</v>
      </c>
      <c r="J664" s="99" t="str">
        <f>VLOOKUP(A664,Base!A:F,6,0)</f>
        <v>JUAN LISANDRO  DURAN  MUÑOZ</v>
      </c>
      <c r="K664" s="89" t="str">
        <f>IFERROR(IF(VLOOKUP(I664,Ingreso!K:P,6,0)=0,"Sin turtno ing",VLOOKUP(I664,Ingreso!K:P,6,0)),IF(F664&gt;0.25,IF(F664&lt;0.311805555555556,"Turno A",IF(F664&gt;0.3125,IF(F664&lt;0.354166666666667,"Turno C",IF(F664&gt;0.583333333333333,IF(F664&lt;0.625,"Turno B",IF(F664&gt;0.625694444444444,IF(F664&lt;0.8125,"Turno A",IF(F664&gt;0.875,IF(F664&lt;0.936805555555556,"Turno C",IF(F664&gt;0.9375,IF(F664&lt;0.979166666666667,"Turno B",""),"")),"")),"")),"")),"")),""))</f>
        <v/>
      </c>
      <c r="L664" s="91" t="e">
        <f t="shared" si="10"/>
        <v>#N/A</v>
      </c>
    </row>
    <row r="665" spans="1:12" s="40" customFormat="1">
      <c r="A665">
        <v>9959939</v>
      </c>
      <c r="B665" t="s">
        <v>1075</v>
      </c>
      <c r="C665" t="s">
        <v>748</v>
      </c>
      <c r="D665" t="s">
        <v>974</v>
      </c>
      <c r="E665" t="s">
        <v>1440</v>
      </c>
      <c r="F665" s="78">
        <v>0.32063657407407409</v>
      </c>
      <c r="G665" t="s">
        <v>1406</v>
      </c>
      <c r="H665" t="s">
        <v>1336</v>
      </c>
      <c r="I665" s="88" t="str">
        <f>VLOOKUP(A665,Base!A:B,2,0)</f>
        <v>09.959.939-1</v>
      </c>
      <c r="J665" s="99" t="str">
        <f>VLOOKUP(A665,Base!A:F,6,0)</f>
        <v>LEONOR VARINIA  VENEGAS  SANCHEZ</v>
      </c>
      <c r="K665" s="89" t="str">
        <f>IFERROR(IF(VLOOKUP(I665,Ingreso!K:P,6,0)=0,"Sin turtno ing",VLOOKUP(I665,Ingreso!K:P,6,0)),IF(F665&gt;0.25,IF(F665&lt;0.311805555555556,"Turno A",IF(F665&gt;0.3125,IF(F665&lt;0.354166666666667,"Turno C",IF(F665&gt;0.583333333333333,IF(F665&lt;0.625,"Turno B",IF(F665&gt;0.625694444444444,IF(F665&lt;0.8125,"Turno A",IF(F665&gt;0.875,IF(F665&lt;0.936805555555556,"Turno C",IF(F665&gt;0.9375,IF(F665&lt;0.979166666666667,"Turno B",""),"")),"")),"")),"")),"")),""))</f>
        <v>Turno C</v>
      </c>
      <c r="L665" s="91">
        <f t="shared" si="10"/>
        <v>0.375</v>
      </c>
    </row>
    <row r="666" spans="1:12" s="40" customFormat="1">
      <c r="A666">
        <v>9959939</v>
      </c>
      <c r="B666" t="s">
        <v>1075</v>
      </c>
      <c r="C666" t="s">
        <v>748</v>
      </c>
      <c r="D666" t="s">
        <v>974</v>
      </c>
      <c r="E666" t="s">
        <v>1440</v>
      </c>
      <c r="F666" s="78">
        <v>0.9202662037037036</v>
      </c>
      <c r="G666" t="s">
        <v>1405</v>
      </c>
      <c r="H666" t="s">
        <v>1335</v>
      </c>
      <c r="I666" s="88" t="str">
        <f>VLOOKUP(A666,Base!A:B,2,0)</f>
        <v>09.959.939-1</v>
      </c>
      <c r="J666" s="99" t="str">
        <f>VLOOKUP(A666,Base!A:F,6,0)</f>
        <v>LEONOR VARINIA  VENEGAS  SANCHEZ</v>
      </c>
      <c r="K666" s="89" t="str">
        <f>IFERROR(IF(VLOOKUP(I666,Ingreso!K:P,6,0)=0,"Sin turtno ing",VLOOKUP(I666,Ingreso!K:P,6,0)),IF(F666&gt;0.25,IF(F666&lt;0.311805555555556,"Turno A",IF(F666&gt;0.3125,IF(F666&lt;0.354166666666667,"Turno C",IF(F666&gt;0.583333333333333,IF(F666&lt;0.625,"Turno B",IF(F666&gt;0.625694444444444,IF(F666&lt;0.8125,"Turno A",IF(F666&gt;0.875,IF(F666&lt;0.936805555555556,"Turno C",IF(F666&gt;0.9375,IF(F666&lt;0.979166666666667,"Turno B",""),"")),"")),"")),"")),"")),""))</f>
        <v>Turno C</v>
      </c>
      <c r="L666" s="91">
        <f t="shared" si="10"/>
        <v>0.375</v>
      </c>
    </row>
    <row r="667" spans="1:12" s="40" customFormat="1">
      <c r="A667">
        <v>9959939</v>
      </c>
      <c r="B667" t="s">
        <v>1075</v>
      </c>
      <c r="C667" t="s">
        <v>748</v>
      </c>
      <c r="D667" t="s">
        <v>974</v>
      </c>
      <c r="E667" t="s">
        <v>1441</v>
      </c>
      <c r="F667" s="78">
        <v>0.31535879629629632</v>
      </c>
      <c r="G667" t="s">
        <v>1406</v>
      </c>
      <c r="H667" t="s">
        <v>1336</v>
      </c>
      <c r="I667" s="88" t="str">
        <f>VLOOKUP(A667,Base!A:B,2,0)</f>
        <v>09.959.939-1</v>
      </c>
      <c r="J667" s="99" t="str">
        <f>VLOOKUP(A667,Base!A:F,6,0)</f>
        <v>LEONOR VARINIA  VENEGAS  SANCHEZ</v>
      </c>
      <c r="K667" s="89" t="str">
        <f>IFERROR(IF(VLOOKUP(I667,Ingreso!K:P,6,0)=0,"Sin turtno ing",VLOOKUP(I667,Ingreso!K:P,6,0)),IF(F667&gt;0.25,IF(F667&lt;0.311805555555556,"Turno A",IF(F667&gt;0.3125,IF(F667&lt;0.354166666666667,"Turno C",IF(F667&gt;0.583333333333333,IF(F667&lt;0.625,"Turno B",IF(F667&gt;0.625694444444444,IF(F667&lt;0.8125,"Turno A",IF(F667&gt;0.875,IF(F667&lt;0.936805555555556,"Turno C",IF(F667&gt;0.9375,IF(F667&lt;0.979166666666667,"Turno B",""),"")),"")),"")),"")),"")),""))</f>
        <v>Turno C</v>
      </c>
      <c r="L667" s="91">
        <f t="shared" si="10"/>
        <v>0.375</v>
      </c>
    </row>
    <row r="668" spans="1:12" s="40" customFormat="1">
      <c r="A668">
        <v>9959939</v>
      </c>
      <c r="B668" t="s">
        <v>1075</v>
      </c>
      <c r="C668" t="s">
        <v>748</v>
      </c>
      <c r="D668" t="s">
        <v>974</v>
      </c>
      <c r="E668" t="s">
        <v>1437</v>
      </c>
      <c r="F668" s="78">
        <v>0.91699074074074083</v>
      </c>
      <c r="G668" t="s">
        <v>1405</v>
      </c>
      <c r="H668" t="s">
        <v>1335</v>
      </c>
      <c r="I668" s="88" t="str">
        <f>VLOOKUP(A668,Base!A:B,2,0)</f>
        <v>09.959.939-1</v>
      </c>
      <c r="J668" s="99" t="str">
        <f>VLOOKUP(A668,Base!A:F,6,0)</f>
        <v>LEONOR VARINIA  VENEGAS  SANCHEZ</v>
      </c>
      <c r="K668" s="89" t="str">
        <f>IFERROR(IF(VLOOKUP(I668,Ingreso!K:P,6,0)=0,"Sin turtno ing",VLOOKUP(I668,Ingreso!K:P,6,0)),IF(F668&gt;0.25,IF(F668&lt;0.311805555555556,"Turno A",IF(F668&gt;0.3125,IF(F668&lt;0.354166666666667,"Turno C",IF(F668&gt;0.583333333333333,IF(F668&lt;0.625,"Turno B",IF(F668&gt;0.625694444444444,IF(F668&lt;0.8125,"Turno A",IF(F668&gt;0.875,IF(F668&lt;0.936805555555556,"Turno C",IF(F668&gt;0.9375,IF(F668&lt;0.979166666666667,"Turno B",""),"")),"")),"")),"")),"")),""))</f>
        <v>Turno C</v>
      </c>
      <c r="L668" s="91">
        <f t="shared" si="10"/>
        <v>0.375</v>
      </c>
    </row>
    <row r="669" spans="1:12" s="40" customFormat="1">
      <c r="A669">
        <v>9959939</v>
      </c>
      <c r="B669" t="s">
        <v>1075</v>
      </c>
      <c r="C669" t="s">
        <v>748</v>
      </c>
      <c r="D669" t="s">
        <v>974</v>
      </c>
      <c r="E669" t="s">
        <v>1438</v>
      </c>
      <c r="F669" s="78">
        <v>0.31785879629629626</v>
      </c>
      <c r="G669" t="s">
        <v>1406</v>
      </c>
      <c r="H669" t="s">
        <v>1336</v>
      </c>
      <c r="I669" s="88" t="str">
        <f>VLOOKUP(A669,Base!A:B,2,0)</f>
        <v>09.959.939-1</v>
      </c>
      <c r="J669" s="99" t="str">
        <f>VLOOKUP(A669,Base!A:F,6,0)</f>
        <v>LEONOR VARINIA  VENEGAS  SANCHEZ</v>
      </c>
      <c r="K669" s="89" t="str">
        <f>IFERROR(IF(VLOOKUP(I669,Ingreso!K:P,6,0)=0,"Sin turtno ing",VLOOKUP(I669,Ingreso!K:P,6,0)),IF(F669&gt;0.25,IF(F669&lt;0.311805555555556,"Turno A",IF(F669&gt;0.3125,IF(F669&lt;0.354166666666667,"Turno C",IF(F669&gt;0.583333333333333,IF(F669&lt;0.625,"Turno B",IF(F669&gt;0.625694444444444,IF(F669&lt;0.8125,"Turno A",IF(F669&gt;0.875,IF(F669&lt;0.936805555555556,"Turno C",IF(F669&gt;0.9375,IF(F669&lt;0.979166666666667,"Turno B",""),"")),"")),"")),"")),"")),""))</f>
        <v>Turno C</v>
      </c>
      <c r="L669" s="91">
        <f t="shared" si="10"/>
        <v>0.375</v>
      </c>
    </row>
    <row r="670" spans="1:12" s="40" customFormat="1">
      <c r="A670">
        <v>9959939</v>
      </c>
      <c r="B670" t="s">
        <v>1075</v>
      </c>
      <c r="C670" t="s">
        <v>748</v>
      </c>
      <c r="D670" t="s">
        <v>974</v>
      </c>
      <c r="E670" t="s">
        <v>1438</v>
      </c>
      <c r="F670" s="78">
        <v>0.91866898148148157</v>
      </c>
      <c r="G670" t="s">
        <v>1405</v>
      </c>
      <c r="H670" t="s">
        <v>1335</v>
      </c>
      <c r="I670" s="88" t="str">
        <f>VLOOKUP(A670,Base!A:B,2,0)</f>
        <v>09.959.939-1</v>
      </c>
      <c r="J670" s="99" t="str">
        <f>VLOOKUP(A670,Base!A:F,6,0)</f>
        <v>LEONOR VARINIA  VENEGAS  SANCHEZ</v>
      </c>
      <c r="K670" s="89" t="str">
        <f>IFERROR(IF(VLOOKUP(I670,Ingreso!K:P,6,0)=0,"Sin turtno ing",VLOOKUP(I670,Ingreso!K:P,6,0)),IF(F670&gt;0.25,IF(F670&lt;0.311805555555556,"Turno A",IF(F670&gt;0.3125,IF(F670&lt;0.354166666666667,"Turno C",IF(F670&gt;0.583333333333333,IF(F670&lt;0.625,"Turno B",IF(F670&gt;0.625694444444444,IF(F670&lt;0.8125,"Turno A",IF(F670&gt;0.875,IF(F670&lt;0.936805555555556,"Turno C",IF(F670&gt;0.9375,IF(F670&lt;0.979166666666667,"Turno B",""),"")),"")),"")),"")),"")),""))</f>
        <v>Turno C</v>
      </c>
      <c r="L670" s="91">
        <f t="shared" si="10"/>
        <v>0.375</v>
      </c>
    </row>
    <row r="671" spans="1:12" s="40" customFormat="1">
      <c r="A671">
        <v>9959939</v>
      </c>
      <c r="B671" t="s">
        <v>1075</v>
      </c>
      <c r="C671" t="s">
        <v>748</v>
      </c>
      <c r="D671" t="s">
        <v>974</v>
      </c>
      <c r="E671" t="s">
        <v>1439</v>
      </c>
      <c r="F671" s="78">
        <v>0.3181134259259259</v>
      </c>
      <c r="G671" t="s">
        <v>1406</v>
      </c>
      <c r="H671" t="s">
        <v>1336</v>
      </c>
      <c r="I671" s="88" t="str">
        <f>VLOOKUP(A671,Base!A:B,2,0)</f>
        <v>09.959.939-1</v>
      </c>
      <c r="J671" s="99" t="str">
        <f>VLOOKUP(A671,Base!A:F,6,0)</f>
        <v>LEONOR VARINIA  VENEGAS  SANCHEZ</v>
      </c>
      <c r="K671" s="89" t="str">
        <f>IFERROR(IF(VLOOKUP(I671,Ingreso!K:P,6,0)=0,"Sin turtno ing",VLOOKUP(I671,Ingreso!K:P,6,0)),IF(F671&gt;0.25,IF(F671&lt;0.311805555555556,"Turno A",IF(F671&gt;0.3125,IF(F671&lt;0.354166666666667,"Turno C",IF(F671&gt;0.583333333333333,IF(F671&lt;0.625,"Turno B",IF(F671&gt;0.625694444444444,IF(F671&lt;0.8125,"Turno A",IF(F671&gt;0.875,IF(F671&lt;0.936805555555556,"Turno C",IF(F671&gt;0.9375,IF(F671&lt;0.979166666666667,"Turno B",""),"")),"")),"")),"")),"")),""))</f>
        <v>Turno C</v>
      </c>
      <c r="L671" s="91">
        <f t="shared" si="10"/>
        <v>0.375</v>
      </c>
    </row>
    <row r="672" spans="1:12" s="40" customFormat="1">
      <c r="A672">
        <v>9959939</v>
      </c>
      <c r="B672" t="s">
        <v>1075</v>
      </c>
      <c r="C672" t="s">
        <v>748</v>
      </c>
      <c r="D672" t="s">
        <v>974</v>
      </c>
      <c r="E672" t="s">
        <v>1439</v>
      </c>
      <c r="F672" s="78">
        <v>0.91753472222222221</v>
      </c>
      <c r="G672" t="s">
        <v>1405</v>
      </c>
      <c r="H672" t="s">
        <v>1335</v>
      </c>
      <c r="I672" s="88" t="str">
        <f>VLOOKUP(A672,Base!A:B,2,0)</f>
        <v>09.959.939-1</v>
      </c>
      <c r="J672" s="99" t="str">
        <f>VLOOKUP(A672,Base!A:F,6,0)</f>
        <v>LEONOR VARINIA  VENEGAS  SANCHEZ</v>
      </c>
      <c r="K672" s="89" t="str">
        <f>IFERROR(IF(VLOOKUP(I672,Ingreso!K:P,6,0)=0,"Sin turtno ing",VLOOKUP(I672,Ingreso!K:P,6,0)),IF(F672&gt;0.25,IF(F672&lt;0.311805555555556,"Turno A",IF(F672&gt;0.3125,IF(F672&lt;0.354166666666667,"Turno C",IF(F672&gt;0.583333333333333,IF(F672&lt;0.625,"Turno B",IF(F672&gt;0.625694444444444,IF(F672&lt;0.8125,"Turno A",IF(F672&gt;0.875,IF(F672&lt;0.936805555555556,"Turno C",IF(F672&gt;0.9375,IF(F672&lt;0.979166666666667,"Turno B",""),"")),"")),"")),"")),"")),""))</f>
        <v>Turno C</v>
      </c>
      <c r="L672" s="91">
        <f t="shared" si="10"/>
        <v>0.375</v>
      </c>
    </row>
    <row r="673" spans="1:12" s="40" customFormat="1">
      <c r="A673">
        <v>9960185</v>
      </c>
      <c r="B673" t="s">
        <v>97</v>
      </c>
      <c r="C673" t="s">
        <v>90</v>
      </c>
      <c r="D673" t="s">
        <v>96</v>
      </c>
      <c r="E673" t="s">
        <v>1407</v>
      </c>
      <c r="F673" s="78">
        <v>0</v>
      </c>
      <c r="G673"/>
      <c r="H673"/>
      <c r="I673" s="88" t="str">
        <f>VLOOKUP(A673,Base!A:B,2,0)</f>
        <v>09.960.185-K</v>
      </c>
      <c r="J673" s="99" t="str">
        <f>VLOOKUP(A673,Base!A:F,6,0)</f>
        <v>ERIC PATRICIO  ARANCIBIA  QUINTANA</v>
      </c>
      <c r="K673" s="89" t="str">
        <f>IFERROR(IF(VLOOKUP(I673,Ingreso!K:P,6,0)=0,"Sin turtno ing",VLOOKUP(I673,Ingreso!K:P,6,0)),IF(F673&gt;0.25,IF(F673&lt;0.311805555555556,"Turno A",IF(F673&gt;0.3125,IF(F673&lt;0.354166666666667,"Turno C",IF(F673&gt;0.583333333333333,IF(F673&lt;0.625,"Turno B",IF(F673&gt;0.625694444444444,IF(F673&lt;0.8125,"Turno A",IF(F673&gt;0.875,IF(F673&lt;0.936805555555556,"Turno C",IF(F673&gt;0.9375,IF(F673&lt;0.979166666666667,"Turno B",""),"")),"")),"")),"")),"")),""))</f>
        <v/>
      </c>
      <c r="L673" s="91" t="e">
        <f t="shared" si="10"/>
        <v>#N/A</v>
      </c>
    </row>
    <row r="674" spans="1:12" s="40" customFormat="1">
      <c r="A674">
        <v>9989723</v>
      </c>
      <c r="B674" t="s">
        <v>481</v>
      </c>
      <c r="C674" t="s">
        <v>479</v>
      </c>
      <c r="D674" t="s">
        <v>480</v>
      </c>
      <c r="E674" t="s">
        <v>1440</v>
      </c>
      <c r="F674" s="78">
        <v>0.94946759259259261</v>
      </c>
      <c r="G674" t="s">
        <v>1406</v>
      </c>
      <c r="H674" t="s">
        <v>1336</v>
      </c>
      <c r="I674" s="88" t="str">
        <f>VLOOKUP(A674,Base!A:B,2,0)</f>
        <v>09.989.723-6</v>
      </c>
      <c r="J674" s="99" t="str">
        <f>VLOOKUP(A674,Base!A:F,6,0)</f>
        <v>FRANKLIN LEONEL  HERNANDEZ  CESPEDES</v>
      </c>
      <c r="K674" s="89" t="str">
        <f>IFERROR(IF(VLOOKUP(I674,Ingreso!K:P,6,0)=0,"Sin turtno ing",VLOOKUP(I674,Ingreso!K:P,6,0)),IF(F674&gt;0.25,IF(F674&lt;0.311805555555556,"Turno A",IF(F674&gt;0.3125,IF(F674&lt;0.354166666666667,"Turno C",IF(F674&gt;0.583333333333333,IF(F674&lt;0.625,"Turno B",IF(F674&gt;0.625694444444444,IF(F674&lt;0.8125,"Turno A",IF(F674&gt;0.875,IF(F674&lt;0.936805555555556,"Turno C",IF(F674&gt;0.9375,IF(F674&lt;0.979166666666667,"Turno B",""),"")),"")),"")),"")),"")),""))</f>
        <v>Turno B</v>
      </c>
      <c r="L674" s="91">
        <f t="shared" si="10"/>
        <v>0.3125</v>
      </c>
    </row>
    <row r="675" spans="1:12" s="40" customFormat="1">
      <c r="A675">
        <v>9989723</v>
      </c>
      <c r="B675" t="s">
        <v>481</v>
      </c>
      <c r="C675" t="s">
        <v>479</v>
      </c>
      <c r="D675" t="s">
        <v>480</v>
      </c>
      <c r="E675" t="s">
        <v>1440</v>
      </c>
      <c r="F675" s="78">
        <v>0.60872685185185182</v>
      </c>
      <c r="G675" t="s">
        <v>1405</v>
      </c>
      <c r="H675" t="s">
        <v>1335</v>
      </c>
      <c r="I675" s="88" t="str">
        <f>VLOOKUP(A675,Base!A:B,2,0)</f>
        <v>09.989.723-6</v>
      </c>
      <c r="J675" s="99" t="str">
        <f>VLOOKUP(A675,Base!A:F,6,0)</f>
        <v>FRANKLIN LEONEL  HERNANDEZ  CESPEDES</v>
      </c>
      <c r="K675" s="89" t="str">
        <f>IFERROR(IF(VLOOKUP(I675,Ingreso!K:P,6,0)=0,"Sin turtno ing",VLOOKUP(I675,Ingreso!K:P,6,0)),IF(F675&gt;0.25,IF(F675&lt;0.311805555555556,"Turno A",IF(F675&gt;0.3125,IF(F675&lt;0.354166666666667,"Turno C",IF(F675&gt;0.583333333333333,IF(F675&lt;0.625,"Turno B",IF(F675&gt;0.625694444444444,IF(F675&lt;0.8125,"Turno A",IF(F675&gt;0.875,IF(F675&lt;0.936805555555556,"Turno C",IF(F675&gt;0.9375,IF(F675&lt;0.979166666666667,"Turno B",""),"")),"")),"")),"")),"")),""))</f>
        <v>Turno B</v>
      </c>
      <c r="L675" s="91">
        <f t="shared" si="10"/>
        <v>0.3125</v>
      </c>
    </row>
    <row r="676" spans="1:12" s="40" customFormat="1">
      <c r="A676">
        <v>9989723</v>
      </c>
      <c r="B676" t="s">
        <v>481</v>
      </c>
      <c r="C676" t="s">
        <v>479</v>
      </c>
      <c r="D676" t="s">
        <v>480</v>
      </c>
      <c r="E676" t="s">
        <v>1441</v>
      </c>
      <c r="F676" s="78">
        <v>0.9186805555555555</v>
      </c>
      <c r="G676" t="s">
        <v>1406</v>
      </c>
      <c r="H676" t="s">
        <v>1336</v>
      </c>
      <c r="I676" s="88" t="str">
        <f>VLOOKUP(A676,Base!A:B,2,0)</f>
        <v>09.989.723-6</v>
      </c>
      <c r="J676" s="99" t="str">
        <f>VLOOKUP(A676,Base!A:F,6,0)</f>
        <v>FRANKLIN LEONEL  HERNANDEZ  CESPEDES</v>
      </c>
      <c r="K676" s="89" t="str">
        <f>IFERROR(IF(VLOOKUP(I676,Ingreso!K:P,6,0)=0,"Sin turtno ing",VLOOKUP(I676,Ingreso!K:P,6,0)),IF(F676&gt;0.25,IF(F676&lt;0.311805555555556,"Turno A",IF(F676&gt;0.3125,IF(F676&lt;0.354166666666667,"Turno C",IF(F676&gt;0.583333333333333,IF(F676&lt;0.625,"Turno B",IF(F676&gt;0.625694444444444,IF(F676&lt;0.8125,"Turno A",IF(F676&gt;0.875,IF(F676&lt;0.936805555555556,"Turno C",IF(F676&gt;0.9375,IF(F676&lt;0.979166666666667,"Turno B",""),"")),"")),"")),"")),"")),""))</f>
        <v>Turno B</v>
      </c>
      <c r="L676" s="91">
        <f t="shared" si="10"/>
        <v>0.3125</v>
      </c>
    </row>
    <row r="677" spans="1:12" s="40" customFormat="1">
      <c r="A677">
        <v>9989723</v>
      </c>
      <c r="B677" t="s">
        <v>481</v>
      </c>
      <c r="C677" t="s">
        <v>479</v>
      </c>
      <c r="D677" t="s">
        <v>480</v>
      </c>
      <c r="E677" t="s">
        <v>1441</v>
      </c>
      <c r="F677" s="78">
        <v>0.61944444444444446</v>
      </c>
      <c r="G677" t="s">
        <v>1405</v>
      </c>
      <c r="H677" t="s">
        <v>1335</v>
      </c>
      <c r="I677" s="88" t="str">
        <f>VLOOKUP(A677,Base!A:B,2,0)</f>
        <v>09.989.723-6</v>
      </c>
      <c r="J677" s="99" t="str">
        <f>VLOOKUP(A677,Base!A:F,6,0)</f>
        <v>FRANKLIN LEONEL  HERNANDEZ  CESPEDES</v>
      </c>
      <c r="K677" s="89" t="str">
        <f>IFERROR(IF(VLOOKUP(I677,Ingreso!K:P,6,0)=0,"Sin turtno ing",VLOOKUP(I677,Ingreso!K:P,6,0)),IF(F677&gt;0.25,IF(F677&lt;0.311805555555556,"Turno A",IF(F677&gt;0.3125,IF(F677&lt;0.354166666666667,"Turno C",IF(F677&gt;0.583333333333333,IF(F677&lt;0.625,"Turno B",IF(F677&gt;0.625694444444444,IF(F677&lt;0.8125,"Turno A",IF(F677&gt;0.875,IF(F677&lt;0.936805555555556,"Turno C",IF(F677&gt;0.9375,IF(F677&lt;0.979166666666667,"Turno B",""),"")),"")),"")),"")),"")),""))</f>
        <v>Turno B</v>
      </c>
      <c r="L677" s="91">
        <f t="shared" si="10"/>
        <v>0.3125</v>
      </c>
    </row>
    <row r="678" spans="1:12" s="40" customFormat="1">
      <c r="A678">
        <v>9989723</v>
      </c>
      <c r="B678" t="s">
        <v>481</v>
      </c>
      <c r="C678" t="s">
        <v>479</v>
      </c>
      <c r="D678" t="s">
        <v>480</v>
      </c>
      <c r="E678" t="s">
        <v>1437</v>
      </c>
      <c r="F678" s="78">
        <v>0.96703703703703703</v>
      </c>
      <c r="G678" t="s">
        <v>1406</v>
      </c>
      <c r="H678" t="s">
        <v>1336</v>
      </c>
      <c r="I678" s="88" t="str">
        <f>VLOOKUP(A678,Base!A:B,2,0)</f>
        <v>09.989.723-6</v>
      </c>
      <c r="J678" s="99" t="str">
        <f>VLOOKUP(A678,Base!A:F,6,0)</f>
        <v>FRANKLIN LEONEL  HERNANDEZ  CESPEDES</v>
      </c>
      <c r="K678" s="89" t="str">
        <f>IFERROR(IF(VLOOKUP(I678,Ingreso!K:P,6,0)=0,"Sin turtno ing",VLOOKUP(I678,Ingreso!K:P,6,0)),IF(F678&gt;0.25,IF(F678&lt;0.311805555555556,"Turno A",IF(F678&gt;0.3125,IF(F678&lt;0.354166666666667,"Turno C",IF(F678&gt;0.583333333333333,IF(F678&lt;0.625,"Turno B",IF(F678&gt;0.625694444444444,IF(F678&lt;0.8125,"Turno A",IF(F678&gt;0.875,IF(F678&lt;0.936805555555556,"Turno C",IF(F678&gt;0.9375,IF(F678&lt;0.979166666666667,"Turno B",""),"")),"")),"")),"")),"")),""))</f>
        <v>Turno B</v>
      </c>
      <c r="L678" s="91">
        <f t="shared" si="10"/>
        <v>0.3125</v>
      </c>
    </row>
    <row r="679" spans="1:12" s="40" customFormat="1">
      <c r="A679">
        <v>9989723</v>
      </c>
      <c r="B679" t="s">
        <v>481</v>
      </c>
      <c r="C679" t="s">
        <v>479</v>
      </c>
      <c r="D679" t="s">
        <v>480</v>
      </c>
      <c r="E679" t="s">
        <v>1437</v>
      </c>
      <c r="F679" s="78">
        <v>0.60642361111111109</v>
      </c>
      <c r="G679" t="s">
        <v>1405</v>
      </c>
      <c r="H679" t="s">
        <v>1335</v>
      </c>
      <c r="I679" s="88" t="str">
        <f>VLOOKUP(A679,Base!A:B,2,0)</f>
        <v>09.989.723-6</v>
      </c>
      <c r="J679" s="99" t="str">
        <f>VLOOKUP(A679,Base!A:F,6,0)</f>
        <v>FRANKLIN LEONEL  HERNANDEZ  CESPEDES</v>
      </c>
      <c r="K679" s="89" t="str">
        <f>IFERROR(IF(VLOOKUP(I679,Ingreso!K:P,6,0)=0,"Sin turtno ing",VLOOKUP(I679,Ingreso!K:P,6,0)),IF(F679&gt;0.25,IF(F679&lt;0.311805555555556,"Turno A",IF(F679&gt;0.3125,IF(F679&lt;0.354166666666667,"Turno C",IF(F679&gt;0.583333333333333,IF(F679&lt;0.625,"Turno B",IF(F679&gt;0.625694444444444,IF(F679&lt;0.8125,"Turno A",IF(F679&gt;0.875,IF(F679&lt;0.936805555555556,"Turno C",IF(F679&gt;0.9375,IF(F679&lt;0.979166666666667,"Turno B",""),"")),"")),"")),"")),"")),""))</f>
        <v>Turno B</v>
      </c>
      <c r="L679" s="91">
        <f t="shared" si="10"/>
        <v>0.3125</v>
      </c>
    </row>
    <row r="680" spans="1:12" s="40" customFormat="1">
      <c r="A680">
        <v>9989723</v>
      </c>
      <c r="B680" t="s">
        <v>481</v>
      </c>
      <c r="C680" t="s">
        <v>479</v>
      </c>
      <c r="D680" t="s">
        <v>480</v>
      </c>
      <c r="E680" t="s">
        <v>1438</v>
      </c>
      <c r="F680" s="78">
        <v>0.97620370370370368</v>
      </c>
      <c r="G680" t="s">
        <v>1406</v>
      </c>
      <c r="H680" t="s">
        <v>1336</v>
      </c>
      <c r="I680" s="88" t="str">
        <f>VLOOKUP(A680,Base!A:B,2,0)</f>
        <v>09.989.723-6</v>
      </c>
      <c r="J680" s="99" t="str">
        <f>VLOOKUP(A680,Base!A:F,6,0)</f>
        <v>FRANKLIN LEONEL  HERNANDEZ  CESPEDES</v>
      </c>
      <c r="K680" s="89" t="str">
        <f>IFERROR(IF(VLOOKUP(I680,Ingreso!K:P,6,0)=0,"Sin turtno ing",VLOOKUP(I680,Ingreso!K:P,6,0)),IF(F680&gt;0.25,IF(F680&lt;0.311805555555556,"Turno A",IF(F680&gt;0.3125,IF(F680&lt;0.354166666666667,"Turno C",IF(F680&gt;0.583333333333333,IF(F680&lt;0.625,"Turno B",IF(F680&gt;0.625694444444444,IF(F680&lt;0.8125,"Turno A",IF(F680&gt;0.875,IF(F680&lt;0.936805555555556,"Turno C",IF(F680&gt;0.9375,IF(F680&lt;0.979166666666667,"Turno B",""),"")),"")),"")),"")),"")),""))</f>
        <v>Turno B</v>
      </c>
      <c r="L680" s="91">
        <f t="shared" si="10"/>
        <v>0.3125</v>
      </c>
    </row>
    <row r="681" spans="1:12" s="40" customFormat="1">
      <c r="A681">
        <v>9989723</v>
      </c>
      <c r="B681" t="s">
        <v>481</v>
      </c>
      <c r="C681" t="s">
        <v>479</v>
      </c>
      <c r="D681" t="s">
        <v>480</v>
      </c>
      <c r="E681" t="s">
        <v>1438</v>
      </c>
      <c r="F681" s="78">
        <v>0.62468749999999995</v>
      </c>
      <c r="G681" t="s">
        <v>1405</v>
      </c>
      <c r="H681" t="s">
        <v>1335</v>
      </c>
      <c r="I681" s="88" t="str">
        <f>VLOOKUP(A681,Base!A:B,2,0)</f>
        <v>09.989.723-6</v>
      </c>
      <c r="J681" s="99" t="str">
        <f>VLOOKUP(A681,Base!A:F,6,0)</f>
        <v>FRANKLIN LEONEL  HERNANDEZ  CESPEDES</v>
      </c>
      <c r="K681" s="89" t="str">
        <f>IFERROR(IF(VLOOKUP(I681,Ingreso!K:P,6,0)=0,"Sin turtno ing",VLOOKUP(I681,Ingreso!K:P,6,0)),IF(F681&gt;0.25,IF(F681&lt;0.311805555555556,"Turno A",IF(F681&gt;0.3125,IF(F681&lt;0.354166666666667,"Turno C",IF(F681&gt;0.583333333333333,IF(F681&lt;0.625,"Turno B",IF(F681&gt;0.625694444444444,IF(F681&lt;0.8125,"Turno A",IF(F681&gt;0.875,IF(F681&lt;0.936805555555556,"Turno C",IF(F681&gt;0.9375,IF(F681&lt;0.979166666666667,"Turno B",""),"")),"")),"")),"")),"")),""))</f>
        <v>Turno B</v>
      </c>
      <c r="L681" s="91">
        <f t="shared" si="10"/>
        <v>0.3125</v>
      </c>
    </row>
    <row r="682" spans="1:12" s="40" customFormat="1">
      <c r="A682">
        <v>9989723</v>
      </c>
      <c r="B682" t="s">
        <v>481</v>
      </c>
      <c r="C682" t="s">
        <v>479</v>
      </c>
      <c r="D682" t="s">
        <v>480</v>
      </c>
      <c r="E682" t="s">
        <v>1439</v>
      </c>
      <c r="F682" s="78">
        <v>0.94862268518518522</v>
      </c>
      <c r="G682" t="s">
        <v>1406</v>
      </c>
      <c r="H682" t="s">
        <v>1336</v>
      </c>
      <c r="I682" s="88" t="str">
        <f>VLOOKUP(A682,Base!A:B,2,0)</f>
        <v>09.989.723-6</v>
      </c>
      <c r="J682" s="99" t="str">
        <f>VLOOKUP(A682,Base!A:F,6,0)</f>
        <v>FRANKLIN LEONEL  HERNANDEZ  CESPEDES</v>
      </c>
      <c r="K682" s="89" t="str">
        <f>IFERROR(IF(VLOOKUP(I682,Ingreso!K:P,6,0)=0,"Sin turtno ing",VLOOKUP(I682,Ingreso!K:P,6,0)),IF(F682&gt;0.25,IF(F682&lt;0.311805555555556,"Turno A",IF(F682&gt;0.3125,IF(F682&lt;0.354166666666667,"Turno C",IF(F682&gt;0.583333333333333,IF(F682&lt;0.625,"Turno B",IF(F682&gt;0.625694444444444,IF(F682&lt;0.8125,"Turno A",IF(F682&gt;0.875,IF(F682&lt;0.936805555555556,"Turno C",IF(F682&gt;0.9375,IF(F682&lt;0.979166666666667,"Turno B",""),"")),"")),"")),"")),"")),""))</f>
        <v>Turno B</v>
      </c>
      <c r="L682" s="91">
        <f t="shared" si="10"/>
        <v>0.3125</v>
      </c>
    </row>
    <row r="683" spans="1:12" s="40" customFormat="1">
      <c r="A683">
        <v>9989723</v>
      </c>
      <c r="B683" t="s">
        <v>481</v>
      </c>
      <c r="C683" t="s">
        <v>479</v>
      </c>
      <c r="D683" t="s">
        <v>480</v>
      </c>
      <c r="E683" t="s">
        <v>1439</v>
      </c>
      <c r="F683" s="78">
        <v>0.63351851851851848</v>
      </c>
      <c r="G683" t="s">
        <v>1405</v>
      </c>
      <c r="H683" t="s">
        <v>1335</v>
      </c>
      <c r="I683" s="88" t="str">
        <f>VLOOKUP(A683,Base!A:B,2,0)</f>
        <v>09.989.723-6</v>
      </c>
      <c r="J683" s="99" t="str">
        <f>VLOOKUP(A683,Base!A:F,6,0)</f>
        <v>FRANKLIN LEONEL  HERNANDEZ  CESPEDES</v>
      </c>
      <c r="K683" s="89" t="str">
        <f>IFERROR(IF(VLOOKUP(I683,Ingreso!K:P,6,0)=0,"Sin turtno ing",VLOOKUP(I683,Ingreso!K:P,6,0)),IF(F683&gt;0.25,IF(F683&lt;0.311805555555556,"Turno A",IF(F683&gt;0.3125,IF(F683&lt;0.354166666666667,"Turno C",IF(F683&gt;0.583333333333333,IF(F683&lt;0.625,"Turno B",IF(F683&gt;0.625694444444444,IF(F683&lt;0.8125,"Turno A",IF(F683&gt;0.875,IF(F683&lt;0.936805555555556,"Turno C",IF(F683&gt;0.9375,IF(F683&lt;0.979166666666667,"Turno B",""),"")),"")),"")),"")),"")),""))</f>
        <v>Turno B</v>
      </c>
      <c r="L683" s="91">
        <f t="shared" si="10"/>
        <v>0.3125</v>
      </c>
    </row>
    <row r="684" spans="1:12" s="40" customFormat="1">
      <c r="A684">
        <v>10033627</v>
      </c>
      <c r="B684" t="s">
        <v>198</v>
      </c>
      <c r="C684" t="s">
        <v>1186</v>
      </c>
      <c r="D684" t="s">
        <v>368</v>
      </c>
      <c r="E684" t="s">
        <v>1440</v>
      </c>
      <c r="F684" s="78">
        <v>0.31814814814814812</v>
      </c>
      <c r="G684" t="s">
        <v>1406</v>
      </c>
      <c r="H684" t="s">
        <v>1336</v>
      </c>
      <c r="I684" s="88" t="str">
        <f>VLOOKUP(A684,Base!A:B,2,0)</f>
        <v>10.033.627-8</v>
      </c>
      <c r="J684" s="99" t="str">
        <f>VLOOKUP(A684,Base!A:F,6,0)</f>
        <v>MARCO  MOLINA  FERNANDEZ</v>
      </c>
      <c r="K684" s="89" t="str">
        <f>IFERROR(IF(VLOOKUP(I684,Ingreso!K:P,6,0)=0,"Sin turtno ing",VLOOKUP(I684,Ingreso!K:P,6,0)),IF(F684&gt;0.25,IF(F684&lt;0.311805555555556,"Turno A",IF(F684&gt;0.3125,IF(F684&lt;0.354166666666667,"Turno C",IF(F684&gt;0.583333333333333,IF(F684&lt;0.625,"Turno B",IF(F684&gt;0.625694444444444,IF(F684&lt;0.8125,"Turno A",IF(F684&gt;0.875,IF(F684&lt;0.936805555555556,"Turno C",IF(F684&gt;0.9375,IF(F684&lt;0.979166666666667,"Turno B",""),"")),"")),"")),"")),"")),""))</f>
        <v>Turno C</v>
      </c>
      <c r="L684" s="91">
        <f t="shared" si="10"/>
        <v>0.375</v>
      </c>
    </row>
    <row r="685" spans="1:12" s="40" customFormat="1">
      <c r="A685">
        <v>10033627</v>
      </c>
      <c r="B685" t="s">
        <v>198</v>
      </c>
      <c r="C685" t="s">
        <v>1186</v>
      </c>
      <c r="D685" t="s">
        <v>368</v>
      </c>
      <c r="E685" t="s">
        <v>1437</v>
      </c>
      <c r="F685" s="78">
        <v>0.9193634259259259</v>
      </c>
      <c r="G685" t="s">
        <v>1405</v>
      </c>
      <c r="H685" t="s">
        <v>1335</v>
      </c>
      <c r="I685" s="88" t="str">
        <f>VLOOKUP(A685,Base!A:B,2,0)</f>
        <v>10.033.627-8</v>
      </c>
      <c r="J685" s="99" t="str">
        <f>VLOOKUP(A685,Base!A:F,6,0)</f>
        <v>MARCO  MOLINA  FERNANDEZ</v>
      </c>
      <c r="K685" s="89" t="str">
        <f>IFERROR(IF(VLOOKUP(I685,Ingreso!K:P,6,0)=0,"Sin turtno ing",VLOOKUP(I685,Ingreso!K:P,6,0)),IF(F685&gt;0.25,IF(F685&lt;0.311805555555556,"Turno A",IF(F685&gt;0.3125,IF(F685&lt;0.354166666666667,"Turno C",IF(F685&gt;0.583333333333333,IF(F685&lt;0.625,"Turno B",IF(F685&gt;0.625694444444444,IF(F685&lt;0.8125,"Turno A",IF(F685&gt;0.875,IF(F685&lt;0.936805555555556,"Turno C",IF(F685&gt;0.9375,IF(F685&lt;0.979166666666667,"Turno B",""),"")),"")),"")),"")),"")),""))</f>
        <v>Turno C</v>
      </c>
      <c r="L685" s="91">
        <f t="shared" si="10"/>
        <v>0.375</v>
      </c>
    </row>
    <row r="686" spans="1:12" s="40" customFormat="1">
      <c r="A686">
        <v>10033627</v>
      </c>
      <c r="B686" t="s">
        <v>198</v>
      </c>
      <c r="C686" t="s">
        <v>1186</v>
      </c>
      <c r="D686" t="s">
        <v>368</v>
      </c>
      <c r="E686" t="s">
        <v>1438</v>
      </c>
      <c r="F686" s="78">
        <v>0.31993055555555555</v>
      </c>
      <c r="G686" t="s">
        <v>1406</v>
      </c>
      <c r="H686" t="s">
        <v>1336</v>
      </c>
      <c r="I686" s="88" t="str">
        <f>VLOOKUP(A686,Base!A:B,2,0)</f>
        <v>10.033.627-8</v>
      </c>
      <c r="J686" s="99" t="str">
        <f>VLOOKUP(A686,Base!A:F,6,0)</f>
        <v>MARCO  MOLINA  FERNANDEZ</v>
      </c>
      <c r="K686" s="89" t="str">
        <f>IFERROR(IF(VLOOKUP(I686,Ingreso!K:P,6,0)=0,"Sin turtno ing",VLOOKUP(I686,Ingreso!K:P,6,0)),IF(F686&gt;0.25,IF(F686&lt;0.311805555555556,"Turno A",IF(F686&gt;0.3125,IF(F686&lt;0.354166666666667,"Turno C",IF(F686&gt;0.583333333333333,IF(F686&lt;0.625,"Turno B",IF(F686&gt;0.625694444444444,IF(F686&lt;0.8125,"Turno A",IF(F686&gt;0.875,IF(F686&lt;0.936805555555556,"Turno C",IF(F686&gt;0.9375,IF(F686&lt;0.979166666666667,"Turno B",""),"")),"")),"")),"")),"")),""))</f>
        <v>Turno C</v>
      </c>
      <c r="L686" s="91">
        <f t="shared" si="10"/>
        <v>0.375</v>
      </c>
    </row>
    <row r="687" spans="1:12" s="40" customFormat="1">
      <c r="A687">
        <v>10033627</v>
      </c>
      <c r="B687" t="s">
        <v>198</v>
      </c>
      <c r="C687" t="s">
        <v>1186</v>
      </c>
      <c r="D687" t="s">
        <v>368</v>
      </c>
      <c r="E687" t="s">
        <v>1438</v>
      </c>
      <c r="F687" s="78">
        <v>0.91934027777777771</v>
      </c>
      <c r="G687" t="s">
        <v>1405</v>
      </c>
      <c r="H687" t="s">
        <v>1335</v>
      </c>
      <c r="I687" s="88" t="str">
        <f>VLOOKUP(A687,Base!A:B,2,0)</f>
        <v>10.033.627-8</v>
      </c>
      <c r="J687" s="99" t="str">
        <f>VLOOKUP(A687,Base!A:F,6,0)</f>
        <v>MARCO  MOLINA  FERNANDEZ</v>
      </c>
      <c r="K687" s="89" t="str">
        <f>IFERROR(IF(VLOOKUP(I687,Ingreso!K:P,6,0)=0,"Sin turtno ing",VLOOKUP(I687,Ingreso!K:P,6,0)),IF(F687&gt;0.25,IF(F687&lt;0.311805555555556,"Turno A",IF(F687&gt;0.3125,IF(F687&lt;0.354166666666667,"Turno C",IF(F687&gt;0.583333333333333,IF(F687&lt;0.625,"Turno B",IF(F687&gt;0.625694444444444,IF(F687&lt;0.8125,"Turno A",IF(F687&gt;0.875,IF(F687&lt;0.936805555555556,"Turno C",IF(F687&gt;0.9375,IF(F687&lt;0.979166666666667,"Turno B",""),"")),"")),"")),"")),"")),""))</f>
        <v>Turno C</v>
      </c>
      <c r="L687" s="91">
        <f t="shared" si="10"/>
        <v>0.375</v>
      </c>
    </row>
    <row r="688" spans="1:12" s="40" customFormat="1">
      <c r="A688">
        <v>10033627</v>
      </c>
      <c r="B688" t="s">
        <v>198</v>
      </c>
      <c r="C688" t="s">
        <v>1186</v>
      </c>
      <c r="D688" t="s">
        <v>368</v>
      </c>
      <c r="E688" t="s">
        <v>1439</v>
      </c>
      <c r="F688" s="78">
        <v>0.32276620370370374</v>
      </c>
      <c r="G688" t="s">
        <v>1406</v>
      </c>
      <c r="H688" t="s">
        <v>1336</v>
      </c>
      <c r="I688" s="88" t="str">
        <f>VLOOKUP(A688,Base!A:B,2,0)</f>
        <v>10.033.627-8</v>
      </c>
      <c r="J688" s="99" t="str">
        <f>VLOOKUP(A688,Base!A:F,6,0)</f>
        <v>MARCO  MOLINA  FERNANDEZ</v>
      </c>
      <c r="K688" s="89" t="str">
        <f>IFERROR(IF(VLOOKUP(I688,Ingreso!K:P,6,0)=0,"Sin turtno ing",VLOOKUP(I688,Ingreso!K:P,6,0)),IF(F688&gt;0.25,IF(F688&lt;0.311805555555556,"Turno A",IF(F688&gt;0.3125,IF(F688&lt;0.354166666666667,"Turno C",IF(F688&gt;0.583333333333333,IF(F688&lt;0.625,"Turno B",IF(F688&gt;0.625694444444444,IF(F688&lt;0.8125,"Turno A",IF(F688&gt;0.875,IF(F688&lt;0.936805555555556,"Turno C",IF(F688&gt;0.9375,IF(F688&lt;0.979166666666667,"Turno B",""),"")),"")),"")),"")),"")),""))</f>
        <v>Turno C</v>
      </c>
      <c r="L688" s="91">
        <f t="shared" si="10"/>
        <v>0.375</v>
      </c>
    </row>
    <row r="689" spans="1:12" s="40" customFormat="1">
      <c r="A689">
        <v>10033627</v>
      </c>
      <c r="B689" t="s">
        <v>198</v>
      </c>
      <c r="C689" t="s">
        <v>1186</v>
      </c>
      <c r="D689" t="s">
        <v>368</v>
      </c>
      <c r="E689" t="s">
        <v>1439</v>
      </c>
      <c r="F689" s="78">
        <v>0.91883101851851856</v>
      </c>
      <c r="G689" t="s">
        <v>1405</v>
      </c>
      <c r="H689" t="s">
        <v>1335</v>
      </c>
      <c r="I689" s="88" t="str">
        <f>VLOOKUP(A689,Base!A:B,2,0)</f>
        <v>10.033.627-8</v>
      </c>
      <c r="J689" s="99" t="str">
        <f>VLOOKUP(A689,Base!A:F,6,0)</f>
        <v>MARCO  MOLINA  FERNANDEZ</v>
      </c>
      <c r="K689" s="89" t="str">
        <f>IFERROR(IF(VLOOKUP(I689,Ingreso!K:P,6,0)=0,"Sin turtno ing",VLOOKUP(I689,Ingreso!K:P,6,0)),IF(F689&gt;0.25,IF(F689&lt;0.311805555555556,"Turno A",IF(F689&gt;0.3125,IF(F689&lt;0.354166666666667,"Turno C",IF(F689&gt;0.583333333333333,IF(F689&lt;0.625,"Turno B",IF(F689&gt;0.625694444444444,IF(F689&lt;0.8125,"Turno A",IF(F689&gt;0.875,IF(F689&lt;0.936805555555556,"Turno C",IF(F689&gt;0.9375,IF(F689&lt;0.979166666666667,"Turno B",""),"")),"")),"")),"")),"")),""))</f>
        <v>Turno C</v>
      </c>
      <c r="L689" s="91">
        <f t="shared" si="10"/>
        <v>0.375</v>
      </c>
    </row>
    <row r="690" spans="1:12" s="40" customFormat="1">
      <c r="A690">
        <v>10042860</v>
      </c>
      <c r="B690" t="s">
        <v>1211</v>
      </c>
      <c r="C690" t="s">
        <v>1210</v>
      </c>
      <c r="D690" t="s">
        <v>444</v>
      </c>
      <c r="E690" t="s">
        <v>1440</v>
      </c>
      <c r="F690" s="78">
        <v>0.95038194444444446</v>
      </c>
      <c r="G690" t="s">
        <v>1406</v>
      </c>
      <c r="H690" t="s">
        <v>1336</v>
      </c>
      <c r="I690" s="88" t="str">
        <f>VLOOKUP(A690,Base!A:B,2,0)</f>
        <v>10.042.860-1</v>
      </c>
      <c r="J690" s="99" t="str">
        <f>VLOOKUP(A690,Base!A:F,6,0)</f>
        <v>LUIS ABRAHAM  QUIROGA  GARCIA</v>
      </c>
      <c r="K690" s="89" t="str">
        <f>IFERROR(IF(VLOOKUP(I690,Ingreso!K:P,6,0)=0,"Sin turtno ing",VLOOKUP(I690,Ingreso!K:P,6,0)),IF(F690&gt;0.25,IF(F690&lt;0.311805555555556,"Turno A",IF(F690&gt;0.3125,IF(F690&lt;0.354166666666667,"Turno C",IF(F690&gt;0.583333333333333,IF(F690&lt;0.625,"Turno B",IF(F690&gt;0.625694444444444,IF(F690&lt;0.8125,"Turno A",IF(F690&gt;0.875,IF(F690&lt;0.936805555555556,"Turno C",IF(F690&gt;0.9375,IF(F690&lt;0.979166666666667,"Turno B",""),"")),"")),"")),"")),"")),""))</f>
        <v>Turno B</v>
      </c>
      <c r="L690" s="91">
        <f t="shared" si="10"/>
        <v>0.3125</v>
      </c>
    </row>
    <row r="691" spans="1:12" s="40" customFormat="1">
      <c r="A691">
        <v>10042860</v>
      </c>
      <c r="B691" t="s">
        <v>1211</v>
      </c>
      <c r="C691" t="s">
        <v>1210</v>
      </c>
      <c r="D691" t="s">
        <v>444</v>
      </c>
      <c r="E691" t="s">
        <v>1440</v>
      </c>
      <c r="F691" s="78">
        <v>0.60851851851851857</v>
      </c>
      <c r="G691" t="s">
        <v>1405</v>
      </c>
      <c r="H691" t="s">
        <v>1335</v>
      </c>
      <c r="I691" s="88" t="str">
        <f>VLOOKUP(A691,Base!A:B,2,0)</f>
        <v>10.042.860-1</v>
      </c>
      <c r="J691" s="99" t="str">
        <f>VLOOKUP(A691,Base!A:F,6,0)</f>
        <v>LUIS ABRAHAM  QUIROGA  GARCIA</v>
      </c>
      <c r="K691" s="89" t="str">
        <f>IFERROR(IF(VLOOKUP(I691,Ingreso!K:P,6,0)=0,"Sin turtno ing",VLOOKUP(I691,Ingreso!K:P,6,0)),IF(F691&gt;0.25,IF(F691&lt;0.311805555555556,"Turno A",IF(F691&gt;0.3125,IF(F691&lt;0.354166666666667,"Turno C",IF(F691&gt;0.583333333333333,IF(F691&lt;0.625,"Turno B",IF(F691&gt;0.625694444444444,IF(F691&lt;0.8125,"Turno A",IF(F691&gt;0.875,IF(F691&lt;0.936805555555556,"Turno C",IF(F691&gt;0.9375,IF(F691&lt;0.979166666666667,"Turno B",""),"")),"")),"")),"")),"")),""))</f>
        <v>Turno B</v>
      </c>
      <c r="L691" s="91">
        <f t="shared" si="10"/>
        <v>0.3125</v>
      </c>
    </row>
    <row r="692" spans="1:12" s="40" customFormat="1">
      <c r="A692">
        <v>10042860</v>
      </c>
      <c r="B692" t="s">
        <v>1211</v>
      </c>
      <c r="C692" t="s">
        <v>1210</v>
      </c>
      <c r="D692" t="s">
        <v>444</v>
      </c>
      <c r="E692" t="s">
        <v>1441</v>
      </c>
      <c r="F692" s="78">
        <v>0.94966435185185183</v>
      </c>
      <c r="G692" t="s">
        <v>1406</v>
      </c>
      <c r="H692" t="s">
        <v>1336</v>
      </c>
      <c r="I692" s="88" t="str">
        <f>VLOOKUP(A692,Base!A:B,2,0)</f>
        <v>10.042.860-1</v>
      </c>
      <c r="J692" s="99" t="str">
        <f>VLOOKUP(A692,Base!A:F,6,0)</f>
        <v>LUIS ABRAHAM  QUIROGA  GARCIA</v>
      </c>
      <c r="K692" s="89" t="str">
        <f>IFERROR(IF(VLOOKUP(I692,Ingreso!K:P,6,0)=0,"Sin turtno ing",VLOOKUP(I692,Ingreso!K:P,6,0)),IF(F692&gt;0.25,IF(F692&lt;0.311805555555556,"Turno A",IF(F692&gt;0.3125,IF(F692&lt;0.354166666666667,"Turno C",IF(F692&gt;0.583333333333333,IF(F692&lt;0.625,"Turno B",IF(F692&gt;0.625694444444444,IF(F692&lt;0.8125,"Turno A",IF(F692&gt;0.875,IF(F692&lt;0.936805555555556,"Turno C",IF(F692&gt;0.9375,IF(F692&lt;0.979166666666667,"Turno B",""),"")),"")),"")),"")),"")),""))</f>
        <v>Turno B</v>
      </c>
      <c r="L692" s="91">
        <f t="shared" si="10"/>
        <v>0.3125</v>
      </c>
    </row>
    <row r="693" spans="1:12" s="40" customFormat="1">
      <c r="A693">
        <v>10042860</v>
      </c>
      <c r="B693" t="s">
        <v>1211</v>
      </c>
      <c r="C693" t="s">
        <v>1210</v>
      </c>
      <c r="D693" t="s">
        <v>444</v>
      </c>
      <c r="E693" t="s">
        <v>1441</v>
      </c>
      <c r="F693" s="78">
        <v>0.61284722222222221</v>
      </c>
      <c r="G693" t="s">
        <v>1405</v>
      </c>
      <c r="H693" t="s">
        <v>1335</v>
      </c>
      <c r="I693" s="88" t="str">
        <f>VLOOKUP(A693,Base!A:B,2,0)</f>
        <v>10.042.860-1</v>
      </c>
      <c r="J693" s="99" t="str">
        <f>VLOOKUP(A693,Base!A:F,6,0)</f>
        <v>LUIS ABRAHAM  QUIROGA  GARCIA</v>
      </c>
      <c r="K693" s="89" t="str">
        <f>IFERROR(IF(VLOOKUP(I693,Ingreso!K:P,6,0)=0,"Sin turtno ing",VLOOKUP(I693,Ingreso!K:P,6,0)),IF(F693&gt;0.25,IF(F693&lt;0.311805555555556,"Turno A",IF(F693&gt;0.3125,IF(F693&lt;0.354166666666667,"Turno C",IF(F693&gt;0.583333333333333,IF(F693&lt;0.625,"Turno B",IF(F693&gt;0.625694444444444,IF(F693&lt;0.8125,"Turno A",IF(F693&gt;0.875,IF(F693&lt;0.936805555555556,"Turno C",IF(F693&gt;0.9375,IF(F693&lt;0.979166666666667,"Turno B",""),"")),"")),"")),"")),"")),""))</f>
        <v>Turno B</v>
      </c>
      <c r="L693" s="91">
        <f t="shared" si="10"/>
        <v>0.3125</v>
      </c>
    </row>
    <row r="694" spans="1:12" s="40" customFormat="1">
      <c r="A694">
        <v>10042860</v>
      </c>
      <c r="B694" t="s">
        <v>1211</v>
      </c>
      <c r="C694" t="s">
        <v>1210</v>
      </c>
      <c r="D694" t="s">
        <v>444</v>
      </c>
      <c r="E694" t="s">
        <v>1437</v>
      </c>
      <c r="F694" s="78">
        <v>0.95119212962962962</v>
      </c>
      <c r="G694" t="s">
        <v>1406</v>
      </c>
      <c r="H694" t="s">
        <v>1336</v>
      </c>
      <c r="I694" s="88" t="str">
        <f>VLOOKUP(A694,Base!A:B,2,0)</f>
        <v>10.042.860-1</v>
      </c>
      <c r="J694" s="99" t="str">
        <f>VLOOKUP(A694,Base!A:F,6,0)</f>
        <v>LUIS ABRAHAM  QUIROGA  GARCIA</v>
      </c>
      <c r="K694" s="89" t="str">
        <f>IFERROR(IF(VLOOKUP(I694,Ingreso!K:P,6,0)=0,"Sin turtno ing",VLOOKUP(I694,Ingreso!K:P,6,0)),IF(F694&gt;0.25,IF(F694&lt;0.311805555555556,"Turno A",IF(F694&gt;0.3125,IF(F694&lt;0.354166666666667,"Turno C",IF(F694&gt;0.583333333333333,IF(F694&lt;0.625,"Turno B",IF(F694&gt;0.625694444444444,IF(F694&lt;0.8125,"Turno A",IF(F694&gt;0.875,IF(F694&lt;0.936805555555556,"Turno C",IF(F694&gt;0.9375,IF(F694&lt;0.979166666666667,"Turno B",""),"")),"")),"")),"")),"")),""))</f>
        <v>Turno B</v>
      </c>
      <c r="L694" s="91">
        <f t="shared" si="10"/>
        <v>0.3125</v>
      </c>
    </row>
    <row r="695" spans="1:12" s="40" customFormat="1">
      <c r="A695">
        <v>10042860</v>
      </c>
      <c r="B695" t="s">
        <v>1211</v>
      </c>
      <c r="C695" t="s">
        <v>1210</v>
      </c>
      <c r="D695" t="s">
        <v>444</v>
      </c>
      <c r="E695" t="s">
        <v>1437</v>
      </c>
      <c r="F695" s="78">
        <v>0.60611111111111116</v>
      </c>
      <c r="G695" t="s">
        <v>1405</v>
      </c>
      <c r="H695" t="s">
        <v>1335</v>
      </c>
      <c r="I695" s="88" t="str">
        <f>VLOOKUP(A695,Base!A:B,2,0)</f>
        <v>10.042.860-1</v>
      </c>
      <c r="J695" s="99" t="str">
        <f>VLOOKUP(A695,Base!A:F,6,0)</f>
        <v>LUIS ABRAHAM  QUIROGA  GARCIA</v>
      </c>
      <c r="K695" s="89" t="str">
        <f>IFERROR(IF(VLOOKUP(I695,Ingreso!K:P,6,0)=0,"Sin turtno ing",VLOOKUP(I695,Ingreso!K:P,6,0)),IF(F695&gt;0.25,IF(F695&lt;0.311805555555556,"Turno A",IF(F695&gt;0.3125,IF(F695&lt;0.354166666666667,"Turno C",IF(F695&gt;0.583333333333333,IF(F695&lt;0.625,"Turno B",IF(F695&gt;0.625694444444444,IF(F695&lt;0.8125,"Turno A",IF(F695&gt;0.875,IF(F695&lt;0.936805555555556,"Turno C",IF(F695&gt;0.9375,IF(F695&lt;0.979166666666667,"Turno B",""),"")),"")),"")),"")),"")),""))</f>
        <v>Turno B</v>
      </c>
      <c r="L695" s="91">
        <f t="shared" si="10"/>
        <v>0.3125</v>
      </c>
    </row>
    <row r="696" spans="1:12" s="40" customFormat="1">
      <c r="A696">
        <v>10042860</v>
      </c>
      <c r="B696" t="s">
        <v>1211</v>
      </c>
      <c r="C696" t="s">
        <v>1210</v>
      </c>
      <c r="D696" t="s">
        <v>444</v>
      </c>
      <c r="E696" t="s">
        <v>1438</v>
      </c>
      <c r="F696" s="78">
        <v>0.95063657407407398</v>
      </c>
      <c r="G696" t="s">
        <v>1406</v>
      </c>
      <c r="H696" t="s">
        <v>1336</v>
      </c>
      <c r="I696" s="88" t="str">
        <f>VLOOKUP(A696,Base!A:B,2,0)</f>
        <v>10.042.860-1</v>
      </c>
      <c r="J696" s="99" t="str">
        <f>VLOOKUP(A696,Base!A:F,6,0)</f>
        <v>LUIS ABRAHAM  QUIROGA  GARCIA</v>
      </c>
      <c r="K696" s="89" t="str">
        <f>IFERROR(IF(VLOOKUP(I696,Ingreso!K:P,6,0)=0,"Sin turtno ing",VLOOKUP(I696,Ingreso!K:P,6,0)),IF(F696&gt;0.25,IF(F696&lt;0.311805555555556,"Turno A",IF(F696&gt;0.3125,IF(F696&lt;0.354166666666667,"Turno C",IF(F696&gt;0.583333333333333,IF(F696&lt;0.625,"Turno B",IF(F696&gt;0.625694444444444,IF(F696&lt;0.8125,"Turno A",IF(F696&gt;0.875,IF(F696&lt;0.936805555555556,"Turno C",IF(F696&gt;0.9375,IF(F696&lt;0.979166666666667,"Turno B",""),"")),"")),"")),"")),"")),""))</f>
        <v>Turno B</v>
      </c>
      <c r="L696" s="91">
        <f t="shared" si="10"/>
        <v>0.3125</v>
      </c>
    </row>
    <row r="697" spans="1:12" s="40" customFormat="1">
      <c r="A697">
        <v>10042860</v>
      </c>
      <c r="B697" t="s">
        <v>1211</v>
      </c>
      <c r="C697" t="s">
        <v>1210</v>
      </c>
      <c r="D697" t="s">
        <v>444</v>
      </c>
      <c r="E697" t="s">
        <v>1438</v>
      </c>
      <c r="F697" s="78">
        <v>0.60690972222222228</v>
      </c>
      <c r="G697" t="s">
        <v>1405</v>
      </c>
      <c r="H697" t="s">
        <v>1335</v>
      </c>
      <c r="I697" s="88" t="str">
        <f>VLOOKUP(A697,Base!A:B,2,0)</f>
        <v>10.042.860-1</v>
      </c>
      <c r="J697" s="99" t="str">
        <f>VLOOKUP(A697,Base!A:F,6,0)</f>
        <v>LUIS ABRAHAM  QUIROGA  GARCIA</v>
      </c>
      <c r="K697" s="89" t="str">
        <f>IFERROR(IF(VLOOKUP(I697,Ingreso!K:P,6,0)=0,"Sin turtno ing",VLOOKUP(I697,Ingreso!K:P,6,0)),IF(F697&gt;0.25,IF(F697&lt;0.311805555555556,"Turno A",IF(F697&gt;0.3125,IF(F697&lt;0.354166666666667,"Turno C",IF(F697&gt;0.583333333333333,IF(F697&lt;0.625,"Turno B",IF(F697&gt;0.625694444444444,IF(F697&lt;0.8125,"Turno A",IF(F697&gt;0.875,IF(F697&lt;0.936805555555556,"Turno C",IF(F697&gt;0.9375,IF(F697&lt;0.979166666666667,"Turno B",""),"")),"")),"")),"")),"")),""))</f>
        <v>Turno B</v>
      </c>
      <c r="L697" s="91">
        <f t="shared" si="10"/>
        <v>0.3125</v>
      </c>
    </row>
    <row r="698" spans="1:12" s="40" customFormat="1">
      <c r="A698">
        <v>10042860</v>
      </c>
      <c r="B698" t="s">
        <v>1211</v>
      </c>
      <c r="C698" t="s">
        <v>1210</v>
      </c>
      <c r="D698" t="s">
        <v>444</v>
      </c>
      <c r="E698" t="s">
        <v>1439</v>
      </c>
      <c r="F698" s="78">
        <v>0.95060185185185186</v>
      </c>
      <c r="G698" t="s">
        <v>1406</v>
      </c>
      <c r="H698" t="s">
        <v>1336</v>
      </c>
      <c r="I698" s="88" t="str">
        <f>VLOOKUP(A698,Base!A:B,2,0)</f>
        <v>10.042.860-1</v>
      </c>
      <c r="J698" s="99" t="str">
        <f>VLOOKUP(A698,Base!A:F,6,0)</f>
        <v>LUIS ABRAHAM  QUIROGA  GARCIA</v>
      </c>
      <c r="K698" s="89" t="str">
        <f>IFERROR(IF(VLOOKUP(I698,Ingreso!K:P,6,0)=0,"Sin turtno ing",VLOOKUP(I698,Ingreso!K:P,6,0)),IF(F698&gt;0.25,IF(F698&lt;0.311805555555556,"Turno A",IF(F698&gt;0.3125,IF(F698&lt;0.354166666666667,"Turno C",IF(F698&gt;0.583333333333333,IF(F698&lt;0.625,"Turno B",IF(F698&gt;0.625694444444444,IF(F698&lt;0.8125,"Turno A",IF(F698&gt;0.875,IF(F698&lt;0.936805555555556,"Turno C",IF(F698&gt;0.9375,IF(F698&lt;0.979166666666667,"Turno B",""),"")),"")),"")),"")),"")),""))</f>
        <v>Turno B</v>
      </c>
      <c r="L698" s="91">
        <f t="shared" si="10"/>
        <v>0.3125</v>
      </c>
    </row>
    <row r="699" spans="1:12" s="40" customFormat="1">
      <c r="A699">
        <v>10042860</v>
      </c>
      <c r="B699" t="s">
        <v>1211</v>
      </c>
      <c r="C699" t="s">
        <v>1210</v>
      </c>
      <c r="D699" t="s">
        <v>444</v>
      </c>
      <c r="E699" t="s">
        <v>1439</v>
      </c>
      <c r="F699" s="78">
        <v>0.60728009259259264</v>
      </c>
      <c r="G699" t="s">
        <v>1405</v>
      </c>
      <c r="H699" t="s">
        <v>1335</v>
      </c>
      <c r="I699" s="88" t="str">
        <f>VLOOKUP(A699,Base!A:B,2,0)</f>
        <v>10.042.860-1</v>
      </c>
      <c r="J699" s="99" t="str">
        <f>VLOOKUP(A699,Base!A:F,6,0)</f>
        <v>LUIS ABRAHAM  QUIROGA  GARCIA</v>
      </c>
      <c r="K699" s="89" t="str">
        <f>IFERROR(IF(VLOOKUP(I699,Ingreso!K:P,6,0)=0,"Sin turtno ing",VLOOKUP(I699,Ingreso!K:P,6,0)),IF(F699&gt;0.25,IF(F699&lt;0.311805555555556,"Turno A",IF(F699&gt;0.3125,IF(F699&lt;0.354166666666667,"Turno C",IF(F699&gt;0.583333333333333,IF(F699&lt;0.625,"Turno B",IF(F699&gt;0.625694444444444,IF(F699&lt;0.8125,"Turno A",IF(F699&gt;0.875,IF(F699&lt;0.936805555555556,"Turno C",IF(F699&gt;0.9375,IF(F699&lt;0.979166666666667,"Turno B",""),"")),"")),"")),"")),"")),""))</f>
        <v>Turno B</v>
      </c>
      <c r="L699" s="91">
        <f t="shared" si="10"/>
        <v>0.3125</v>
      </c>
    </row>
    <row r="700" spans="1:12" s="40" customFormat="1">
      <c r="A700">
        <v>10042994</v>
      </c>
      <c r="B700" t="s">
        <v>1135</v>
      </c>
      <c r="C700" t="s">
        <v>1133</v>
      </c>
      <c r="D700" t="s">
        <v>1134</v>
      </c>
      <c r="E700" t="s">
        <v>1440</v>
      </c>
      <c r="F700" s="78">
        <v>0.71480324074074064</v>
      </c>
      <c r="G700" t="s">
        <v>1406</v>
      </c>
      <c r="H700" t="s">
        <v>1336</v>
      </c>
      <c r="I700" s="88" t="str">
        <f>VLOOKUP(A700,Base!A:B,2,0)</f>
        <v>10.042.994-2</v>
      </c>
      <c r="J700" s="99" t="str">
        <f>VLOOKUP(A700,Base!A:F,6,0)</f>
        <v>ELIZABETH  CONCHA  VALDEBENITO</v>
      </c>
      <c r="K700" s="89" t="str">
        <f>IFERROR(IF(VLOOKUP(I700,Ingreso!K:P,6,0)=0,"Sin turtno ing",VLOOKUP(I700,Ingreso!K:P,6,0)),IF(F700&gt;0.25,IF(F700&lt;0.311805555555556,"Turno A",IF(F700&gt;0.3125,IF(F700&lt;0.354166666666667,"Turno C",IF(F700&gt;0.583333333333333,IF(F700&lt;0.625,"Turno B",IF(F700&gt;0.625694444444444,IF(F700&lt;0.8125,"Turno A",IF(F700&gt;0.875,IF(F700&lt;0.936805555555556,"Turno C",IF(F700&gt;0.9375,IF(F700&lt;0.979166666666667,"Turno B",""),"")),"")),"")),"")),"")),""))</f>
        <v>Turno A</v>
      </c>
      <c r="L700" s="91">
        <f t="shared" si="10"/>
        <v>0.3125</v>
      </c>
    </row>
    <row r="701" spans="1:12" s="40" customFormat="1">
      <c r="A701">
        <v>10042994</v>
      </c>
      <c r="B701" t="s">
        <v>1135</v>
      </c>
      <c r="C701" t="s">
        <v>1133</v>
      </c>
      <c r="D701" t="s">
        <v>1134</v>
      </c>
      <c r="E701" t="s">
        <v>1440</v>
      </c>
      <c r="F701" s="78">
        <v>0.30130787037037038</v>
      </c>
      <c r="G701" t="s">
        <v>1405</v>
      </c>
      <c r="H701" t="s">
        <v>1335</v>
      </c>
      <c r="I701" s="88" t="str">
        <f>VLOOKUP(A701,Base!A:B,2,0)</f>
        <v>10.042.994-2</v>
      </c>
      <c r="J701" s="99" t="str">
        <f>VLOOKUP(A701,Base!A:F,6,0)</f>
        <v>ELIZABETH  CONCHA  VALDEBENITO</v>
      </c>
      <c r="K701" s="89" t="str">
        <f>IFERROR(IF(VLOOKUP(I701,Ingreso!K:P,6,0)=0,"Sin turtno ing",VLOOKUP(I701,Ingreso!K:P,6,0)),IF(F701&gt;0.25,IF(F701&lt;0.311805555555556,"Turno A",IF(F701&gt;0.3125,IF(F701&lt;0.354166666666667,"Turno C",IF(F701&gt;0.583333333333333,IF(F701&lt;0.625,"Turno B",IF(F701&gt;0.625694444444444,IF(F701&lt;0.8125,"Turno A",IF(F701&gt;0.875,IF(F701&lt;0.936805555555556,"Turno C",IF(F701&gt;0.9375,IF(F701&lt;0.979166666666667,"Turno B",""),"")),"")),"")),"")),"")),""))</f>
        <v>Turno A</v>
      </c>
      <c r="L701" s="91">
        <f t="shared" si="10"/>
        <v>0.3125</v>
      </c>
    </row>
    <row r="702" spans="1:12" s="40" customFormat="1">
      <c r="A702">
        <v>10042994</v>
      </c>
      <c r="B702" t="s">
        <v>1135</v>
      </c>
      <c r="C702" t="s">
        <v>1133</v>
      </c>
      <c r="D702" t="s">
        <v>1134</v>
      </c>
      <c r="E702" t="s">
        <v>1441</v>
      </c>
      <c r="F702" s="78">
        <v>0.70870370370370372</v>
      </c>
      <c r="G702" t="s">
        <v>1406</v>
      </c>
      <c r="H702" t="s">
        <v>1336</v>
      </c>
      <c r="I702" s="88" t="str">
        <f>VLOOKUP(A702,Base!A:B,2,0)</f>
        <v>10.042.994-2</v>
      </c>
      <c r="J702" s="99" t="str">
        <f>VLOOKUP(A702,Base!A:F,6,0)</f>
        <v>ELIZABETH  CONCHA  VALDEBENITO</v>
      </c>
      <c r="K702" s="89" t="str">
        <f>IFERROR(IF(VLOOKUP(I702,Ingreso!K:P,6,0)=0,"Sin turtno ing",VLOOKUP(I702,Ingreso!K:P,6,0)),IF(F702&gt;0.25,IF(F702&lt;0.311805555555556,"Turno A",IF(F702&gt;0.3125,IF(F702&lt;0.354166666666667,"Turno C",IF(F702&gt;0.583333333333333,IF(F702&lt;0.625,"Turno B",IF(F702&gt;0.625694444444444,IF(F702&lt;0.8125,"Turno A",IF(F702&gt;0.875,IF(F702&lt;0.936805555555556,"Turno C",IF(F702&gt;0.9375,IF(F702&lt;0.979166666666667,"Turno B",""),"")),"")),"")),"")),"")),""))</f>
        <v>Turno A</v>
      </c>
      <c r="L702" s="91">
        <f t="shared" si="10"/>
        <v>0.3125</v>
      </c>
    </row>
    <row r="703" spans="1:12" s="40" customFormat="1">
      <c r="A703">
        <v>10042994</v>
      </c>
      <c r="B703" t="s">
        <v>1135</v>
      </c>
      <c r="C703" t="s">
        <v>1133</v>
      </c>
      <c r="D703" t="s">
        <v>1134</v>
      </c>
      <c r="E703" t="s">
        <v>1441</v>
      </c>
      <c r="F703" s="78">
        <v>0.30425925925925928</v>
      </c>
      <c r="G703" t="s">
        <v>1405</v>
      </c>
      <c r="H703" t="s">
        <v>1335</v>
      </c>
      <c r="I703" s="88" t="str">
        <f>VLOOKUP(A703,Base!A:B,2,0)</f>
        <v>10.042.994-2</v>
      </c>
      <c r="J703" s="99" t="str">
        <f>VLOOKUP(A703,Base!A:F,6,0)</f>
        <v>ELIZABETH  CONCHA  VALDEBENITO</v>
      </c>
      <c r="K703" s="89" t="str">
        <f>IFERROR(IF(VLOOKUP(I703,Ingreso!K:P,6,0)=0,"Sin turtno ing",VLOOKUP(I703,Ingreso!K:P,6,0)),IF(F703&gt;0.25,IF(F703&lt;0.311805555555556,"Turno A",IF(F703&gt;0.3125,IF(F703&lt;0.354166666666667,"Turno C",IF(F703&gt;0.583333333333333,IF(F703&lt;0.625,"Turno B",IF(F703&gt;0.625694444444444,IF(F703&lt;0.8125,"Turno A",IF(F703&gt;0.875,IF(F703&lt;0.936805555555556,"Turno C",IF(F703&gt;0.9375,IF(F703&lt;0.979166666666667,"Turno B",""),"")),"")),"")),"")),"")),""))</f>
        <v>Turno A</v>
      </c>
      <c r="L703" s="91">
        <f t="shared" si="10"/>
        <v>0.3125</v>
      </c>
    </row>
    <row r="704" spans="1:12" s="40" customFormat="1">
      <c r="A704">
        <v>10042994</v>
      </c>
      <c r="B704" t="s">
        <v>1135</v>
      </c>
      <c r="C704" t="s">
        <v>1133</v>
      </c>
      <c r="D704" t="s">
        <v>1134</v>
      </c>
      <c r="E704" t="s">
        <v>1437</v>
      </c>
      <c r="F704" s="78">
        <v>0.63581018518518517</v>
      </c>
      <c r="G704" t="s">
        <v>1406</v>
      </c>
      <c r="H704" t="s">
        <v>1336</v>
      </c>
      <c r="I704" s="88" t="str">
        <f>VLOOKUP(A704,Base!A:B,2,0)</f>
        <v>10.042.994-2</v>
      </c>
      <c r="J704" s="99" t="str">
        <f>VLOOKUP(A704,Base!A:F,6,0)</f>
        <v>ELIZABETH  CONCHA  VALDEBENITO</v>
      </c>
      <c r="K704" s="89" t="str">
        <f>IFERROR(IF(VLOOKUP(I704,Ingreso!K:P,6,0)=0,"Sin turtno ing",VLOOKUP(I704,Ingreso!K:P,6,0)),IF(F704&gt;0.25,IF(F704&lt;0.311805555555556,"Turno A",IF(F704&gt;0.3125,IF(F704&lt;0.354166666666667,"Turno C",IF(F704&gt;0.583333333333333,IF(F704&lt;0.625,"Turno B",IF(F704&gt;0.625694444444444,IF(F704&lt;0.8125,"Turno A",IF(F704&gt;0.875,IF(F704&lt;0.936805555555556,"Turno C",IF(F704&gt;0.9375,IF(F704&lt;0.979166666666667,"Turno B",""),"")),"")),"")),"")),"")),""))</f>
        <v>Turno A</v>
      </c>
      <c r="L704" s="91">
        <f t="shared" si="10"/>
        <v>0.3125</v>
      </c>
    </row>
    <row r="705" spans="1:12" s="40" customFormat="1">
      <c r="A705">
        <v>10042994</v>
      </c>
      <c r="B705" t="s">
        <v>1135</v>
      </c>
      <c r="C705" t="s">
        <v>1133</v>
      </c>
      <c r="D705" t="s">
        <v>1134</v>
      </c>
      <c r="E705" t="s">
        <v>1437</v>
      </c>
      <c r="F705" s="78">
        <v>0.29469907407407409</v>
      </c>
      <c r="G705" t="s">
        <v>1405</v>
      </c>
      <c r="H705" t="s">
        <v>1335</v>
      </c>
      <c r="I705" s="88" t="str">
        <f>VLOOKUP(A705,Base!A:B,2,0)</f>
        <v>10.042.994-2</v>
      </c>
      <c r="J705" s="99" t="str">
        <f>VLOOKUP(A705,Base!A:F,6,0)</f>
        <v>ELIZABETH  CONCHA  VALDEBENITO</v>
      </c>
      <c r="K705" s="89" t="str">
        <f>IFERROR(IF(VLOOKUP(I705,Ingreso!K:P,6,0)=0,"Sin turtno ing",VLOOKUP(I705,Ingreso!K:P,6,0)),IF(F705&gt;0.25,IF(F705&lt;0.311805555555556,"Turno A",IF(F705&gt;0.3125,IF(F705&lt;0.354166666666667,"Turno C",IF(F705&gt;0.583333333333333,IF(F705&lt;0.625,"Turno B",IF(F705&gt;0.625694444444444,IF(F705&lt;0.8125,"Turno A",IF(F705&gt;0.875,IF(F705&lt;0.936805555555556,"Turno C",IF(F705&gt;0.9375,IF(F705&lt;0.979166666666667,"Turno B",""),"")),"")),"")),"")),"")),""))</f>
        <v>Turno A</v>
      </c>
      <c r="L705" s="91">
        <f t="shared" si="10"/>
        <v>0.3125</v>
      </c>
    </row>
    <row r="706" spans="1:12" s="40" customFormat="1">
      <c r="A706">
        <v>10042994</v>
      </c>
      <c r="B706" t="s">
        <v>1135</v>
      </c>
      <c r="C706" t="s">
        <v>1133</v>
      </c>
      <c r="D706" t="s">
        <v>1134</v>
      </c>
      <c r="E706" t="s">
        <v>1438</v>
      </c>
      <c r="F706" s="78">
        <v>0.72560185185185189</v>
      </c>
      <c r="G706" t="s">
        <v>1406</v>
      </c>
      <c r="H706" t="s">
        <v>1336</v>
      </c>
      <c r="I706" s="88" t="str">
        <f>VLOOKUP(A706,Base!A:B,2,0)</f>
        <v>10.042.994-2</v>
      </c>
      <c r="J706" s="99" t="str">
        <f>VLOOKUP(A706,Base!A:F,6,0)</f>
        <v>ELIZABETH  CONCHA  VALDEBENITO</v>
      </c>
      <c r="K706" s="89" t="str">
        <f>IFERROR(IF(VLOOKUP(I706,Ingreso!K:P,6,0)=0,"Sin turtno ing",VLOOKUP(I706,Ingreso!K:P,6,0)),IF(F706&gt;0.25,IF(F706&lt;0.311805555555556,"Turno A",IF(F706&gt;0.3125,IF(F706&lt;0.354166666666667,"Turno C",IF(F706&gt;0.583333333333333,IF(F706&lt;0.625,"Turno B",IF(F706&gt;0.625694444444444,IF(F706&lt;0.8125,"Turno A",IF(F706&gt;0.875,IF(F706&lt;0.936805555555556,"Turno C",IF(F706&gt;0.9375,IF(F706&lt;0.979166666666667,"Turno B",""),"")),"")),"")),"")),"")),""))</f>
        <v>Turno A</v>
      </c>
      <c r="L706" s="91">
        <f t="shared" si="10"/>
        <v>0.3125</v>
      </c>
    </row>
    <row r="707" spans="1:12" s="40" customFormat="1">
      <c r="A707">
        <v>10042994</v>
      </c>
      <c r="B707" t="s">
        <v>1135</v>
      </c>
      <c r="C707" t="s">
        <v>1133</v>
      </c>
      <c r="D707" t="s">
        <v>1134</v>
      </c>
      <c r="E707" t="s">
        <v>1438</v>
      </c>
      <c r="F707" s="78">
        <v>0.31940972222222225</v>
      </c>
      <c r="G707" t="s">
        <v>1405</v>
      </c>
      <c r="H707" t="s">
        <v>1335</v>
      </c>
      <c r="I707" s="88" t="str">
        <f>VLOOKUP(A707,Base!A:B,2,0)</f>
        <v>10.042.994-2</v>
      </c>
      <c r="J707" s="99" t="str">
        <f>VLOOKUP(A707,Base!A:F,6,0)</f>
        <v>ELIZABETH  CONCHA  VALDEBENITO</v>
      </c>
      <c r="K707" s="89" t="str">
        <f>IFERROR(IF(VLOOKUP(I707,Ingreso!K:P,6,0)=0,"Sin turtno ing",VLOOKUP(I707,Ingreso!K:P,6,0)),IF(F707&gt;0.25,IF(F707&lt;0.311805555555556,"Turno A",IF(F707&gt;0.3125,IF(F707&lt;0.354166666666667,"Turno C",IF(F707&gt;0.583333333333333,IF(F707&lt;0.625,"Turno B",IF(F707&gt;0.625694444444444,IF(F707&lt;0.8125,"Turno A",IF(F707&gt;0.875,IF(F707&lt;0.936805555555556,"Turno C",IF(F707&gt;0.9375,IF(F707&lt;0.979166666666667,"Turno B",""),"")),"")),"")),"")),"")),""))</f>
        <v>Turno A</v>
      </c>
      <c r="L707" s="91">
        <f t="shared" ref="L707:L770" si="11">VLOOKUP(K707,$S$3:$T$7,2,0)</f>
        <v>0.3125</v>
      </c>
    </row>
    <row r="708" spans="1:12" s="40" customFormat="1">
      <c r="A708">
        <v>10042994</v>
      </c>
      <c r="B708" t="s">
        <v>1135</v>
      </c>
      <c r="C708" t="s">
        <v>1133</v>
      </c>
      <c r="D708" t="s">
        <v>1134</v>
      </c>
      <c r="E708" t="s">
        <v>1439</v>
      </c>
      <c r="F708" s="78">
        <v>0.73765046296296299</v>
      </c>
      <c r="G708" t="s">
        <v>1406</v>
      </c>
      <c r="H708" t="s">
        <v>1336</v>
      </c>
      <c r="I708" s="88" t="str">
        <f>VLOOKUP(A708,Base!A:B,2,0)</f>
        <v>10.042.994-2</v>
      </c>
      <c r="J708" s="99" t="str">
        <f>VLOOKUP(A708,Base!A:F,6,0)</f>
        <v>ELIZABETH  CONCHA  VALDEBENITO</v>
      </c>
      <c r="K708" s="89" t="str">
        <f>IFERROR(IF(VLOOKUP(I708,Ingreso!K:P,6,0)=0,"Sin turtno ing",VLOOKUP(I708,Ingreso!K:P,6,0)),IF(F708&gt;0.25,IF(F708&lt;0.311805555555556,"Turno A",IF(F708&gt;0.3125,IF(F708&lt;0.354166666666667,"Turno C",IF(F708&gt;0.583333333333333,IF(F708&lt;0.625,"Turno B",IF(F708&gt;0.625694444444444,IF(F708&lt;0.8125,"Turno A",IF(F708&gt;0.875,IF(F708&lt;0.936805555555556,"Turno C",IF(F708&gt;0.9375,IF(F708&lt;0.979166666666667,"Turno B",""),"")),"")),"")),"")),"")),""))</f>
        <v>Turno A</v>
      </c>
      <c r="L708" s="91">
        <f t="shared" si="11"/>
        <v>0.3125</v>
      </c>
    </row>
    <row r="709" spans="1:12" s="40" customFormat="1">
      <c r="A709">
        <v>10042994</v>
      </c>
      <c r="B709" t="s">
        <v>1135</v>
      </c>
      <c r="C709" t="s">
        <v>1133</v>
      </c>
      <c r="D709" t="s">
        <v>1134</v>
      </c>
      <c r="E709" t="s">
        <v>1439</v>
      </c>
      <c r="F709" s="78">
        <v>0.30138888888888887</v>
      </c>
      <c r="G709" t="s">
        <v>1405</v>
      </c>
      <c r="H709" t="s">
        <v>1335</v>
      </c>
      <c r="I709" s="88" t="str">
        <f>VLOOKUP(A709,Base!A:B,2,0)</f>
        <v>10.042.994-2</v>
      </c>
      <c r="J709" s="99" t="str">
        <f>VLOOKUP(A709,Base!A:F,6,0)</f>
        <v>ELIZABETH  CONCHA  VALDEBENITO</v>
      </c>
      <c r="K709" s="89" t="str">
        <f>IFERROR(IF(VLOOKUP(I709,Ingreso!K:P,6,0)=0,"Sin turtno ing",VLOOKUP(I709,Ingreso!K:P,6,0)),IF(F709&gt;0.25,IF(F709&lt;0.311805555555556,"Turno A",IF(F709&gt;0.3125,IF(F709&lt;0.354166666666667,"Turno C",IF(F709&gt;0.583333333333333,IF(F709&lt;0.625,"Turno B",IF(F709&gt;0.625694444444444,IF(F709&lt;0.8125,"Turno A",IF(F709&gt;0.875,IF(F709&lt;0.936805555555556,"Turno C",IF(F709&gt;0.9375,IF(F709&lt;0.979166666666667,"Turno B",""),"")),"")),"")),"")),"")),""))</f>
        <v>Turno A</v>
      </c>
      <c r="L709" s="91">
        <f t="shared" si="11"/>
        <v>0.3125</v>
      </c>
    </row>
    <row r="710" spans="1:12" s="40" customFormat="1">
      <c r="A710">
        <v>10116815</v>
      </c>
      <c r="B710" t="s">
        <v>174</v>
      </c>
      <c r="C710" t="s">
        <v>173</v>
      </c>
      <c r="D710" t="s">
        <v>17</v>
      </c>
      <c r="E710" t="s">
        <v>1440</v>
      </c>
      <c r="F710" s="78">
        <v>0.94657407407407401</v>
      </c>
      <c r="G710" t="s">
        <v>1406</v>
      </c>
      <c r="H710" t="s">
        <v>1336</v>
      </c>
      <c r="I710" s="88" t="str">
        <f>VLOOKUP(A710,Base!A:B,2,0)</f>
        <v>10.116.815-8</v>
      </c>
      <c r="J710" s="99" t="str">
        <f>VLOOKUP(A710,Base!A:F,6,0)</f>
        <v>TERESA DE LAS NIEVES  BUSTOS  JARA</v>
      </c>
      <c r="K710" s="89" t="str">
        <f>IFERROR(IF(VLOOKUP(I710,Ingreso!K:P,6,0)=0,"Sin turtno ing",VLOOKUP(I710,Ingreso!K:P,6,0)),IF(F710&gt;0.25,IF(F710&lt;0.311805555555556,"Turno A",IF(F710&gt;0.3125,IF(F710&lt;0.354166666666667,"Turno C",IF(F710&gt;0.583333333333333,IF(F710&lt;0.625,"Turno B",IF(F710&gt;0.625694444444444,IF(F710&lt;0.8125,"Turno A",IF(F710&gt;0.875,IF(F710&lt;0.936805555555556,"Turno C",IF(F710&gt;0.9375,IF(F710&lt;0.979166666666667,"Turno B",""),"")),"")),"")),"")),"")),""))</f>
        <v>Turno B</v>
      </c>
      <c r="L710" s="91">
        <f t="shared" si="11"/>
        <v>0.3125</v>
      </c>
    </row>
    <row r="711" spans="1:12" s="40" customFormat="1">
      <c r="A711">
        <v>10116815</v>
      </c>
      <c r="B711" t="s">
        <v>174</v>
      </c>
      <c r="C711" t="s">
        <v>173</v>
      </c>
      <c r="D711" t="s">
        <v>17</v>
      </c>
      <c r="E711" t="s">
        <v>1440</v>
      </c>
      <c r="F711" s="78">
        <v>0.60887731481481489</v>
      </c>
      <c r="G711" t="s">
        <v>1405</v>
      </c>
      <c r="H711" t="s">
        <v>1335</v>
      </c>
      <c r="I711" s="88" t="str">
        <f>VLOOKUP(A711,Base!A:B,2,0)</f>
        <v>10.116.815-8</v>
      </c>
      <c r="J711" s="99" t="str">
        <f>VLOOKUP(A711,Base!A:F,6,0)</f>
        <v>TERESA DE LAS NIEVES  BUSTOS  JARA</v>
      </c>
      <c r="K711" s="89" t="str">
        <f>IFERROR(IF(VLOOKUP(I711,Ingreso!K:P,6,0)=0,"Sin turtno ing",VLOOKUP(I711,Ingreso!K:P,6,0)),IF(F711&gt;0.25,IF(F711&lt;0.311805555555556,"Turno A",IF(F711&gt;0.3125,IF(F711&lt;0.354166666666667,"Turno C",IF(F711&gt;0.583333333333333,IF(F711&lt;0.625,"Turno B",IF(F711&gt;0.625694444444444,IF(F711&lt;0.8125,"Turno A",IF(F711&gt;0.875,IF(F711&lt;0.936805555555556,"Turno C",IF(F711&gt;0.9375,IF(F711&lt;0.979166666666667,"Turno B",""),"")),"")),"")),"")),"")),""))</f>
        <v>Turno B</v>
      </c>
      <c r="L711" s="91">
        <f t="shared" si="11"/>
        <v>0.3125</v>
      </c>
    </row>
    <row r="712" spans="1:12" s="40" customFormat="1">
      <c r="A712">
        <v>10116815</v>
      </c>
      <c r="B712" t="s">
        <v>174</v>
      </c>
      <c r="C712" t="s">
        <v>173</v>
      </c>
      <c r="D712" t="s">
        <v>17</v>
      </c>
      <c r="E712" t="s">
        <v>1441</v>
      </c>
      <c r="F712" s="78">
        <v>0.94503472222222218</v>
      </c>
      <c r="G712" t="s">
        <v>1406</v>
      </c>
      <c r="H712" t="s">
        <v>1336</v>
      </c>
      <c r="I712" s="88" t="str">
        <f>VLOOKUP(A712,Base!A:B,2,0)</f>
        <v>10.116.815-8</v>
      </c>
      <c r="J712" s="99" t="str">
        <f>VLOOKUP(A712,Base!A:F,6,0)</f>
        <v>TERESA DE LAS NIEVES  BUSTOS  JARA</v>
      </c>
      <c r="K712" s="89" t="str">
        <f>IFERROR(IF(VLOOKUP(I712,Ingreso!K:P,6,0)=0,"Sin turtno ing",VLOOKUP(I712,Ingreso!K:P,6,0)),IF(F712&gt;0.25,IF(F712&lt;0.311805555555556,"Turno A",IF(F712&gt;0.3125,IF(F712&lt;0.354166666666667,"Turno C",IF(F712&gt;0.583333333333333,IF(F712&lt;0.625,"Turno B",IF(F712&gt;0.625694444444444,IF(F712&lt;0.8125,"Turno A",IF(F712&gt;0.875,IF(F712&lt;0.936805555555556,"Turno C",IF(F712&gt;0.9375,IF(F712&lt;0.979166666666667,"Turno B",""),"")),"")),"")),"")),"")),""))</f>
        <v>Turno B</v>
      </c>
      <c r="L712" s="91">
        <f t="shared" si="11"/>
        <v>0.3125</v>
      </c>
    </row>
    <row r="713" spans="1:12" s="40" customFormat="1">
      <c r="A713">
        <v>10116815</v>
      </c>
      <c r="B713" t="s">
        <v>174</v>
      </c>
      <c r="C713" t="s">
        <v>173</v>
      </c>
      <c r="D713" t="s">
        <v>17</v>
      </c>
      <c r="E713" t="s">
        <v>1441</v>
      </c>
      <c r="F713" s="78">
        <v>0.60949074074074072</v>
      </c>
      <c r="G713" t="s">
        <v>1405</v>
      </c>
      <c r="H713" t="s">
        <v>1335</v>
      </c>
      <c r="I713" s="88" t="str">
        <f>VLOOKUP(A713,Base!A:B,2,0)</f>
        <v>10.116.815-8</v>
      </c>
      <c r="J713" s="99" t="str">
        <f>VLOOKUP(A713,Base!A:F,6,0)</f>
        <v>TERESA DE LAS NIEVES  BUSTOS  JARA</v>
      </c>
      <c r="K713" s="89" t="str">
        <f>IFERROR(IF(VLOOKUP(I713,Ingreso!K:P,6,0)=0,"Sin turtno ing",VLOOKUP(I713,Ingreso!K:P,6,0)),IF(F713&gt;0.25,IF(F713&lt;0.311805555555556,"Turno A",IF(F713&gt;0.3125,IF(F713&lt;0.354166666666667,"Turno C",IF(F713&gt;0.583333333333333,IF(F713&lt;0.625,"Turno B",IF(F713&gt;0.625694444444444,IF(F713&lt;0.8125,"Turno A",IF(F713&gt;0.875,IF(F713&lt;0.936805555555556,"Turno C",IF(F713&gt;0.9375,IF(F713&lt;0.979166666666667,"Turno B",""),"")),"")),"")),"")),"")),""))</f>
        <v>Turno B</v>
      </c>
      <c r="L713" s="91">
        <f t="shared" si="11"/>
        <v>0.3125</v>
      </c>
    </row>
    <row r="714" spans="1:12" s="40" customFormat="1">
      <c r="A714">
        <v>10116815</v>
      </c>
      <c r="B714" t="s">
        <v>174</v>
      </c>
      <c r="C714" t="s">
        <v>173</v>
      </c>
      <c r="D714" t="s">
        <v>17</v>
      </c>
      <c r="E714" t="s">
        <v>1437</v>
      </c>
      <c r="F714" s="78">
        <v>0.94608796296296294</v>
      </c>
      <c r="G714" t="s">
        <v>1406</v>
      </c>
      <c r="H714" t="s">
        <v>1336</v>
      </c>
      <c r="I714" s="88" t="str">
        <f>VLOOKUP(A714,Base!A:B,2,0)</f>
        <v>10.116.815-8</v>
      </c>
      <c r="J714" s="99" t="str">
        <f>VLOOKUP(A714,Base!A:F,6,0)</f>
        <v>TERESA DE LAS NIEVES  BUSTOS  JARA</v>
      </c>
      <c r="K714" s="89" t="str">
        <f>IFERROR(IF(VLOOKUP(I714,Ingreso!K:P,6,0)=0,"Sin turtno ing",VLOOKUP(I714,Ingreso!K:P,6,0)),IF(F714&gt;0.25,IF(F714&lt;0.311805555555556,"Turno A",IF(F714&gt;0.3125,IF(F714&lt;0.354166666666667,"Turno C",IF(F714&gt;0.583333333333333,IF(F714&lt;0.625,"Turno B",IF(F714&gt;0.625694444444444,IF(F714&lt;0.8125,"Turno A",IF(F714&gt;0.875,IF(F714&lt;0.936805555555556,"Turno C",IF(F714&gt;0.9375,IF(F714&lt;0.979166666666667,"Turno B",""),"")),"")),"")),"")),"")),""))</f>
        <v>Turno B</v>
      </c>
      <c r="L714" s="91">
        <f t="shared" si="11"/>
        <v>0.3125</v>
      </c>
    </row>
    <row r="715" spans="1:12" s="40" customFormat="1">
      <c r="A715">
        <v>10116815</v>
      </c>
      <c r="B715" t="s">
        <v>174</v>
      </c>
      <c r="C715" t="s">
        <v>173</v>
      </c>
      <c r="D715" t="s">
        <v>17</v>
      </c>
      <c r="E715" t="s">
        <v>1437</v>
      </c>
      <c r="F715" s="78">
        <v>0.6071064814814815</v>
      </c>
      <c r="G715" t="s">
        <v>1405</v>
      </c>
      <c r="H715" t="s">
        <v>1335</v>
      </c>
      <c r="I715" s="88" t="str">
        <f>VLOOKUP(A715,Base!A:B,2,0)</f>
        <v>10.116.815-8</v>
      </c>
      <c r="J715" s="99" t="str">
        <f>VLOOKUP(A715,Base!A:F,6,0)</f>
        <v>TERESA DE LAS NIEVES  BUSTOS  JARA</v>
      </c>
      <c r="K715" s="89" t="str">
        <f>IFERROR(IF(VLOOKUP(I715,Ingreso!K:P,6,0)=0,"Sin turtno ing",VLOOKUP(I715,Ingreso!K:P,6,0)),IF(F715&gt;0.25,IF(F715&lt;0.311805555555556,"Turno A",IF(F715&gt;0.3125,IF(F715&lt;0.354166666666667,"Turno C",IF(F715&gt;0.583333333333333,IF(F715&lt;0.625,"Turno B",IF(F715&gt;0.625694444444444,IF(F715&lt;0.8125,"Turno A",IF(F715&gt;0.875,IF(F715&lt;0.936805555555556,"Turno C",IF(F715&gt;0.9375,IF(F715&lt;0.979166666666667,"Turno B",""),"")),"")),"")),"")),"")),""))</f>
        <v>Turno B</v>
      </c>
      <c r="L715" s="91">
        <f t="shared" si="11"/>
        <v>0.3125</v>
      </c>
    </row>
    <row r="716" spans="1:12" s="40" customFormat="1">
      <c r="A716">
        <v>10116815</v>
      </c>
      <c r="B716" t="s">
        <v>174</v>
      </c>
      <c r="C716" t="s">
        <v>173</v>
      </c>
      <c r="D716" t="s">
        <v>17</v>
      </c>
      <c r="E716" t="s">
        <v>1438</v>
      </c>
      <c r="F716" s="78">
        <v>0.94319444444444445</v>
      </c>
      <c r="G716" t="s">
        <v>1406</v>
      </c>
      <c r="H716" t="s">
        <v>1336</v>
      </c>
      <c r="I716" s="88" t="str">
        <f>VLOOKUP(A716,Base!A:B,2,0)</f>
        <v>10.116.815-8</v>
      </c>
      <c r="J716" s="99" t="str">
        <f>VLOOKUP(A716,Base!A:F,6,0)</f>
        <v>TERESA DE LAS NIEVES  BUSTOS  JARA</v>
      </c>
      <c r="K716" s="89" t="str">
        <f>IFERROR(IF(VLOOKUP(I716,Ingreso!K:P,6,0)=0,"Sin turtno ing",VLOOKUP(I716,Ingreso!K:P,6,0)),IF(F716&gt;0.25,IF(F716&lt;0.311805555555556,"Turno A",IF(F716&gt;0.3125,IF(F716&lt;0.354166666666667,"Turno C",IF(F716&gt;0.583333333333333,IF(F716&lt;0.625,"Turno B",IF(F716&gt;0.625694444444444,IF(F716&lt;0.8125,"Turno A",IF(F716&gt;0.875,IF(F716&lt;0.936805555555556,"Turno C",IF(F716&gt;0.9375,IF(F716&lt;0.979166666666667,"Turno B",""),"")),"")),"")),"")),"")),""))</f>
        <v>Turno B</v>
      </c>
      <c r="L716" s="91">
        <f t="shared" si="11"/>
        <v>0.3125</v>
      </c>
    </row>
    <row r="717" spans="1:12" s="40" customFormat="1">
      <c r="A717">
        <v>10116815</v>
      </c>
      <c r="B717" t="s">
        <v>174</v>
      </c>
      <c r="C717" t="s">
        <v>173</v>
      </c>
      <c r="D717" t="s">
        <v>17</v>
      </c>
      <c r="E717" t="s">
        <v>1438</v>
      </c>
      <c r="F717" s="78">
        <v>0.60961805555555559</v>
      </c>
      <c r="G717" t="s">
        <v>1405</v>
      </c>
      <c r="H717" t="s">
        <v>1335</v>
      </c>
      <c r="I717" s="88" t="str">
        <f>VLOOKUP(A717,Base!A:B,2,0)</f>
        <v>10.116.815-8</v>
      </c>
      <c r="J717" s="99" t="str">
        <f>VLOOKUP(A717,Base!A:F,6,0)</f>
        <v>TERESA DE LAS NIEVES  BUSTOS  JARA</v>
      </c>
      <c r="K717" s="89" t="str">
        <f>IFERROR(IF(VLOOKUP(I717,Ingreso!K:P,6,0)=0,"Sin turtno ing",VLOOKUP(I717,Ingreso!K:P,6,0)),IF(F717&gt;0.25,IF(F717&lt;0.311805555555556,"Turno A",IF(F717&gt;0.3125,IF(F717&lt;0.354166666666667,"Turno C",IF(F717&gt;0.583333333333333,IF(F717&lt;0.625,"Turno B",IF(F717&gt;0.625694444444444,IF(F717&lt;0.8125,"Turno A",IF(F717&gt;0.875,IF(F717&lt;0.936805555555556,"Turno C",IF(F717&gt;0.9375,IF(F717&lt;0.979166666666667,"Turno B",""),"")),"")),"")),"")),"")),""))</f>
        <v>Turno B</v>
      </c>
      <c r="L717" s="91">
        <f t="shared" si="11"/>
        <v>0.3125</v>
      </c>
    </row>
    <row r="718" spans="1:12" s="40" customFormat="1">
      <c r="A718">
        <v>10116815</v>
      </c>
      <c r="B718" t="s">
        <v>174</v>
      </c>
      <c r="C718" t="s">
        <v>173</v>
      </c>
      <c r="D718" t="s">
        <v>17</v>
      </c>
      <c r="E718" t="s">
        <v>1439</v>
      </c>
      <c r="F718" s="78">
        <v>0.94644675925925925</v>
      </c>
      <c r="G718" t="s">
        <v>1406</v>
      </c>
      <c r="H718" t="s">
        <v>1336</v>
      </c>
      <c r="I718" s="88" t="str">
        <f>VLOOKUP(A718,Base!A:B,2,0)</f>
        <v>10.116.815-8</v>
      </c>
      <c r="J718" s="99" t="str">
        <f>VLOOKUP(A718,Base!A:F,6,0)</f>
        <v>TERESA DE LAS NIEVES  BUSTOS  JARA</v>
      </c>
      <c r="K718" s="89" t="str">
        <f>IFERROR(IF(VLOOKUP(I718,Ingreso!K:P,6,0)=0,"Sin turtno ing",VLOOKUP(I718,Ingreso!K:P,6,0)),IF(F718&gt;0.25,IF(F718&lt;0.311805555555556,"Turno A",IF(F718&gt;0.3125,IF(F718&lt;0.354166666666667,"Turno C",IF(F718&gt;0.583333333333333,IF(F718&lt;0.625,"Turno B",IF(F718&gt;0.625694444444444,IF(F718&lt;0.8125,"Turno A",IF(F718&gt;0.875,IF(F718&lt;0.936805555555556,"Turno C",IF(F718&gt;0.9375,IF(F718&lt;0.979166666666667,"Turno B",""),"")),"")),"")),"")),"")),""))</f>
        <v>Turno B</v>
      </c>
      <c r="L718" s="91">
        <f t="shared" si="11"/>
        <v>0.3125</v>
      </c>
    </row>
    <row r="719" spans="1:12" s="40" customFormat="1">
      <c r="A719">
        <v>10116815</v>
      </c>
      <c r="B719" t="s">
        <v>174</v>
      </c>
      <c r="C719" t="s">
        <v>173</v>
      </c>
      <c r="D719" t="s">
        <v>17</v>
      </c>
      <c r="E719" t="s">
        <v>1439</v>
      </c>
      <c r="F719" s="78">
        <v>0.60792824074074081</v>
      </c>
      <c r="G719" t="s">
        <v>1405</v>
      </c>
      <c r="H719" t="s">
        <v>1335</v>
      </c>
      <c r="I719" s="88" t="str">
        <f>VLOOKUP(A719,Base!A:B,2,0)</f>
        <v>10.116.815-8</v>
      </c>
      <c r="J719" s="99" t="str">
        <f>VLOOKUP(A719,Base!A:F,6,0)</f>
        <v>TERESA DE LAS NIEVES  BUSTOS  JARA</v>
      </c>
      <c r="K719" s="89" t="str">
        <f>IFERROR(IF(VLOOKUP(I719,Ingreso!K:P,6,0)=0,"Sin turtno ing",VLOOKUP(I719,Ingreso!K:P,6,0)),IF(F719&gt;0.25,IF(F719&lt;0.311805555555556,"Turno A",IF(F719&gt;0.3125,IF(F719&lt;0.354166666666667,"Turno C",IF(F719&gt;0.583333333333333,IF(F719&lt;0.625,"Turno B",IF(F719&gt;0.625694444444444,IF(F719&lt;0.8125,"Turno A",IF(F719&gt;0.875,IF(F719&lt;0.936805555555556,"Turno C",IF(F719&gt;0.9375,IF(F719&lt;0.979166666666667,"Turno B",""),"")),"")),"")),"")),"")),""))</f>
        <v>Turno B</v>
      </c>
      <c r="L719" s="91">
        <f t="shared" si="11"/>
        <v>0.3125</v>
      </c>
    </row>
    <row r="720" spans="1:12" s="40" customFormat="1">
      <c r="A720">
        <v>10157067</v>
      </c>
      <c r="B720" t="s">
        <v>612</v>
      </c>
      <c r="C720" t="s">
        <v>369</v>
      </c>
      <c r="D720" t="s">
        <v>611</v>
      </c>
      <c r="E720" t="s">
        <v>1440</v>
      </c>
      <c r="F720" s="78">
        <v>0.73317129629629629</v>
      </c>
      <c r="G720" t="s">
        <v>1406</v>
      </c>
      <c r="H720" t="s">
        <v>1336</v>
      </c>
      <c r="I720" s="88" t="str">
        <f>VLOOKUP(A720,Base!A:B,2,0)</f>
        <v>10.157.067-3</v>
      </c>
      <c r="J720" s="99" t="str">
        <f>VLOOKUP(A720,Base!A:F,6,0)</f>
        <v>MIGUEL ALBERTO  MELLA  FRIAS</v>
      </c>
      <c r="K720" s="89" t="str">
        <f>IFERROR(IF(VLOOKUP(I720,Ingreso!K:P,6,0)=0,"Sin turtno ing",VLOOKUP(I720,Ingreso!K:P,6,0)),IF(F720&gt;0.25,IF(F720&lt;0.311805555555556,"Turno A",IF(F720&gt;0.3125,IF(F720&lt;0.354166666666667,"Turno C",IF(F720&gt;0.583333333333333,IF(F720&lt;0.625,"Turno B",IF(F720&gt;0.625694444444444,IF(F720&lt;0.8125,"Turno A",IF(F720&gt;0.875,IF(F720&lt;0.936805555555556,"Turno C",IF(F720&gt;0.9375,IF(F720&lt;0.979166666666667,"Turno B",""),"")),"")),"")),"")),"")),""))</f>
        <v>Sin turtno ing</v>
      </c>
      <c r="L720" s="91" t="e">
        <f t="shared" si="11"/>
        <v>#N/A</v>
      </c>
    </row>
    <row r="721" spans="1:12" s="40" customFormat="1">
      <c r="A721">
        <v>10157067</v>
      </c>
      <c r="B721" t="s">
        <v>612</v>
      </c>
      <c r="C721" t="s">
        <v>369</v>
      </c>
      <c r="D721" t="s">
        <v>611</v>
      </c>
      <c r="E721" t="s">
        <v>1440</v>
      </c>
      <c r="F721" s="78">
        <v>0.29466435185185186</v>
      </c>
      <c r="G721" t="s">
        <v>1405</v>
      </c>
      <c r="H721" t="s">
        <v>1335</v>
      </c>
      <c r="I721" s="88" t="str">
        <f>VLOOKUP(A721,Base!A:B,2,0)</f>
        <v>10.157.067-3</v>
      </c>
      <c r="J721" s="99" t="str">
        <f>VLOOKUP(A721,Base!A:F,6,0)</f>
        <v>MIGUEL ALBERTO  MELLA  FRIAS</v>
      </c>
      <c r="K721" s="89" t="str">
        <f>IFERROR(IF(VLOOKUP(I721,Ingreso!K:P,6,0)=0,"Sin turtno ing",VLOOKUP(I721,Ingreso!K:P,6,0)),IF(F721&gt;0.25,IF(F721&lt;0.311805555555556,"Turno A",IF(F721&gt;0.3125,IF(F721&lt;0.354166666666667,"Turno C",IF(F721&gt;0.583333333333333,IF(F721&lt;0.625,"Turno B",IF(F721&gt;0.625694444444444,IF(F721&lt;0.8125,"Turno A",IF(F721&gt;0.875,IF(F721&lt;0.936805555555556,"Turno C",IF(F721&gt;0.9375,IF(F721&lt;0.979166666666667,"Turno B",""),"")),"")),"")),"")),"")),""))</f>
        <v>Sin turtno ing</v>
      </c>
      <c r="L721" s="91" t="e">
        <f t="shared" si="11"/>
        <v>#N/A</v>
      </c>
    </row>
    <row r="722" spans="1:12" s="40" customFormat="1">
      <c r="A722">
        <v>10157067</v>
      </c>
      <c r="B722" t="s">
        <v>612</v>
      </c>
      <c r="C722" t="s">
        <v>369</v>
      </c>
      <c r="D722" t="s">
        <v>611</v>
      </c>
      <c r="E722" t="s">
        <v>1441</v>
      </c>
      <c r="F722" s="78">
        <v>0.49986111111111109</v>
      </c>
      <c r="G722" t="s">
        <v>1406</v>
      </c>
      <c r="H722" t="s">
        <v>1336</v>
      </c>
      <c r="I722" s="88" t="str">
        <f>VLOOKUP(A722,Base!A:B,2,0)</f>
        <v>10.157.067-3</v>
      </c>
      <c r="J722" s="99" t="str">
        <f>VLOOKUP(A722,Base!A:F,6,0)</f>
        <v>MIGUEL ALBERTO  MELLA  FRIAS</v>
      </c>
      <c r="K722" s="89" t="str">
        <f>IFERROR(IF(VLOOKUP(I722,Ingreso!K:P,6,0)=0,"Sin turtno ing",VLOOKUP(I722,Ingreso!K:P,6,0)),IF(F722&gt;0.25,IF(F722&lt;0.311805555555556,"Turno A",IF(F722&gt;0.3125,IF(F722&lt;0.354166666666667,"Turno C",IF(F722&gt;0.583333333333333,IF(F722&lt;0.625,"Turno B",IF(F722&gt;0.625694444444444,IF(F722&lt;0.8125,"Turno A",IF(F722&gt;0.875,IF(F722&lt;0.936805555555556,"Turno C",IF(F722&gt;0.9375,IF(F722&lt;0.979166666666667,"Turno B",""),"")),"")),"")),"")),"")),""))</f>
        <v>Sin turtno ing</v>
      </c>
      <c r="L722" s="91" t="e">
        <f t="shared" si="11"/>
        <v>#N/A</v>
      </c>
    </row>
    <row r="723" spans="1:12" s="40" customFormat="1">
      <c r="A723">
        <v>10157067</v>
      </c>
      <c r="B723" t="s">
        <v>612</v>
      </c>
      <c r="C723" t="s">
        <v>369</v>
      </c>
      <c r="D723" t="s">
        <v>611</v>
      </c>
      <c r="E723" t="s">
        <v>1441</v>
      </c>
      <c r="F723" s="78">
        <v>0.29409722222222223</v>
      </c>
      <c r="G723" t="s">
        <v>1405</v>
      </c>
      <c r="H723" t="s">
        <v>1335</v>
      </c>
      <c r="I723" s="88" t="str">
        <f>VLOOKUP(A723,Base!A:B,2,0)</f>
        <v>10.157.067-3</v>
      </c>
      <c r="J723" s="99" t="str">
        <f>VLOOKUP(A723,Base!A:F,6,0)</f>
        <v>MIGUEL ALBERTO  MELLA  FRIAS</v>
      </c>
      <c r="K723" s="89" t="str">
        <f>IFERROR(IF(VLOOKUP(I723,Ingreso!K:P,6,0)=0,"Sin turtno ing",VLOOKUP(I723,Ingreso!K:P,6,0)),IF(F723&gt;0.25,IF(F723&lt;0.311805555555556,"Turno A",IF(F723&gt;0.3125,IF(F723&lt;0.354166666666667,"Turno C",IF(F723&gt;0.583333333333333,IF(F723&lt;0.625,"Turno B",IF(F723&gt;0.625694444444444,IF(F723&lt;0.8125,"Turno A",IF(F723&gt;0.875,IF(F723&lt;0.936805555555556,"Turno C",IF(F723&gt;0.9375,IF(F723&lt;0.979166666666667,"Turno B",""),"")),"")),"")),"")),"")),""))</f>
        <v>Sin turtno ing</v>
      </c>
      <c r="L723" s="91" t="e">
        <f t="shared" si="11"/>
        <v>#N/A</v>
      </c>
    </row>
    <row r="724" spans="1:12" s="40" customFormat="1">
      <c r="A724">
        <v>10157067</v>
      </c>
      <c r="B724" t="s">
        <v>612</v>
      </c>
      <c r="C724" t="s">
        <v>369</v>
      </c>
      <c r="D724" t="s">
        <v>611</v>
      </c>
      <c r="E724" t="s">
        <v>1437</v>
      </c>
      <c r="F724" s="78">
        <v>0.73569444444444443</v>
      </c>
      <c r="G724" t="s">
        <v>1406</v>
      </c>
      <c r="H724" t="s">
        <v>1336</v>
      </c>
      <c r="I724" s="88" t="str">
        <f>VLOOKUP(A724,Base!A:B,2,0)</f>
        <v>10.157.067-3</v>
      </c>
      <c r="J724" s="99" t="str">
        <f>VLOOKUP(A724,Base!A:F,6,0)</f>
        <v>MIGUEL ALBERTO  MELLA  FRIAS</v>
      </c>
      <c r="K724" s="89" t="str">
        <f>IFERROR(IF(VLOOKUP(I724,Ingreso!K:P,6,0)=0,"Sin turtno ing",VLOOKUP(I724,Ingreso!K:P,6,0)),IF(F724&gt;0.25,IF(F724&lt;0.311805555555556,"Turno A",IF(F724&gt;0.3125,IF(F724&lt;0.354166666666667,"Turno C",IF(F724&gt;0.583333333333333,IF(F724&lt;0.625,"Turno B",IF(F724&gt;0.625694444444444,IF(F724&lt;0.8125,"Turno A",IF(F724&gt;0.875,IF(F724&lt;0.936805555555556,"Turno C",IF(F724&gt;0.9375,IF(F724&lt;0.979166666666667,"Turno B",""),"")),"")),"")),"")),"")),""))</f>
        <v>Sin turtno ing</v>
      </c>
      <c r="L724" s="91" t="e">
        <f t="shared" si="11"/>
        <v>#N/A</v>
      </c>
    </row>
    <row r="725" spans="1:12" s="40" customFormat="1">
      <c r="A725">
        <v>10157067</v>
      </c>
      <c r="B725" t="s">
        <v>612</v>
      </c>
      <c r="C725" t="s">
        <v>369</v>
      </c>
      <c r="D725" t="s">
        <v>611</v>
      </c>
      <c r="E725" t="s">
        <v>1437</v>
      </c>
      <c r="F725" s="78">
        <v>0.29296296296296298</v>
      </c>
      <c r="G725" t="s">
        <v>1405</v>
      </c>
      <c r="H725" t="s">
        <v>1335</v>
      </c>
      <c r="I725" s="88" t="str">
        <f>VLOOKUP(A725,Base!A:B,2,0)</f>
        <v>10.157.067-3</v>
      </c>
      <c r="J725" s="99" t="str">
        <f>VLOOKUP(A725,Base!A:F,6,0)</f>
        <v>MIGUEL ALBERTO  MELLA  FRIAS</v>
      </c>
      <c r="K725" s="89" t="str">
        <f>IFERROR(IF(VLOOKUP(I725,Ingreso!K:P,6,0)=0,"Sin turtno ing",VLOOKUP(I725,Ingreso!K:P,6,0)),IF(F725&gt;0.25,IF(F725&lt;0.311805555555556,"Turno A",IF(F725&gt;0.3125,IF(F725&lt;0.354166666666667,"Turno C",IF(F725&gt;0.583333333333333,IF(F725&lt;0.625,"Turno B",IF(F725&gt;0.625694444444444,IF(F725&lt;0.8125,"Turno A",IF(F725&gt;0.875,IF(F725&lt;0.936805555555556,"Turno C",IF(F725&gt;0.9375,IF(F725&lt;0.979166666666667,"Turno B",""),"")),"")),"")),"")),"")),""))</f>
        <v>Sin turtno ing</v>
      </c>
      <c r="L725" s="91" t="e">
        <f t="shared" si="11"/>
        <v>#N/A</v>
      </c>
    </row>
    <row r="726" spans="1:12" s="40" customFormat="1">
      <c r="A726">
        <v>10157067</v>
      </c>
      <c r="B726" t="s">
        <v>612</v>
      </c>
      <c r="C726" t="s">
        <v>369</v>
      </c>
      <c r="D726" t="s">
        <v>611</v>
      </c>
      <c r="E726" t="s">
        <v>1438</v>
      </c>
      <c r="F726" s="78">
        <v>0.7359837962962964</v>
      </c>
      <c r="G726" t="s">
        <v>1406</v>
      </c>
      <c r="H726" t="s">
        <v>1336</v>
      </c>
      <c r="I726" s="88" t="str">
        <f>VLOOKUP(A726,Base!A:B,2,0)</f>
        <v>10.157.067-3</v>
      </c>
      <c r="J726" s="99" t="str">
        <f>VLOOKUP(A726,Base!A:F,6,0)</f>
        <v>MIGUEL ALBERTO  MELLA  FRIAS</v>
      </c>
      <c r="K726" s="89" t="str">
        <f>IFERROR(IF(VLOOKUP(I726,Ingreso!K:P,6,0)=0,"Sin turtno ing",VLOOKUP(I726,Ingreso!K:P,6,0)),IF(F726&gt;0.25,IF(F726&lt;0.311805555555556,"Turno A",IF(F726&gt;0.3125,IF(F726&lt;0.354166666666667,"Turno C",IF(F726&gt;0.583333333333333,IF(F726&lt;0.625,"Turno B",IF(F726&gt;0.625694444444444,IF(F726&lt;0.8125,"Turno A",IF(F726&gt;0.875,IF(F726&lt;0.936805555555556,"Turno C",IF(F726&gt;0.9375,IF(F726&lt;0.979166666666667,"Turno B",""),"")),"")),"")),"")),"")),""))</f>
        <v>Sin turtno ing</v>
      </c>
      <c r="L726" s="91" t="e">
        <f t="shared" si="11"/>
        <v>#N/A</v>
      </c>
    </row>
    <row r="727" spans="1:12" s="40" customFormat="1">
      <c r="A727">
        <v>10157067</v>
      </c>
      <c r="B727" t="s">
        <v>612</v>
      </c>
      <c r="C727" t="s">
        <v>369</v>
      </c>
      <c r="D727" t="s">
        <v>611</v>
      </c>
      <c r="E727" t="s">
        <v>1438</v>
      </c>
      <c r="F727" s="78">
        <v>0.2940740740740741</v>
      </c>
      <c r="G727" t="s">
        <v>1405</v>
      </c>
      <c r="H727" t="s">
        <v>1335</v>
      </c>
      <c r="I727" s="88" t="str">
        <f>VLOOKUP(A727,Base!A:B,2,0)</f>
        <v>10.157.067-3</v>
      </c>
      <c r="J727" s="99" t="str">
        <f>VLOOKUP(A727,Base!A:F,6,0)</f>
        <v>MIGUEL ALBERTO  MELLA  FRIAS</v>
      </c>
      <c r="K727" s="89" t="str">
        <f>IFERROR(IF(VLOOKUP(I727,Ingreso!K:P,6,0)=0,"Sin turtno ing",VLOOKUP(I727,Ingreso!K:P,6,0)),IF(F727&gt;0.25,IF(F727&lt;0.311805555555556,"Turno A",IF(F727&gt;0.3125,IF(F727&lt;0.354166666666667,"Turno C",IF(F727&gt;0.583333333333333,IF(F727&lt;0.625,"Turno B",IF(F727&gt;0.625694444444444,IF(F727&lt;0.8125,"Turno A",IF(F727&gt;0.875,IF(F727&lt;0.936805555555556,"Turno C",IF(F727&gt;0.9375,IF(F727&lt;0.979166666666667,"Turno B",""),"")),"")),"")),"")),"")),""))</f>
        <v>Sin turtno ing</v>
      </c>
      <c r="L727" s="91" t="e">
        <f t="shared" si="11"/>
        <v>#N/A</v>
      </c>
    </row>
    <row r="728" spans="1:12" s="40" customFormat="1">
      <c r="A728">
        <v>10157067</v>
      </c>
      <c r="B728" t="s">
        <v>612</v>
      </c>
      <c r="C728" t="s">
        <v>369</v>
      </c>
      <c r="D728" t="s">
        <v>611</v>
      </c>
      <c r="E728" t="s">
        <v>1439</v>
      </c>
      <c r="F728" s="78">
        <v>0.73682870370370368</v>
      </c>
      <c r="G728" t="s">
        <v>1406</v>
      </c>
      <c r="H728" t="s">
        <v>1336</v>
      </c>
      <c r="I728" s="88" t="str">
        <f>VLOOKUP(A728,Base!A:B,2,0)</f>
        <v>10.157.067-3</v>
      </c>
      <c r="J728" s="99" t="str">
        <f>VLOOKUP(A728,Base!A:F,6,0)</f>
        <v>MIGUEL ALBERTO  MELLA  FRIAS</v>
      </c>
      <c r="K728" s="89" t="str">
        <f>IFERROR(IF(VLOOKUP(I728,Ingreso!K:P,6,0)=0,"Sin turtno ing",VLOOKUP(I728,Ingreso!K:P,6,0)),IF(F728&gt;0.25,IF(F728&lt;0.311805555555556,"Turno A",IF(F728&gt;0.3125,IF(F728&lt;0.354166666666667,"Turno C",IF(F728&gt;0.583333333333333,IF(F728&lt;0.625,"Turno B",IF(F728&gt;0.625694444444444,IF(F728&lt;0.8125,"Turno A",IF(F728&gt;0.875,IF(F728&lt;0.936805555555556,"Turno C",IF(F728&gt;0.9375,IF(F728&lt;0.979166666666667,"Turno B",""),"")),"")),"")),"")),"")),""))</f>
        <v>Sin turtno ing</v>
      </c>
      <c r="L728" s="91" t="e">
        <f t="shared" si="11"/>
        <v>#N/A</v>
      </c>
    </row>
    <row r="729" spans="1:12" s="40" customFormat="1">
      <c r="A729">
        <v>10157067</v>
      </c>
      <c r="B729" t="s">
        <v>612</v>
      </c>
      <c r="C729" t="s">
        <v>369</v>
      </c>
      <c r="D729" t="s">
        <v>611</v>
      </c>
      <c r="E729" t="s">
        <v>1439</v>
      </c>
      <c r="F729" s="78">
        <v>0.29537037037037034</v>
      </c>
      <c r="G729" t="s">
        <v>1405</v>
      </c>
      <c r="H729" t="s">
        <v>1335</v>
      </c>
      <c r="I729" s="88" t="str">
        <f>VLOOKUP(A729,Base!A:B,2,0)</f>
        <v>10.157.067-3</v>
      </c>
      <c r="J729" s="99" t="str">
        <f>VLOOKUP(A729,Base!A:F,6,0)</f>
        <v>MIGUEL ALBERTO  MELLA  FRIAS</v>
      </c>
      <c r="K729" s="89" t="str">
        <f>IFERROR(IF(VLOOKUP(I729,Ingreso!K:P,6,0)=0,"Sin turtno ing",VLOOKUP(I729,Ingreso!K:P,6,0)),IF(F729&gt;0.25,IF(F729&lt;0.311805555555556,"Turno A",IF(F729&gt;0.3125,IF(F729&lt;0.354166666666667,"Turno C",IF(F729&gt;0.583333333333333,IF(F729&lt;0.625,"Turno B",IF(F729&gt;0.625694444444444,IF(F729&lt;0.8125,"Turno A",IF(F729&gt;0.875,IF(F729&lt;0.936805555555556,"Turno C",IF(F729&gt;0.9375,IF(F729&lt;0.979166666666667,"Turno B",""),"")),"")),"")),"")),"")),""))</f>
        <v>Sin turtno ing</v>
      </c>
      <c r="L729" s="91" t="e">
        <f t="shared" si="11"/>
        <v>#N/A</v>
      </c>
    </row>
    <row r="730" spans="1:12" s="40" customFormat="1">
      <c r="A730">
        <v>10168958</v>
      </c>
      <c r="B730" t="s">
        <v>539</v>
      </c>
      <c r="C730" t="s">
        <v>580</v>
      </c>
      <c r="D730" t="s">
        <v>852</v>
      </c>
      <c r="E730" t="s">
        <v>1440</v>
      </c>
      <c r="F730" s="78">
        <v>0.32050925925925927</v>
      </c>
      <c r="G730" t="s">
        <v>1406</v>
      </c>
      <c r="H730" t="s">
        <v>1336</v>
      </c>
      <c r="I730" s="88" t="str">
        <f>VLOOKUP(A730,Base!A:B,2,0)</f>
        <v>10.168.958-1</v>
      </c>
      <c r="J730" s="99" t="str">
        <f>VLOOKUP(A730,Base!A:F,6,0)</f>
        <v>RAUL  RAMIREZ  VASQUEZ</v>
      </c>
      <c r="K730" s="89" t="str">
        <f>IFERROR(IF(VLOOKUP(I730,Ingreso!K:P,6,0)=0,"Sin turtno ing",VLOOKUP(I730,Ingreso!K:P,6,0)),IF(F730&gt;0.25,IF(F730&lt;0.311805555555556,"Turno A",IF(F730&gt;0.3125,IF(F730&lt;0.354166666666667,"Turno C",IF(F730&gt;0.583333333333333,IF(F730&lt;0.625,"Turno B",IF(F730&gt;0.625694444444444,IF(F730&lt;0.8125,"Turno A",IF(F730&gt;0.875,IF(F730&lt;0.936805555555556,"Turno C",IF(F730&gt;0.9375,IF(F730&lt;0.979166666666667,"Turno B",""),"")),"")),"")),"")),"")),""))</f>
        <v>Turno C</v>
      </c>
      <c r="L730" s="91">
        <f t="shared" si="11"/>
        <v>0.375</v>
      </c>
    </row>
    <row r="731" spans="1:12" s="40" customFormat="1">
      <c r="A731">
        <v>10168958</v>
      </c>
      <c r="B731" t="s">
        <v>539</v>
      </c>
      <c r="C731" t="s">
        <v>580</v>
      </c>
      <c r="D731" t="s">
        <v>852</v>
      </c>
      <c r="E731" t="s">
        <v>1440</v>
      </c>
      <c r="F731" s="78">
        <v>0.95004629629629633</v>
      </c>
      <c r="G731" t="s">
        <v>1405</v>
      </c>
      <c r="H731" t="s">
        <v>1335</v>
      </c>
      <c r="I731" s="88" t="str">
        <f>VLOOKUP(A731,Base!A:B,2,0)</f>
        <v>10.168.958-1</v>
      </c>
      <c r="J731" s="99" t="str">
        <f>VLOOKUP(A731,Base!A:F,6,0)</f>
        <v>RAUL  RAMIREZ  VASQUEZ</v>
      </c>
      <c r="K731" s="89" t="str">
        <f>IFERROR(IF(VLOOKUP(I731,Ingreso!K:P,6,0)=0,"Sin turtno ing",VLOOKUP(I731,Ingreso!K:P,6,0)),IF(F731&gt;0.25,IF(F731&lt;0.311805555555556,"Turno A",IF(F731&gt;0.3125,IF(F731&lt;0.354166666666667,"Turno C",IF(F731&gt;0.583333333333333,IF(F731&lt;0.625,"Turno B",IF(F731&gt;0.625694444444444,IF(F731&lt;0.8125,"Turno A",IF(F731&gt;0.875,IF(F731&lt;0.936805555555556,"Turno C",IF(F731&gt;0.9375,IF(F731&lt;0.979166666666667,"Turno B",""),"")),"")),"")),"")),"")),""))</f>
        <v>Turno C</v>
      </c>
      <c r="L731" s="91">
        <f t="shared" si="11"/>
        <v>0.375</v>
      </c>
    </row>
    <row r="732" spans="1:12" s="40" customFormat="1">
      <c r="A732">
        <v>10168958</v>
      </c>
      <c r="B732" t="s">
        <v>539</v>
      </c>
      <c r="C732" t="s">
        <v>580</v>
      </c>
      <c r="D732" t="s">
        <v>852</v>
      </c>
      <c r="E732" t="s">
        <v>1441</v>
      </c>
      <c r="F732" s="78">
        <v>0.32362268518518517</v>
      </c>
      <c r="G732" t="s">
        <v>1406</v>
      </c>
      <c r="H732" t="s">
        <v>1336</v>
      </c>
      <c r="I732" s="88" t="str">
        <f>VLOOKUP(A732,Base!A:B,2,0)</f>
        <v>10.168.958-1</v>
      </c>
      <c r="J732" s="99" t="str">
        <f>VLOOKUP(A732,Base!A:F,6,0)</f>
        <v>RAUL  RAMIREZ  VASQUEZ</v>
      </c>
      <c r="K732" s="89" t="str">
        <f>IFERROR(IF(VLOOKUP(I732,Ingreso!K:P,6,0)=0,"Sin turtno ing",VLOOKUP(I732,Ingreso!K:P,6,0)),IF(F732&gt;0.25,IF(F732&lt;0.311805555555556,"Turno A",IF(F732&gt;0.3125,IF(F732&lt;0.354166666666667,"Turno C",IF(F732&gt;0.583333333333333,IF(F732&lt;0.625,"Turno B",IF(F732&gt;0.625694444444444,IF(F732&lt;0.8125,"Turno A",IF(F732&gt;0.875,IF(F732&lt;0.936805555555556,"Turno C",IF(F732&gt;0.9375,IF(F732&lt;0.979166666666667,"Turno B",""),"")),"")),"")),"")),"")),""))</f>
        <v>Turno C</v>
      </c>
      <c r="L732" s="91">
        <f t="shared" si="11"/>
        <v>0.375</v>
      </c>
    </row>
    <row r="733" spans="1:12" s="40" customFormat="1">
      <c r="A733">
        <v>10168958</v>
      </c>
      <c r="B733" t="s">
        <v>539</v>
      </c>
      <c r="C733" t="s">
        <v>580</v>
      </c>
      <c r="D733" t="s">
        <v>852</v>
      </c>
      <c r="E733" t="s">
        <v>1437</v>
      </c>
      <c r="F733" s="78">
        <v>0.91940972222222228</v>
      </c>
      <c r="G733" t="s">
        <v>1405</v>
      </c>
      <c r="H733" t="s">
        <v>1335</v>
      </c>
      <c r="I733" s="88" t="str">
        <f>VLOOKUP(A733,Base!A:B,2,0)</f>
        <v>10.168.958-1</v>
      </c>
      <c r="J733" s="99" t="str">
        <f>VLOOKUP(A733,Base!A:F,6,0)</f>
        <v>RAUL  RAMIREZ  VASQUEZ</v>
      </c>
      <c r="K733" s="89" t="str">
        <f>IFERROR(IF(VLOOKUP(I733,Ingreso!K:P,6,0)=0,"Sin turtno ing",VLOOKUP(I733,Ingreso!K:P,6,0)),IF(F733&gt;0.25,IF(F733&lt;0.311805555555556,"Turno A",IF(F733&gt;0.3125,IF(F733&lt;0.354166666666667,"Turno C",IF(F733&gt;0.583333333333333,IF(F733&lt;0.625,"Turno B",IF(F733&gt;0.625694444444444,IF(F733&lt;0.8125,"Turno A",IF(F733&gt;0.875,IF(F733&lt;0.936805555555556,"Turno C",IF(F733&gt;0.9375,IF(F733&lt;0.979166666666667,"Turno B",""),"")),"")),"")),"")),"")),""))</f>
        <v>Turno C</v>
      </c>
      <c r="L733" s="91">
        <f t="shared" si="11"/>
        <v>0.375</v>
      </c>
    </row>
    <row r="734" spans="1:12" s="40" customFormat="1">
      <c r="A734">
        <v>10168958</v>
      </c>
      <c r="B734" t="s">
        <v>539</v>
      </c>
      <c r="C734" t="s">
        <v>580</v>
      </c>
      <c r="D734" t="s">
        <v>852</v>
      </c>
      <c r="E734" t="s">
        <v>1438</v>
      </c>
      <c r="F734" s="78">
        <v>0.31974537037037037</v>
      </c>
      <c r="G734" t="s">
        <v>1406</v>
      </c>
      <c r="H734" t="s">
        <v>1336</v>
      </c>
      <c r="I734" s="88" t="str">
        <f>VLOOKUP(A734,Base!A:B,2,0)</f>
        <v>10.168.958-1</v>
      </c>
      <c r="J734" s="99" t="str">
        <f>VLOOKUP(A734,Base!A:F,6,0)</f>
        <v>RAUL  RAMIREZ  VASQUEZ</v>
      </c>
      <c r="K734" s="89" t="str">
        <f>IFERROR(IF(VLOOKUP(I734,Ingreso!K:P,6,0)=0,"Sin turtno ing",VLOOKUP(I734,Ingreso!K:P,6,0)),IF(F734&gt;0.25,IF(F734&lt;0.311805555555556,"Turno A",IF(F734&gt;0.3125,IF(F734&lt;0.354166666666667,"Turno C",IF(F734&gt;0.583333333333333,IF(F734&lt;0.625,"Turno B",IF(F734&gt;0.625694444444444,IF(F734&lt;0.8125,"Turno A",IF(F734&gt;0.875,IF(F734&lt;0.936805555555556,"Turno C",IF(F734&gt;0.9375,IF(F734&lt;0.979166666666667,"Turno B",""),"")),"")),"")),"")),"")),""))</f>
        <v>Turno C</v>
      </c>
      <c r="L734" s="91">
        <f t="shared" si="11"/>
        <v>0.375</v>
      </c>
    </row>
    <row r="735" spans="1:12" s="40" customFormat="1">
      <c r="A735">
        <v>10168958</v>
      </c>
      <c r="B735" t="s">
        <v>539</v>
      </c>
      <c r="C735" t="s">
        <v>580</v>
      </c>
      <c r="D735" t="s">
        <v>852</v>
      </c>
      <c r="E735" t="s">
        <v>1438</v>
      </c>
      <c r="F735" s="78">
        <v>0.91981481481481486</v>
      </c>
      <c r="G735" t="s">
        <v>1405</v>
      </c>
      <c r="H735" t="s">
        <v>1335</v>
      </c>
      <c r="I735" s="88" t="str">
        <f>VLOOKUP(A735,Base!A:B,2,0)</f>
        <v>10.168.958-1</v>
      </c>
      <c r="J735" s="99" t="str">
        <f>VLOOKUP(A735,Base!A:F,6,0)</f>
        <v>RAUL  RAMIREZ  VASQUEZ</v>
      </c>
      <c r="K735" s="89" t="str">
        <f>IFERROR(IF(VLOOKUP(I735,Ingreso!K:P,6,0)=0,"Sin turtno ing",VLOOKUP(I735,Ingreso!K:P,6,0)),IF(F735&gt;0.25,IF(F735&lt;0.311805555555556,"Turno A",IF(F735&gt;0.3125,IF(F735&lt;0.354166666666667,"Turno C",IF(F735&gt;0.583333333333333,IF(F735&lt;0.625,"Turno B",IF(F735&gt;0.625694444444444,IF(F735&lt;0.8125,"Turno A",IF(F735&gt;0.875,IF(F735&lt;0.936805555555556,"Turno C",IF(F735&gt;0.9375,IF(F735&lt;0.979166666666667,"Turno B",""),"")),"")),"")),"")),"")),""))</f>
        <v>Turno C</v>
      </c>
      <c r="L735" s="91">
        <f t="shared" si="11"/>
        <v>0.375</v>
      </c>
    </row>
    <row r="736" spans="1:12" s="40" customFormat="1">
      <c r="A736">
        <v>10168958</v>
      </c>
      <c r="B736" t="s">
        <v>539</v>
      </c>
      <c r="C736" t="s">
        <v>580</v>
      </c>
      <c r="D736" t="s">
        <v>852</v>
      </c>
      <c r="E736" t="s">
        <v>1439</v>
      </c>
      <c r="F736" s="78">
        <v>0.3225115740740741</v>
      </c>
      <c r="G736" t="s">
        <v>1406</v>
      </c>
      <c r="H736" t="s">
        <v>1336</v>
      </c>
      <c r="I736" s="88" t="str">
        <f>VLOOKUP(A736,Base!A:B,2,0)</f>
        <v>10.168.958-1</v>
      </c>
      <c r="J736" s="99" t="str">
        <f>VLOOKUP(A736,Base!A:F,6,0)</f>
        <v>RAUL  RAMIREZ  VASQUEZ</v>
      </c>
      <c r="K736" s="89" t="str">
        <f>IFERROR(IF(VLOOKUP(I736,Ingreso!K:P,6,0)=0,"Sin turtno ing",VLOOKUP(I736,Ingreso!K:P,6,0)),IF(F736&gt;0.25,IF(F736&lt;0.311805555555556,"Turno A",IF(F736&gt;0.3125,IF(F736&lt;0.354166666666667,"Turno C",IF(F736&gt;0.583333333333333,IF(F736&lt;0.625,"Turno B",IF(F736&gt;0.625694444444444,IF(F736&lt;0.8125,"Turno A",IF(F736&gt;0.875,IF(F736&lt;0.936805555555556,"Turno C",IF(F736&gt;0.9375,IF(F736&lt;0.979166666666667,"Turno B",""),"")),"")),"")),"")),"")),""))</f>
        <v>Turno C</v>
      </c>
      <c r="L736" s="91">
        <f t="shared" si="11"/>
        <v>0.375</v>
      </c>
    </row>
    <row r="737" spans="1:12" s="40" customFormat="1">
      <c r="A737">
        <v>10168958</v>
      </c>
      <c r="B737" t="s">
        <v>539</v>
      </c>
      <c r="C737" t="s">
        <v>580</v>
      </c>
      <c r="D737" t="s">
        <v>852</v>
      </c>
      <c r="E737" t="s">
        <v>1439</v>
      </c>
      <c r="F737" s="78">
        <v>0.91916666666666658</v>
      </c>
      <c r="G737" t="s">
        <v>1405</v>
      </c>
      <c r="H737" t="s">
        <v>1335</v>
      </c>
      <c r="I737" s="88" t="str">
        <f>VLOOKUP(A737,Base!A:B,2,0)</f>
        <v>10.168.958-1</v>
      </c>
      <c r="J737" s="99" t="str">
        <f>VLOOKUP(A737,Base!A:F,6,0)</f>
        <v>RAUL  RAMIREZ  VASQUEZ</v>
      </c>
      <c r="K737" s="89" t="str">
        <f>IFERROR(IF(VLOOKUP(I737,Ingreso!K:P,6,0)=0,"Sin turtno ing",VLOOKUP(I737,Ingreso!K:P,6,0)),IF(F737&gt;0.25,IF(F737&lt;0.311805555555556,"Turno A",IF(F737&gt;0.3125,IF(F737&lt;0.354166666666667,"Turno C",IF(F737&gt;0.583333333333333,IF(F737&lt;0.625,"Turno B",IF(F737&gt;0.625694444444444,IF(F737&lt;0.8125,"Turno A",IF(F737&gt;0.875,IF(F737&lt;0.936805555555556,"Turno C",IF(F737&gt;0.9375,IF(F737&lt;0.979166666666667,"Turno B",""),"")),"")),"")),"")),"")),""))</f>
        <v>Turno C</v>
      </c>
      <c r="L737" s="91">
        <f t="shared" si="11"/>
        <v>0.375</v>
      </c>
    </row>
    <row r="738" spans="1:12" s="40" customFormat="1">
      <c r="A738">
        <v>10173910</v>
      </c>
      <c r="B738" t="s">
        <v>127</v>
      </c>
      <c r="C738" t="s">
        <v>125</v>
      </c>
      <c r="D738" t="s">
        <v>126</v>
      </c>
      <c r="E738" t="s">
        <v>1440</v>
      </c>
      <c r="F738" s="78">
        <v>0.31218750000000001</v>
      </c>
      <c r="G738" t="s">
        <v>1406</v>
      </c>
      <c r="H738" t="s">
        <v>1336</v>
      </c>
      <c r="I738" s="88" t="str">
        <f>VLOOKUP(A738,Base!A:B,2,0)</f>
        <v>10.173.910-4</v>
      </c>
      <c r="J738" s="99" t="str">
        <f>VLOOKUP(A738,Base!A:F,6,0)</f>
        <v>FELIX  EXEQUIEL  ARSENDIGA  PALMA</v>
      </c>
      <c r="K738" s="89" t="str">
        <f>IFERROR(IF(VLOOKUP(I738,Ingreso!K:P,6,0)=0,"Sin turtno ing",VLOOKUP(I738,Ingreso!K:P,6,0)),IF(F738&gt;0.25,IF(F738&lt;0.311805555555556,"Turno A",IF(F738&gt;0.3125,IF(F738&lt;0.354166666666667,"Turno C",IF(F738&gt;0.583333333333333,IF(F738&lt;0.625,"Turno B",IF(F738&gt;0.625694444444444,IF(F738&lt;0.8125,"Turno A",IF(F738&gt;0.875,IF(F738&lt;0.936805555555556,"Turno C",IF(F738&gt;0.9375,IF(F738&lt;0.979166666666667,"Turno B",""),"")),"")),"")),"")),"")),""))</f>
        <v>Turno C</v>
      </c>
      <c r="L738" s="91">
        <f t="shared" si="11"/>
        <v>0.375</v>
      </c>
    </row>
    <row r="739" spans="1:12" s="40" customFormat="1">
      <c r="A739">
        <v>10173910</v>
      </c>
      <c r="B739" t="s">
        <v>127</v>
      </c>
      <c r="C739" t="s">
        <v>125</v>
      </c>
      <c r="D739" t="s">
        <v>126</v>
      </c>
      <c r="E739" t="s">
        <v>1440</v>
      </c>
      <c r="F739" s="78">
        <v>0.92625000000000002</v>
      </c>
      <c r="G739" t="s">
        <v>1405</v>
      </c>
      <c r="H739" t="s">
        <v>1335</v>
      </c>
      <c r="I739" s="88" t="str">
        <f>VLOOKUP(A739,Base!A:B,2,0)</f>
        <v>10.173.910-4</v>
      </c>
      <c r="J739" s="99" t="str">
        <f>VLOOKUP(A739,Base!A:F,6,0)</f>
        <v>FELIX  EXEQUIEL  ARSENDIGA  PALMA</v>
      </c>
      <c r="K739" s="89" t="str">
        <f>IFERROR(IF(VLOOKUP(I739,Ingreso!K:P,6,0)=0,"Sin turtno ing",VLOOKUP(I739,Ingreso!K:P,6,0)),IF(F739&gt;0.25,IF(F739&lt;0.311805555555556,"Turno A",IF(F739&gt;0.3125,IF(F739&lt;0.354166666666667,"Turno C",IF(F739&gt;0.583333333333333,IF(F739&lt;0.625,"Turno B",IF(F739&gt;0.625694444444444,IF(F739&lt;0.8125,"Turno A",IF(F739&gt;0.875,IF(F739&lt;0.936805555555556,"Turno C",IF(F739&gt;0.9375,IF(F739&lt;0.979166666666667,"Turno B",""),"")),"")),"")),"")),"")),""))</f>
        <v>Turno C</v>
      </c>
      <c r="L739" s="91">
        <f t="shared" si="11"/>
        <v>0.375</v>
      </c>
    </row>
    <row r="740" spans="1:12" s="40" customFormat="1">
      <c r="A740">
        <v>10173910</v>
      </c>
      <c r="B740" t="s">
        <v>127</v>
      </c>
      <c r="C740" t="s">
        <v>125</v>
      </c>
      <c r="D740" t="s">
        <v>126</v>
      </c>
      <c r="E740" t="s">
        <v>1441</v>
      </c>
      <c r="F740" s="78">
        <v>0.31113425925925925</v>
      </c>
      <c r="G740" t="s">
        <v>1406</v>
      </c>
      <c r="H740" t="s">
        <v>1336</v>
      </c>
      <c r="I740" s="88" t="str">
        <f>VLOOKUP(A740,Base!A:B,2,0)</f>
        <v>10.173.910-4</v>
      </c>
      <c r="J740" s="99" t="str">
        <f>VLOOKUP(A740,Base!A:F,6,0)</f>
        <v>FELIX  EXEQUIEL  ARSENDIGA  PALMA</v>
      </c>
      <c r="K740" s="89" t="str">
        <f>IFERROR(IF(VLOOKUP(I740,Ingreso!K:P,6,0)=0,"Sin turtno ing",VLOOKUP(I740,Ingreso!K:P,6,0)),IF(F740&gt;0.25,IF(F740&lt;0.311805555555556,"Turno A",IF(F740&gt;0.3125,IF(F740&lt;0.354166666666667,"Turno C",IF(F740&gt;0.583333333333333,IF(F740&lt;0.625,"Turno B",IF(F740&gt;0.625694444444444,IF(F740&lt;0.8125,"Turno A",IF(F740&gt;0.875,IF(F740&lt;0.936805555555556,"Turno C",IF(F740&gt;0.9375,IF(F740&lt;0.979166666666667,"Turno B",""),"")),"")),"")),"")),"")),""))</f>
        <v>Turno C</v>
      </c>
      <c r="L740" s="91">
        <f t="shared" si="11"/>
        <v>0.375</v>
      </c>
    </row>
    <row r="741" spans="1:12" s="40" customFormat="1">
      <c r="A741">
        <v>10173910</v>
      </c>
      <c r="B741" t="s">
        <v>127</v>
      </c>
      <c r="C741" t="s">
        <v>125</v>
      </c>
      <c r="D741" t="s">
        <v>126</v>
      </c>
      <c r="E741" t="s">
        <v>1437</v>
      </c>
      <c r="F741" s="78">
        <v>0.92437499999999995</v>
      </c>
      <c r="G741" t="s">
        <v>1405</v>
      </c>
      <c r="H741" t="s">
        <v>1335</v>
      </c>
      <c r="I741" s="88" t="str">
        <f>VLOOKUP(A741,Base!A:B,2,0)</f>
        <v>10.173.910-4</v>
      </c>
      <c r="J741" s="99" t="str">
        <f>VLOOKUP(A741,Base!A:F,6,0)</f>
        <v>FELIX  EXEQUIEL  ARSENDIGA  PALMA</v>
      </c>
      <c r="K741" s="89" t="str">
        <f>IFERROR(IF(VLOOKUP(I741,Ingreso!K:P,6,0)=0,"Sin turtno ing",VLOOKUP(I741,Ingreso!K:P,6,0)),IF(F741&gt;0.25,IF(F741&lt;0.311805555555556,"Turno A",IF(F741&gt;0.3125,IF(F741&lt;0.354166666666667,"Turno C",IF(F741&gt;0.583333333333333,IF(F741&lt;0.625,"Turno B",IF(F741&gt;0.625694444444444,IF(F741&lt;0.8125,"Turno A",IF(F741&gt;0.875,IF(F741&lt;0.936805555555556,"Turno C",IF(F741&gt;0.9375,IF(F741&lt;0.979166666666667,"Turno B",""),"")),"")),"")),"")),"")),""))</f>
        <v>Turno C</v>
      </c>
      <c r="L741" s="91">
        <f t="shared" si="11"/>
        <v>0.375</v>
      </c>
    </row>
    <row r="742" spans="1:12" s="40" customFormat="1">
      <c r="A742">
        <v>10173910</v>
      </c>
      <c r="B742" t="s">
        <v>127</v>
      </c>
      <c r="C742" t="s">
        <v>125</v>
      </c>
      <c r="D742" t="s">
        <v>126</v>
      </c>
      <c r="E742" t="s">
        <v>1438</v>
      </c>
      <c r="F742" s="78">
        <v>0.30814814814814812</v>
      </c>
      <c r="G742" t="s">
        <v>1406</v>
      </c>
      <c r="H742" t="s">
        <v>1336</v>
      </c>
      <c r="I742" s="88" t="str">
        <f>VLOOKUP(A742,Base!A:B,2,0)</f>
        <v>10.173.910-4</v>
      </c>
      <c r="J742" s="99" t="str">
        <f>VLOOKUP(A742,Base!A:F,6,0)</f>
        <v>FELIX  EXEQUIEL  ARSENDIGA  PALMA</v>
      </c>
      <c r="K742" s="89" t="str">
        <f>IFERROR(IF(VLOOKUP(I742,Ingreso!K:P,6,0)=0,"Sin turtno ing",VLOOKUP(I742,Ingreso!K:P,6,0)),IF(F742&gt;0.25,IF(F742&lt;0.311805555555556,"Turno A",IF(F742&gt;0.3125,IF(F742&lt;0.354166666666667,"Turno C",IF(F742&gt;0.583333333333333,IF(F742&lt;0.625,"Turno B",IF(F742&gt;0.625694444444444,IF(F742&lt;0.8125,"Turno A",IF(F742&gt;0.875,IF(F742&lt;0.936805555555556,"Turno C",IF(F742&gt;0.9375,IF(F742&lt;0.979166666666667,"Turno B",""),"")),"")),"")),"")),"")),""))</f>
        <v>Turno C</v>
      </c>
      <c r="L742" s="91">
        <f t="shared" si="11"/>
        <v>0.375</v>
      </c>
    </row>
    <row r="743" spans="1:12" s="40" customFormat="1">
      <c r="A743">
        <v>10173910</v>
      </c>
      <c r="B743" t="s">
        <v>127</v>
      </c>
      <c r="C743" t="s">
        <v>125</v>
      </c>
      <c r="D743" t="s">
        <v>126</v>
      </c>
      <c r="E743" t="s">
        <v>1438</v>
      </c>
      <c r="F743" s="78">
        <v>0.92489583333333336</v>
      </c>
      <c r="G743" t="s">
        <v>1405</v>
      </c>
      <c r="H743" t="s">
        <v>1335</v>
      </c>
      <c r="I743" s="88" t="str">
        <f>VLOOKUP(A743,Base!A:B,2,0)</f>
        <v>10.173.910-4</v>
      </c>
      <c r="J743" s="99" t="str">
        <f>VLOOKUP(A743,Base!A:F,6,0)</f>
        <v>FELIX  EXEQUIEL  ARSENDIGA  PALMA</v>
      </c>
      <c r="K743" s="89" t="str">
        <f>IFERROR(IF(VLOOKUP(I743,Ingreso!K:P,6,0)=0,"Sin turtno ing",VLOOKUP(I743,Ingreso!K:P,6,0)),IF(F743&gt;0.25,IF(F743&lt;0.311805555555556,"Turno A",IF(F743&gt;0.3125,IF(F743&lt;0.354166666666667,"Turno C",IF(F743&gt;0.583333333333333,IF(F743&lt;0.625,"Turno B",IF(F743&gt;0.625694444444444,IF(F743&lt;0.8125,"Turno A",IF(F743&gt;0.875,IF(F743&lt;0.936805555555556,"Turno C",IF(F743&gt;0.9375,IF(F743&lt;0.979166666666667,"Turno B",""),"")),"")),"")),"")),"")),""))</f>
        <v>Turno C</v>
      </c>
      <c r="L743" s="91">
        <f t="shared" si="11"/>
        <v>0.375</v>
      </c>
    </row>
    <row r="744" spans="1:12" s="40" customFormat="1">
      <c r="A744">
        <v>10173910</v>
      </c>
      <c r="B744" t="s">
        <v>127</v>
      </c>
      <c r="C744" t="s">
        <v>125</v>
      </c>
      <c r="D744" t="s">
        <v>126</v>
      </c>
      <c r="E744" t="s">
        <v>1439</v>
      </c>
      <c r="F744" s="78">
        <v>0.31138888888888888</v>
      </c>
      <c r="G744" t="s">
        <v>1406</v>
      </c>
      <c r="H744" t="s">
        <v>1336</v>
      </c>
      <c r="I744" s="88" t="str">
        <f>VLOOKUP(A744,Base!A:B,2,0)</f>
        <v>10.173.910-4</v>
      </c>
      <c r="J744" s="99" t="str">
        <f>VLOOKUP(A744,Base!A:F,6,0)</f>
        <v>FELIX  EXEQUIEL  ARSENDIGA  PALMA</v>
      </c>
      <c r="K744" s="89" t="str">
        <f>IFERROR(IF(VLOOKUP(I744,Ingreso!K:P,6,0)=0,"Sin turtno ing",VLOOKUP(I744,Ingreso!K:P,6,0)),IF(F744&gt;0.25,IF(F744&lt;0.311805555555556,"Turno A",IF(F744&gt;0.3125,IF(F744&lt;0.354166666666667,"Turno C",IF(F744&gt;0.583333333333333,IF(F744&lt;0.625,"Turno B",IF(F744&gt;0.625694444444444,IF(F744&lt;0.8125,"Turno A",IF(F744&gt;0.875,IF(F744&lt;0.936805555555556,"Turno C",IF(F744&gt;0.9375,IF(F744&lt;0.979166666666667,"Turno B",""),"")),"")),"")),"")),"")),""))</f>
        <v>Turno C</v>
      </c>
      <c r="L744" s="91">
        <f t="shared" si="11"/>
        <v>0.375</v>
      </c>
    </row>
    <row r="745" spans="1:12" s="40" customFormat="1">
      <c r="A745">
        <v>10173910</v>
      </c>
      <c r="B745" t="s">
        <v>127</v>
      </c>
      <c r="C745" t="s">
        <v>125</v>
      </c>
      <c r="D745" t="s">
        <v>126</v>
      </c>
      <c r="E745" t="s">
        <v>1439</v>
      </c>
      <c r="F745" s="78">
        <v>0.92446759259259259</v>
      </c>
      <c r="G745" t="s">
        <v>1405</v>
      </c>
      <c r="H745" t="s">
        <v>1335</v>
      </c>
      <c r="I745" s="88" t="str">
        <f>VLOOKUP(A745,Base!A:B,2,0)</f>
        <v>10.173.910-4</v>
      </c>
      <c r="J745" s="99" t="str">
        <f>VLOOKUP(A745,Base!A:F,6,0)</f>
        <v>FELIX  EXEQUIEL  ARSENDIGA  PALMA</v>
      </c>
      <c r="K745" s="89" t="str">
        <f>IFERROR(IF(VLOOKUP(I745,Ingreso!K:P,6,0)=0,"Sin turtno ing",VLOOKUP(I745,Ingreso!K:P,6,0)),IF(F745&gt;0.25,IF(F745&lt;0.311805555555556,"Turno A",IF(F745&gt;0.3125,IF(F745&lt;0.354166666666667,"Turno C",IF(F745&gt;0.583333333333333,IF(F745&lt;0.625,"Turno B",IF(F745&gt;0.625694444444444,IF(F745&lt;0.8125,"Turno A",IF(F745&gt;0.875,IF(F745&lt;0.936805555555556,"Turno C",IF(F745&gt;0.9375,IF(F745&lt;0.979166666666667,"Turno B",""),"")),"")),"")),"")),"")),""))</f>
        <v>Turno C</v>
      </c>
      <c r="L745" s="91">
        <f t="shared" si="11"/>
        <v>0.375</v>
      </c>
    </row>
    <row r="746" spans="1:12" s="40" customFormat="1">
      <c r="A746">
        <v>10199755</v>
      </c>
      <c r="B746" t="s">
        <v>485</v>
      </c>
      <c r="C746" t="s">
        <v>479</v>
      </c>
      <c r="D746" t="s">
        <v>83</v>
      </c>
      <c r="E746" t="s">
        <v>1440</v>
      </c>
      <c r="F746" s="78">
        <v>0.63976851851851857</v>
      </c>
      <c r="G746" t="s">
        <v>1406</v>
      </c>
      <c r="H746" t="s">
        <v>1336</v>
      </c>
      <c r="I746" s="88" t="str">
        <f>VLOOKUP(A746,Base!A:B,2,0)</f>
        <v>10.199.755-3</v>
      </c>
      <c r="J746" s="99" t="str">
        <f>VLOOKUP(A746,Base!A:F,6,0)</f>
        <v>QUINTIN ROBERTO  HERNANDEZ  GONZALEZ</v>
      </c>
      <c r="K746" s="89" t="str">
        <f>IFERROR(IF(VLOOKUP(I746,Ingreso!K:P,6,0)=0,"Sin turtno ing",VLOOKUP(I746,Ingreso!K:P,6,0)),IF(F746&gt;0.25,IF(F746&lt;0.311805555555556,"Turno A",IF(F746&gt;0.3125,IF(F746&lt;0.354166666666667,"Turno C",IF(F746&gt;0.583333333333333,IF(F746&lt;0.625,"Turno B",IF(F746&gt;0.625694444444444,IF(F746&lt;0.8125,"Turno A",IF(F746&gt;0.875,IF(F746&lt;0.936805555555556,"Turno C",IF(F746&gt;0.9375,IF(F746&lt;0.979166666666667,"Turno B",""),"")),"")),"")),"")),"")),""))</f>
        <v>Sin turtno ing</v>
      </c>
      <c r="L746" s="91" t="e">
        <f t="shared" si="11"/>
        <v>#N/A</v>
      </c>
    </row>
    <row r="747" spans="1:12" s="40" customFormat="1">
      <c r="A747">
        <v>10199755</v>
      </c>
      <c r="B747" t="s">
        <v>485</v>
      </c>
      <c r="C747" t="s">
        <v>479</v>
      </c>
      <c r="D747" t="s">
        <v>83</v>
      </c>
      <c r="E747" t="s">
        <v>1440</v>
      </c>
      <c r="F747" s="78">
        <v>0.29731481481481481</v>
      </c>
      <c r="G747" t="s">
        <v>1405</v>
      </c>
      <c r="H747" t="s">
        <v>1335</v>
      </c>
      <c r="I747" s="88" t="str">
        <f>VLOOKUP(A747,Base!A:B,2,0)</f>
        <v>10.199.755-3</v>
      </c>
      <c r="J747" s="99" t="str">
        <f>VLOOKUP(A747,Base!A:F,6,0)</f>
        <v>QUINTIN ROBERTO  HERNANDEZ  GONZALEZ</v>
      </c>
      <c r="K747" s="89" t="str">
        <f>IFERROR(IF(VLOOKUP(I747,Ingreso!K:P,6,0)=0,"Sin turtno ing",VLOOKUP(I747,Ingreso!K:P,6,0)),IF(F747&gt;0.25,IF(F747&lt;0.311805555555556,"Turno A",IF(F747&gt;0.3125,IF(F747&lt;0.354166666666667,"Turno C",IF(F747&gt;0.583333333333333,IF(F747&lt;0.625,"Turno B",IF(F747&gt;0.625694444444444,IF(F747&lt;0.8125,"Turno A",IF(F747&gt;0.875,IF(F747&lt;0.936805555555556,"Turno C",IF(F747&gt;0.9375,IF(F747&lt;0.979166666666667,"Turno B",""),"")),"")),"")),"")),"")),""))</f>
        <v>Sin turtno ing</v>
      </c>
      <c r="L747" s="91" t="e">
        <f t="shared" si="11"/>
        <v>#N/A</v>
      </c>
    </row>
    <row r="748" spans="1:12" s="40" customFormat="1">
      <c r="A748">
        <v>10199755</v>
      </c>
      <c r="B748" t="s">
        <v>485</v>
      </c>
      <c r="C748" t="s">
        <v>479</v>
      </c>
      <c r="D748" t="s">
        <v>83</v>
      </c>
      <c r="E748" t="s">
        <v>1441</v>
      </c>
      <c r="F748" s="78">
        <v>0.64056712962962969</v>
      </c>
      <c r="G748" t="s">
        <v>1406</v>
      </c>
      <c r="H748" t="s">
        <v>1336</v>
      </c>
      <c r="I748" s="88" t="str">
        <f>VLOOKUP(A748,Base!A:B,2,0)</f>
        <v>10.199.755-3</v>
      </c>
      <c r="J748" s="99" t="str">
        <f>VLOOKUP(A748,Base!A:F,6,0)</f>
        <v>QUINTIN ROBERTO  HERNANDEZ  GONZALEZ</v>
      </c>
      <c r="K748" s="89" t="str">
        <f>IFERROR(IF(VLOOKUP(I748,Ingreso!K:P,6,0)=0,"Sin turtno ing",VLOOKUP(I748,Ingreso!K:P,6,0)),IF(F748&gt;0.25,IF(F748&lt;0.311805555555556,"Turno A",IF(F748&gt;0.3125,IF(F748&lt;0.354166666666667,"Turno C",IF(F748&gt;0.583333333333333,IF(F748&lt;0.625,"Turno B",IF(F748&gt;0.625694444444444,IF(F748&lt;0.8125,"Turno A",IF(F748&gt;0.875,IF(F748&lt;0.936805555555556,"Turno C",IF(F748&gt;0.9375,IF(F748&lt;0.979166666666667,"Turno B",""),"")),"")),"")),"")),"")),""))</f>
        <v>Sin turtno ing</v>
      </c>
      <c r="L748" s="91" t="e">
        <f t="shared" si="11"/>
        <v>#N/A</v>
      </c>
    </row>
    <row r="749" spans="1:12" s="40" customFormat="1">
      <c r="A749">
        <v>10199755</v>
      </c>
      <c r="B749" t="s">
        <v>485</v>
      </c>
      <c r="C749" t="s">
        <v>479</v>
      </c>
      <c r="D749" t="s">
        <v>83</v>
      </c>
      <c r="E749" t="s">
        <v>1441</v>
      </c>
      <c r="F749" s="78">
        <v>0.29549768518518521</v>
      </c>
      <c r="G749" t="s">
        <v>1405</v>
      </c>
      <c r="H749" t="s">
        <v>1335</v>
      </c>
      <c r="I749" s="88" t="str">
        <f>VLOOKUP(A749,Base!A:B,2,0)</f>
        <v>10.199.755-3</v>
      </c>
      <c r="J749" s="99" t="str">
        <f>VLOOKUP(A749,Base!A:F,6,0)</f>
        <v>QUINTIN ROBERTO  HERNANDEZ  GONZALEZ</v>
      </c>
      <c r="K749" s="89" t="str">
        <f>IFERROR(IF(VLOOKUP(I749,Ingreso!K:P,6,0)=0,"Sin turtno ing",VLOOKUP(I749,Ingreso!K:P,6,0)),IF(F749&gt;0.25,IF(F749&lt;0.311805555555556,"Turno A",IF(F749&gt;0.3125,IF(F749&lt;0.354166666666667,"Turno C",IF(F749&gt;0.583333333333333,IF(F749&lt;0.625,"Turno B",IF(F749&gt;0.625694444444444,IF(F749&lt;0.8125,"Turno A",IF(F749&gt;0.875,IF(F749&lt;0.936805555555556,"Turno C",IF(F749&gt;0.9375,IF(F749&lt;0.979166666666667,"Turno B",""),"")),"")),"")),"")),"")),""))</f>
        <v>Sin turtno ing</v>
      </c>
      <c r="L749" s="91" t="e">
        <f t="shared" si="11"/>
        <v>#N/A</v>
      </c>
    </row>
    <row r="750" spans="1:12" s="40" customFormat="1">
      <c r="A750">
        <v>10199755</v>
      </c>
      <c r="B750" t="s">
        <v>485</v>
      </c>
      <c r="C750" t="s">
        <v>479</v>
      </c>
      <c r="D750" t="s">
        <v>83</v>
      </c>
      <c r="E750" t="s">
        <v>1437</v>
      </c>
      <c r="F750" s="78">
        <v>0.63960648148148147</v>
      </c>
      <c r="G750" t="s">
        <v>1406</v>
      </c>
      <c r="H750" t="s">
        <v>1336</v>
      </c>
      <c r="I750" s="88" t="str">
        <f>VLOOKUP(A750,Base!A:B,2,0)</f>
        <v>10.199.755-3</v>
      </c>
      <c r="J750" s="99" t="str">
        <f>VLOOKUP(A750,Base!A:F,6,0)</f>
        <v>QUINTIN ROBERTO  HERNANDEZ  GONZALEZ</v>
      </c>
      <c r="K750" s="89" t="str">
        <f>IFERROR(IF(VLOOKUP(I750,Ingreso!K:P,6,0)=0,"Sin turtno ing",VLOOKUP(I750,Ingreso!K:P,6,0)),IF(F750&gt;0.25,IF(F750&lt;0.311805555555556,"Turno A",IF(F750&gt;0.3125,IF(F750&lt;0.354166666666667,"Turno C",IF(F750&gt;0.583333333333333,IF(F750&lt;0.625,"Turno B",IF(F750&gt;0.625694444444444,IF(F750&lt;0.8125,"Turno A",IF(F750&gt;0.875,IF(F750&lt;0.936805555555556,"Turno C",IF(F750&gt;0.9375,IF(F750&lt;0.979166666666667,"Turno B",""),"")),"")),"")),"")),"")),""))</f>
        <v>Sin turtno ing</v>
      </c>
      <c r="L750" s="91" t="e">
        <f t="shared" si="11"/>
        <v>#N/A</v>
      </c>
    </row>
    <row r="751" spans="1:12" s="40" customFormat="1">
      <c r="A751">
        <v>10199755</v>
      </c>
      <c r="B751" t="s">
        <v>485</v>
      </c>
      <c r="C751" t="s">
        <v>479</v>
      </c>
      <c r="D751" t="s">
        <v>83</v>
      </c>
      <c r="E751" t="s">
        <v>1437</v>
      </c>
      <c r="F751" s="78">
        <v>0.29276620370370371</v>
      </c>
      <c r="G751" t="s">
        <v>1405</v>
      </c>
      <c r="H751" t="s">
        <v>1335</v>
      </c>
      <c r="I751" s="88" t="str">
        <f>VLOOKUP(A751,Base!A:B,2,0)</f>
        <v>10.199.755-3</v>
      </c>
      <c r="J751" s="99" t="str">
        <f>VLOOKUP(A751,Base!A:F,6,0)</f>
        <v>QUINTIN ROBERTO  HERNANDEZ  GONZALEZ</v>
      </c>
      <c r="K751" s="89" t="str">
        <f>IFERROR(IF(VLOOKUP(I751,Ingreso!K:P,6,0)=0,"Sin turtno ing",VLOOKUP(I751,Ingreso!K:P,6,0)),IF(F751&gt;0.25,IF(F751&lt;0.311805555555556,"Turno A",IF(F751&gt;0.3125,IF(F751&lt;0.354166666666667,"Turno C",IF(F751&gt;0.583333333333333,IF(F751&lt;0.625,"Turno B",IF(F751&gt;0.625694444444444,IF(F751&lt;0.8125,"Turno A",IF(F751&gt;0.875,IF(F751&lt;0.936805555555556,"Turno C",IF(F751&gt;0.9375,IF(F751&lt;0.979166666666667,"Turno B",""),"")),"")),"")),"")),"")),""))</f>
        <v>Sin turtno ing</v>
      </c>
      <c r="L751" s="91" t="e">
        <f t="shared" si="11"/>
        <v>#N/A</v>
      </c>
    </row>
    <row r="752" spans="1:12" s="40" customFormat="1">
      <c r="A752">
        <v>10199755</v>
      </c>
      <c r="B752" t="s">
        <v>485</v>
      </c>
      <c r="C752" t="s">
        <v>479</v>
      </c>
      <c r="D752" t="s">
        <v>83</v>
      </c>
      <c r="E752" t="s">
        <v>1438</v>
      </c>
      <c r="F752" s="78">
        <v>0.63998842592592597</v>
      </c>
      <c r="G752" t="s">
        <v>1406</v>
      </c>
      <c r="H752" t="s">
        <v>1336</v>
      </c>
      <c r="I752" s="88" t="str">
        <f>VLOOKUP(A752,Base!A:B,2,0)</f>
        <v>10.199.755-3</v>
      </c>
      <c r="J752" s="99" t="str">
        <f>VLOOKUP(A752,Base!A:F,6,0)</f>
        <v>QUINTIN ROBERTO  HERNANDEZ  GONZALEZ</v>
      </c>
      <c r="K752" s="89" t="str">
        <f>IFERROR(IF(VLOOKUP(I752,Ingreso!K:P,6,0)=0,"Sin turtno ing",VLOOKUP(I752,Ingreso!K:P,6,0)),IF(F752&gt;0.25,IF(F752&lt;0.311805555555556,"Turno A",IF(F752&gt;0.3125,IF(F752&lt;0.354166666666667,"Turno C",IF(F752&gt;0.583333333333333,IF(F752&lt;0.625,"Turno B",IF(F752&gt;0.625694444444444,IF(F752&lt;0.8125,"Turno A",IF(F752&gt;0.875,IF(F752&lt;0.936805555555556,"Turno C",IF(F752&gt;0.9375,IF(F752&lt;0.979166666666667,"Turno B",""),"")),"")),"")),"")),"")),""))</f>
        <v>Sin turtno ing</v>
      </c>
      <c r="L752" s="91" t="e">
        <f t="shared" si="11"/>
        <v>#N/A</v>
      </c>
    </row>
    <row r="753" spans="1:12" s="40" customFormat="1">
      <c r="A753">
        <v>10199755</v>
      </c>
      <c r="B753" t="s">
        <v>485</v>
      </c>
      <c r="C753" t="s">
        <v>479</v>
      </c>
      <c r="D753" t="s">
        <v>83</v>
      </c>
      <c r="E753" t="s">
        <v>1438</v>
      </c>
      <c r="F753" s="78">
        <v>0.29348379629629628</v>
      </c>
      <c r="G753" t="s">
        <v>1405</v>
      </c>
      <c r="H753" t="s">
        <v>1335</v>
      </c>
      <c r="I753" s="88" t="str">
        <f>VLOOKUP(A753,Base!A:B,2,0)</f>
        <v>10.199.755-3</v>
      </c>
      <c r="J753" s="99" t="str">
        <f>VLOOKUP(A753,Base!A:F,6,0)</f>
        <v>QUINTIN ROBERTO  HERNANDEZ  GONZALEZ</v>
      </c>
      <c r="K753" s="89" t="str">
        <f>IFERROR(IF(VLOOKUP(I753,Ingreso!K:P,6,0)=0,"Sin turtno ing",VLOOKUP(I753,Ingreso!K:P,6,0)),IF(F753&gt;0.25,IF(F753&lt;0.311805555555556,"Turno A",IF(F753&gt;0.3125,IF(F753&lt;0.354166666666667,"Turno C",IF(F753&gt;0.583333333333333,IF(F753&lt;0.625,"Turno B",IF(F753&gt;0.625694444444444,IF(F753&lt;0.8125,"Turno A",IF(F753&gt;0.875,IF(F753&lt;0.936805555555556,"Turno C",IF(F753&gt;0.9375,IF(F753&lt;0.979166666666667,"Turno B",""),"")),"")),"")),"")),"")),""))</f>
        <v>Sin turtno ing</v>
      </c>
      <c r="L753" s="91" t="e">
        <f t="shared" si="11"/>
        <v>#N/A</v>
      </c>
    </row>
    <row r="754" spans="1:12" s="40" customFormat="1">
      <c r="A754">
        <v>10199755</v>
      </c>
      <c r="B754" t="s">
        <v>485</v>
      </c>
      <c r="C754" t="s">
        <v>479</v>
      </c>
      <c r="D754" t="s">
        <v>83</v>
      </c>
      <c r="E754" t="s">
        <v>1439</v>
      </c>
      <c r="F754" s="78">
        <v>0.63979166666666665</v>
      </c>
      <c r="G754" t="s">
        <v>1406</v>
      </c>
      <c r="H754" t="s">
        <v>1336</v>
      </c>
      <c r="I754" s="88" t="str">
        <f>VLOOKUP(A754,Base!A:B,2,0)</f>
        <v>10.199.755-3</v>
      </c>
      <c r="J754" s="99" t="str">
        <f>VLOOKUP(A754,Base!A:F,6,0)</f>
        <v>QUINTIN ROBERTO  HERNANDEZ  GONZALEZ</v>
      </c>
      <c r="K754" s="89" t="str">
        <f>IFERROR(IF(VLOOKUP(I754,Ingreso!K:P,6,0)=0,"Sin turtno ing",VLOOKUP(I754,Ingreso!K:P,6,0)),IF(F754&gt;0.25,IF(F754&lt;0.311805555555556,"Turno A",IF(F754&gt;0.3125,IF(F754&lt;0.354166666666667,"Turno C",IF(F754&gt;0.583333333333333,IF(F754&lt;0.625,"Turno B",IF(F754&gt;0.625694444444444,IF(F754&lt;0.8125,"Turno A",IF(F754&gt;0.875,IF(F754&lt;0.936805555555556,"Turno C",IF(F754&gt;0.9375,IF(F754&lt;0.979166666666667,"Turno B",""),"")),"")),"")),"")),"")),""))</f>
        <v>Sin turtno ing</v>
      </c>
      <c r="L754" s="91" t="e">
        <f t="shared" si="11"/>
        <v>#N/A</v>
      </c>
    </row>
    <row r="755" spans="1:12" s="40" customFormat="1">
      <c r="A755">
        <v>10199755</v>
      </c>
      <c r="B755" t="s">
        <v>485</v>
      </c>
      <c r="C755" t="s">
        <v>479</v>
      </c>
      <c r="D755" t="s">
        <v>83</v>
      </c>
      <c r="E755" t="s">
        <v>1439</v>
      </c>
      <c r="F755" s="78">
        <v>0.29396990740740742</v>
      </c>
      <c r="G755" t="s">
        <v>1405</v>
      </c>
      <c r="H755" t="s">
        <v>1335</v>
      </c>
      <c r="I755" s="88" t="str">
        <f>VLOOKUP(A755,Base!A:B,2,0)</f>
        <v>10.199.755-3</v>
      </c>
      <c r="J755" s="99" t="str">
        <f>VLOOKUP(A755,Base!A:F,6,0)</f>
        <v>QUINTIN ROBERTO  HERNANDEZ  GONZALEZ</v>
      </c>
      <c r="K755" s="89" t="str">
        <f>IFERROR(IF(VLOOKUP(I755,Ingreso!K:P,6,0)=0,"Sin turtno ing",VLOOKUP(I755,Ingreso!K:P,6,0)),IF(F755&gt;0.25,IF(F755&lt;0.311805555555556,"Turno A",IF(F755&gt;0.3125,IF(F755&lt;0.354166666666667,"Turno C",IF(F755&gt;0.583333333333333,IF(F755&lt;0.625,"Turno B",IF(F755&gt;0.625694444444444,IF(F755&lt;0.8125,"Turno A",IF(F755&gt;0.875,IF(F755&lt;0.936805555555556,"Turno C",IF(F755&gt;0.9375,IF(F755&lt;0.979166666666667,"Turno B",""),"")),"")),"")),"")),"")),""))</f>
        <v>Sin turtno ing</v>
      </c>
      <c r="L755" s="91" t="e">
        <f t="shared" si="11"/>
        <v>#N/A</v>
      </c>
    </row>
    <row r="756" spans="1:12" s="40" customFormat="1">
      <c r="A756">
        <v>10309203</v>
      </c>
      <c r="B756" t="s">
        <v>885</v>
      </c>
      <c r="C756" t="s">
        <v>76</v>
      </c>
      <c r="D756" t="s">
        <v>884</v>
      </c>
      <c r="E756" t="s">
        <v>1440</v>
      </c>
      <c r="F756" s="78">
        <v>0.7365046296296297</v>
      </c>
      <c r="G756" t="s">
        <v>1406</v>
      </c>
      <c r="H756" t="s">
        <v>1336</v>
      </c>
      <c r="I756" s="88" t="str">
        <f>VLOOKUP(A756,Base!A:B,2,0)</f>
        <v>10.309.203-5</v>
      </c>
      <c r="J756" s="99" t="str">
        <f>VLOOKUP(A756,Base!A:F,6,0)</f>
        <v>ANGELA ADELA  REYES  LARA</v>
      </c>
      <c r="K756" s="89" t="str">
        <f>IFERROR(IF(VLOOKUP(I756,Ingreso!K:P,6,0)=0,"Sin turtno ing",VLOOKUP(I756,Ingreso!K:P,6,0)),IF(F756&gt;0.25,IF(F756&lt;0.311805555555556,"Turno A",IF(F756&gt;0.3125,IF(F756&lt;0.354166666666667,"Turno C",IF(F756&gt;0.583333333333333,IF(F756&lt;0.625,"Turno B",IF(F756&gt;0.625694444444444,IF(F756&lt;0.8125,"Turno A",IF(F756&gt;0.875,IF(F756&lt;0.936805555555556,"Turno C",IF(F756&gt;0.9375,IF(F756&lt;0.979166666666667,"Turno B",""),"")),"")),"")),"")),"")),""))</f>
        <v>Sin turtno ing</v>
      </c>
      <c r="L756" s="91" t="e">
        <f t="shared" si="11"/>
        <v>#N/A</v>
      </c>
    </row>
    <row r="757" spans="1:12" s="40" customFormat="1">
      <c r="A757">
        <v>10309203</v>
      </c>
      <c r="B757" t="s">
        <v>885</v>
      </c>
      <c r="C757" t="s">
        <v>76</v>
      </c>
      <c r="D757" t="s">
        <v>884</v>
      </c>
      <c r="E757" t="s">
        <v>1440</v>
      </c>
      <c r="F757" s="78">
        <v>0.3237962962962963</v>
      </c>
      <c r="G757" t="s">
        <v>1405</v>
      </c>
      <c r="H757" t="s">
        <v>1335</v>
      </c>
      <c r="I757" s="88" t="str">
        <f>VLOOKUP(A757,Base!A:B,2,0)</f>
        <v>10.309.203-5</v>
      </c>
      <c r="J757" s="99" t="str">
        <f>VLOOKUP(A757,Base!A:F,6,0)</f>
        <v>ANGELA ADELA  REYES  LARA</v>
      </c>
      <c r="K757" s="89" t="str">
        <f>IFERROR(IF(VLOOKUP(I757,Ingreso!K:P,6,0)=0,"Sin turtno ing",VLOOKUP(I757,Ingreso!K:P,6,0)),IF(F757&gt;0.25,IF(F757&lt;0.311805555555556,"Turno A",IF(F757&gt;0.3125,IF(F757&lt;0.354166666666667,"Turno C",IF(F757&gt;0.583333333333333,IF(F757&lt;0.625,"Turno B",IF(F757&gt;0.625694444444444,IF(F757&lt;0.8125,"Turno A",IF(F757&gt;0.875,IF(F757&lt;0.936805555555556,"Turno C",IF(F757&gt;0.9375,IF(F757&lt;0.979166666666667,"Turno B",""),"")),"")),"")),"")),"")),""))</f>
        <v>Sin turtno ing</v>
      </c>
      <c r="L757" s="91" t="e">
        <f t="shared" si="11"/>
        <v>#N/A</v>
      </c>
    </row>
    <row r="758" spans="1:12" s="40" customFormat="1">
      <c r="A758">
        <v>10309203</v>
      </c>
      <c r="B758" t="s">
        <v>885</v>
      </c>
      <c r="C758" t="s">
        <v>76</v>
      </c>
      <c r="D758" t="s">
        <v>884</v>
      </c>
      <c r="E758" t="s">
        <v>1441</v>
      </c>
      <c r="F758" s="78">
        <v>0.63489583333333333</v>
      </c>
      <c r="G758" t="s">
        <v>1406</v>
      </c>
      <c r="H758" t="s">
        <v>1336</v>
      </c>
      <c r="I758" s="88" t="str">
        <f>VLOOKUP(A758,Base!A:B,2,0)</f>
        <v>10.309.203-5</v>
      </c>
      <c r="J758" s="99" t="str">
        <f>VLOOKUP(A758,Base!A:F,6,0)</f>
        <v>ANGELA ADELA  REYES  LARA</v>
      </c>
      <c r="K758" s="89" t="str">
        <f>IFERROR(IF(VLOOKUP(I758,Ingreso!K:P,6,0)=0,"Sin turtno ing",VLOOKUP(I758,Ingreso!K:P,6,0)),IF(F758&gt;0.25,IF(F758&lt;0.311805555555556,"Turno A",IF(F758&gt;0.3125,IF(F758&lt;0.354166666666667,"Turno C",IF(F758&gt;0.583333333333333,IF(F758&lt;0.625,"Turno B",IF(F758&gt;0.625694444444444,IF(F758&lt;0.8125,"Turno A",IF(F758&gt;0.875,IF(F758&lt;0.936805555555556,"Turno C",IF(F758&gt;0.9375,IF(F758&lt;0.979166666666667,"Turno B",""),"")),"")),"")),"")),"")),""))</f>
        <v>Sin turtno ing</v>
      </c>
      <c r="L758" s="91" t="e">
        <f t="shared" si="11"/>
        <v>#N/A</v>
      </c>
    </row>
    <row r="759" spans="1:12" s="40" customFormat="1">
      <c r="A759">
        <v>10309203</v>
      </c>
      <c r="B759" t="s">
        <v>885</v>
      </c>
      <c r="C759" t="s">
        <v>76</v>
      </c>
      <c r="D759" t="s">
        <v>884</v>
      </c>
      <c r="E759" t="s">
        <v>1441</v>
      </c>
      <c r="F759" s="78">
        <v>0.31915509259259262</v>
      </c>
      <c r="G759" t="s">
        <v>1405</v>
      </c>
      <c r="H759" t="s">
        <v>1335</v>
      </c>
      <c r="I759" s="88" t="str">
        <f>VLOOKUP(A759,Base!A:B,2,0)</f>
        <v>10.309.203-5</v>
      </c>
      <c r="J759" s="99" t="str">
        <f>VLOOKUP(A759,Base!A:F,6,0)</f>
        <v>ANGELA ADELA  REYES  LARA</v>
      </c>
      <c r="K759" s="89" t="str">
        <f>IFERROR(IF(VLOOKUP(I759,Ingreso!K:P,6,0)=0,"Sin turtno ing",VLOOKUP(I759,Ingreso!K:P,6,0)),IF(F759&gt;0.25,IF(F759&lt;0.311805555555556,"Turno A",IF(F759&gt;0.3125,IF(F759&lt;0.354166666666667,"Turno C",IF(F759&gt;0.583333333333333,IF(F759&lt;0.625,"Turno B",IF(F759&gt;0.625694444444444,IF(F759&lt;0.8125,"Turno A",IF(F759&gt;0.875,IF(F759&lt;0.936805555555556,"Turno C",IF(F759&gt;0.9375,IF(F759&lt;0.979166666666667,"Turno B",""),"")),"")),"")),"")),"")),""))</f>
        <v>Sin turtno ing</v>
      </c>
      <c r="L759" s="91" t="e">
        <f t="shared" si="11"/>
        <v>#N/A</v>
      </c>
    </row>
    <row r="760" spans="1:12" s="40" customFormat="1">
      <c r="A760">
        <v>10309203</v>
      </c>
      <c r="B760" t="s">
        <v>885</v>
      </c>
      <c r="C760" t="s">
        <v>76</v>
      </c>
      <c r="D760" t="s">
        <v>884</v>
      </c>
      <c r="E760" t="s">
        <v>1437</v>
      </c>
      <c r="F760" s="78">
        <v>0.73512731481481486</v>
      </c>
      <c r="G760" t="s">
        <v>1406</v>
      </c>
      <c r="H760" t="s">
        <v>1336</v>
      </c>
      <c r="I760" s="88" t="str">
        <f>VLOOKUP(A760,Base!A:B,2,0)</f>
        <v>10.309.203-5</v>
      </c>
      <c r="J760" s="99" t="str">
        <f>VLOOKUP(A760,Base!A:F,6,0)</f>
        <v>ANGELA ADELA  REYES  LARA</v>
      </c>
      <c r="K760" s="89" t="str">
        <f>IFERROR(IF(VLOOKUP(I760,Ingreso!K:P,6,0)=0,"Sin turtno ing",VLOOKUP(I760,Ingreso!K:P,6,0)),IF(F760&gt;0.25,IF(F760&lt;0.311805555555556,"Turno A",IF(F760&gt;0.3125,IF(F760&lt;0.354166666666667,"Turno C",IF(F760&gt;0.583333333333333,IF(F760&lt;0.625,"Turno B",IF(F760&gt;0.625694444444444,IF(F760&lt;0.8125,"Turno A",IF(F760&gt;0.875,IF(F760&lt;0.936805555555556,"Turno C",IF(F760&gt;0.9375,IF(F760&lt;0.979166666666667,"Turno B",""),"")),"")),"")),"")),"")),""))</f>
        <v>Sin turtno ing</v>
      </c>
      <c r="L760" s="91" t="e">
        <f t="shared" si="11"/>
        <v>#N/A</v>
      </c>
    </row>
    <row r="761" spans="1:12" s="40" customFormat="1">
      <c r="A761">
        <v>10309203</v>
      </c>
      <c r="B761" t="s">
        <v>885</v>
      </c>
      <c r="C761" t="s">
        <v>76</v>
      </c>
      <c r="D761" t="s">
        <v>884</v>
      </c>
      <c r="E761" t="s">
        <v>1437</v>
      </c>
      <c r="F761" s="78">
        <v>0.29445601851851849</v>
      </c>
      <c r="G761" t="s">
        <v>1405</v>
      </c>
      <c r="H761" t="s">
        <v>1335</v>
      </c>
      <c r="I761" s="88" t="str">
        <f>VLOOKUP(A761,Base!A:B,2,0)</f>
        <v>10.309.203-5</v>
      </c>
      <c r="J761" s="99" t="str">
        <f>VLOOKUP(A761,Base!A:F,6,0)</f>
        <v>ANGELA ADELA  REYES  LARA</v>
      </c>
      <c r="K761" s="89" t="str">
        <f>IFERROR(IF(VLOOKUP(I761,Ingreso!K:P,6,0)=0,"Sin turtno ing",VLOOKUP(I761,Ingreso!K:P,6,0)),IF(F761&gt;0.25,IF(F761&lt;0.311805555555556,"Turno A",IF(F761&gt;0.3125,IF(F761&lt;0.354166666666667,"Turno C",IF(F761&gt;0.583333333333333,IF(F761&lt;0.625,"Turno B",IF(F761&gt;0.625694444444444,IF(F761&lt;0.8125,"Turno A",IF(F761&gt;0.875,IF(F761&lt;0.936805555555556,"Turno C",IF(F761&gt;0.9375,IF(F761&lt;0.979166666666667,"Turno B",""),"")),"")),"")),"")),"")),""))</f>
        <v>Sin turtno ing</v>
      </c>
      <c r="L761" s="91" t="e">
        <f t="shared" si="11"/>
        <v>#N/A</v>
      </c>
    </row>
    <row r="762" spans="1:12" s="40" customFormat="1">
      <c r="A762">
        <v>10309203</v>
      </c>
      <c r="B762" t="s">
        <v>885</v>
      </c>
      <c r="C762" t="s">
        <v>76</v>
      </c>
      <c r="D762" t="s">
        <v>884</v>
      </c>
      <c r="E762" t="s">
        <v>1438</v>
      </c>
      <c r="F762" s="78">
        <v>0.73567129629629635</v>
      </c>
      <c r="G762" t="s">
        <v>1406</v>
      </c>
      <c r="H762" t="s">
        <v>1336</v>
      </c>
      <c r="I762" s="88" t="str">
        <f>VLOOKUP(A762,Base!A:B,2,0)</f>
        <v>10.309.203-5</v>
      </c>
      <c r="J762" s="99" t="str">
        <f>VLOOKUP(A762,Base!A:F,6,0)</f>
        <v>ANGELA ADELA  REYES  LARA</v>
      </c>
      <c r="K762" s="89" t="str">
        <f>IFERROR(IF(VLOOKUP(I762,Ingreso!K:P,6,0)=0,"Sin turtno ing",VLOOKUP(I762,Ingreso!K:P,6,0)),IF(F762&gt;0.25,IF(F762&lt;0.311805555555556,"Turno A",IF(F762&gt;0.3125,IF(F762&lt;0.354166666666667,"Turno C",IF(F762&gt;0.583333333333333,IF(F762&lt;0.625,"Turno B",IF(F762&gt;0.625694444444444,IF(F762&lt;0.8125,"Turno A",IF(F762&gt;0.875,IF(F762&lt;0.936805555555556,"Turno C",IF(F762&gt;0.9375,IF(F762&lt;0.979166666666667,"Turno B",""),"")),"")),"")),"")),"")),""))</f>
        <v>Sin turtno ing</v>
      </c>
      <c r="L762" s="91" t="e">
        <f t="shared" si="11"/>
        <v>#N/A</v>
      </c>
    </row>
    <row r="763" spans="1:12" s="40" customFormat="1">
      <c r="A763">
        <v>10309203</v>
      </c>
      <c r="B763" t="s">
        <v>885</v>
      </c>
      <c r="C763" t="s">
        <v>76</v>
      </c>
      <c r="D763" t="s">
        <v>884</v>
      </c>
      <c r="E763" t="s">
        <v>1438</v>
      </c>
      <c r="F763" s="78">
        <v>0.31908564814814816</v>
      </c>
      <c r="G763" t="s">
        <v>1405</v>
      </c>
      <c r="H763" t="s">
        <v>1335</v>
      </c>
      <c r="I763" s="88" t="str">
        <f>VLOOKUP(A763,Base!A:B,2,0)</f>
        <v>10.309.203-5</v>
      </c>
      <c r="J763" s="99" t="str">
        <f>VLOOKUP(A763,Base!A:F,6,0)</f>
        <v>ANGELA ADELA  REYES  LARA</v>
      </c>
      <c r="K763" s="89" t="str">
        <f>IFERROR(IF(VLOOKUP(I763,Ingreso!K:P,6,0)=0,"Sin turtno ing",VLOOKUP(I763,Ingreso!K:P,6,0)),IF(F763&gt;0.25,IF(F763&lt;0.311805555555556,"Turno A",IF(F763&gt;0.3125,IF(F763&lt;0.354166666666667,"Turno C",IF(F763&gt;0.583333333333333,IF(F763&lt;0.625,"Turno B",IF(F763&gt;0.625694444444444,IF(F763&lt;0.8125,"Turno A",IF(F763&gt;0.875,IF(F763&lt;0.936805555555556,"Turno C",IF(F763&gt;0.9375,IF(F763&lt;0.979166666666667,"Turno B",""),"")),"")),"")),"")),"")),""))</f>
        <v>Sin turtno ing</v>
      </c>
      <c r="L763" s="91" t="e">
        <f t="shared" si="11"/>
        <v>#N/A</v>
      </c>
    </row>
    <row r="764" spans="1:12" s="40" customFormat="1">
      <c r="A764">
        <v>10309203</v>
      </c>
      <c r="B764" t="s">
        <v>885</v>
      </c>
      <c r="C764" t="s">
        <v>76</v>
      </c>
      <c r="D764" t="s">
        <v>884</v>
      </c>
      <c r="E764" t="s">
        <v>1439</v>
      </c>
      <c r="F764" s="78">
        <v>0.73531250000000004</v>
      </c>
      <c r="G764" t="s">
        <v>1406</v>
      </c>
      <c r="H764" t="s">
        <v>1336</v>
      </c>
      <c r="I764" s="88" t="str">
        <f>VLOOKUP(A764,Base!A:B,2,0)</f>
        <v>10.309.203-5</v>
      </c>
      <c r="J764" s="99" t="str">
        <f>VLOOKUP(A764,Base!A:F,6,0)</f>
        <v>ANGELA ADELA  REYES  LARA</v>
      </c>
      <c r="K764" s="89" t="str">
        <f>IFERROR(IF(VLOOKUP(I764,Ingreso!K:P,6,0)=0,"Sin turtno ing",VLOOKUP(I764,Ingreso!K:P,6,0)),IF(F764&gt;0.25,IF(F764&lt;0.311805555555556,"Turno A",IF(F764&gt;0.3125,IF(F764&lt;0.354166666666667,"Turno C",IF(F764&gt;0.583333333333333,IF(F764&lt;0.625,"Turno B",IF(F764&gt;0.625694444444444,IF(F764&lt;0.8125,"Turno A",IF(F764&gt;0.875,IF(F764&lt;0.936805555555556,"Turno C",IF(F764&gt;0.9375,IF(F764&lt;0.979166666666667,"Turno B",""),"")),"")),"")),"")),"")),""))</f>
        <v>Sin turtno ing</v>
      </c>
      <c r="L764" s="91" t="e">
        <f t="shared" si="11"/>
        <v>#N/A</v>
      </c>
    </row>
    <row r="765" spans="1:12" s="40" customFormat="1">
      <c r="A765">
        <v>10309203</v>
      </c>
      <c r="B765" t="s">
        <v>885</v>
      </c>
      <c r="C765" t="s">
        <v>76</v>
      </c>
      <c r="D765" t="s">
        <v>884</v>
      </c>
      <c r="E765" t="s">
        <v>1439</v>
      </c>
      <c r="F765" s="78">
        <v>0.32368055555555558</v>
      </c>
      <c r="G765" t="s">
        <v>1405</v>
      </c>
      <c r="H765" t="s">
        <v>1335</v>
      </c>
      <c r="I765" s="88" t="str">
        <f>VLOOKUP(A765,Base!A:B,2,0)</f>
        <v>10.309.203-5</v>
      </c>
      <c r="J765" s="99" t="str">
        <f>VLOOKUP(A765,Base!A:F,6,0)</f>
        <v>ANGELA ADELA  REYES  LARA</v>
      </c>
      <c r="K765" s="89" t="str">
        <f>IFERROR(IF(VLOOKUP(I765,Ingreso!K:P,6,0)=0,"Sin turtno ing",VLOOKUP(I765,Ingreso!K:P,6,0)),IF(F765&gt;0.25,IF(F765&lt;0.311805555555556,"Turno A",IF(F765&gt;0.3125,IF(F765&lt;0.354166666666667,"Turno C",IF(F765&gt;0.583333333333333,IF(F765&lt;0.625,"Turno B",IF(F765&gt;0.625694444444444,IF(F765&lt;0.8125,"Turno A",IF(F765&gt;0.875,IF(F765&lt;0.936805555555556,"Turno C",IF(F765&gt;0.9375,IF(F765&lt;0.979166666666667,"Turno B",""),"")),"")),"")),"")),"")),""))</f>
        <v>Sin turtno ing</v>
      </c>
      <c r="L765" s="91" t="e">
        <f t="shared" si="11"/>
        <v>#N/A</v>
      </c>
    </row>
    <row r="766" spans="1:12" s="40" customFormat="1">
      <c r="A766">
        <v>10311290</v>
      </c>
      <c r="B766" t="s">
        <v>1089</v>
      </c>
      <c r="C766" t="s">
        <v>943</v>
      </c>
      <c r="D766" t="s">
        <v>1088</v>
      </c>
      <c r="E766" t="s">
        <v>1440</v>
      </c>
      <c r="F766" s="78">
        <v>0.32343749999999999</v>
      </c>
      <c r="G766" t="s">
        <v>1406</v>
      </c>
      <c r="H766" t="s">
        <v>1336</v>
      </c>
      <c r="I766" s="88" t="str">
        <f>VLOOKUP(A766,Base!A:B,2,0)</f>
        <v>10.311.290-7</v>
      </c>
      <c r="J766" s="99" t="str">
        <f>VLOOKUP(A766,Base!A:F,6,0)</f>
        <v>RICARDO V.  VIDAL  ATENAS</v>
      </c>
      <c r="K766" s="89" t="str">
        <f>IFERROR(IF(VLOOKUP(I766,Ingreso!K:P,6,0)=0,"Sin turtno ing",VLOOKUP(I766,Ingreso!K:P,6,0)),IF(F766&gt;0.25,IF(F766&lt;0.311805555555556,"Turno A",IF(F766&gt;0.3125,IF(F766&lt;0.354166666666667,"Turno C",IF(F766&gt;0.583333333333333,IF(F766&lt;0.625,"Turno B",IF(F766&gt;0.625694444444444,IF(F766&lt;0.8125,"Turno A",IF(F766&gt;0.875,IF(F766&lt;0.936805555555556,"Turno C",IF(F766&gt;0.9375,IF(F766&lt;0.979166666666667,"Turno B",""),"")),"")),"")),"")),"")),""))</f>
        <v>Turno C</v>
      </c>
      <c r="L766" s="91">
        <f t="shared" si="11"/>
        <v>0.375</v>
      </c>
    </row>
    <row r="767" spans="1:12" s="40" customFormat="1">
      <c r="A767">
        <v>10311290</v>
      </c>
      <c r="B767" t="s">
        <v>1089</v>
      </c>
      <c r="C767" t="s">
        <v>943</v>
      </c>
      <c r="D767" t="s">
        <v>1088</v>
      </c>
      <c r="E767" t="s">
        <v>1440</v>
      </c>
      <c r="F767" s="78">
        <v>0.91895833333333332</v>
      </c>
      <c r="G767" t="s">
        <v>1405</v>
      </c>
      <c r="H767" t="s">
        <v>1335</v>
      </c>
      <c r="I767" s="88" t="str">
        <f>VLOOKUP(A767,Base!A:B,2,0)</f>
        <v>10.311.290-7</v>
      </c>
      <c r="J767" s="99" t="str">
        <f>VLOOKUP(A767,Base!A:F,6,0)</f>
        <v>RICARDO V.  VIDAL  ATENAS</v>
      </c>
      <c r="K767" s="89" t="str">
        <f>IFERROR(IF(VLOOKUP(I767,Ingreso!K:P,6,0)=0,"Sin turtno ing",VLOOKUP(I767,Ingreso!K:P,6,0)),IF(F767&gt;0.25,IF(F767&lt;0.311805555555556,"Turno A",IF(F767&gt;0.3125,IF(F767&lt;0.354166666666667,"Turno C",IF(F767&gt;0.583333333333333,IF(F767&lt;0.625,"Turno B",IF(F767&gt;0.625694444444444,IF(F767&lt;0.8125,"Turno A",IF(F767&gt;0.875,IF(F767&lt;0.936805555555556,"Turno C",IF(F767&gt;0.9375,IF(F767&lt;0.979166666666667,"Turno B",""),"")),"")),"")),"")),"")),""))</f>
        <v>Turno C</v>
      </c>
      <c r="L767" s="91">
        <f t="shared" si="11"/>
        <v>0.375</v>
      </c>
    </row>
    <row r="768" spans="1:12" s="40" customFormat="1">
      <c r="A768">
        <v>10311290</v>
      </c>
      <c r="B768" t="s">
        <v>1089</v>
      </c>
      <c r="C768" t="s">
        <v>943</v>
      </c>
      <c r="D768" t="s">
        <v>1088</v>
      </c>
      <c r="E768" t="s">
        <v>1441</v>
      </c>
      <c r="F768" s="78">
        <v>0.3212962962962963</v>
      </c>
      <c r="G768" t="s">
        <v>1406</v>
      </c>
      <c r="H768" t="s">
        <v>1336</v>
      </c>
      <c r="I768" s="88" t="str">
        <f>VLOOKUP(A768,Base!A:B,2,0)</f>
        <v>10.311.290-7</v>
      </c>
      <c r="J768" s="99" t="str">
        <f>VLOOKUP(A768,Base!A:F,6,0)</f>
        <v>RICARDO V.  VIDAL  ATENAS</v>
      </c>
      <c r="K768" s="89" t="str">
        <f>IFERROR(IF(VLOOKUP(I768,Ingreso!K:P,6,0)=0,"Sin turtno ing",VLOOKUP(I768,Ingreso!K:P,6,0)),IF(F768&gt;0.25,IF(F768&lt;0.311805555555556,"Turno A",IF(F768&gt;0.3125,IF(F768&lt;0.354166666666667,"Turno C",IF(F768&gt;0.583333333333333,IF(F768&lt;0.625,"Turno B",IF(F768&gt;0.625694444444444,IF(F768&lt;0.8125,"Turno A",IF(F768&gt;0.875,IF(F768&lt;0.936805555555556,"Turno C",IF(F768&gt;0.9375,IF(F768&lt;0.979166666666667,"Turno B",""),"")),"")),"")),"")),"")),""))</f>
        <v>Turno C</v>
      </c>
      <c r="L768" s="91">
        <f t="shared" si="11"/>
        <v>0.375</v>
      </c>
    </row>
    <row r="769" spans="1:12" s="40" customFormat="1">
      <c r="A769">
        <v>10311290</v>
      </c>
      <c r="B769" t="s">
        <v>1089</v>
      </c>
      <c r="C769" t="s">
        <v>943</v>
      </c>
      <c r="D769" t="s">
        <v>1088</v>
      </c>
      <c r="E769" t="s">
        <v>1437</v>
      </c>
      <c r="F769" s="78">
        <v>0.91899305555555555</v>
      </c>
      <c r="G769" t="s">
        <v>1405</v>
      </c>
      <c r="H769" t="s">
        <v>1335</v>
      </c>
      <c r="I769" s="88" t="str">
        <f>VLOOKUP(A769,Base!A:B,2,0)</f>
        <v>10.311.290-7</v>
      </c>
      <c r="J769" s="99" t="str">
        <f>VLOOKUP(A769,Base!A:F,6,0)</f>
        <v>RICARDO V.  VIDAL  ATENAS</v>
      </c>
      <c r="K769" s="89" t="str">
        <f>IFERROR(IF(VLOOKUP(I769,Ingreso!K:P,6,0)=0,"Sin turtno ing",VLOOKUP(I769,Ingreso!K:P,6,0)),IF(F769&gt;0.25,IF(F769&lt;0.311805555555556,"Turno A",IF(F769&gt;0.3125,IF(F769&lt;0.354166666666667,"Turno C",IF(F769&gt;0.583333333333333,IF(F769&lt;0.625,"Turno B",IF(F769&gt;0.625694444444444,IF(F769&lt;0.8125,"Turno A",IF(F769&gt;0.875,IF(F769&lt;0.936805555555556,"Turno C",IF(F769&gt;0.9375,IF(F769&lt;0.979166666666667,"Turno B",""),"")),"")),"")),"")),"")),""))</f>
        <v>Turno C</v>
      </c>
      <c r="L769" s="91">
        <f t="shared" si="11"/>
        <v>0.375</v>
      </c>
    </row>
    <row r="770" spans="1:12" s="40" customFormat="1">
      <c r="A770">
        <v>10311290</v>
      </c>
      <c r="B770" t="s">
        <v>1089</v>
      </c>
      <c r="C770" t="s">
        <v>943</v>
      </c>
      <c r="D770" t="s">
        <v>1088</v>
      </c>
      <c r="E770" t="s">
        <v>1438</v>
      </c>
      <c r="F770" s="78">
        <v>0.3220601851851852</v>
      </c>
      <c r="G770" t="s">
        <v>1406</v>
      </c>
      <c r="H770" t="s">
        <v>1336</v>
      </c>
      <c r="I770" s="88" t="str">
        <f>VLOOKUP(A770,Base!A:B,2,0)</f>
        <v>10.311.290-7</v>
      </c>
      <c r="J770" s="99" t="str">
        <f>VLOOKUP(A770,Base!A:F,6,0)</f>
        <v>RICARDO V.  VIDAL  ATENAS</v>
      </c>
      <c r="K770" s="89" t="str">
        <f>IFERROR(IF(VLOOKUP(I770,Ingreso!K:P,6,0)=0,"Sin turtno ing",VLOOKUP(I770,Ingreso!K:P,6,0)),IF(F770&gt;0.25,IF(F770&lt;0.311805555555556,"Turno A",IF(F770&gt;0.3125,IF(F770&lt;0.354166666666667,"Turno C",IF(F770&gt;0.583333333333333,IF(F770&lt;0.625,"Turno B",IF(F770&gt;0.625694444444444,IF(F770&lt;0.8125,"Turno A",IF(F770&gt;0.875,IF(F770&lt;0.936805555555556,"Turno C",IF(F770&gt;0.9375,IF(F770&lt;0.979166666666667,"Turno B",""),"")),"")),"")),"")),"")),""))</f>
        <v>Turno C</v>
      </c>
      <c r="L770" s="91">
        <f t="shared" si="11"/>
        <v>0.375</v>
      </c>
    </row>
    <row r="771" spans="1:12" s="40" customFormat="1">
      <c r="A771">
        <v>10311290</v>
      </c>
      <c r="B771" t="s">
        <v>1089</v>
      </c>
      <c r="C771" t="s">
        <v>943</v>
      </c>
      <c r="D771" t="s">
        <v>1088</v>
      </c>
      <c r="E771" t="s">
        <v>1438</v>
      </c>
      <c r="F771" s="78">
        <v>0.9190625</v>
      </c>
      <c r="G771" t="s">
        <v>1405</v>
      </c>
      <c r="H771" t="s">
        <v>1335</v>
      </c>
      <c r="I771" s="88" t="str">
        <f>VLOOKUP(A771,Base!A:B,2,0)</f>
        <v>10.311.290-7</v>
      </c>
      <c r="J771" s="99" t="str">
        <f>VLOOKUP(A771,Base!A:F,6,0)</f>
        <v>RICARDO V.  VIDAL  ATENAS</v>
      </c>
      <c r="K771" s="89" t="str">
        <f>IFERROR(IF(VLOOKUP(I771,Ingreso!K:P,6,0)=0,"Sin turtno ing",VLOOKUP(I771,Ingreso!K:P,6,0)),IF(F771&gt;0.25,IF(F771&lt;0.311805555555556,"Turno A",IF(F771&gt;0.3125,IF(F771&lt;0.354166666666667,"Turno C",IF(F771&gt;0.583333333333333,IF(F771&lt;0.625,"Turno B",IF(F771&gt;0.625694444444444,IF(F771&lt;0.8125,"Turno A",IF(F771&gt;0.875,IF(F771&lt;0.936805555555556,"Turno C",IF(F771&gt;0.9375,IF(F771&lt;0.979166666666667,"Turno B",""),"")),"")),"")),"")),"")),""))</f>
        <v>Turno C</v>
      </c>
      <c r="L771" s="91">
        <f t="shared" ref="L771:L834" si="12">VLOOKUP(K771,$S$3:$T$7,2,0)</f>
        <v>0.375</v>
      </c>
    </row>
    <row r="772" spans="1:12" s="40" customFormat="1">
      <c r="A772">
        <v>10311290</v>
      </c>
      <c r="B772" t="s">
        <v>1089</v>
      </c>
      <c r="C772" t="s">
        <v>943</v>
      </c>
      <c r="D772" t="s">
        <v>1088</v>
      </c>
      <c r="E772" t="s">
        <v>1439</v>
      </c>
      <c r="F772" s="78">
        <v>0.32351851851851854</v>
      </c>
      <c r="G772" t="s">
        <v>1406</v>
      </c>
      <c r="H772" t="s">
        <v>1336</v>
      </c>
      <c r="I772" s="88" t="str">
        <f>VLOOKUP(A772,Base!A:B,2,0)</f>
        <v>10.311.290-7</v>
      </c>
      <c r="J772" s="99" t="str">
        <f>VLOOKUP(A772,Base!A:F,6,0)</f>
        <v>RICARDO V.  VIDAL  ATENAS</v>
      </c>
      <c r="K772" s="89" t="str">
        <f>IFERROR(IF(VLOOKUP(I772,Ingreso!K:P,6,0)=0,"Sin turtno ing",VLOOKUP(I772,Ingreso!K:P,6,0)),IF(F772&gt;0.25,IF(F772&lt;0.311805555555556,"Turno A",IF(F772&gt;0.3125,IF(F772&lt;0.354166666666667,"Turno C",IF(F772&gt;0.583333333333333,IF(F772&lt;0.625,"Turno B",IF(F772&gt;0.625694444444444,IF(F772&lt;0.8125,"Turno A",IF(F772&gt;0.875,IF(F772&lt;0.936805555555556,"Turno C",IF(F772&gt;0.9375,IF(F772&lt;0.979166666666667,"Turno B",""),"")),"")),"")),"")),"")),""))</f>
        <v>Turno C</v>
      </c>
      <c r="L772" s="91">
        <f t="shared" si="12"/>
        <v>0.375</v>
      </c>
    </row>
    <row r="773" spans="1:12" s="40" customFormat="1">
      <c r="A773">
        <v>10311290</v>
      </c>
      <c r="B773" t="s">
        <v>1089</v>
      </c>
      <c r="C773" t="s">
        <v>943</v>
      </c>
      <c r="D773" t="s">
        <v>1088</v>
      </c>
      <c r="E773" t="s">
        <v>1439</v>
      </c>
      <c r="F773" s="78">
        <v>0.91836805555555545</v>
      </c>
      <c r="G773" t="s">
        <v>1405</v>
      </c>
      <c r="H773" t="s">
        <v>1335</v>
      </c>
      <c r="I773" s="88" t="str">
        <f>VLOOKUP(A773,Base!A:B,2,0)</f>
        <v>10.311.290-7</v>
      </c>
      <c r="J773" s="99" t="str">
        <f>VLOOKUP(A773,Base!A:F,6,0)</f>
        <v>RICARDO V.  VIDAL  ATENAS</v>
      </c>
      <c r="K773" s="89" t="str">
        <f>IFERROR(IF(VLOOKUP(I773,Ingreso!K:P,6,0)=0,"Sin turtno ing",VLOOKUP(I773,Ingreso!K:P,6,0)),IF(F773&gt;0.25,IF(F773&lt;0.311805555555556,"Turno A",IF(F773&gt;0.3125,IF(F773&lt;0.354166666666667,"Turno C",IF(F773&gt;0.583333333333333,IF(F773&lt;0.625,"Turno B",IF(F773&gt;0.625694444444444,IF(F773&lt;0.8125,"Turno A",IF(F773&gt;0.875,IF(F773&lt;0.936805555555556,"Turno C",IF(F773&gt;0.9375,IF(F773&lt;0.979166666666667,"Turno B",""),"")),"")),"")),"")),"")),""))</f>
        <v>Turno C</v>
      </c>
      <c r="L773" s="91">
        <f t="shared" si="12"/>
        <v>0.375</v>
      </c>
    </row>
    <row r="774" spans="1:12" s="40" customFormat="1">
      <c r="A774">
        <v>10407614</v>
      </c>
      <c r="B774" t="s">
        <v>630</v>
      </c>
      <c r="C774" t="s">
        <v>629</v>
      </c>
      <c r="D774" t="s">
        <v>629</v>
      </c>
      <c r="E774" t="s">
        <v>1440</v>
      </c>
      <c r="F774" s="78">
        <v>0.64025462962962965</v>
      </c>
      <c r="G774" t="s">
        <v>1406</v>
      </c>
      <c r="H774" t="s">
        <v>1336</v>
      </c>
      <c r="I774" s="88" t="str">
        <f>VLOOKUP(A774,Base!A:B,2,0)</f>
        <v>10.407.614-9</v>
      </c>
      <c r="J774" s="99" t="str">
        <f>VLOOKUP(A774,Base!A:F,6,0)</f>
        <v>CARLOS ALEJANDRO  MORA  MORA</v>
      </c>
      <c r="K774" s="89" t="str">
        <f>IFERROR(IF(VLOOKUP(I774,Ingreso!K:P,6,0)=0,"Sin turtno ing",VLOOKUP(I774,Ingreso!K:P,6,0)),IF(F774&gt;0.25,IF(F774&lt;0.311805555555556,"Turno A",IF(F774&gt;0.3125,IF(F774&lt;0.354166666666667,"Turno C",IF(F774&gt;0.583333333333333,IF(F774&lt;0.625,"Turno B",IF(F774&gt;0.625694444444444,IF(F774&lt;0.8125,"Turno A",IF(F774&gt;0.875,IF(F774&lt;0.936805555555556,"Turno C",IF(F774&gt;0.9375,IF(F774&lt;0.979166666666667,"Turno B",""),"")),"")),"")),"")),"")),""))</f>
        <v>Sin turtno ing</v>
      </c>
      <c r="L774" s="91" t="e">
        <f t="shared" si="12"/>
        <v>#N/A</v>
      </c>
    </row>
    <row r="775" spans="1:12" s="40" customFormat="1">
      <c r="A775">
        <v>10407614</v>
      </c>
      <c r="B775" t="s">
        <v>630</v>
      </c>
      <c r="C775" t="s">
        <v>629</v>
      </c>
      <c r="D775" t="s">
        <v>629</v>
      </c>
      <c r="E775" t="s">
        <v>1440</v>
      </c>
      <c r="F775" s="78">
        <v>0.29349537037037038</v>
      </c>
      <c r="G775" t="s">
        <v>1405</v>
      </c>
      <c r="H775" t="s">
        <v>1335</v>
      </c>
      <c r="I775" s="88" t="str">
        <f>VLOOKUP(A775,Base!A:B,2,0)</f>
        <v>10.407.614-9</v>
      </c>
      <c r="J775" s="99" t="str">
        <f>VLOOKUP(A775,Base!A:F,6,0)</f>
        <v>CARLOS ALEJANDRO  MORA  MORA</v>
      </c>
      <c r="K775" s="89" t="str">
        <f>IFERROR(IF(VLOOKUP(I775,Ingreso!K:P,6,0)=0,"Sin turtno ing",VLOOKUP(I775,Ingreso!K:P,6,0)),IF(F775&gt;0.25,IF(F775&lt;0.311805555555556,"Turno A",IF(F775&gt;0.3125,IF(F775&lt;0.354166666666667,"Turno C",IF(F775&gt;0.583333333333333,IF(F775&lt;0.625,"Turno B",IF(F775&gt;0.625694444444444,IF(F775&lt;0.8125,"Turno A",IF(F775&gt;0.875,IF(F775&lt;0.936805555555556,"Turno C",IF(F775&gt;0.9375,IF(F775&lt;0.979166666666667,"Turno B",""),"")),"")),"")),"")),"")),""))</f>
        <v>Sin turtno ing</v>
      </c>
      <c r="L775" s="91" t="e">
        <f t="shared" si="12"/>
        <v>#N/A</v>
      </c>
    </row>
    <row r="776" spans="1:12" s="40" customFormat="1">
      <c r="A776">
        <v>10407614</v>
      </c>
      <c r="B776" t="s">
        <v>630</v>
      </c>
      <c r="C776" t="s">
        <v>629</v>
      </c>
      <c r="D776" t="s">
        <v>629</v>
      </c>
      <c r="E776" t="s">
        <v>1441</v>
      </c>
      <c r="F776" s="78">
        <v>0.64082175925925922</v>
      </c>
      <c r="G776" t="s">
        <v>1406</v>
      </c>
      <c r="H776" t="s">
        <v>1336</v>
      </c>
      <c r="I776" s="88" t="str">
        <f>VLOOKUP(A776,Base!A:B,2,0)</f>
        <v>10.407.614-9</v>
      </c>
      <c r="J776" s="99" t="str">
        <f>VLOOKUP(A776,Base!A:F,6,0)</f>
        <v>CARLOS ALEJANDRO  MORA  MORA</v>
      </c>
      <c r="K776" s="89" t="str">
        <f>IFERROR(IF(VLOOKUP(I776,Ingreso!K:P,6,0)=0,"Sin turtno ing",VLOOKUP(I776,Ingreso!K:P,6,0)),IF(F776&gt;0.25,IF(F776&lt;0.311805555555556,"Turno A",IF(F776&gt;0.3125,IF(F776&lt;0.354166666666667,"Turno C",IF(F776&gt;0.583333333333333,IF(F776&lt;0.625,"Turno B",IF(F776&gt;0.625694444444444,IF(F776&lt;0.8125,"Turno A",IF(F776&gt;0.875,IF(F776&lt;0.936805555555556,"Turno C",IF(F776&gt;0.9375,IF(F776&lt;0.979166666666667,"Turno B",""),"")),"")),"")),"")),"")),""))</f>
        <v>Sin turtno ing</v>
      </c>
      <c r="L776" s="91" t="e">
        <f t="shared" si="12"/>
        <v>#N/A</v>
      </c>
    </row>
    <row r="777" spans="1:12" s="40" customFormat="1">
      <c r="A777">
        <v>10407614</v>
      </c>
      <c r="B777" t="s">
        <v>630</v>
      </c>
      <c r="C777" t="s">
        <v>629</v>
      </c>
      <c r="D777" t="s">
        <v>629</v>
      </c>
      <c r="E777" t="s">
        <v>1441</v>
      </c>
      <c r="F777" s="78">
        <v>0.29165509259259259</v>
      </c>
      <c r="G777" t="s">
        <v>1405</v>
      </c>
      <c r="H777" t="s">
        <v>1335</v>
      </c>
      <c r="I777" s="88" t="str">
        <f>VLOOKUP(A777,Base!A:B,2,0)</f>
        <v>10.407.614-9</v>
      </c>
      <c r="J777" s="99" t="str">
        <f>VLOOKUP(A777,Base!A:F,6,0)</f>
        <v>CARLOS ALEJANDRO  MORA  MORA</v>
      </c>
      <c r="K777" s="89" t="str">
        <f>IFERROR(IF(VLOOKUP(I777,Ingreso!K:P,6,0)=0,"Sin turtno ing",VLOOKUP(I777,Ingreso!K:P,6,0)),IF(F777&gt;0.25,IF(F777&lt;0.311805555555556,"Turno A",IF(F777&gt;0.3125,IF(F777&lt;0.354166666666667,"Turno C",IF(F777&gt;0.583333333333333,IF(F777&lt;0.625,"Turno B",IF(F777&gt;0.625694444444444,IF(F777&lt;0.8125,"Turno A",IF(F777&gt;0.875,IF(F777&lt;0.936805555555556,"Turno C",IF(F777&gt;0.9375,IF(F777&lt;0.979166666666667,"Turno B",""),"")),"")),"")),"")),"")),""))</f>
        <v>Sin turtno ing</v>
      </c>
      <c r="L777" s="91" t="e">
        <f t="shared" si="12"/>
        <v>#N/A</v>
      </c>
    </row>
    <row r="778" spans="1:12" s="40" customFormat="1">
      <c r="A778">
        <v>10407614</v>
      </c>
      <c r="B778" t="s">
        <v>630</v>
      </c>
      <c r="C778" t="s">
        <v>629</v>
      </c>
      <c r="D778" t="s">
        <v>629</v>
      </c>
      <c r="E778" t="s">
        <v>1442</v>
      </c>
      <c r="F778" s="78">
        <v>0.98298611111111101</v>
      </c>
      <c r="G778" t="s">
        <v>1405</v>
      </c>
      <c r="H778" t="s">
        <v>1335</v>
      </c>
      <c r="I778" s="88" t="str">
        <f>VLOOKUP(A778,Base!A:B,2,0)</f>
        <v>10.407.614-9</v>
      </c>
      <c r="J778" s="99" t="str">
        <f>VLOOKUP(A778,Base!A:F,6,0)</f>
        <v>CARLOS ALEJANDRO  MORA  MORA</v>
      </c>
      <c r="K778" s="89" t="str">
        <f>IFERROR(IF(VLOOKUP(I778,Ingreso!K:P,6,0)=0,"Sin turtno ing",VLOOKUP(I778,Ingreso!K:P,6,0)),IF(F778&gt;0.25,IF(F778&lt;0.311805555555556,"Turno A",IF(F778&gt;0.3125,IF(F778&lt;0.354166666666667,"Turno C",IF(F778&gt;0.583333333333333,IF(F778&lt;0.625,"Turno B",IF(F778&gt;0.625694444444444,IF(F778&lt;0.8125,"Turno A",IF(F778&gt;0.875,IF(F778&lt;0.936805555555556,"Turno C",IF(F778&gt;0.9375,IF(F778&lt;0.979166666666667,"Turno B",""),"")),"")),"")),"")),"")),""))</f>
        <v>Sin turtno ing</v>
      </c>
      <c r="L778" s="91" t="e">
        <f t="shared" si="12"/>
        <v>#N/A</v>
      </c>
    </row>
    <row r="779" spans="1:12" s="40" customFormat="1">
      <c r="A779">
        <v>10407614</v>
      </c>
      <c r="B779" t="s">
        <v>630</v>
      </c>
      <c r="C779" t="s">
        <v>629</v>
      </c>
      <c r="D779" t="s">
        <v>629</v>
      </c>
      <c r="E779" t="s">
        <v>1437</v>
      </c>
      <c r="F779" s="78">
        <v>0.63880787037037035</v>
      </c>
      <c r="G779" t="s">
        <v>1406</v>
      </c>
      <c r="H779" t="s">
        <v>1336</v>
      </c>
      <c r="I779" s="88" t="str">
        <f>VLOOKUP(A779,Base!A:B,2,0)</f>
        <v>10.407.614-9</v>
      </c>
      <c r="J779" s="99" t="str">
        <f>VLOOKUP(A779,Base!A:F,6,0)</f>
        <v>CARLOS ALEJANDRO  MORA  MORA</v>
      </c>
      <c r="K779" s="89" t="str">
        <f>IFERROR(IF(VLOOKUP(I779,Ingreso!K:P,6,0)=0,"Sin turtno ing",VLOOKUP(I779,Ingreso!K:P,6,0)),IF(F779&gt;0.25,IF(F779&lt;0.311805555555556,"Turno A",IF(F779&gt;0.3125,IF(F779&lt;0.354166666666667,"Turno C",IF(F779&gt;0.583333333333333,IF(F779&lt;0.625,"Turno B",IF(F779&gt;0.625694444444444,IF(F779&lt;0.8125,"Turno A",IF(F779&gt;0.875,IF(F779&lt;0.936805555555556,"Turno C",IF(F779&gt;0.9375,IF(F779&lt;0.979166666666667,"Turno B",""),"")),"")),"")),"")),"")),""))</f>
        <v>Sin turtno ing</v>
      </c>
      <c r="L779" s="91" t="e">
        <f t="shared" si="12"/>
        <v>#N/A</v>
      </c>
    </row>
    <row r="780" spans="1:12" s="40" customFormat="1">
      <c r="A780">
        <v>10407614</v>
      </c>
      <c r="B780" t="s">
        <v>630</v>
      </c>
      <c r="C780" t="s">
        <v>629</v>
      </c>
      <c r="D780" t="s">
        <v>629</v>
      </c>
      <c r="E780" t="s">
        <v>1437</v>
      </c>
      <c r="F780" s="78">
        <v>0.29358796296296297</v>
      </c>
      <c r="G780" t="s">
        <v>1405</v>
      </c>
      <c r="H780" t="s">
        <v>1335</v>
      </c>
      <c r="I780" s="88" t="str">
        <f>VLOOKUP(A780,Base!A:B,2,0)</f>
        <v>10.407.614-9</v>
      </c>
      <c r="J780" s="99" t="str">
        <f>VLOOKUP(A780,Base!A:F,6,0)</f>
        <v>CARLOS ALEJANDRO  MORA  MORA</v>
      </c>
      <c r="K780" s="89" t="str">
        <f>IFERROR(IF(VLOOKUP(I780,Ingreso!K:P,6,0)=0,"Sin turtno ing",VLOOKUP(I780,Ingreso!K:P,6,0)),IF(F780&gt;0.25,IF(F780&lt;0.311805555555556,"Turno A",IF(F780&gt;0.3125,IF(F780&lt;0.354166666666667,"Turno C",IF(F780&gt;0.583333333333333,IF(F780&lt;0.625,"Turno B",IF(F780&gt;0.625694444444444,IF(F780&lt;0.8125,"Turno A",IF(F780&gt;0.875,IF(F780&lt;0.936805555555556,"Turno C",IF(F780&gt;0.9375,IF(F780&lt;0.979166666666667,"Turno B",""),"")),"")),"")),"")),"")),""))</f>
        <v>Sin turtno ing</v>
      </c>
      <c r="L780" s="91" t="e">
        <f t="shared" si="12"/>
        <v>#N/A</v>
      </c>
    </row>
    <row r="781" spans="1:12" s="40" customFormat="1">
      <c r="A781">
        <v>10407614</v>
      </c>
      <c r="B781" t="s">
        <v>630</v>
      </c>
      <c r="C781" t="s">
        <v>629</v>
      </c>
      <c r="D781" t="s">
        <v>629</v>
      </c>
      <c r="E781" t="s">
        <v>1438</v>
      </c>
      <c r="F781" s="78">
        <v>0.62834490740740734</v>
      </c>
      <c r="G781" t="s">
        <v>1406</v>
      </c>
      <c r="H781" t="s">
        <v>1336</v>
      </c>
      <c r="I781" s="88" t="str">
        <f>VLOOKUP(A781,Base!A:B,2,0)</f>
        <v>10.407.614-9</v>
      </c>
      <c r="J781" s="99" t="str">
        <f>VLOOKUP(A781,Base!A:F,6,0)</f>
        <v>CARLOS ALEJANDRO  MORA  MORA</v>
      </c>
      <c r="K781" s="89" t="str">
        <f>IFERROR(IF(VLOOKUP(I781,Ingreso!K:P,6,0)=0,"Sin turtno ing",VLOOKUP(I781,Ingreso!K:P,6,0)),IF(F781&gt;0.25,IF(F781&lt;0.311805555555556,"Turno A",IF(F781&gt;0.3125,IF(F781&lt;0.354166666666667,"Turno C",IF(F781&gt;0.583333333333333,IF(F781&lt;0.625,"Turno B",IF(F781&gt;0.625694444444444,IF(F781&lt;0.8125,"Turno A",IF(F781&gt;0.875,IF(F781&lt;0.936805555555556,"Turno C",IF(F781&gt;0.9375,IF(F781&lt;0.979166666666667,"Turno B",""),"")),"")),"")),"")),"")),""))</f>
        <v>Sin turtno ing</v>
      </c>
      <c r="L781" s="91" t="e">
        <f t="shared" si="12"/>
        <v>#N/A</v>
      </c>
    </row>
    <row r="782" spans="1:12" s="40" customFormat="1">
      <c r="A782">
        <v>10407614</v>
      </c>
      <c r="B782" t="s">
        <v>630</v>
      </c>
      <c r="C782" t="s">
        <v>629</v>
      </c>
      <c r="D782" t="s">
        <v>629</v>
      </c>
      <c r="E782" t="s">
        <v>1438</v>
      </c>
      <c r="F782" s="78">
        <v>0.30359953703703707</v>
      </c>
      <c r="G782" t="s">
        <v>1405</v>
      </c>
      <c r="H782" t="s">
        <v>1335</v>
      </c>
      <c r="I782" s="88" t="str">
        <f>VLOOKUP(A782,Base!A:B,2,0)</f>
        <v>10.407.614-9</v>
      </c>
      <c r="J782" s="99" t="str">
        <f>VLOOKUP(A782,Base!A:F,6,0)</f>
        <v>CARLOS ALEJANDRO  MORA  MORA</v>
      </c>
      <c r="K782" s="89" t="str">
        <f>IFERROR(IF(VLOOKUP(I782,Ingreso!K:P,6,0)=0,"Sin turtno ing",VLOOKUP(I782,Ingreso!K:P,6,0)),IF(F782&gt;0.25,IF(F782&lt;0.311805555555556,"Turno A",IF(F782&gt;0.3125,IF(F782&lt;0.354166666666667,"Turno C",IF(F782&gt;0.583333333333333,IF(F782&lt;0.625,"Turno B",IF(F782&gt;0.625694444444444,IF(F782&lt;0.8125,"Turno A",IF(F782&gt;0.875,IF(F782&lt;0.936805555555556,"Turno C",IF(F782&gt;0.9375,IF(F782&lt;0.979166666666667,"Turno B",""),"")),"")),"")),"")),"")),""))</f>
        <v>Sin turtno ing</v>
      </c>
      <c r="L782" s="91" t="e">
        <f t="shared" si="12"/>
        <v>#N/A</v>
      </c>
    </row>
    <row r="783" spans="1:12" s="40" customFormat="1">
      <c r="A783">
        <v>10407614</v>
      </c>
      <c r="B783" t="s">
        <v>630</v>
      </c>
      <c r="C783" t="s">
        <v>629</v>
      </c>
      <c r="D783" t="s">
        <v>629</v>
      </c>
      <c r="E783" t="s">
        <v>1439</v>
      </c>
      <c r="F783" s="78">
        <v>0.64026620370370368</v>
      </c>
      <c r="G783" t="s">
        <v>1406</v>
      </c>
      <c r="H783" t="s">
        <v>1336</v>
      </c>
      <c r="I783" s="88" t="str">
        <f>VLOOKUP(A783,Base!A:B,2,0)</f>
        <v>10.407.614-9</v>
      </c>
      <c r="J783" s="99" t="str">
        <f>VLOOKUP(A783,Base!A:F,6,0)</f>
        <v>CARLOS ALEJANDRO  MORA  MORA</v>
      </c>
      <c r="K783" s="89" t="str">
        <f>IFERROR(IF(VLOOKUP(I783,Ingreso!K:P,6,0)=0,"Sin turtno ing",VLOOKUP(I783,Ingreso!K:P,6,0)),IF(F783&gt;0.25,IF(F783&lt;0.311805555555556,"Turno A",IF(F783&gt;0.3125,IF(F783&lt;0.354166666666667,"Turno C",IF(F783&gt;0.583333333333333,IF(F783&lt;0.625,"Turno B",IF(F783&gt;0.625694444444444,IF(F783&lt;0.8125,"Turno A",IF(F783&gt;0.875,IF(F783&lt;0.936805555555556,"Turno C",IF(F783&gt;0.9375,IF(F783&lt;0.979166666666667,"Turno B",""),"")),"")),"")),"")),"")),""))</f>
        <v>Sin turtno ing</v>
      </c>
      <c r="L783" s="91" t="e">
        <f t="shared" si="12"/>
        <v>#N/A</v>
      </c>
    </row>
    <row r="784" spans="1:12" s="40" customFormat="1">
      <c r="A784">
        <v>10407614</v>
      </c>
      <c r="B784" t="s">
        <v>630</v>
      </c>
      <c r="C784" t="s">
        <v>629</v>
      </c>
      <c r="D784" t="s">
        <v>629</v>
      </c>
      <c r="E784" t="s">
        <v>1439</v>
      </c>
      <c r="F784" s="78">
        <v>0.29152777777777777</v>
      </c>
      <c r="G784" t="s">
        <v>1405</v>
      </c>
      <c r="H784" t="s">
        <v>1335</v>
      </c>
      <c r="I784" s="88" t="str">
        <f>VLOOKUP(A784,Base!A:B,2,0)</f>
        <v>10.407.614-9</v>
      </c>
      <c r="J784" s="99" t="str">
        <f>VLOOKUP(A784,Base!A:F,6,0)</f>
        <v>CARLOS ALEJANDRO  MORA  MORA</v>
      </c>
      <c r="K784" s="89" t="str">
        <f>IFERROR(IF(VLOOKUP(I784,Ingreso!K:P,6,0)=0,"Sin turtno ing",VLOOKUP(I784,Ingreso!K:P,6,0)),IF(F784&gt;0.25,IF(F784&lt;0.311805555555556,"Turno A",IF(F784&gt;0.3125,IF(F784&lt;0.354166666666667,"Turno C",IF(F784&gt;0.583333333333333,IF(F784&lt;0.625,"Turno B",IF(F784&gt;0.625694444444444,IF(F784&lt;0.8125,"Turno A",IF(F784&gt;0.875,IF(F784&lt;0.936805555555556,"Turno C",IF(F784&gt;0.9375,IF(F784&lt;0.979166666666667,"Turno B",""),"")),"")),"")),"")),"")),""))</f>
        <v>Sin turtno ing</v>
      </c>
      <c r="L784" s="91" t="e">
        <f t="shared" si="12"/>
        <v>#N/A</v>
      </c>
    </row>
    <row r="785" spans="1:12" s="40" customFormat="1">
      <c r="A785">
        <v>10572816</v>
      </c>
      <c r="B785" t="s">
        <v>165</v>
      </c>
      <c r="C785" t="s">
        <v>61</v>
      </c>
      <c r="D785" t="s">
        <v>358</v>
      </c>
      <c r="E785" t="s">
        <v>1440</v>
      </c>
      <c r="F785" s="78">
        <v>0.32930555555555557</v>
      </c>
      <c r="G785" t="s">
        <v>1406</v>
      </c>
      <c r="H785" t="s">
        <v>1336</v>
      </c>
      <c r="I785" s="88" t="str">
        <f>VLOOKUP(A785,Base!A:B,2,0)</f>
        <v>10.572.816-6</v>
      </c>
      <c r="J785" s="99" t="str">
        <f>VLOOKUP(A785,Base!A:F,6,0)</f>
        <v>MARCO ANTONIO  VARGAS  MORENO</v>
      </c>
      <c r="K785" s="89" t="str">
        <f>IFERROR(IF(VLOOKUP(I785,Ingreso!K:P,6,0)=0,"Sin turtno ing",VLOOKUP(I785,Ingreso!K:P,6,0)),IF(F785&gt;0.25,IF(F785&lt;0.311805555555556,"Turno A",IF(F785&gt;0.3125,IF(F785&lt;0.354166666666667,"Turno C",IF(F785&gt;0.583333333333333,IF(F785&lt;0.625,"Turno B",IF(F785&gt;0.625694444444444,IF(F785&lt;0.8125,"Turno A",IF(F785&gt;0.875,IF(F785&lt;0.936805555555556,"Turno C",IF(F785&gt;0.9375,IF(F785&lt;0.979166666666667,"Turno B",""),"")),"")),"")),"")),"")),""))</f>
        <v>Turno C</v>
      </c>
      <c r="L785" s="91">
        <f t="shared" si="12"/>
        <v>0.375</v>
      </c>
    </row>
    <row r="786" spans="1:12" s="40" customFormat="1">
      <c r="A786">
        <v>10572816</v>
      </c>
      <c r="B786" t="s">
        <v>165</v>
      </c>
      <c r="C786" t="s">
        <v>61</v>
      </c>
      <c r="D786" t="s">
        <v>358</v>
      </c>
      <c r="E786" t="s">
        <v>1440</v>
      </c>
      <c r="F786" s="78">
        <v>0.91862268518518519</v>
      </c>
      <c r="G786" t="s">
        <v>1405</v>
      </c>
      <c r="H786" t="s">
        <v>1335</v>
      </c>
      <c r="I786" s="88" t="str">
        <f>VLOOKUP(A786,Base!A:B,2,0)</f>
        <v>10.572.816-6</v>
      </c>
      <c r="J786" s="99" t="str">
        <f>VLOOKUP(A786,Base!A:F,6,0)</f>
        <v>MARCO ANTONIO  VARGAS  MORENO</v>
      </c>
      <c r="K786" s="89" t="str">
        <f>IFERROR(IF(VLOOKUP(I786,Ingreso!K:P,6,0)=0,"Sin turtno ing",VLOOKUP(I786,Ingreso!K:P,6,0)),IF(F786&gt;0.25,IF(F786&lt;0.311805555555556,"Turno A",IF(F786&gt;0.3125,IF(F786&lt;0.354166666666667,"Turno C",IF(F786&gt;0.583333333333333,IF(F786&lt;0.625,"Turno B",IF(F786&gt;0.625694444444444,IF(F786&lt;0.8125,"Turno A",IF(F786&gt;0.875,IF(F786&lt;0.936805555555556,"Turno C",IF(F786&gt;0.9375,IF(F786&lt;0.979166666666667,"Turno B",""),"")),"")),"")),"")),"")),""))</f>
        <v>Turno C</v>
      </c>
      <c r="L786" s="91">
        <f t="shared" si="12"/>
        <v>0.375</v>
      </c>
    </row>
    <row r="787" spans="1:12" s="40" customFormat="1">
      <c r="A787">
        <v>10572816</v>
      </c>
      <c r="B787" t="s">
        <v>165</v>
      </c>
      <c r="C787" t="s">
        <v>61</v>
      </c>
      <c r="D787" t="s">
        <v>358</v>
      </c>
      <c r="E787" t="s">
        <v>1441</v>
      </c>
      <c r="F787" s="78">
        <v>0.32750000000000001</v>
      </c>
      <c r="G787" t="s">
        <v>1406</v>
      </c>
      <c r="H787" t="s">
        <v>1336</v>
      </c>
      <c r="I787" s="88" t="str">
        <f>VLOOKUP(A787,Base!A:B,2,0)</f>
        <v>10.572.816-6</v>
      </c>
      <c r="J787" s="99" t="str">
        <f>VLOOKUP(A787,Base!A:F,6,0)</f>
        <v>MARCO ANTONIO  VARGAS  MORENO</v>
      </c>
      <c r="K787" s="89" t="str">
        <f>IFERROR(IF(VLOOKUP(I787,Ingreso!K:P,6,0)=0,"Sin turtno ing",VLOOKUP(I787,Ingreso!K:P,6,0)),IF(F787&gt;0.25,IF(F787&lt;0.311805555555556,"Turno A",IF(F787&gt;0.3125,IF(F787&lt;0.354166666666667,"Turno C",IF(F787&gt;0.583333333333333,IF(F787&lt;0.625,"Turno B",IF(F787&gt;0.625694444444444,IF(F787&lt;0.8125,"Turno A",IF(F787&gt;0.875,IF(F787&lt;0.936805555555556,"Turno C",IF(F787&gt;0.9375,IF(F787&lt;0.979166666666667,"Turno B",""),"")),"")),"")),"")),"")),""))</f>
        <v>Turno C</v>
      </c>
      <c r="L787" s="91">
        <f t="shared" si="12"/>
        <v>0.375</v>
      </c>
    </row>
    <row r="788" spans="1:12" s="40" customFormat="1">
      <c r="A788">
        <v>10572816</v>
      </c>
      <c r="B788" t="s">
        <v>165</v>
      </c>
      <c r="C788" t="s">
        <v>61</v>
      </c>
      <c r="D788" t="s">
        <v>358</v>
      </c>
      <c r="E788" t="s">
        <v>1436</v>
      </c>
      <c r="F788" s="78">
        <v>0.99319444444444438</v>
      </c>
      <c r="G788" t="s">
        <v>1405</v>
      </c>
      <c r="H788" t="s">
        <v>1335</v>
      </c>
      <c r="I788" s="88" t="str">
        <f>VLOOKUP(A788,Base!A:B,2,0)</f>
        <v>10.572.816-6</v>
      </c>
      <c r="J788" s="99" t="str">
        <f>VLOOKUP(A788,Base!A:F,6,0)</f>
        <v>MARCO ANTONIO  VARGAS  MORENO</v>
      </c>
      <c r="K788" s="89" t="str">
        <f>IFERROR(IF(VLOOKUP(I788,Ingreso!K:P,6,0)=0,"Sin turtno ing",VLOOKUP(I788,Ingreso!K:P,6,0)),IF(F788&gt;0.25,IF(F788&lt;0.311805555555556,"Turno A",IF(F788&gt;0.3125,IF(F788&lt;0.354166666666667,"Turno C",IF(F788&gt;0.583333333333333,IF(F788&lt;0.625,"Turno B",IF(F788&gt;0.625694444444444,IF(F788&lt;0.8125,"Turno A",IF(F788&gt;0.875,IF(F788&lt;0.936805555555556,"Turno C",IF(F788&gt;0.9375,IF(F788&lt;0.979166666666667,"Turno B",""),"")),"")),"")),"")),"")),""))</f>
        <v>Turno C</v>
      </c>
      <c r="L788" s="91">
        <f t="shared" si="12"/>
        <v>0.375</v>
      </c>
    </row>
    <row r="789" spans="1:12" s="40" customFormat="1">
      <c r="A789">
        <v>10572816</v>
      </c>
      <c r="B789" t="s">
        <v>165</v>
      </c>
      <c r="C789" t="s">
        <v>61</v>
      </c>
      <c r="D789" t="s">
        <v>358</v>
      </c>
      <c r="E789" t="s">
        <v>1437</v>
      </c>
      <c r="F789" s="78">
        <v>0.31763888888888886</v>
      </c>
      <c r="G789" t="s">
        <v>1406</v>
      </c>
      <c r="H789" t="s">
        <v>1336</v>
      </c>
      <c r="I789" s="88" t="str">
        <f>VLOOKUP(A789,Base!A:B,2,0)</f>
        <v>10.572.816-6</v>
      </c>
      <c r="J789" s="99" t="str">
        <f>VLOOKUP(A789,Base!A:F,6,0)</f>
        <v>MARCO ANTONIO  VARGAS  MORENO</v>
      </c>
      <c r="K789" s="89" t="str">
        <f>IFERROR(IF(VLOOKUP(I789,Ingreso!K:P,6,0)=0,"Sin turtno ing",VLOOKUP(I789,Ingreso!K:P,6,0)),IF(F789&gt;0.25,IF(F789&lt;0.311805555555556,"Turno A",IF(F789&gt;0.3125,IF(F789&lt;0.354166666666667,"Turno C",IF(F789&gt;0.583333333333333,IF(F789&lt;0.625,"Turno B",IF(F789&gt;0.625694444444444,IF(F789&lt;0.8125,"Turno A",IF(F789&gt;0.875,IF(F789&lt;0.936805555555556,"Turno C",IF(F789&gt;0.9375,IF(F789&lt;0.979166666666667,"Turno B",""),"")),"")),"")),"")),"")),""))</f>
        <v>Turno C</v>
      </c>
      <c r="L789" s="91">
        <f t="shared" si="12"/>
        <v>0.375</v>
      </c>
    </row>
    <row r="790" spans="1:12" s="40" customFormat="1">
      <c r="A790">
        <v>10572816</v>
      </c>
      <c r="B790" t="s">
        <v>165</v>
      </c>
      <c r="C790" t="s">
        <v>61</v>
      </c>
      <c r="D790" t="s">
        <v>358</v>
      </c>
      <c r="E790" t="s">
        <v>1437</v>
      </c>
      <c r="F790" s="78">
        <v>0.91871527777777784</v>
      </c>
      <c r="G790" t="s">
        <v>1405</v>
      </c>
      <c r="H790" t="s">
        <v>1335</v>
      </c>
      <c r="I790" s="88" t="str">
        <f>VLOOKUP(A790,Base!A:B,2,0)</f>
        <v>10.572.816-6</v>
      </c>
      <c r="J790" s="99" t="str">
        <f>VLOOKUP(A790,Base!A:F,6,0)</f>
        <v>MARCO ANTONIO  VARGAS  MORENO</v>
      </c>
      <c r="K790" s="89" t="str">
        <f>IFERROR(IF(VLOOKUP(I790,Ingreso!K:P,6,0)=0,"Sin turtno ing",VLOOKUP(I790,Ingreso!K:P,6,0)),IF(F790&gt;0.25,IF(F790&lt;0.311805555555556,"Turno A",IF(F790&gt;0.3125,IF(F790&lt;0.354166666666667,"Turno C",IF(F790&gt;0.583333333333333,IF(F790&lt;0.625,"Turno B",IF(F790&gt;0.625694444444444,IF(F790&lt;0.8125,"Turno A",IF(F790&gt;0.875,IF(F790&lt;0.936805555555556,"Turno C",IF(F790&gt;0.9375,IF(F790&lt;0.979166666666667,"Turno B",""),"")),"")),"")),"")),"")),""))</f>
        <v>Turno C</v>
      </c>
      <c r="L790" s="91">
        <f t="shared" si="12"/>
        <v>0.375</v>
      </c>
    </row>
    <row r="791" spans="1:12" s="40" customFormat="1">
      <c r="A791">
        <v>10572816</v>
      </c>
      <c r="B791" t="s">
        <v>165</v>
      </c>
      <c r="C791" t="s">
        <v>61</v>
      </c>
      <c r="D791" t="s">
        <v>358</v>
      </c>
      <c r="E791" t="s">
        <v>1438</v>
      </c>
      <c r="F791" s="78">
        <v>0.326087962962963</v>
      </c>
      <c r="G791" t="s">
        <v>1406</v>
      </c>
      <c r="H791" t="s">
        <v>1336</v>
      </c>
      <c r="I791" s="88" t="str">
        <f>VLOOKUP(A791,Base!A:B,2,0)</f>
        <v>10.572.816-6</v>
      </c>
      <c r="J791" s="99" t="str">
        <f>VLOOKUP(A791,Base!A:F,6,0)</f>
        <v>MARCO ANTONIO  VARGAS  MORENO</v>
      </c>
      <c r="K791" s="89" t="str">
        <f>IFERROR(IF(VLOOKUP(I791,Ingreso!K:P,6,0)=0,"Sin turtno ing",VLOOKUP(I791,Ingreso!K:P,6,0)),IF(F791&gt;0.25,IF(F791&lt;0.311805555555556,"Turno A",IF(F791&gt;0.3125,IF(F791&lt;0.354166666666667,"Turno C",IF(F791&gt;0.583333333333333,IF(F791&lt;0.625,"Turno B",IF(F791&gt;0.625694444444444,IF(F791&lt;0.8125,"Turno A",IF(F791&gt;0.875,IF(F791&lt;0.936805555555556,"Turno C",IF(F791&gt;0.9375,IF(F791&lt;0.979166666666667,"Turno B",""),"")),"")),"")),"")),"")),""))</f>
        <v>Turno C</v>
      </c>
      <c r="L791" s="91">
        <f t="shared" si="12"/>
        <v>0.375</v>
      </c>
    </row>
    <row r="792" spans="1:12" s="40" customFormat="1">
      <c r="A792">
        <v>10572816</v>
      </c>
      <c r="B792" t="s">
        <v>165</v>
      </c>
      <c r="C792" t="s">
        <v>61</v>
      </c>
      <c r="D792" t="s">
        <v>358</v>
      </c>
      <c r="E792" t="s">
        <v>1438</v>
      </c>
      <c r="F792" s="78">
        <v>0.91881944444444441</v>
      </c>
      <c r="G792" t="s">
        <v>1405</v>
      </c>
      <c r="H792" t="s">
        <v>1335</v>
      </c>
      <c r="I792" s="88" t="str">
        <f>VLOOKUP(A792,Base!A:B,2,0)</f>
        <v>10.572.816-6</v>
      </c>
      <c r="J792" s="99" t="str">
        <f>VLOOKUP(A792,Base!A:F,6,0)</f>
        <v>MARCO ANTONIO  VARGAS  MORENO</v>
      </c>
      <c r="K792" s="89" t="str">
        <f>IFERROR(IF(VLOOKUP(I792,Ingreso!K:P,6,0)=0,"Sin turtno ing",VLOOKUP(I792,Ingreso!K:P,6,0)),IF(F792&gt;0.25,IF(F792&lt;0.311805555555556,"Turno A",IF(F792&gt;0.3125,IF(F792&lt;0.354166666666667,"Turno C",IF(F792&gt;0.583333333333333,IF(F792&lt;0.625,"Turno B",IF(F792&gt;0.625694444444444,IF(F792&lt;0.8125,"Turno A",IF(F792&gt;0.875,IF(F792&lt;0.936805555555556,"Turno C",IF(F792&gt;0.9375,IF(F792&lt;0.979166666666667,"Turno B",""),"")),"")),"")),"")),"")),""))</f>
        <v>Turno C</v>
      </c>
      <c r="L792" s="91">
        <f t="shared" si="12"/>
        <v>0.375</v>
      </c>
    </row>
    <row r="793" spans="1:12" s="40" customFormat="1">
      <c r="A793">
        <v>10572816</v>
      </c>
      <c r="B793" t="s">
        <v>165</v>
      </c>
      <c r="C793" t="s">
        <v>61</v>
      </c>
      <c r="D793" t="s">
        <v>358</v>
      </c>
      <c r="E793" t="s">
        <v>1439</v>
      </c>
      <c r="F793" s="78">
        <v>0.32726851851851851</v>
      </c>
      <c r="G793" t="s">
        <v>1406</v>
      </c>
      <c r="H793" t="s">
        <v>1336</v>
      </c>
      <c r="I793" s="88" t="str">
        <f>VLOOKUP(A793,Base!A:B,2,0)</f>
        <v>10.572.816-6</v>
      </c>
      <c r="J793" s="99" t="str">
        <f>VLOOKUP(A793,Base!A:F,6,0)</f>
        <v>MARCO ANTONIO  VARGAS  MORENO</v>
      </c>
      <c r="K793" s="89" t="str">
        <f>IFERROR(IF(VLOOKUP(I793,Ingreso!K:P,6,0)=0,"Sin turtno ing",VLOOKUP(I793,Ingreso!K:P,6,0)),IF(F793&gt;0.25,IF(F793&lt;0.311805555555556,"Turno A",IF(F793&gt;0.3125,IF(F793&lt;0.354166666666667,"Turno C",IF(F793&gt;0.583333333333333,IF(F793&lt;0.625,"Turno B",IF(F793&gt;0.625694444444444,IF(F793&lt;0.8125,"Turno A",IF(F793&gt;0.875,IF(F793&lt;0.936805555555556,"Turno C",IF(F793&gt;0.9375,IF(F793&lt;0.979166666666667,"Turno B",""),"")),"")),"")),"")),"")),""))</f>
        <v>Turno C</v>
      </c>
      <c r="L793" s="91">
        <f t="shared" si="12"/>
        <v>0.375</v>
      </c>
    </row>
    <row r="794" spans="1:12" s="40" customFormat="1">
      <c r="A794">
        <v>10572816</v>
      </c>
      <c r="B794" t="s">
        <v>165</v>
      </c>
      <c r="C794" t="s">
        <v>61</v>
      </c>
      <c r="D794" t="s">
        <v>358</v>
      </c>
      <c r="E794" t="s">
        <v>1439</v>
      </c>
      <c r="F794" s="78">
        <v>0.91803240740740744</v>
      </c>
      <c r="G794" t="s">
        <v>1405</v>
      </c>
      <c r="H794" t="s">
        <v>1335</v>
      </c>
      <c r="I794" s="88" t="str">
        <f>VLOOKUP(A794,Base!A:B,2,0)</f>
        <v>10.572.816-6</v>
      </c>
      <c r="J794" s="99" t="str">
        <f>VLOOKUP(A794,Base!A:F,6,0)</f>
        <v>MARCO ANTONIO  VARGAS  MORENO</v>
      </c>
      <c r="K794" s="89" t="str">
        <f>IFERROR(IF(VLOOKUP(I794,Ingreso!K:P,6,0)=0,"Sin turtno ing",VLOOKUP(I794,Ingreso!K:P,6,0)),IF(F794&gt;0.25,IF(F794&lt;0.311805555555556,"Turno A",IF(F794&gt;0.3125,IF(F794&lt;0.354166666666667,"Turno C",IF(F794&gt;0.583333333333333,IF(F794&lt;0.625,"Turno B",IF(F794&gt;0.625694444444444,IF(F794&lt;0.8125,"Turno A",IF(F794&gt;0.875,IF(F794&lt;0.936805555555556,"Turno C",IF(F794&gt;0.9375,IF(F794&lt;0.979166666666667,"Turno B",""),"")),"")),"")),"")),"")),""))</f>
        <v>Turno C</v>
      </c>
      <c r="L794" s="91">
        <f t="shared" si="12"/>
        <v>0.375</v>
      </c>
    </row>
    <row r="795" spans="1:12" s="40" customFormat="1">
      <c r="A795">
        <v>10737908</v>
      </c>
      <c r="B795" t="s">
        <v>1053</v>
      </c>
      <c r="C795" t="s">
        <v>403</v>
      </c>
      <c r="D795" t="s">
        <v>1052</v>
      </c>
      <c r="E795" t="s">
        <v>1407</v>
      </c>
      <c r="F795" s="78">
        <v>0</v>
      </c>
      <c r="G795"/>
      <c r="H795"/>
      <c r="I795" s="88" t="str">
        <f>VLOOKUP(A795,Base!A:B,2,0)</f>
        <v>10.737.908-8</v>
      </c>
      <c r="J795" s="99" t="str">
        <f>VLOOKUP(A795,Base!A:F,6,0)</f>
        <v>DANIEL  VALENZUELA   AREVALO</v>
      </c>
      <c r="K795" s="89" t="str">
        <f>IFERROR(IF(VLOOKUP(I795,Ingreso!K:P,6,0)=0,"Sin turtno ing",VLOOKUP(I795,Ingreso!K:P,6,0)),IF(F795&gt;0.25,IF(F795&lt;0.311805555555556,"Turno A",IF(F795&gt;0.3125,IF(F795&lt;0.354166666666667,"Turno C",IF(F795&gt;0.583333333333333,IF(F795&lt;0.625,"Turno B",IF(F795&gt;0.625694444444444,IF(F795&lt;0.8125,"Turno A",IF(F795&gt;0.875,IF(F795&lt;0.936805555555556,"Turno C",IF(F795&gt;0.9375,IF(F795&lt;0.979166666666667,"Turno B",""),"")),"")),"")),"")),"")),""))</f>
        <v/>
      </c>
      <c r="L795" s="91" t="e">
        <f t="shared" si="12"/>
        <v>#N/A</v>
      </c>
    </row>
    <row r="796" spans="1:12" s="40" customFormat="1">
      <c r="A796">
        <v>10746078</v>
      </c>
      <c r="B796" t="s">
        <v>718</v>
      </c>
      <c r="C796" t="s">
        <v>509</v>
      </c>
      <c r="D796" t="s">
        <v>717</v>
      </c>
      <c r="E796" t="s">
        <v>1440</v>
      </c>
      <c r="F796" s="78">
        <v>0.95575231481481471</v>
      </c>
      <c r="G796" t="s">
        <v>1406</v>
      </c>
      <c r="H796" t="s">
        <v>1336</v>
      </c>
      <c r="I796" s="88" t="str">
        <f>VLOOKUP(A796,Base!A:B,2,0)</f>
        <v>10.746.078-0</v>
      </c>
      <c r="J796" s="99" t="str">
        <f>VLOOKUP(A796,Base!A:F,6,0)</f>
        <v>ARMANDO  ORELLANA  OLIVARES</v>
      </c>
      <c r="K796" s="89" t="str">
        <f>IFERROR(IF(VLOOKUP(I796,Ingreso!K:P,6,0)=0,"Sin turtno ing",VLOOKUP(I796,Ingreso!K:P,6,0)),IF(F796&gt;0.25,IF(F796&lt;0.311805555555556,"Turno A",IF(F796&gt;0.3125,IF(F796&lt;0.354166666666667,"Turno C",IF(F796&gt;0.583333333333333,IF(F796&lt;0.625,"Turno B",IF(F796&gt;0.625694444444444,IF(F796&lt;0.8125,"Turno A",IF(F796&gt;0.875,IF(F796&lt;0.936805555555556,"Turno C",IF(F796&gt;0.9375,IF(F796&lt;0.979166666666667,"Turno B",""),"")),"")),"")),"")),"")),""))</f>
        <v>Turno B</v>
      </c>
      <c r="L796" s="91">
        <f t="shared" si="12"/>
        <v>0.3125</v>
      </c>
    </row>
    <row r="797" spans="1:12" s="40" customFormat="1">
      <c r="A797">
        <v>10746078</v>
      </c>
      <c r="B797" t="s">
        <v>718</v>
      </c>
      <c r="C797" t="s">
        <v>509</v>
      </c>
      <c r="D797" t="s">
        <v>717</v>
      </c>
      <c r="E797" t="s">
        <v>1440</v>
      </c>
      <c r="F797" s="78">
        <v>0.60062499999999996</v>
      </c>
      <c r="G797" t="s">
        <v>1405</v>
      </c>
      <c r="H797" t="s">
        <v>1335</v>
      </c>
      <c r="I797" s="88" t="str">
        <f>VLOOKUP(A797,Base!A:B,2,0)</f>
        <v>10.746.078-0</v>
      </c>
      <c r="J797" s="99" t="str">
        <f>VLOOKUP(A797,Base!A:F,6,0)</f>
        <v>ARMANDO  ORELLANA  OLIVARES</v>
      </c>
      <c r="K797" s="89" t="str">
        <f>IFERROR(IF(VLOOKUP(I797,Ingreso!K:P,6,0)=0,"Sin turtno ing",VLOOKUP(I797,Ingreso!K:P,6,0)),IF(F797&gt;0.25,IF(F797&lt;0.311805555555556,"Turno A",IF(F797&gt;0.3125,IF(F797&lt;0.354166666666667,"Turno C",IF(F797&gt;0.583333333333333,IF(F797&lt;0.625,"Turno B",IF(F797&gt;0.625694444444444,IF(F797&lt;0.8125,"Turno A",IF(F797&gt;0.875,IF(F797&lt;0.936805555555556,"Turno C",IF(F797&gt;0.9375,IF(F797&lt;0.979166666666667,"Turno B",""),"")),"")),"")),"")),"")),""))</f>
        <v>Turno B</v>
      </c>
      <c r="L797" s="91">
        <f t="shared" si="12"/>
        <v>0.3125</v>
      </c>
    </row>
    <row r="798" spans="1:12" s="40" customFormat="1">
      <c r="A798">
        <v>10746078</v>
      </c>
      <c r="B798" t="s">
        <v>718</v>
      </c>
      <c r="C798" t="s">
        <v>509</v>
      </c>
      <c r="D798" t="s">
        <v>717</v>
      </c>
      <c r="E798" t="s">
        <v>1441</v>
      </c>
      <c r="F798" s="78">
        <v>0.95802083333333332</v>
      </c>
      <c r="G798" t="s">
        <v>1406</v>
      </c>
      <c r="H798" t="s">
        <v>1336</v>
      </c>
      <c r="I798" s="88" t="str">
        <f>VLOOKUP(A798,Base!A:B,2,0)</f>
        <v>10.746.078-0</v>
      </c>
      <c r="J798" s="99" t="str">
        <f>VLOOKUP(A798,Base!A:F,6,0)</f>
        <v>ARMANDO  ORELLANA  OLIVARES</v>
      </c>
      <c r="K798" s="89" t="str">
        <f>IFERROR(IF(VLOOKUP(I798,Ingreso!K:P,6,0)=0,"Sin turtno ing",VLOOKUP(I798,Ingreso!K:P,6,0)),IF(F798&gt;0.25,IF(F798&lt;0.311805555555556,"Turno A",IF(F798&gt;0.3125,IF(F798&lt;0.354166666666667,"Turno C",IF(F798&gt;0.583333333333333,IF(F798&lt;0.625,"Turno B",IF(F798&gt;0.625694444444444,IF(F798&lt;0.8125,"Turno A",IF(F798&gt;0.875,IF(F798&lt;0.936805555555556,"Turno C",IF(F798&gt;0.9375,IF(F798&lt;0.979166666666667,"Turno B",""),"")),"")),"")),"")),"")),""))</f>
        <v>Turno B</v>
      </c>
      <c r="L798" s="91">
        <f t="shared" si="12"/>
        <v>0.3125</v>
      </c>
    </row>
    <row r="799" spans="1:12" s="40" customFormat="1">
      <c r="A799">
        <v>10746078</v>
      </c>
      <c r="B799" t="s">
        <v>718</v>
      </c>
      <c r="C799" t="s">
        <v>509</v>
      </c>
      <c r="D799" t="s">
        <v>717</v>
      </c>
      <c r="E799" t="s">
        <v>1441</v>
      </c>
      <c r="F799" s="78">
        <v>0.59994212962962956</v>
      </c>
      <c r="G799" t="s">
        <v>1405</v>
      </c>
      <c r="H799" t="s">
        <v>1335</v>
      </c>
      <c r="I799" s="88" t="str">
        <f>VLOOKUP(A799,Base!A:B,2,0)</f>
        <v>10.746.078-0</v>
      </c>
      <c r="J799" s="99" t="str">
        <f>VLOOKUP(A799,Base!A:F,6,0)</f>
        <v>ARMANDO  ORELLANA  OLIVARES</v>
      </c>
      <c r="K799" s="89" t="str">
        <f>IFERROR(IF(VLOOKUP(I799,Ingreso!K:P,6,0)=0,"Sin turtno ing",VLOOKUP(I799,Ingreso!K:P,6,0)),IF(F799&gt;0.25,IF(F799&lt;0.311805555555556,"Turno A",IF(F799&gt;0.3125,IF(F799&lt;0.354166666666667,"Turno C",IF(F799&gt;0.583333333333333,IF(F799&lt;0.625,"Turno B",IF(F799&gt;0.625694444444444,IF(F799&lt;0.8125,"Turno A",IF(F799&gt;0.875,IF(F799&lt;0.936805555555556,"Turno C",IF(F799&gt;0.9375,IF(F799&lt;0.979166666666667,"Turno B",""),"")),"")),"")),"")),"")),""))</f>
        <v>Turno B</v>
      </c>
      <c r="L799" s="91">
        <f t="shared" si="12"/>
        <v>0.3125</v>
      </c>
    </row>
    <row r="800" spans="1:12" s="40" customFormat="1">
      <c r="A800">
        <v>10746078</v>
      </c>
      <c r="B800" t="s">
        <v>718</v>
      </c>
      <c r="C800" t="s">
        <v>509</v>
      </c>
      <c r="D800" t="s">
        <v>717</v>
      </c>
      <c r="E800" t="s">
        <v>1437</v>
      </c>
      <c r="F800" s="78">
        <v>0.95520833333333333</v>
      </c>
      <c r="G800" t="s">
        <v>1406</v>
      </c>
      <c r="H800" t="s">
        <v>1336</v>
      </c>
      <c r="I800" s="88" t="str">
        <f>VLOOKUP(A800,Base!A:B,2,0)</f>
        <v>10.746.078-0</v>
      </c>
      <c r="J800" s="99" t="str">
        <f>VLOOKUP(A800,Base!A:F,6,0)</f>
        <v>ARMANDO  ORELLANA  OLIVARES</v>
      </c>
      <c r="K800" s="89" t="str">
        <f>IFERROR(IF(VLOOKUP(I800,Ingreso!K:P,6,0)=0,"Sin turtno ing",VLOOKUP(I800,Ingreso!K:P,6,0)),IF(F800&gt;0.25,IF(F800&lt;0.311805555555556,"Turno A",IF(F800&gt;0.3125,IF(F800&lt;0.354166666666667,"Turno C",IF(F800&gt;0.583333333333333,IF(F800&lt;0.625,"Turno B",IF(F800&gt;0.625694444444444,IF(F800&lt;0.8125,"Turno A",IF(F800&gt;0.875,IF(F800&lt;0.936805555555556,"Turno C",IF(F800&gt;0.9375,IF(F800&lt;0.979166666666667,"Turno B",""),"")),"")),"")),"")),"")),""))</f>
        <v>Turno B</v>
      </c>
      <c r="L800" s="91">
        <f t="shared" si="12"/>
        <v>0.3125</v>
      </c>
    </row>
    <row r="801" spans="1:12" s="40" customFormat="1">
      <c r="A801">
        <v>10746078</v>
      </c>
      <c r="B801" t="s">
        <v>718</v>
      </c>
      <c r="C801" t="s">
        <v>509</v>
      </c>
      <c r="D801" t="s">
        <v>717</v>
      </c>
      <c r="E801" t="s">
        <v>1437</v>
      </c>
      <c r="F801" s="78">
        <v>0.59726851851851859</v>
      </c>
      <c r="G801" t="s">
        <v>1405</v>
      </c>
      <c r="H801" t="s">
        <v>1335</v>
      </c>
      <c r="I801" s="88" t="str">
        <f>VLOOKUP(A801,Base!A:B,2,0)</f>
        <v>10.746.078-0</v>
      </c>
      <c r="J801" s="99" t="str">
        <f>VLOOKUP(A801,Base!A:F,6,0)</f>
        <v>ARMANDO  ORELLANA  OLIVARES</v>
      </c>
      <c r="K801" s="89" t="str">
        <f>IFERROR(IF(VLOOKUP(I801,Ingreso!K:P,6,0)=0,"Sin turtno ing",VLOOKUP(I801,Ingreso!K:P,6,0)),IF(F801&gt;0.25,IF(F801&lt;0.311805555555556,"Turno A",IF(F801&gt;0.3125,IF(F801&lt;0.354166666666667,"Turno C",IF(F801&gt;0.583333333333333,IF(F801&lt;0.625,"Turno B",IF(F801&gt;0.625694444444444,IF(F801&lt;0.8125,"Turno A",IF(F801&gt;0.875,IF(F801&lt;0.936805555555556,"Turno C",IF(F801&gt;0.9375,IF(F801&lt;0.979166666666667,"Turno B",""),"")),"")),"")),"")),"")),""))</f>
        <v>Turno B</v>
      </c>
      <c r="L801" s="91">
        <f t="shared" si="12"/>
        <v>0.3125</v>
      </c>
    </row>
    <row r="802" spans="1:12" s="40" customFormat="1">
      <c r="A802">
        <v>10746078</v>
      </c>
      <c r="B802" t="s">
        <v>718</v>
      </c>
      <c r="C802" t="s">
        <v>509</v>
      </c>
      <c r="D802" t="s">
        <v>717</v>
      </c>
      <c r="E802" t="s">
        <v>1438</v>
      </c>
      <c r="F802" s="78">
        <v>0.95487268518518509</v>
      </c>
      <c r="G802" t="s">
        <v>1406</v>
      </c>
      <c r="H802" t="s">
        <v>1336</v>
      </c>
      <c r="I802" s="88" t="str">
        <f>VLOOKUP(A802,Base!A:B,2,0)</f>
        <v>10.746.078-0</v>
      </c>
      <c r="J802" s="99" t="str">
        <f>VLOOKUP(A802,Base!A:F,6,0)</f>
        <v>ARMANDO  ORELLANA  OLIVARES</v>
      </c>
      <c r="K802" s="89" t="str">
        <f>IFERROR(IF(VLOOKUP(I802,Ingreso!K:P,6,0)=0,"Sin turtno ing",VLOOKUP(I802,Ingreso!K:P,6,0)),IF(F802&gt;0.25,IF(F802&lt;0.311805555555556,"Turno A",IF(F802&gt;0.3125,IF(F802&lt;0.354166666666667,"Turno C",IF(F802&gt;0.583333333333333,IF(F802&lt;0.625,"Turno B",IF(F802&gt;0.625694444444444,IF(F802&lt;0.8125,"Turno A",IF(F802&gt;0.875,IF(F802&lt;0.936805555555556,"Turno C",IF(F802&gt;0.9375,IF(F802&lt;0.979166666666667,"Turno B",""),"")),"")),"")),"")),"")),""))</f>
        <v>Turno B</v>
      </c>
      <c r="L802" s="91">
        <f t="shared" si="12"/>
        <v>0.3125</v>
      </c>
    </row>
    <row r="803" spans="1:12" s="40" customFormat="1">
      <c r="A803">
        <v>10746078</v>
      </c>
      <c r="B803" t="s">
        <v>718</v>
      </c>
      <c r="C803" t="s">
        <v>509</v>
      </c>
      <c r="D803" t="s">
        <v>717</v>
      </c>
      <c r="E803" t="s">
        <v>1438</v>
      </c>
      <c r="F803" s="78">
        <v>0.59912037037037036</v>
      </c>
      <c r="G803" t="s">
        <v>1405</v>
      </c>
      <c r="H803" t="s">
        <v>1335</v>
      </c>
      <c r="I803" s="88" t="str">
        <f>VLOOKUP(A803,Base!A:B,2,0)</f>
        <v>10.746.078-0</v>
      </c>
      <c r="J803" s="99" t="str">
        <f>VLOOKUP(A803,Base!A:F,6,0)</f>
        <v>ARMANDO  ORELLANA  OLIVARES</v>
      </c>
      <c r="K803" s="89" t="str">
        <f>IFERROR(IF(VLOOKUP(I803,Ingreso!K:P,6,0)=0,"Sin turtno ing",VLOOKUP(I803,Ingreso!K:P,6,0)),IF(F803&gt;0.25,IF(F803&lt;0.311805555555556,"Turno A",IF(F803&gt;0.3125,IF(F803&lt;0.354166666666667,"Turno C",IF(F803&gt;0.583333333333333,IF(F803&lt;0.625,"Turno B",IF(F803&gt;0.625694444444444,IF(F803&lt;0.8125,"Turno A",IF(F803&gt;0.875,IF(F803&lt;0.936805555555556,"Turno C",IF(F803&gt;0.9375,IF(F803&lt;0.979166666666667,"Turno B",""),"")),"")),"")),"")),"")),""))</f>
        <v>Turno B</v>
      </c>
      <c r="L803" s="91">
        <f t="shared" si="12"/>
        <v>0.3125</v>
      </c>
    </row>
    <row r="804" spans="1:12" s="40" customFormat="1">
      <c r="A804">
        <v>10746078</v>
      </c>
      <c r="B804" t="s">
        <v>718</v>
      </c>
      <c r="C804" t="s">
        <v>509</v>
      </c>
      <c r="D804" t="s">
        <v>717</v>
      </c>
      <c r="E804" t="s">
        <v>1439</v>
      </c>
      <c r="F804" s="78">
        <v>0.9544097222222222</v>
      </c>
      <c r="G804" t="s">
        <v>1406</v>
      </c>
      <c r="H804" t="s">
        <v>1336</v>
      </c>
      <c r="I804" s="88" t="str">
        <f>VLOOKUP(A804,Base!A:B,2,0)</f>
        <v>10.746.078-0</v>
      </c>
      <c r="J804" s="99" t="str">
        <f>VLOOKUP(A804,Base!A:F,6,0)</f>
        <v>ARMANDO  ORELLANA  OLIVARES</v>
      </c>
      <c r="K804" s="89" t="str">
        <f>IFERROR(IF(VLOOKUP(I804,Ingreso!K:P,6,0)=0,"Sin turtno ing",VLOOKUP(I804,Ingreso!K:P,6,0)),IF(F804&gt;0.25,IF(F804&lt;0.311805555555556,"Turno A",IF(F804&gt;0.3125,IF(F804&lt;0.354166666666667,"Turno C",IF(F804&gt;0.583333333333333,IF(F804&lt;0.625,"Turno B",IF(F804&gt;0.625694444444444,IF(F804&lt;0.8125,"Turno A",IF(F804&gt;0.875,IF(F804&lt;0.936805555555556,"Turno C",IF(F804&gt;0.9375,IF(F804&lt;0.979166666666667,"Turno B",""),"")),"")),"")),"")),"")),""))</f>
        <v>Turno B</v>
      </c>
      <c r="L804" s="91">
        <f t="shared" si="12"/>
        <v>0.3125</v>
      </c>
    </row>
    <row r="805" spans="1:12" s="40" customFormat="1">
      <c r="A805">
        <v>10746078</v>
      </c>
      <c r="B805" t="s">
        <v>718</v>
      </c>
      <c r="C805" t="s">
        <v>509</v>
      </c>
      <c r="D805" t="s">
        <v>717</v>
      </c>
      <c r="E805" t="s">
        <v>1439</v>
      </c>
      <c r="F805" s="78">
        <v>0.59774305555555551</v>
      </c>
      <c r="G805" t="s">
        <v>1405</v>
      </c>
      <c r="H805" t="s">
        <v>1335</v>
      </c>
      <c r="I805" s="88" t="str">
        <f>VLOOKUP(A805,Base!A:B,2,0)</f>
        <v>10.746.078-0</v>
      </c>
      <c r="J805" s="99" t="str">
        <f>VLOOKUP(A805,Base!A:F,6,0)</f>
        <v>ARMANDO  ORELLANA  OLIVARES</v>
      </c>
      <c r="K805" s="89" t="str">
        <f>IFERROR(IF(VLOOKUP(I805,Ingreso!K:P,6,0)=0,"Sin turtno ing",VLOOKUP(I805,Ingreso!K:P,6,0)),IF(F805&gt;0.25,IF(F805&lt;0.311805555555556,"Turno A",IF(F805&gt;0.3125,IF(F805&lt;0.354166666666667,"Turno C",IF(F805&gt;0.583333333333333,IF(F805&lt;0.625,"Turno B",IF(F805&gt;0.625694444444444,IF(F805&lt;0.8125,"Turno A",IF(F805&gt;0.875,IF(F805&lt;0.936805555555556,"Turno C",IF(F805&gt;0.9375,IF(F805&lt;0.979166666666667,"Turno B",""),"")),"")),"")),"")),"")),""))</f>
        <v>Turno B</v>
      </c>
      <c r="L805" s="91">
        <f t="shared" si="12"/>
        <v>0.3125</v>
      </c>
    </row>
    <row r="806" spans="1:12" s="40" customFormat="1">
      <c r="A806">
        <v>10835391</v>
      </c>
      <c r="B806" t="s">
        <v>983</v>
      </c>
      <c r="C806" t="s">
        <v>974</v>
      </c>
      <c r="D806" t="s">
        <v>852</v>
      </c>
      <c r="E806" t="s">
        <v>1440</v>
      </c>
      <c r="F806" s="78">
        <v>0.31680555555555556</v>
      </c>
      <c r="G806" t="s">
        <v>1406</v>
      </c>
      <c r="H806" t="s">
        <v>1336</v>
      </c>
      <c r="I806" s="88" t="str">
        <f>VLOOKUP(A806,Base!A:B,2,0)</f>
        <v>10.835.391-0</v>
      </c>
      <c r="J806" s="99" t="str">
        <f>VLOOKUP(A806,Base!A:F,6,0)</f>
        <v>DANIEL PATRICIO  SANCHEZ  VASQUEZ</v>
      </c>
      <c r="K806" s="89" t="str">
        <f>IFERROR(IF(VLOOKUP(I806,Ingreso!K:P,6,0)=0,"Sin turtno ing",VLOOKUP(I806,Ingreso!K:P,6,0)),IF(F806&gt;0.25,IF(F806&lt;0.311805555555556,"Turno A",IF(F806&gt;0.3125,IF(F806&lt;0.354166666666667,"Turno C",IF(F806&gt;0.583333333333333,IF(F806&lt;0.625,"Turno B",IF(F806&gt;0.625694444444444,IF(F806&lt;0.8125,"Turno A",IF(F806&gt;0.875,IF(F806&lt;0.936805555555556,"Turno C",IF(F806&gt;0.9375,IF(F806&lt;0.979166666666667,"Turno B",""),"")),"")),"")),"")),"")),""))</f>
        <v>Turno C</v>
      </c>
      <c r="L806" s="91">
        <f t="shared" si="12"/>
        <v>0.375</v>
      </c>
    </row>
    <row r="807" spans="1:12" s="40" customFormat="1">
      <c r="A807">
        <v>10835391</v>
      </c>
      <c r="B807" t="s">
        <v>983</v>
      </c>
      <c r="C807" t="s">
        <v>974</v>
      </c>
      <c r="D807" t="s">
        <v>852</v>
      </c>
      <c r="E807" t="s">
        <v>1440</v>
      </c>
      <c r="F807" s="78">
        <v>0.93644675925925924</v>
      </c>
      <c r="G807" t="s">
        <v>1405</v>
      </c>
      <c r="H807" t="s">
        <v>1335</v>
      </c>
      <c r="I807" s="88" t="str">
        <f>VLOOKUP(A807,Base!A:B,2,0)</f>
        <v>10.835.391-0</v>
      </c>
      <c r="J807" s="99" t="str">
        <f>VLOOKUP(A807,Base!A:F,6,0)</f>
        <v>DANIEL PATRICIO  SANCHEZ  VASQUEZ</v>
      </c>
      <c r="K807" s="89" t="str">
        <f>IFERROR(IF(VLOOKUP(I807,Ingreso!K:P,6,0)=0,"Sin turtno ing",VLOOKUP(I807,Ingreso!K:P,6,0)),IF(F807&gt;0.25,IF(F807&lt;0.311805555555556,"Turno A",IF(F807&gt;0.3125,IF(F807&lt;0.354166666666667,"Turno C",IF(F807&gt;0.583333333333333,IF(F807&lt;0.625,"Turno B",IF(F807&gt;0.625694444444444,IF(F807&lt;0.8125,"Turno A",IF(F807&gt;0.875,IF(F807&lt;0.936805555555556,"Turno C",IF(F807&gt;0.9375,IF(F807&lt;0.979166666666667,"Turno B",""),"")),"")),"")),"")),"")),""))</f>
        <v>Turno C</v>
      </c>
      <c r="L807" s="91">
        <f t="shared" si="12"/>
        <v>0.375</v>
      </c>
    </row>
    <row r="808" spans="1:12" s="40" customFormat="1">
      <c r="A808">
        <v>10835391</v>
      </c>
      <c r="B808" t="s">
        <v>983</v>
      </c>
      <c r="C808" t="s">
        <v>974</v>
      </c>
      <c r="D808" t="s">
        <v>852</v>
      </c>
      <c r="E808" t="s">
        <v>1441</v>
      </c>
      <c r="F808" s="78">
        <v>0.32545138888888886</v>
      </c>
      <c r="G808" t="s">
        <v>1406</v>
      </c>
      <c r="H808" t="s">
        <v>1336</v>
      </c>
      <c r="I808" s="88" t="str">
        <f>VLOOKUP(A808,Base!A:B,2,0)</f>
        <v>10.835.391-0</v>
      </c>
      <c r="J808" s="99" t="str">
        <f>VLOOKUP(A808,Base!A:F,6,0)</f>
        <v>DANIEL PATRICIO  SANCHEZ  VASQUEZ</v>
      </c>
      <c r="K808" s="89" t="str">
        <f>IFERROR(IF(VLOOKUP(I808,Ingreso!K:P,6,0)=0,"Sin turtno ing",VLOOKUP(I808,Ingreso!K:P,6,0)),IF(F808&gt;0.25,IF(F808&lt;0.311805555555556,"Turno A",IF(F808&gt;0.3125,IF(F808&lt;0.354166666666667,"Turno C",IF(F808&gt;0.583333333333333,IF(F808&lt;0.625,"Turno B",IF(F808&gt;0.625694444444444,IF(F808&lt;0.8125,"Turno A",IF(F808&gt;0.875,IF(F808&lt;0.936805555555556,"Turno C",IF(F808&gt;0.9375,IF(F808&lt;0.979166666666667,"Turno B",""),"")),"")),"")),"")),"")),""))</f>
        <v>Turno C</v>
      </c>
      <c r="L808" s="91">
        <f t="shared" si="12"/>
        <v>0.375</v>
      </c>
    </row>
    <row r="809" spans="1:12" s="40" customFormat="1">
      <c r="A809">
        <v>10835391</v>
      </c>
      <c r="B809" t="s">
        <v>983</v>
      </c>
      <c r="C809" t="s">
        <v>974</v>
      </c>
      <c r="D809" t="s">
        <v>852</v>
      </c>
      <c r="E809" t="s">
        <v>1437</v>
      </c>
      <c r="F809" s="78">
        <v>0.93858796296296287</v>
      </c>
      <c r="G809" t="s">
        <v>1405</v>
      </c>
      <c r="H809" t="s">
        <v>1335</v>
      </c>
      <c r="I809" s="88" t="str">
        <f>VLOOKUP(A809,Base!A:B,2,0)</f>
        <v>10.835.391-0</v>
      </c>
      <c r="J809" s="99" t="str">
        <f>VLOOKUP(A809,Base!A:F,6,0)</f>
        <v>DANIEL PATRICIO  SANCHEZ  VASQUEZ</v>
      </c>
      <c r="K809" s="89" t="str">
        <f>IFERROR(IF(VLOOKUP(I809,Ingreso!K:P,6,0)=0,"Sin turtno ing",VLOOKUP(I809,Ingreso!K:P,6,0)),IF(F809&gt;0.25,IF(F809&lt;0.311805555555556,"Turno A",IF(F809&gt;0.3125,IF(F809&lt;0.354166666666667,"Turno C",IF(F809&gt;0.583333333333333,IF(F809&lt;0.625,"Turno B",IF(F809&gt;0.625694444444444,IF(F809&lt;0.8125,"Turno A",IF(F809&gt;0.875,IF(F809&lt;0.936805555555556,"Turno C",IF(F809&gt;0.9375,IF(F809&lt;0.979166666666667,"Turno B",""),"")),"")),"")),"")),"")),""))</f>
        <v>Turno C</v>
      </c>
      <c r="L809" s="91">
        <f t="shared" si="12"/>
        <v>0.375</v>
      </c>
    </row>
    <row r="810" spans="1:12" s="40" customFormat="1">
      <c r="A810">
        <v>10835391</v>
      </c>
      <c r="B810" t="s">
        <v>983</v>
      </c>
      <c r="C810" t="s">
        <v>974</v>
      </c>
      <c r="D810" t="s">
        <v>852</v>
      </c>
      <c r="E810" t="s">
        <v>1438</v>
      </c>
      <c r="F810" s="78">
        <v>0.3074884259259259</v>
      </c>
      <c r="G810" t="s">
        <v>1406</v>
      </c>
      <c r="H810" t="s">
        <v>1336</v>
      </c>
      <c r="I810" s="88" t="str">
        <f>VLOOKUP(A810,Base!A:B,2,0)</f>
        <v>10.835.391-0</v>
      </c>
      <c r="J810" s="99" t="str">
        <f>VLOOKUP(A810,Base!A:F,6,0)</f>
        <v>DANIEL PATRICIO  SANCHEZ  VASQUEZ</v>
      </c>
      <c r="K810" s="89" t="str">
        <f>IFERROR(IF(VLOOKUP(I810,Ingreso!K:P,6,0)=0,"Sin turtno ing",VLOOKUP(I810,Ingreso!K:P,6,0)),IF(F810&gt;0.25,IF(F810&lt;0.311805555555556,"Turno A",IF(F810&gt;0.3125,IF(F810&lt;0.354166666666667,"Turno C",IF(F810&gt;0.583333333333333,IF(F810&lt;0.625,"Turno B",IF(F810&gt;0.625694444444444,IF(F810&lt;0.8125,"Turno A",IF(F810&gt;0.875,IF(F810&lt;0.936805555555556,"Turno C",IF(F810&gt;0.9375,IF(F810&lt;0.979166666666667,"Turno B",""),"")),"")),"")),"")),"")),""))</f>
        <v>Turno C</v>
      </c>
      <c r="L810" s="91">
        <f t="shared" si="12"/>
        <v>0.375</v>
      </c>
    </row>
    <row r="811" spans="1:12" s="40" customFormat="1">
      <c r="A811">
        <v>10835391</v>
      </c>
      <c r="B811" t="s">
        <v>983</v>
      </c>
      <c r="C811" t="s">
        <v>974</v>
      </c>
      <c r="D811" t="s">
        <v>852</v>
      </c>
      <c r="E811" t="s">
        <v>1438</v>
      </c>
      <c r="F811" s="78">
        <v>0.939386574074074</v>
      </c>
      <c r="G811" t="s">
        <v>1405</v>
      </c>
      <c r="H811" t="s">
        <v>1335</v>
      </c>
      <c r="I811" s="88" t="str">
        <f>VLOOKUP(A811,Base!A:B,2,0)</f>
        <v>10.835.391-0</v>
      </c>
      <c r="J811" s="99" t="str">
        <f>VLOOKUP(A811,Base!A:F,6,0)</f>
        <v>DANIEL PATRICIO  SANCHEZ  VASQUEZ</v>
      </c>
      <c r="K811" s="89" t="str">
        <f>IFERROR(IF(VLOOKUP(I811,Ingreso!K:P,6,0)=0,"Sin turtno ing",VLOOKUP(I811,Ingreso!K:P,6,0)),IF(F811&gt;0.25,IF(F811&lt;0.311805555555556,"Turno A",IF(F811&gt;0.3125,IF(F811&lt;0.354166666666667,"Turno C",IF(F811&gt;0.583333333333333,IF(F811&lt;0.625,"Turno B",IF(F811&gt;0.625694444444444,IF(F811&lt;0.8125,"Turno A",IF(F811&gt;0.875,IF(F811&lt;0.936805555555556,"Turno C",IF(F811&gt;0.9375,IF(F811&lt;0.979166666666667,"Turno B",""),"")),"")),"")),"")),"")),""))</f>
        <v>Turno C</v>
      </c>
      <c r="L811" s="91">
        <f t="shared" si="12"/>
        <v>0.375</v>
      </c>
    </row>
    <row r="812" spans="1:12" s="40" customFormat="1">
      <c r="A812">
        <v>10835391</v>
      </c>
      <c r="B812" t="s">
        <v>983</v>
      </c>
      <c r="C812" t="s">
        <v>974</v>
      </c>
      <c r="D812" t="s">
        <v>852</v>
      </c>
      <c r="E812" t="s">
        <v>1439</v>
      </c>
      <c r="F812" s="78">
        <v>0.31510416666666669</v>
      </c>
      <c r="G812" t="s">
        <v>1406</v>
      </c>
      <c r="H812" t="s">
        <v>1336</v>
      </c>
      <c r="I812" s="88" t="str">
        <f>VLOOKUP(A812,Base!A:B,2,0)</f>
        <v>10.835.391-0</v>
      </c>
      <c r="J812" s="99" t="str">
        <f>VLOOKUP(A812,Base!A:F,6,0)</f>
        <v>DANIEL PATRICIO  SANCHEZ  VASQUEZ</v>
      </c>
      <c r="K812" s="89" t="str">
        <f>IFERROR(IF(VLOOKUP(I812,Ingreso!K:P,6,0)=0,"Sin turtno ing",VLOOKUP(I812,Ingreso!K:P,6,0)),IF(F812&gt;0.25,IF(F812&lt;0.311805555555556,"Turno A",IF(F812&gt;0.3125,IF(F812&lt;0.354166666666667,"Turno C",IF(F812&gt;0.583333333333333,IF(F812&lt;0.625,"Turno B",IF(F812&gt;0.625694444444444,IF(F812&lt;0.8125,"Turno A",IF(F812&gt;0.875,IF(F812&lt;0.936805555555556,"Turno C",IF(F812&gt;0.9375,IF(F812&lt;0.979166666666667,"Turno B",""),"")),"")),"")),"")),"")),""))</f>
        <v>Turno C</v>
      </c>
      <c r="L812" s="91">
        <f t="shared" si="12"/>
        <v>0.375</v>
      </c>
    </row>
    <row r="813" spans="1:12" s="40" customFormat="1">
      <c r="A813">
        <v>10835391</v>
      </c>
      <c r="B813" t="s">
        <v>983</v>
      </c>
      <c r="C813" t="s">
        <v>974</v>
      </c>
      <c r="D813" t="s">
        <v>852</v>
      </c>
      <c r="E813" t="s">
        <v>1439</v>
      </c>
      <c r="F813" s="78">
        <v>0.96606481481481488</v>
      </c>
      <c r="G813" t="s">
        <v>1405</v>
      </c>
      <c r="H813" t="s">
        <v>1335</v>
      </c>
      <c r="I813" s="88" t="str">
        <f>VLOOKUP(A813,Base!A:B,2,0)</f>
        <v>10.835.391-0</v>
      </c>
      <c r="J813" s="99" t="str">
        <f>VLOOKUP(A813,Base!A:F,6,0)</f>
        <v>DANIEL PATRICIO  SANCHEZ  VASQUEZ</v>
      </c>
      <c r="K813" s="89" t="str">
        <f>IFERROR(IF(VLOOKUP(I813,Ingreso!K:P,6,0)=0,"Sin turtno ing",VLOOKUP(I813,Ingreso!K:P,6,0)),IF(F813&gt;0.25,IF(F813&lt;0.311805555555556,"Turno A",IF(F813&gt;0.3125,IF(F813&lt;0.354166666666667,"Turno C",IF(F813&gt;0.583333333333333,IF(F813&lt;0.625,"Turno B",IF(F813&gt;0.625694444444444,IF(F813&lt;0.8125,"Turno A",IF(F813&gt;0.875,IF(F813&lt;0.936805555555556,"Turno C",IF(F813&gt;0.9375,IF(F813&lt;0.979166666666667,"Turno B",""),"")),"")),"")),"")),"")),""))</f>
        <v>Turno C</v>
      </c>
      <c r="L813" s="91">
        <f t="shared" si="12"/>
        <v>0.375</v>
      </c>
    </row>
    <row r="814" spans="1:12" s="40" customFormat="1">
      <c r="A814">
        <v>10846598</v>
      </c>
      <c r="B814" t="s">
        <v>84</v>
      </c>
      <c r="C814" t="s">
        <v>82</v>
      </c>
      <c r="D814" t="s">
        <v>83</v>
      </c>
      <c r="E814" t="s">
        <v>1440</v>
      </c>
      <c r="F814" s="78">
        <v>0.32697916666666665</v>
      </c>
      <c r="G814" t="s">
        <v>1406</v>
      </c>
      <c r="H814" t="s">
        <v>1336</v>
      </c>
      <c r="I814" s="88" t="str">
        <f>VLOOKUP(A814,Base!A:B,2,0)</f>
        <v>10.846.598-0</v>
      </c>
      <c r="J814" s="99" t="str">
        <f>VLOOKUP(A814,Base!A:F,6,0)</f>
        <v>RODOLFO ALBERTO  ALVEAR  GONZALEZ</v>
      </c>
      <c r="K814" s="89" t="str">
        <f>IFERROR(IF(VLOOKUP(I814,Ingreso!K:P,6,0)=0,"Sin turtno ing",VLOOKUP(I814,Ingreso!K:P,6,0)),IF(F814&gt;0.25,IF(F814&lt;0.311805555555556,"Turno A",IF(F814&gt;0.3125,IF(F814&lt;0.354166666666667,"Turno C",IF(F814&gt;0.583333333333333,IF(F814&lt;0.625,"Turno B",IF(F814&gt;0.625694444444444,IF(F814&lt;0.8125,"Turno A",IF(F814&gt;0.875,IF(F814&lt;0.936805555555556,"Turno C",IF(F814&gt;0.9375,IF(F814&lt;0.979166666666667,"Turno B",""),"")),"")),"")),"")),"")),""))</f>
        <v>Turno C</v>
      </c>
      <c r="L814" s="91">
        <f t="shared" si="12"/>
        <v>0.375</v>
      </c>
    </row>
    <row r="815" spans="1:12" s="40" customFormat="1">
      <c r="A815">
        <v>10846598</v>
      </c>
      <c r="B815" t="s">
        <v>84</v>
      </c>
      <c r="C815" t="s">
        <v>82</v>
      </c>
      <c r="D815" t="s">
        <v>83</v>
      </c>
      <c r="E815" t="s">
        <v>1440</v>
      </c>
      <c r="F815" s="78">
        <v>0.91856481481481478</v>
      </c>
      <c r="G815" t="s">
        <v>1405</v>
      </c>
      <c r="H815" t="s">
        <v>1335</v>
      </c>
      <c r="I815" s="88" t="str">
        <f>VLOOKUP(A815,Base!A:B,2,0)</f>
        <v>10.846.598-0</v>
      </c>
      <c r="J815" s="99" t="str">
        <f>VLOOKUP(A815,Base!A:F,6,0)</f>
        <v>RODOLFO ALBERTO  ALVEAR  GONZALEZ</v>
      </c>
      <c r="K815" s="89" t="str">
        <f>IFERROR(IF(VLOOKUP(I815,Ingreso!K:P,6,0)=0,"Sin turtno ing",VLOOKUP(I815,Ingreso!K:P,6,0)),IF(F815&gt;0.25,IF(F815&lt;0.311805555555556,"Turno A",IF(F815&gt;0.3125,IF(F815&lt;0.354166666666667,"Turno C",IF(F815&gt;0.583333333333333,IF(F815&lt;0.625,"Turno B",IF(F815&gt;0.625694444444444,IF(F815&lt;0.8125,"Turno A",IF(F815&gt;0.875,IF(F815&lt;0.936805555555556,"Turno C",IF(F815&gt;0.9375,IF(F815&lt;0.979166666666667,"Turno B",""),"")),"")),"")),"")),"")),""))</f>
        <v>Turno C</v>
      </c>
      <c r="L815" s="91">
        <f t="shared" si="12"/>
        <v>0.375</v>
      </c>
    </row>
    <row r="816" spans="1:12" s="40" customFormat="1">
      <c r="A816">
        <v>10846598</v>
      </c>
      <c r="B816" t="s">
        <v>84</v>
      </c>
      <c r="C816" t="s">
        <v>82</v>
      </c>
      <c r="D816" t="s">
        <v>83</v>
      </c>
      <c r="E816" t="s">
        <v>1441</v>
      </c>
      <c r="F816" s="78">
        <v>0.32725694444444448</v>
      </c>
      <c r="G816" t="s">
        <v>1406</v>
      </c>
      <c r="H816" t="s">
        <v>1336</v>
      </c>
      <c r="I816" s="88" t="str">
        <f>VLOOKUP(A816,Base!A:B,2,0)</f>
        <v>10.846.598-0</v>
      </c>
      <c r="J816" s="99" t="str">
        <f>VLOOKUP(A816,Base!A:F,6,0)</f>
        <v>RODOLFO ALBERTO  ALVEAR  GONZALEZ</v>
      </c>
      <c r="K816" s="89" t="str">
        <f>IFERROR(IF(VLOOKUP(I816,Ingreso!K:P,6,0)=0,"Sin turtno ing",VLOOKUP(I816,Ingreso!K:P,6,0)),IF(F816&gt;0.25,IF(F816&lt;0.311805555555556,"Turno A",IF(F816&gt;0.3125,IF(F816&lt;0.354166666666667,"Turno C",IF(F816&gt;0.583333333333333,IF(F816&lt;0.625,"Turno B",IF(F816&gt;0.625694444444444,IF(F816&lt;0.8125,"Turno A",IF(F816&gt;0.875,IF(F816&lt;0.936805555555556,"Turno C",IF(F816&gt;0.9375,IF(F816&lt;0.979166666666667,"Turno B",""),"")),"")),"")),"")),"")),""))</f>
        <v>Turno C</v>
      </c>
      <c r="L816" s="91">
        <f t="shared" si="12"/>
        <v>0.375</v>
      </c>
    </row>
    <row r="817" spans="1:12" s="40" customFormat="1">
      <c r="A817">
        <v>10846598</v>
      </c>
      <c r="B817" t="s">
        <v>84</v>
      </c>
      <c r="C817" t="s">
        <v>82</v>
      </c>
      <c r="D817" t="s">
        <v>83</v>
      </c>
      <c r="E817" t="s">
        <v>1437</v>
      </c>
      <c r="F817" s="78">
        <v>0.9186805555555555</v>
      </c>
      <c r="G817" t="s">
        <v>1405</v>
      </c>
      <c r="H817" t="s">
        <v>1335</v>
      </c>
      <c r="I817" s="88" t="str">
        <f>VLOOKUP(A817,Base!A:B,2,0)</f>
        <v>10.846.598-0</v>
      </c>
      <c r="J817" s="99" t="str">
        <f>VLOOKUP(A817,Base!A:F,6,0)</f>
        <v>RODOLFO ALBERTO  ALVEAR  GONZALEZ</v>
      </c>
      <c r="K817" s="89" t="str">
        <f>IFERROR(IF(VLOOKUP(I817,Ingreso!K:P,6,0)=0,"Sin turtno ing",VLOOKUP(I817,Ingreso!K:P,6,0)),IF(F817&gt;0.25,IF(F817&lt;0.311805555555556,"Turno A",IF(F817&gt;0.3125,IF(F817&lt;0.354166666666667,"Turno C",IF(F817&gt;0.583333333333333,IF(F817&lt;0.625,"Turno B",IF(F817&gt;0.625694444444444,IF(F817&lt;0.8125,"Turno A",IF(F817&gt;0.875,IF(F817&lt;0.936805555555556,"Turno C",IF(F817&gt;0.9375,IF(F817&lt;0.979166666666667,"Turno B",""),"")),"")),"")),"")),"")),""))</f>
        <v>Turno C</v>
      </c>
      <c r="L817" s="91">
        <f t="shared" si="12"/>
        <v>0.375</v>
      </c>
    </row>
    <row r="818" spans="1:12" s="40" customFormat="1">
      <c r="A818">
        <v>10846598</v>
      </c>
      <c r="B818" t="s">
        <v>84</v>
      </c>
      <c r="C818" t="s">
        <v>82</v>
      </c>
      <c r="D818" t="s">
        <v>83</v>
      </c>
      <c r="E818" t="s">
        <v>1438</v>
      </c>
      <c r="F818" s="78">
        <v>0.32631944444444444</v>
      </c>
      <c r="G818" t="s">
        <v>1406</v>
      </c>
      <c r="H818" t="s">
        <v>1336</v>
      </c>
      <c r="I818" s="88" t="str">
        <f>VLOOKUP(A818,Base!A:B,2,0)</f>
        <v>10.846.598-0</v>
      </c>
      <c r="J818" s="99" t="str">
        <f>VLOOKUP(A818,Base!A:F,6,0)</f>
        <v>RODOLFO ALBERTO  ALVEAR  GONZALEZ</v>
      </c>
      <c r="K818" s="89" t="str">
        <f>IFERROR(IF(VLOOKUP(I818,Ingreso!K:P,6,0)=0,"Sin turtno ing",VLOOKUP(I818,Ingreso!K:P,6,0)),IF(F818&gt;0.25,IF(F818&lt;0.311805555555556,"Turno A",IF(F818&gt;0.3125,IF(F818&lt;0.354166666666667,"Turno C",IF(F818&gt;0.583333333333333,IF(F818&lt;0.625,"Turno B",IF(F818&gt;0.625694444444444,IF(F818&lt;0.8125,"Turno A",IF(F818&gt;0.875,IF(F818&lt;0.936805555555556,"Turno C",IF(F818&gt;0.9375,IF(F818&lt;0.979166666666667,"Turno B",""),"")),"")),"")),"")),"")),""))</f>
        <v>Turno C</v>
      </c>
      <c r="L818" s="91">
        <f t="shared" si="12"/>
        <v>0.375</v>
      </c>
    </row>
    <row r="819" spans="1:12" s="40" customFormat="1">
      <c r="A819">
        <v>10846598</v>
      </c>
      <c r="B819" t="s">
        <v>84</v>
      </c>
      <c r="C819" t="s">
        <v>82</v>
      </c>
      <c r="D819" t="s">
        <v>83</v>
      </c>
      <c r="E819" t="s">
        <v>1438</v>
      </c>
      <c r="F819" s="78">
        <v>0.91878472222222218</v>
      </c>
      <c r="G819" t="s">
        <v>1405</v>
      </c>
      <c r="H819" t="s">
        <v>1335</v>
      </c>
      <c r="I819" s="88" t="str">
        <f>VLOOKUP(A819,Base!A:B,2,0)</f>
        <v>10.846.598-0</v>
      </c>
      <c r="J819" s="99" t="str">
        <f>VLOOKUP(A819,Base!A:F,6,0)</f>
        <v>RODOLFO ALBERTO  ALVEAR  GONZALEZ</v>
      </c>
      <c r="K819" s="89" t="str">
        <f>IFERROR(IF(VLOOKUP(I819,Ingreso!K:P,6,0)=0,"Sin turtno ing",VLOOKUP(I819,Ingreso!K:P,6,0)),IF(F819&gt;0.25,IF(F819&lt;0.311805555555556,"Turno A",IF(F819&gt;0.3125,IF(F819&lt;0.354166666666667,"Turno C",IF(F819&gt;0.583333333333333,IF(F819&lt;0.625,"Turno B",IF(F819&gt;0.625694444444444,IF(F819&lt;0.8125,"Turno A",IF(F819&gt;0.875,IF(F819&lt;0.936805555555556,"Turno C",IF(F819&gt;0.9375,IF(F819&lt;0.979166666666667,"Turno B",""),"")),"")),"")),"")),"")),""))</f>
        <v>Turno C</v>
      </c>
      <c r="L819" s="91">
        <f t="shared" si="12"/>
        <v>0.375</v>
      </c>
    </row>
    <row r="820" spans="1:12" s="40" customFormat="1">
      <c r="A820">
        <v>10846598</v>
      </c>
      <c r="B820" t="s">
        <v>84</v>
      </c>
      <c r="C820" t="s">
        <v>82</v>
      </c>
      <c r="D820" t="s">
        <v>83</v>
      </c>
      <c r="E820" t="s">
        <v>1439</v>
      </c>
      <c r="F820" s="78">
        <v>0.32760416666666664</v>
      </c>
      <c r="G820" t="s">
        <v>1406</v>
      </c>
      <c r="H820" t="s">
        <v>1336</v>
      </c>
      <c r="I820" s="88" t="str">
        <f>VLOOKUP(A820,Base!A:B,2,0)</f>
        <v>10.846.598-0</v>
      </c>
      <c r="J820" s="99" t="str">
        <f>VLOOKUP(A820,Base!A:F,6,0)</f>
        <v>RODOLFO ALBERTO  ALVEAR  GONZALEZ</v>
      </c>
      <c r="K820" s="89" t="str">
        <f>IFERROR(IF(VLOOKUP(I820,Ingreso!K:P,6,0)=0,"Sin turtno ing",VLOOKUP(I820,Ingreso!K:P,6,0)),IF(F820&gt;0.25,IF(F820&lt;0.311805555555556,"Turno A",IF(F820&gt;0.3125,IF(F820&lt;0.354166666666667,"Turno C",IF(F820&gt;0.583333333333333,IF(F820&lt;0.625,"Turno B",IF(F820&gt;0.625694444444444,IF(F820&lt;0.8125,"Turno A",IF(F820&gt;0.875,IF(F820&lt;0.936805555555556,"Turno C",IF(F820&gt;0.9375,IF(F820&lt;0.979166666666667,"Turno B",""),"")),"")),"")),"")),"")),""))</f>
        <v>Turno C</v>
      </c>
      <c r="L820" s="91">
        <f t="shared" si="12"/>
        <v>0.375</v>
      </c>
    </row>
    <row r="821" spans="1:12" s="40" customFormat="1">
      <c r="A821">
        <v>10846598</v>
      </c>
      <c r="B821" t="s">
        <v>84</v>
      </c>
      <c r="C821" t="s">
        <v>82</v>
      </c>
      <c r="D821" t="s">
        <v>83</v>
      </c>
      <c r="E821" t="s">
        <v>1439</v>
      </c>
      <c r="F821" s="78">
        <v>0.91799768518518521</v>
      </c>
      <c r="G821" t="s">
        <v>1405</v>
      </c>
      <c r="H821" t="s">
        <v>1335</v>
      </c>
      <c r="I821" s="88" t="str">
        <f>VLOOKUP(A821,Base!A:B,2,0)</f>
        <v>10.846.598-0</v>
      </c>
      <c r="J821" s="99" t="str">
        <f>VLOOKUP(A821,Base!A:F,6,0)</f>
        <v>RODOLFO ALBERTO  ALVEAR  GONZALEZ</v>
      </c>
      <c r="K821" s="89" t="str">
        <f>IFERROR(IF(VLOOKUP(I821,Ingreso!K:P,6,0)=0,"Sin turtno ing",VLOOKUP(I821,Ingreso!K:P,6,0)),IF(F821&gt;0.25,IF(F821&lt;0.311805555555556,"Turno A",IF(F821&gt;0.3125,IF(F821&lt;0.354166666666667,"Turno C",IF(F821&gt;0.583333333333333,IF(F821&lt;0.625,"Turno B",IF(F821&gt;0.625694444444444,IF(F821&lt;0.8125,"Turno A",IF(F821&gt;0.875,IF(F821&lt;0.936805555555556,"Turno C",IF(F821&gt;0.9375,IF(F821&lt;0.979166666666667,"Turno B",""),"")),"")),"")),"")),"")),""))</f>
        <v>Turno C</v>
      </c>
      <c r="L821" s="91">
        <f t="shared" si="12"/>
        <v>0.375</v>
      </c>
    </row>
    <row r="822" spans="1:12" s="40" customFormat="1">
      <c r="A822">
        <v>10849076</v>
      </c>
      <c r="B822" t="s">
        <v>263</v>
      </c>
      <c r="C822" t="s">
        <v>1001</v>
      </c>
      <c r="D822" t="s">
        <v>785</v>
      </c>
      <c r="E822" t="s">
        <v>1440</v>
      </c>
      <c r="F822" s="78">
        <v>0.65883101851851855</v>
      </c>
      <c r="G822" t="s">
        <v>1406</v>
      </c>
      <c r="H822" t="s">
        <v>1336</v>
      </c>
      <c r="I822" s="88" t="str">
        <f>VLOOKUP(A822,Base!A:B,2,0)</f>
        <v>10.849.076-4</v>
      </c>
      <c r="J822" s="99" t="str">
        <f>VLOOKUP(A822,Base!A:F,6,0)</f>
        <v>RICARDO  SANTANA  PEREZ</v>
      </c>
      <c r="K822" s="89" t="str">
        <f>IFERROR(IF(VLOOKUP(I822,Ingreso!K:P,6,0)=0,"Sin turtno ing",VLOOKUP(I822,Ingreso!K:P,6,0)),IF(F822&gt;0.25,IF(F822&lt;0.311805555555556,"Turno A",IF(F822&gt;0.3125,IF(F822&lt;0.354166666666667,"Turno C",IF(F822&gt;0.583333333333333,IF(F822&lt;0.625,"Turno B",IF(F822&gt;0.625694444444444,IF(F822&lt;0.8125,"Turno A",IF(F822&gt;0.875,IF(F822&lt;0.936805555555556,"Turno C",IF(F822&gt;0.9375,IF(F822&lt;0.979166666666667,"Turno B",""),"")),"")),"")),"")),"")),""))</f>
        <v>Turno A</v>
      </c>
      <c r="L822" s="91">
        <f t="shared" si="12"/>
        <v>0.3125</v>
      </c>
    </row>
    <row r="823" spans="1:12" s="40" customFormat="1">
      <c r="A823">
        <v>10849076</v>
      </c>
      <c r="B823" t="s">
        <v>263</v>
      </c>
      <c r="C823" t="s">
        <v>1001</v>
      </c>
      <c r="D823" t="s">
        <v>785</v>
      </c>
      <c r="E823" t="s">
        <v>1440</v>
      </c>
      <c r="F823" s="78">
        <v>0.29396990740740742</v>
      </c>
      <c r="G823" t="s">
        <v>1405</v>
      </c>
      <c r="H823" t="s">
        <v>1335</v>
      </c>
      <c r="I823" s="88" t="str">
        <f>VLOOKUP(A823,Base!A:B,2,0)</f>
        <v>10.849.076-4</v>
      </c>
      <c r="J823" s="99" t="str">
        <f>VLOOKUP(A823,Base!A:F,6,0)</f>
        <v>RICARDO  SANTANA  PEREZ</v>
      </c>
      <c r="K823" s="89" t="str">
        <f>IFERROR(IF(VLOOKUP(I823,Ingreso!K:P,6,0)=0,"Sin turtno ing",VLOOKUP(I823,Ingreso!K:P,6,0)),IF(F823&gt;0.25,IF(F823&lt;0.311805555555556,"Turno A",IF(F823&gt;0.3125,IF(F823&lt;0.354166666666667,"Turno C",IF(F823&gt;0.583333333333333,IF(F823&lt;0.625,"Turno B",IF(F823&gt;0.625694444444444,IF(F823&lt;0.8125,"Turno A",IF(F823&gt;0.875,IF(F823&lt;0.936805555555556,"Turno C",IF(F823&gt;0.9375,IF(F823&lt;0.979166666666667,"Turno B",""),"")),"")),"")),"")),"")),""))</f>
        <v>Turno A</v>
      </c>
      <c r="L823" s="91">
        <f t="shared" si="12"/>
        <v>0.3125</v>
      </c>
    </row>
    <row r="824" spans="1:12" s="40" customFormat="1">
      <c r="A824">
        <v>10849076</v>
      </c>
      <c r="B824" t="s">
        <v>263</v>
      </c>
      <c r="C824" t="s">
        <v>1001</v>
      </c>
      <c r="D824" t="s">
        <v>785</v>
      </c>
      <c r="E824" t="s">
        <v>1441</v>
      </c>
      <c r="F824" s="78">
        <v>0.64806712962962965</v>
      </c>
      <c r="G824" t="s">
        <v>1406</v>
      </c>
      <c r="H824" t="s">
        <v>1336</v>
      </c>
      <c r="I824" s="88" t="str">
        <f>VLOOKUP(A824,Base!A:B,2,0)</f>
        <v>10.849.076-4</v>
      </c>
      <c r="J824" s="99" t="str">
        <f>VLOOKUP(A824,Base!A:F,6,0)</f>
        <v>RICARDO  SANTANA  PEREZ</v>
      </c>
      <c r="K824" s="89" t="str">
        <f>IFERROR(IF(VLOOKUP(I824,Ingreso!K:P,6,0)=0,"Sin turtno ing",VLOOKUP(I824,Ingreso!K:P,6,0)),IF(F824&gt;0.25,IF(F824&lt;0.311805555555556,"Turno A",IF(F824&gt;0.3125,IF(F824&lt;0.354166666666667,"Turno C",IF(F824&gt;0.583333333333333,IF(F824&lt;0.625,"Turno B",IF(F824&gt;0.625694444444444,IF(F824&lt;0.8125,"Turno A",IF(F824&gt;0.875,IF(F824&lt;0.936805555555556,"Turno C",IF(F824&gt;0.9375,IF(F824&lt;0.979166666666667,"Turno B",""),"")),"")),"")),"")),"")),""))</f>
        <v>Turno A</v>
      </c>
      <c r="L824" s="91">
        <f t="shared" si="12"/>
        <v>0.3125</v>
      </c>
    </row>
    <row r="825" spans="1:12" s="40" customFormat="1">
      <c r="A825">
        <v>10849076</v>
      </c>
      <c r="B825" t="s">
        <v>263</v>
      </c>
      <c r="C825" t="s">
        <v>1001</v>
      </c>
      <c r="D825" t="s">
        <v>785</v>
      </c>
      <c r="E825" t="s">
        <v>1441</v>
      </c>
      <c r="F825" s="78">
        <v>0.31494212962962964</v>
      </c>
      <c r="G825" t="s">
        <v>1405</v>
      </c>
      <c r="H825" t="s">
        <v>1335</v>
      </c>
      <c r="I825" s="88" t="str">
        <f>VLOOKUP(A825,Base!A:B,2,0)</f>
        <v>10.849.076-4</v>
      </c>
      <c r="J825" s="99" t="str">
        <f>VLOOKUP(A825,Base!A:F,6,0)</f>
        <v>RICARDO  SANTANA  PEREZ</v>
      </c>
      <c r="K825" s="89" t="str">
        <f>IFERROR(IF(VLOOKUP(I825,Ingreso!K:P,6,0)=0,"Sin turtno ing",VLOOKUP(I825,Ingreso!K:P,6,0)),IF(F825&gt;0.25,IF(F825&lt;0.311805555555556,"Turno A",IF(F825&gt;0.3125,IF(F825&lt;0.354166666666667,"Turno C",IF(F825&gt;0.583333333333333,IF(F825&lt;0.625,"Turno B",IF(F825&gt;0.625694444444444,IF(F825&lt;0.8125,"Turno A",IF(F825&gt;0.875,IF(F825&lt;0.936805555555556,"Turno C",IF(F825&gt;0.9375,IF(F825&lt;0.979166666666667,"Turno B",""),"")),"")),"")),"")),"")),""))</f>
        <v>Turno C</v>
      </c>
      <c r="L825" s="91">
        <f t="shared" si="12"/>
        <v>0.375</v>
      </c>
    </row>
    <row r="826" spans="1:12" s="40" customFormat="1">
      <c r="A826">
        <v>10849076</v>
      </c>
      <c r="B826" t="s">
        <v>263</v>
      </c>
      <c r="C826" t="s">
        <v>1001</v>
      </c>
      <c r="D826" t="s">
        <v>785</v>
      </c>
      <c r="E826" t="s">
        <v>1437</v>
      </c>
      <c r="F826" s="78">
        <v>0.7357407407407407</v>
      </c>
      <c r="G826" t="s">
        <v>1406</v>
      </c>
      <c r="H826" t="s">
        <v>1336</v>
      </c>
      <c r="I826" s="88" t="str">
        <f>VLOOKUP(A826,Base!A:B,2,0)</f>
        <v>10.849.076-4</v>
      </c>
      <c r="J826" s="99" t="str">
        <f>VLOOKUP(A826,Base!A:F,6,0)</f>
        <v>RICARDO  SANTANA  PEREZ</v>
      </c>
      <c r="K826" s="89" t="str">
        <f>IFERROR(IF(VLOOKUP(I826,Ingreso!K:P,6,0)=0,"Sin turtno ing",VLOOKUP(I826,Ingreso!K:P,6,0)),IF(F826&gt;0.25,IF(F826&lt;0.311805555555556,"Turno A",IF(F826&gt;0.3125,IF(F826&lt;0.354166666666667,"Turno C",IF(F826&gt;0.583333333333333,IF(F826&lt;0.625,"Turno B",IF(F826&gt;0.625694444444444,IF(F826&lt;0.8125,"Turno A",IF(F826&gt;0.875,IF(F826&lt;0.936805555555556,"Turno C",IF(F826&gt;0.9375,IF(F826&lt;0.979166666666667,"Turno B",""),"")),"")),"")),"")),"")),""))</f>
        <v>Turno A</v>
      </c>
      <c r="L826" s="91">
        <f t="shared" si="12"/>
        <v>0.3125</v>
      </c>
    </row>
    <row r="827" spans="1:12" s="40" customFormat="1">
      <c r="A827">
        <v>10849076</v>
      </c>
      <c r="B827" t="s">
        <v>263</v>
      </c>
      <c r="C827" t="s">
        <v>1001</v>
      </c>
      <c r="D827" t="s">
        <v>785</v>
      </c>
      <c r="E827" t="s">
        <v>1437</v>
      </c>
      <c r="F827" s="78">
        <v>0.29289351851851853</v>
      </c>
      <c r="G827" t="s">
        <v>1405</v>
      </c>
      <c r="H827" t="s">
        <v>1335</v>
      </c>
      <c r="I827" s="88" t="str">
        <f>VLOOKUP(A827,Base!A:B,2,0)</f>
        <v>10.849.076-4</v>
      </c>
      <c r="J827" s="99" t="str">
        <f>VLOOKUP(A827,Base!A:F,6,0)</f>
        <v>RICARDO  SANTANA  PEREZ</v>
      </c>
      <c r="K827" s="89" t="str">
        <f>IFERROR(IF(VLOOKUP(I827,Ingreso!K:P,6,0)=0,"Sin turtno ing",VLOOKUP(I827,Ingreso!K:P,6,0)),IF(F827&gt;0.25,IF(F827&lt;0.311805555555556,"Turno A",IF(F827&gt;0.3125,IF(F827&lt;0.354166666666667,"Turno C",IF(F827&gt;0.583333333333333,IF(F827&lt;0.625,"Turno B",IF(F827&gt;0.625694444444444,IF(F827&lt;0.8125,"Turno A",IF(F827&gt;0.875,IF(F827&lt;0.936805555555556,"Turno C",IF(F827&gt;0.9375,IF(F827&lt;0.979166666666667,"Turno B",""),"")),"")),"")),"")),"")),""))</f>
        <v>Turno A</v>
      </c>
      <c r="L827" s="91">
        <f t="shared" si="12"/>
        <v>0.3125</v>
      </c>
    </row>
    <row r="828" spans="1:12" s="40" customFormat="1">
      <c r="A828">
        <v>10849076</v>
      </c>
      <c r="B828" t="s">
        <v>263</v>
      </c>
      <c r="C828" t="s">
        <v>1001</v>
      </c>
      <c r="D828" t="s">
        <v>785</v>
      </c>
      <c r="E828" t="s">
        <v>1439</v>
      </c>
      <c r="F828" s="78">
        <v>0.6375925925925926</v>
      </c>
      <c r="G828" t="s">
        <v>1406</v>
      </c>
      <c r="H828" t="s">
        <v>1336</v>
      </c>
      <c r="I828" s="88" t="str">
        <f>VLOOKUP(A828,Base!A:B,2,0)</f>
        <v>10.849.076-4</v>
      </c>
      <c r="J828" s="99" t="str">
        <f>VLOOKUP(A828,Base!A:F,6,0)</f>
        <v>RICARDO  SANTANA  PEREZ</v>
      </c>
      <c r="K828" s="89" t="str">
        <f>IFERROR(IF(VLOOKUP(I828,Ingreso!K:P,6,0)=0,"Sin turtno ing",VLOOKUP(I828,Ingreso!K:P,6,0)),IF(F828&gt;0.25,IF(F828&lt;0.311805555555556,"Turno A",IF(F828&gt;0.3125,IF(F828&lt;0.354166666666667,"Turno C",IF(F828&gt;0.583333333333333,IF(F828&lt;0.625,"Turno B",IF(F828&gt;0.625694444444444,IF(F828&lt;0.8125,"Turno A",IF(F828&gt;0.875,IF(F828&lt;0.936805555555556,"Turno C",IF(F828&gt;0.9375,IF(F828&lt;0.979166666666667,"Turno B",""),"")),"")),"")),"")),"")),""))</f>
        <v>Turno A</v>
      </c>
      <c r="L828" s="91">
        <f t="shared" si="12"/>
        <v>0.3125</v>
      </c>
    </row>
    <row r="829" spans="1:12" s="40" customFormat="1">
      <c r="A829">
        <v>10849076</v>
      </c>
      <c r="B829" t="s">
        <v>263</v>
      </c>
      <c r="C829" t="s">
        <v>1001</v>
      </c>
      <c r="D829" t="s">
        <v>785</v>
      </c>
      <c r="E829" t="s">
        <v>1439</v>
      </c>
      <c r="F829" s="78">
        <v>0.29385416666666669</v>
      </c>
      <c r="G829" t="s">
        <v>1405</v>
      </c>
      <c r="H829" t="s">
        <v>1335</v>
      </c>
      <c r="I829" s="88" t="str">
        <f>VLOOKUP(A829,Base!A:B,2,0)</f>
        <v>10.849.076-4</v>
      </c>
      <c r="J829" s="99" t="str">
        <f>VLOOKUP(A829,Base!A:F,6,0)</f>
        <v>RICARDO  SANTANA  PEREZ</v>
      </c>
      <c r="K829" s="89" t="str">
        <f>IFERROR(IF(VLOOKUP(I829,Ingreso!K:P,6,0)=0,"Sin turtno ing",VLOOKUP(I829,Ingreso!K:P,6,0)),IF(F829&gt;0.25,IF(F829&lt;0.311805555555556,"Turno A",IF(F829&gt;0.3125,IF(F829&lt;0.354166666666667,"Turno C",IF(F829&gt;0.583333333333333,IF(F829&lt;0.625,"Turno B",IF(F829&gt;0.625694444444444,IF(F829&lt;0.8125,"Turno A",IF(F829&gt;0.875,IF(F829&lt;0.936805555555556,"Turno C",IF(F829&gt;0.9375,IF(F829&lt;0.979166666666667,"Turno B",""),"")),"")),"")),"")),"")),""))</f>
        <v>Turno A</v>
      </c>
      <c r="L829" s="91">
        <f t="shared" si="12"/>
        <v>0.3125</v>
      </c>
    </row>
    <row r="830" spans="1:12" s="40" customFormat="1">
      <c r="A830">
        <v>10849486</v>
      </c>
      <c r="B830" t="s">
        <v>1232</v>
      </c>
      <c r="C830" t="s">
        <v>1231</v>
      </c>
      <c r="D830" t="s">
        <v>1165</v>
      </c>
      <c r="E830" t="s">
        <v>1440</v>
      </c>
      <c r="F830" s="78">
        <v>0.32715277777777779</v>
      </c>
      <c r="G830" t="s">
        <v>1406</v>
      </c>
      <c r="H830" t="s">
        <v>1336</v>
      </c>
      <c r="I830" s="88" t="str">
        <f>VLOOKUP(A830,Base!A:B,2,0)</f>
        <v>10.849.486-7</v>
      </c>
      <c r="J830" s="99" t="str">
        <f>VLOOKUP(A830,Base!A:F,6,0)</f>
        <v>ELVIO  VALDENEGRO  GARRIDO</v>
      </c>
      <c r="K830" s="89" t="str">
        <f>IFERROR(IF(VLOOKUP(I830,Ingreso!K:P,6,0)=0,"Sin turtno ing",VLOOKUP(I830,Ingreso!K:P,6,0)),IF(F830&gt;0.25,IF(F830&lt;0.311805555555556,"Turno A",IF(F830&gt;0.3125,IF(F830&lt;0.354166666666667,"Turno C",IF(F830&gt;0.583333333333333,IF(F830&lt;0.625,"Turno B",IF(F830&gt;0.625694444444444,IF(F830&lt;0.8125,"Turno A",IF(F830&gt;0.875,IF(F830&lt;0.936805555555556,"Turno C",IF(F830&gt;0.9375,IF(F830&lt;0.979166666666667,"Turno B",""),"")),"")),"")),"")),"")),""))</f>
        <v>Turno C</v>
      </c>
      <c r="L830" s="91">
        <f t="shared" si="12"/>
        <v>0.375</v>
      </c>
    </row>
    <row r="831" spans="1:12" s="40" customFormat="1">
      <c r="A831">
        <v>10849486</v>
      </c>
      <c r="B831" t="s">
        <v>1232</v>
      </c>
      <c r="C831" t="s">
        <v>1231</v>
      </c>
      <c r="D831" t="s">
        <v>1165</v>
      </c>
      <c r="E831" t="s">
        <v>1440</v>
      </c>
      <c r="F831" s="78">
        <v>0.80516203703703704</v>
      </c>
      <c r="G831" t="s">
        <v>1405</v>
      </c>
      <c r="H831" t="s">
        <v>1335</v>
      </c>
      <c r="I831" s="88" t="str">
        <f>VLOOKUP(A831,Base!A:B,2,0)</f>
        <v>10.849.486-7</v>
      </c>
      <c r="J831" s="99" t="str">
        <f>VLOOKUP(A831,Base!A:F,6,0)</f>
        <v>ELVIO  VALDENEGRO  GARRIDO</v>
      </c>
      <c r="K831" s="89" t="str">
        <f>IFERROR(IF(VLOOKUP(I831,Ingreso!K:P,6,0)=0,"Sin turtno ing",VLOOKUP(I831,Ingreso!K:P,6,0)),IF(F831&gt;0.25,IF(F831&lt;0.311805555555556,"Turno A",IF(F831&gt;0.3125,IF(F831&lt;0.354166666666667,"Turno C",IF(F831&gt;0.583333333333333,IF(F831&lt;0.625,"Turno B",IF(F831&gt;0.625694444444444,IF(F831&lt;0.8125,"Turno A",IF(F831&gt;0.875,IF(F831&lt;0.936805555555556,"Turno C",IF(F831&gt;0.9375,IF(F831&lt;0.979166666666667,"Turno B",""),"")),"")),"")),"")),"")),""))</f>
        <v>Turno C</v>
      </c>
      <c r="L831" s="91">
        <f t="shared" si="12"/>
        <v>0.375</v>
      </c>
    </row>
    <row r="832" spans="1:12" s="40" customFormat="1">
      <c r="A832">
        <v>10849486</v>
      </c>
      <c r="B832" t="s">
        <v>1232</v>
      </c>
      <c r="C832" t="s">
        <v>1231</v>
      </c>
      <c r="D832" t="s">
        <v>1165</v>
      </c>
      <c r="E832" t="s">
        <v>1441</v>
      </c>
      <c r="F832" s="78">
        <v>0.32619212962962962</v>
      </c>
      <c r="G832" t="s">
        <v>1406</v>
      </c>
      <c r="H832" t="s">
        <v>1336</v>
      </c>
      <c r="I832" s="88" t="str">
        <f>VLOOKUP(A832,Base!A:B,2,0)</f>
        <v>10.849.486-7</v>
      </c>
      <c r="J832" s="99" t="str">
        <f>VLOOKUP(A832,Base!A:F,6,0)</f>
        <v>ELVIO  VALDENEGRO  GARRIDO</v>
      </c>
      <c r="K832" s="89" t="str">
        <f>IFERROR(IF(VLOOKUP(I832,Ingreso!K:P,6,0)=0,"Sin turtno ing",VLOOKUP(I832,Ingreso!K:P,6,0)),IF(F832&gt;0.25,IF(F832&lt;0.311805555555556,"Turno A",IF(F832&gt;0.3125,IF(F832&lt;0.354166666666667,"Turno C",IF(F832&gt;0.583333333333333,IF(F832&lt;0.625,"Turno B",IF(F832&gt;0.625694444444444,IF(F832&lt;0.8125,"Turno A",IF(F832&gt;0.875,IF(F832&lt;0.936805555555556,"Turno C",IF(F832&gt;0.9375,IF(F832&lt;0.979166666666667,"Turno B",""),"")),"")),"")),"")),"")),""))</f>
        <v>Turno C</v>
      </c>
      <c r="L832" s="91">
        <f t="shared" si="12"/>
        <v>0.375</v>
      </c>
    </row>
    <row r="833" spans="1:12" s="40" customFormat="1">
      <c r="A833">
        <v>10849486</v>
      </c>
      <c r="B833" t="s">
        <v>1232</v>
      </c>
      <c r="C833" t="s">
        <v>1231</v>
      </c>
      <c r="D833" t="s">
        <v>1165</v>
      </c>
      <c r="E833" t="s">
        <v>1441</v>
      </c>
      <c r="F833" s="78">
        <v>0.95505787037037038</v>
      </c>
      <c r="G833" t="s">
        <v>1406</v>
      </c>
      <c r="H833" t="s">
        <v>1336</v>
      </c>
      <c r="I833" s="88" t="str">
        <f>VLOOKUP(A833,Base!A:B,2,0)</f>
        <v>10.849.486-7</v>
      </c>
      <c r="J833" s="99" t="str">
        <f>VLOOKUP(A833,Base!A:F,6,0)</f>
        <v>ELVIO  VALDENEGRO  GARRIDO</v>
      </c>
      <c r="K833" s="89" t="str">
        <f>IFERROR(IF(VLOOKUP(I833,Ingreso!K:P,6,0)=0,"Sin turtno ing",VLOOKUP(I833,Ingreso!K:P,6,0)),IF(F833&gt;0.25,IF(F833&lt;0.311805555555556,"Turno A",IF(F833&gt;0.3125,IF(F833&lt;0.354166666666667,"Turno C",IF(F833&gt;0.583333333333333,IF(F833&lt;0.625,"Turno B",IF(F833&gt;0.625694444444444,IF(F833&lt;0.8125,"Turno A",IF(F833&gt;0.875,IF(F833&lt;0.936805555555556,"Turno C",IF(F833&gt;0.9375,IF(F833&lt;0.979166666666667,"Turno B",""),"")),"")),"")),"")),"")),""))</f>
        <v>Turno C</v>
      </c>
      <c r="L833" s="91">
        <f t="shared" si="12"/>
        <v>0.375</v>
      </c>
    </row>
    <row r="834" spans="1:12" s="40" customFormat="1">
      <c r="A834">
        <v>10849486</v>
      </c>
      <c r="B834" t="s">
        <v>1232</v>
      </c>
      <c r="C834" t="s">
        <v>1231</v>
      </c>
      <c r="D834" t="s">
        <v>1165</v>
      </c>
      <c r="E834" t="s">
        <v>1441</v>
      </c>
      <c r="F834" s="78">
        <v>0.64148148148148143</v>
      </c>
      <c r="G834" t="s">
        <v>1405</v>
      </c>
      <c r="H834" t="s">
        <v>1335</v>
      </c>
      <c r="I834" s="88" t="str">
        <f>VLOOKUP(A834,Base!A:B,2,0)</f>
        <v>10.849.486-7</v>
      </c>
      <c r="J834" s="99" t="str">
        <f>VLOOKUP(A834,Base!A:F,6,0)</f>
        <v>ELVIO  VALDENEGRO  GARRIDO</v>
      </c>
      <c r="K834" s="89" t="str">
        <f>IFERROR(IF(VLOOKUP(I834,Ingreso!K:P,6,0)=0,"Sin turtno ing",VLOOKUP(I834,Ingreso!K:P,6,0)),IF(F834&gt;0.25,IF(F834&lt;0.311805555555556,"Turno A",IF(F834&gt;0.3125,IF(F834&lt;0.354166666666667,"Turno C",IF(F834&gt;0.583333333333333,IF(F834&lt;0.625,"Turno B",IF(F834&gt;0.625694444444444,IF(F834&lt;0.8125,"Turno A",IF(F834&gt;0.875,IF(F834&lt;0.936805555555556,"Turno C",IF(F834&gt;0.9375,IF(F834&lt;0.979166666666667,"Turno B",""),"")),"")),"")),"")),"")),""))</f>
        <v>Turno C</v>
      </c>
      <c r="L834" s="91">
        <f t="shared" si="12"/>
        <v>0.375</v>
      </c>
    </row>
    <row r="835" spans="1:12" s="40" customFormat="1">
      <c r="A835">
        <v>10849486</v>
      </c>
      <c r="B835" t="s">
        <v>1232</v>
      </c>
      <c r="C835" t="s">
        <v>1231</v>
      </c>
      <c r="D835" t="s">
        <v>1165</v>
      </c>
      <c r="E835" t="s">
        <v>1437</v>
      </c>
      <c r="F835" s="78">
        <v>0.91978009259259252</v>
      </c>
      <c r="G835" t="s">
        <v>1405</v>
      </c>
      <c r="H835" t="s">
        <v>1335</v>
      </c>
      <c r="I835" s="88" t="str">
        <f>VLOOKUP(A835,Base!A:B,2,0)</f>
        <v>10.849.486-7</v>
      </c>
      <c r="J835" s="99" t="str">
        <f>VLOOKUP(A835,Base!A:F,6,0)</f>
        <v>ELVIO  VALDENEGRO  GARRIDO</v>
      </c>
      <c r="K835" s="89" t="str">
        <f>IFERROR(IF(VLOOKUP(I835,Ingreso!K:P,6,0)=0,"Sin turtno ing",VLOOKUP(I835,Ingreso!K:P,6,0)),IF(F835&gt;0.25,IF(F835&lt;0.311805555555556,"Turno A",IF(F835&gt;0.3125,IF(F835&lt;0.354166666666667,"Turno C",IF(F835&gt;0.583333333333333,IF(F835&lt;0.625,"Turno B",IF(F835&gt;0.625694444444444,IF(F835&lt;0.8125,"Turno A",IF(F835&gt;0.875,IF(F835&lt;0.936805555555556,"Turno C",IF(F835&gt;0.9375,IF(F835&lt;0.979166666666667,"Turno B",""),"")),"")),"")),"")),"")),""))</f>
        <v>Turno C</v>
      </c>
      <c r="L835" s="91">
        <f t="shared" ref="L835:L898" si="13">VLOOKUP(K835,$S$3:$T$7,2,0)</f>
        <v>0.375</v>
      </c>
    </row>
    <row r="836" spans="1:12" s="40" customFormat="1">
      <c r="A836">
        <v>10849486</v>
      </c>
      <c r="B836" t="s">
        <v>1232</v>
      </c>
      <c r="C836" t="s">
        <v>1231</v>
      </c>
      <c r="D836" t="s">
        <v>1165</v>
      </c>
      <c r="E836" t="s">
        <v>1438</v>
      </c>
      <c r="F836" s="78">
        <v>0.32982638888888888</v>
      </c>
      <c r="G836" t="s">
        <v>1406</v>
      </c>
      <c r="H836" t="s">
        <v>1336</v>
      </c>
      <c r="I836" s="88" t="str">
        <f>VLOOKUP(A836,Base!A:B,2,0)</f>
        <v>10.849.486-7</v>
      </c>
      <c r="J836" s="99" t="str">
        <f>VLOOKUP(A836,Base!A:F,6,0)</f>
        <v>ELVIO  VALDENEGRO  GARRIDO</v>
      </c>
      <c r="K836" s="89" t="str">
        <f>IFERROR(IF(VLOOKUP(I836,Ingreso!K:P,6,0)=0,"Sin turtno ing",VLOOKUP(I836,Ingreso!K:P,6,0)),IF(F836&gt;0.25,IF(F836&lt;0.311805555555556,"Turno A",IF(F836&gt;0.3125,IF(F836&lt;0.354166666666667,"Turno C",IF(F836&gt;0.583333333333333,IF(F836&lt;0.625,"Turno B",IF(F836&gt;0.625694444444444,IF(F836&lt;0.8125,"Turno A",IF(F836&gt;0.875,IF(F836&lt;0.936805555555556,"Turno C",IF(F836&gt;0.9375,IF(F836&lt;0.979166666666667,"Turno B",""),"")),"")),"")),"")),"")),""))</f>
        <v>Turno C</v>
      </c>
      <c r="L836" s="91">
        <f t="shared" si="13"/>
        <v>0.375</v>
      </c>
    </row>
    <row r="837" spans="1:12" s="40" customFormat="1">
      <c r="A837">
        <v>10849486</v>
      </c>
      <c r="B837" t="s">
        <v>1232</v>
      </c>
      <c r="C837" t="s">
        <v>1231</v>
      </c>
      <c r="D837" t="s">
        <v>1165</v>
      </c>
      <c r="E837" t="s">
        <v>1438</v>
      </c>
      <c r="F837" s="78">
        <v>0.7978587962962963</v>
      </c>
      <c r="G837" t="s">
        <v>1405</v>
      </c>
      <c r="H837" t="s">
        <v>1335</v>
      </c>
      <c r="I837" s="88" t="str">
        <f>VLOOKUP(A837,Base!A:B,2,0)</f>
        <v>10.849.486-7</v>
      </c>
      <c r="J837" s="99" t="str">
        <f>VLOOKUP(A837,Base!A:F,6,0)</f>
        <v>ELVIO  VALDENEGRO  GARRIDO</v>
      </c>
      <c r="K837" s="89" t="str">
        <f>IFERROR(IF(VLOOKUP(I837,Ingreso!K:P,6,0)=0,"Sin turtno ing",VLOOKUP(I837,Ingreso!K:P,6,0)),IF(F837&gt;0.25,IF(F837&lt;0.311805555555556,"Turno A",IF(F837&gt;0.3125,IF(F837&lt;0.354166666666667,"Turno C",IF(F837&gt;0.583333333333333,IF(F837&lt;0.625,"Turno B",IF(F837&gt;0.625694444444444,IF(F837&lt;0.8125,"Turno A",IF(F837&gt;0.875,IF(F837&lt;0.936805555555556,"Turno C",IF(F837&gt;0.9375,IF(F837&lt;0.979166666666667,"Turno B",""),"")),"")),"")),"")),"")),""))</f>
        <v>Turno C</v>
      </c>
      <c r="L837" s="91">
        <f t="shared" si="13"/>
        <v>0.375</v>
      </c>
    </row>
    <row r="838" spans="1:12" s="40" customFormat="1">
      <c r="A838">
        <v>10849486</v>
      </c>
      <c r="B838" t="s">
        <v>1232</v>
      </c>
      <c r="C838" t="s">
        <v>1231</v>
      </c>
      <c r="D838" t="s">
        <v>1165</v>
      </c>
      <c r="E838" t="s">
        <v>1439</v>
      </c>
      <c r="F838" s="78">
        <v>0.32925925925925925</v>
      </c>
      <c r="G838" t="s">
        <v>1406</v>
      </c>
      <c r="H838" t="s">
        <v>1336</v>
      </c>
      <c r="I838" s="88" t="str">
        <f>VLOOKUP(A838,Base!A:B,2,0)</f>
        <v>10.849.486-7</v>
      </c>
      <c r="J838" s="99" t="str">
        <f>VLOOKUP(A838,Base!A:F,6,0)</f>
        <v>ELVIO  VALDENEGRO  GARRIDO</v>
      </c>
      <c r="K838" s="89" t="str">
        <f>IFERROR(IF(VLOOKUP(I838,Ingreso!K:P,6,0)=0,"Sin turtno ing",VLOOKUP(I838,Ingreso!K:P,6,0)),IF(F838&gt;0.25,IF(F838&lt;0.311805555555556,"Turno A",IF(F838&gt;0.3125,IF(F838&lt;0.354166666666667,"Turno C",IF(F838&gt;0.583333333333333,IF(F838&lt;0.625,"Turno B",IF(F838&gt;0.625694444444444,IF(F838&lt;0.8125,"Turno A",IF(F838&gt;0.875,IF(F838&lt;0.936805555555556,"Turno C",IF(F838&gt;0.9375,IF(F838&lt;0.979166666666667,"Turno B",""),"")),"")),"")),"")),"")),""))</f>
        <v>Turno C</v>
      </c>
      <c r="L838" s="91">
        <f t="shared" si="13"/>
        <v>0.375</v>
      </c>
    </row>
    <row r="839" spans="1:12" s="40" customFormat="1">
      <c r="A839">
        <v>10849486</v>
      </c>
      <c r="B839" t="s">
        <v>1232</v>
      </c>
      <c r="C839" t="s">
        <v>1231</v>
      </c>
      <c r="D839" t="s">
        <v>1165</v>
      </c>
      <c r="E839" t="s">
        <v>1439</v>
      </c>
      <c r="F839" s="78">
        <v>0.81655092592592593</v>
      </c>
      <c r="G839" t="s">
        <v>1405</v>
      </c>
      <c r="H839" t="s">
        <v>1335</v>
      </c>
      <c r="I839" s="88" t="str">
        <f>VLOOKUP(A839,Base!A:B,2,0)</f>
        <v>10.849.486-7</v>
      </c>
      <c r="J839" s="99" t="str">
        <f>VLOOKUP(A839,Base!A:F,6,0)</f>
        <v>ELVIO  VALDENEGRO  GARRIDO</v>
      </c>
      <c r="K839" s="89" t="str">
        <f>IFERROR(IF(VLOOKUP(I839,Ingreso!K:P,6,0)=0,"Sin turtno ing",VLOOKUP(I839,Ingreso!K:P,6,0)),IF(F839&gt;0.25,IF(F839&lt;0.311805555555556,"Turno A",IF(F839&gt;0.3125,IF(F839&lt;0.354166666666667,"Turno C",IF(F839&gt;0.583333333333333,IF(F839&lt;0.625,"Turno B",IF(F839&gt;0.625694444444444,IF(F839&lt;0.8125,"Turno A",IF(F839&gt;0.875,IF(F839&lt;0.936805555555556,"Turno C",IF(F839&gt;0.9375,IF(F839&lt;0.979166666666667,"Turno B",""),"")),"")),"")),"")),"")),""))</f>
        <v>Turno C</v>
      </c>
      <c r="L839" s="91">
        <f t="shared" si="13"/>
        <v>0.375</v>
      </c>
    </row>
    <row r="840" spans="1:12" s="40" customFormat="1">
      <c r="A840">
        <v>10869222</v>
      </c>
      <c r="B840" t="s">
        <v>165</v>
      </c>
      <c r="C840" t="s">
        <v>568</v>
      </c>
      <c r="D840" t="s">
        <v>569</v>
      </c>
      <c r="E840" t="s">
        <v>1440</v>
      </c>
      <c r="F840" s="78">
        <v>0.31233796296296296</v>
      </c>
      <c r="G840" t="s">
        <v>1406</v>
      </c>
      <c r="H840" t="s">
        <v>1336</v>
      </c>
      <c r="I840" s="88" t="str">
        <f>VLOOKUP(A840,Base!A:B,2,0)</f>
        <v>10.869.222-7</v>
      </c>
      <c r="J840" s="99" t="str">
        <f>VLOOKUP(A840,Base!A:F,6,0)</f>
        <v>MARCO ANTONIO  MADRID  PINTO</v>
      </c>
      <c r="K840" s="89" t="str">
        <f>IFERROR(IF(VLOOKUP(I840,Ingreso!K:P,6,0)=0,"Sin turtno ing",VLOOKUP(I840,Ingreso!K:P,6,0)),IF(F840&gt;0.25,IF(F840&lt;0.311805555555556,"Turno A",IF(F840&gt;0.3125,IF(F840&lt;0.354166666666667,"Turno C",IF(F840&gt;0.583333333333333,IF(F840&lt;0.625,"Turno B",IF(F840&gt;0.625694444444444,IF(F840&lt;0.8125,"Turno A",IF(F840&gt;0.875,IF(F840&lt;0.936805555555556,"Turno C",IF(F840&gt;0.9375,IF(F840&lt;0.979166666666667,"Turno B",""),"")),"")),"")),"")),"")),""))</f>
        <v>Turno C</v>
      </c>
      <c r="L840" s="91">
        <f t="shared" si="13"/>
        <v>0.375</v>
      </c>
    </row>
    <row r="841" spans="1:12" s="40" customFormat="1">
      <c r="A841">
        <v>10869222</v>
      </c>
      <c r="B841" t="s">
        <v>165</v>
      </c>
      <c r="C841" t="s">
        <v>568</v>
      </c>
      <c r="D841" t="s">
        <v>569</v>
      </c>
      <c r="E841" t="s">
        <v>1440</v>
      </c>
      <c r="F841" s="78">
        <v>0.92094907407407411</v>
      </c>
      <c r="G841" t="s">
        <v>1405</v>
      </c>
      <c r="H841" t="s">
        <v>1335</v>
      </c>
      <c r="I841" s="88" t="str">
        <f>VLOOKUP(A841,Base!A:B,2,0)</f>
        <v>10.869.222-7</v>
      </c>
      <c r="J841" s="99" t="str">
        <f>VLOOKUP(A841,Base!A:F,6,0)</f>
        <v>MARCO ANTONIO  MADRID  PINTO</v>
      </c>
      <c r="K841" s="89" t="str">
        <f>IFERROR(IF(VLOOKUP(I841,Ingreso!K:P,6,0)=0,"Sin turtno ing",VLOOKUP(I841,Ingreso!K:P,6,0)),IF(F841&gt;0.25,IF(F841&lt;0.311805555555556,"Turno A",IF(F841&gt;0.3125,IF(F841&lt;0.354166666666667,"Turno C",IF(F841&gt;0.583333333333333,IF(F841&lt;0.625,"Turno B",IF(F841&gt;0.625694444444444,IF(F841&lt;0.8125,"Turno A",IF(F841&gt;0.875,IF(F841&lt;0.936805555555556,"Turno C",IF(F841&gt;0.9375,IF(F841&lt;0.979166666666667,"Turno B",""),"")),"")),"")),"")),"")),""))</f>
        <v>Turno C</v>
      </c>
      <c r="L841" s="91">
        <f t="shared" si="13"/>
        <v>0.375</v>
      </c>
    </row>
    <row r="842" spans="1:12" s="40" customFormat="1">
      <c r="A842">
        <v>10869222</v>
      </c>
      <c r="B842" t="s">
        <v>165</v>
      </c>
      <c r="C842" t="s">
        <v>568</v>
      </c>
      <c r="D842" t="s">
        <v>569</v>
      </c>
      <c r="E842" t="s">
        <v>1441</v>
      </c>
      <c r="F842" s="78">
        <v>0.3120486111111111</v>
      </c>
      <c r="G842" t="s">
        <v>1406</v>
      </c>
      <c r="H842" t="s">
        <v>1336</v>
      </c>
      <c r="I842" s="88" t="str">
        <f>VLOOKUP(A842,Base!A:B,2,0)</f>
        <v>10.869.222-7</v>
      </c>
      <c r="J842" s="99" t="str">
        <f>VLOOKUP(A842,Base!A:F,6,0)</f>
        <v>MARCO ANTONIO  MADRID  PINTO</v>
      </c>
      <c r="K842" s="89" t="str">
        <f>IFERROR(IF(VLOOKUP(I842,Ingreso!K:P,6,0)=0,"Sin turtno ing",VLOOKUP(I842,Ingreso!K:P,6,0)),IF(F842&gt;0.25,IF(F842&lt;0.311805555555556,"Turno A",IF(F842&gt;0.3125,IF(F842&lt;0.354166666666667,"Turno C",IF(F842&gt;0.583333333333333,IF(F842&lt;0.625,"Turno B",IF(F842&gt;0.625694444444444,IF(F842&lt;0.8125,"Turno A",IF(F842&gt;0.875,IF(F842&lt;0.936805555555556,"Turno C",IF(F842&gt;0.9375,IF(F842&lt;0.979166666666667,"Turno B",""),"")),"")),"")),"")),"")),""))</f>
        <v>Turno C</v>
      </c>
      <c r="L842" s="91">
        <f t="shared" si="13"/>
        <v>0.375</v>
      </c>
    </row>
    <row r="843" spans="1:12" s="40" customFormat="1">
      <c r="A843">
        <v>10869222</v>
      </c>
      <c r="B843" t="s">
        <v>165</v>
      </c>
      <c r="C843" t="s">
        <v>568</v>
      </c>
      <c r="D843" t="s">
        <v>569</v>
      </c>
      <c r="E843" t="s">
        <v>1437</v>
      </c>
      <c r="F843" s="78">
        <v>0.30724537037037036</v>
      </c>
      <c r="G843" t="s">
        <v>1406</v>
      </c>
      <c r="H843" t="s">
        <v>1336</v>
      </c>
      <c r="I843" s="88" t="str">
        <f>VLOOKUP(A843,Base!A:B,2,0)</f>
        <v>10.869.222-7</v>
      </c>
      <c r="J843" s="99" t="str">
        <f>VLOOKUP(A843,Base!A:F,6,0)</f>
        <v>MARCO ANTONIO  MADRID  PINTO</v>
      </c>
      <c r="K843" s="89" t="str">
        <f>IFERROR(IF(VLOOKUP(I843,Ingreso!K:P,6,0)=0,"Sin turtno ing",VLOOKUP(I843,Ingreso!K:P,6,0)),IF(F843&gt;0.25,IF(F843&lt;0.311805555555556,"Turno A",IF(F843&gt;0.3125,IF(F843&lt;0.354166666666667,"Turno C",IF(F843&gt;0.583333333333333,IF(F843&lt;0.625,"Turno B",IF(F843&gt;0.625694444444444,IF(F843&lt;0.8125,"Turno A",IF(F843&gt;0.875,IF(F843&lt;0.936805555555556,"Turno C",IF(F843&gt;0.9375,IF(F843&lt;0.979166666666667,"Turno B",""),"")),"")),"")),"")),"")),""))</f>
        <v>Turno C</v>
      </c>
      <c r="L843" s="91">
        <f t="shared" si="13"/>
        <v>0.375</v>
      </c>
    </row>
    <row r="844" spans="1:12" s="40" customFormat="1">
      <c r="A844">
        <v>10869222</v>
      </c>
      <c r="B844" t="s">
        <v>165</v>
      </c>
      <c r="C844" t="s">
        <v>568</v>
      </c>
      <c r="D844" t="s">
        <v>569</v>
      </c>
      <c r="E844" t="s">
        <v>1437</v>
      </c>
      <c r="F844" s="78">
        <v>1.8518518518518518E-4</v>
      </c>
      <c r="G844" t="s">
        <v>1405</v>
      </c>
      <c r="H844" t="s">
        <v>1335</v>
      </c>
      <c r="I844" s="88" t="str">
        <f>VLOOKUP(A844,Base!A:B,2,0)</f>
        <v>10.869.222-7</v>
      </c>
      <c r="J844" s="99" t="str">
        <f>VLOOKUP(A844,Base!A:F,6,0)</f>
        <v>MARCO ANTONIO  MADRID  PINTO</v>
      </c>
      <c r="K844" s="89" t="str">
        <f>IFERROR(IF(VLOOKUP(I844,Ingreso!K:P,6,0)=0,"Sin turtno ing",VLOOKUP(I844,Ingreso!K:P,6,0)),IF(F844&gt;0.25,IF(F844&lt;0.311805555555556,"Turno A",IF(F844&gt;0.3125,IF(F844&lt;0.354166666666667,"Turno C",IF(F844&gt;0.583333333333333,IF(F844&lt;0.625,"Turno B",IF(F844&gt;0.625694444444444,IF(F844&lt;0.8125,"Turno A",IF(F844&gt;0.875,IF(F844&lt;0.936805555555556,"Turno C",IF(F844&gt;0.9375,IF(F844&lt;0.979166666666667,"Turno B",""),"")),"")),"")),"")),"")),""))</f>
        <v>Turno C</v>
      </c>
      <c r="L844" s="91">
        <f t="shared" si="13"/>
        <v>0.375</v>
      </c>
    </row>
    <row r="845" spans="1:12" s="40" customFormat="1">
      <c r="A845">
        <v>10869222</v>
      </c>
      <c r="B845" t="s">
        <v>165</v>
      </c>
      <c r="C845" t="s">
        <v>568</v>
      </c>
      <c r="D845" t="s">
        <v>569</v>
      </c>
      <c r="E845" t="s">
        <v>1437</v>
      </c>
      <c r="F845" s="78">
        <v>0.91883101851851856</v>
      </c>
      <c r="G845" t="s">
        <v>1405</v>
      </c>
      <c r="H845" t="s">
        <v>1335</v>
      </c>
      <c r="I845" s="88" t="str">
        <f>VLOOKUP(A845,Base!A:B,2,0)</f>
        <v>10.869.222-7</v>
      </c>
      <c r="J845" s="99" t="str">
        <f>VLOOKUP(A845,Base!A:F,6,0)</f>
        <v>MARCO ANTONIO  MADRID  PINTO</v>
      </c>
      <c r="K845" s="89" t="str">
        <f>IFERROR(IF(VLOOKUP(I845,Ingreso!K:P,6,0)=0,"Sin turtno ing",VLOOKUP(I845,Ingreso!K:P,6,0)),IF(F845&gt;0.25,IF(F845&lt;0.311805555555556,"Turno A",IF(F845&gt;0.3125,IF(F845&lt;0.354166666666667,"Turno C",IF(F845&gt;0.583333333333333,IF(F845&lt;0.625,"Turno B",IF(F845&gt;0.625694444444444,IF(F845&lt;0.8125,"Turno A",IF(F845&gt;0.875,IF(F845&lt;0.936805555555556,"Turno C",IF(F845&gt;0.9375,IF(F845&lt;0.979166666666667,"Turno B",""),"")),"")),"")),"")),"")),""))</f>
        <v>Turno C</v>
      </c>
      <c r="L845" s="91">
        <f t="shared" si="13"/>
        <v>0.375</v>
      </c>
    </row>
    <row r="846" spans="1:12" s="40" customFormat="1">
      <c r="A846">
        <v>10869222</v>
      </c>
      <c r="B846" t="s">
        <v>165</v>
      </c>
      <c r="C846" t="s">
        <v>568</v>
      </c>
      <c r="D846" t="s">
        <v>569</v>
      </c>
      <c r="E846" t="s">
        <v>1438</v>
      </c>
      <c r="F846" s="78">
        <v>0.30829861111111112</v>
      </c>
      <c r="G846" t="s">
        <v>1406</v>
      </c>
      <c r="H846" t="s">
        <v>1336</v>
      </c>
      <c r="I846" s="88" t="str">
        <f>VLOOKUP(A846,Base!A:B,2,0)</f>
        <v>10.869.222-7</v>
      </c>
      <c r="J846" s="99" t="str">
        <f>VLOOKUP(A846,Base!A:F,6,0)</f>
        <v>MARCO ANTONIO  MADRID  PINTO</v>
      </c>
      <c r="K846" s="89" t="str">
        <f>IFERROR(IF(VLOOKUP(I846,Ingreso!K:P,6,0)=0,"Sin turtno ing",VLOOKUP(I846,Ingreso!K:P,6,0)),IF(F846&gt;0.25,IF(F846&lt;0.311805555555556,"Turno A",IF(F846&gt;0.3125,IF(F846&lt;0.354166666666667,"Turno C",IF(F846&gt;0.583333333333333,IF(F846&lt;0.625,"Turno B",IF(F846&gt;0.625694444444444,IF(F846&lt;0.8125,"Turno A",IF(F846&gt;0.875,IF(F846&lt;0.936805555555556,"Turno C",IF(F846&gt;0.9375,IF(F846&lt;0.979166666666667,"Turno B",""),"")),"")),"")),"")),"")),""))</f>
        <v>Turno C</v>
      </c>
      <c r="L846" s="91">
        <f t="shared" si="13"/>
        <v>0.375</v>
      </c>
    </row>
    <row r="847" spans="1:12" s="40" customFormat="1">
      <c r="A847">
        <v>10869222</v>
      </c>
      <c r="B847" t="s">
        <v>165</v>
      </c>
      <c r="C847" t="s">
        <v>568</v>
      </c>
      <c r="D847" t="s">
        <v>569</v>
      </c>
      <c r="E847" t="s">
        <v>1438</v>
      </c>
      <c r="F847" s="78">
        <v>0.92035879629629624</v>
      </c>
      <c r="G847" t="s">
        <v>1405</v>
      </c>
      <c r="H847" t="s">
        <v>1335</v>
      </c>
      <c r="I847" s="88" t="str">
        <f>VLOOKUP(A847,Base!A:B,2,0)</f>
        <v>10.869.222-7</v>
      </c>
      <c r="J847" s="99" t="str">
        <f>VLOOKUP(A847,Base!A:F,6,0)</f>
        <v>MARCO ANTONIO  MADRID  PINTO</v>
      </c>
      <c r="K847" s="89" t="str">
        <f>IFERROR(IF(VLOOKUP(I847,Ingreso!K:P,6,0)=0,"Sin turtno ing",VLOOKUP(I847,Ingreso!K:P,6,0)),IF(F847&gt;0.25,IF(F847&lt;0.311805555555556,"Turno A",IF(F847&gt;0.3125,IF(F847&lt;0.354166666666667,"Turno C",IF(F847&gt;0.583333333333333,IF(F847&lt;0.625,"Turno B",IF(F847&gt;0.625694444444444,IF(F847&lt;0.8125,"Turno A",IF(F847&gt;0.875,IF(F847&lt;0.936805555555556,"Turno C",IF(F847&gt;0.9375,IF(F847&lt;0.979166666666667,"Turno B",""),"")),"")),"")),"")),"")),""))</f>
        <v>Turno C</v>
      </c>
      <c r="L847" s="91">
        <f t="shared" si="13"/>
        <v>0.375</v>
      </c>
    </row>
    <row r="848" spans="1:12" s="40" customFormat="1">
      <c r="A848">
        <v>10869222</v>
      </c>
      <c r="B848" t="s">
        <v>165</v>
      </c>
      <c r="C848" t="s">
        <v>568</v>
      </c>
      <c r="D848" t="s">
        <v>569</v>
      </c>
      <c r="E848" t="s">
        <v>1439</v>
      </c>
      <c r="F848" s="78">
        <v>0.31146990740740738</v>
      </c>
      <c r="G848" t="s">
        <v>1406</v>
      </c>
      <c r="H848" t="s">
        <v>1336</v>
      </c>
      <c r="I848" s="88" t="str">
        <f>VLOOKUP(A848,Base!A:B,2,0)</f>
        <v>10.869.222-7</v>
      </c>
      <c r="J848" s="99" t="str">
        <f>VLOOKUP(A848,Base!A:F,6,0)</f>
        <v>MARCO ANTONIO  MADRID  PINTO</v>
      </c>
      <c r="K848" s="89" t="str">
        <f>IFERROR(IF(VLOOKUP(I848,Ingreso!K:P,6,0)=0,"Sin turtno ing",VLOOKUP(I848,Ingreso!K:P,6,0)),IF(F848&gt;0.25,IF(F848&lt;0.311805555555556,"Turno A",IF(F848&gt;0.3125,IF(F848&lt;0.354166666666667,"Turno C",IF(F848&gt;0.583333333333333,IF(F848&lt;0.625,"Turno B",IF(F848&gt;0.625694444444444,IF(F848&lt;0.8125,"Turno A",IF(F848&gt;0.875,IF(F848&lt;0.936805555555556,"Turno C",IF(F848&gt;0.9375,IF(F848&lt;0.979166666666667,"Turno B",""),"")),"")),"")),"")),"")),""))</f>
        <v>Turno C</v>
      </c>
      <c r="L848" s="91">
        <f t="shared" si="13"/>
        <v>0.375</v>
      </c>
    </row>
    <row r="849" spans="1:12" s="40" customFormat="1">
      <c r="A849">
        <v>10869222</v>
      </c>
      <c r="B849" t="s">
        <v>165</v>
      </c>
      <c r="C849" t="s">
        <v>568</v>
      </c>
      <c r="D849" t="s">
        <v>569</v>
      </c>
      <c r="E849" t="s">
        <v>1439</v>
      </c>
      <c r="F849" s="78">
        <v>0.91891203703703705</v>
      </c>
      <c r="G849" t="s">
        <v>1405</v>
      </c>
      <c r="H849" t="s">
        <v>1335</v>
      </c>
      <c r="I849" s="88" t="str">
        <f>VLOOKUP(A849,Base!A:B,2,0)</f>
        <v>10.869.222-7</v>
      </c>
      <c r="J849" s="99" t="str">
        <f>VLOOKUP(A849,Base!A:F,6,0)</f>
        <v>MARCO ANTONIO  MADRID  PINTO</v>
      </c>
      <c r="K849" s="89" t="str">
        <f>IFERROR(IF(VLOOKUP(I849,Ingreso!K:P,6,0)=0,"Sin turtno ing",VLOOKUP(I849,Ingreso!K:P,6,0)),IF(F849&gt;0.25,IF(F849&lt;0.311805555555556,"Turno A",IF(F849&gt;0.3125,IF(F849&lt;0.354166666666667,"Turno C",IF(F849&gt;0.583333333333333,IF(F849&lt;0.625,"Turno B",IF(F849&gt;0.625694444444444,IF(F849&lt;0.8125,"Turno A",IF(F849&gt;0.875,IF(F849&lt;0.936805555555556,"Turno C",IF(F849&gt;0.9375,IF(F849&lt;0.979166666666667,"Turno B",""),"")),"")),"")),"")),"")),""))</f>
        <v>Turno C</v>
      </c>
      <c r="L849" s="91">
        <f t="shared" si="13"/>
        <v>0.375</v>
      </c>
    </row>
    <row r="850" spans="1:12" s="40" customFormat="1">
      <c r="A850">
        <v>10874066</v>
      </c>
      <c r="B850" t="s">
        <v>92</v>
      </c>
      <c r="C850" t="s">
        <v>179</v>
      </c>
      <c r="D850" t="s">
        <v>318</v>
      </c>
      <c r="E850" t="s">
        <v>1440</v>
      </c>
      <c r="F850" s="78">
        <v>0.72009259259259262</v>
      </c>
      <c r="G850" t="s">
        <v>1406</v>
      </c>
      <c r="H850" t="s">
        <v>1336</v>
      </c>
      <c r="I850" s="88" t="str">
        <f>VLOOKUP(A850,Base!A:B,2,0)</f>
        <v>10.874.066-3</v>
      </c>
      <c r="J850" s="99" t="str">
        <f>VLOOKUP(A850,Base!A:F,6,0)</f>
        <v>CRISTIAN  DIAZ  HENRIQUEZ</v>
      </c>
      <c r="K850" s="89" t="str">
        <f>IFERROR(IF(VLOOKUP(I850,Ingreso!K:P,6,0)=0,"Sin turtno ing",VLOOKUP(I850,Ingreso!K:P,6,0)),IF(F850&gt;0.25,IF(F850&lt;0.311805555555556,"Turno A",IF(F850&gt;0.3125,IF(F850&lt;0.354166666666667,"Turno C",IF(F850&gt;0.583333333333333,IF(F850&lt;0.625,"Turno B",IF(F850&gt;0.625694444444444,IF(F850&lt;0.8125,"Turno A",IF(F850&gt;0.875,IF(F850&lt;0.936805555555556,"Turno C",IF(F850&gt;0.9375,IF(F850&lt;0.979166666666667,"Turno B",""),"")),"")),"")),"")),"")),""))</f>
        <v>Turno A</v>
      </c>
      <c r="L850" s="91">
        <f t="shared" si="13"/>
        <v>0.3125</v>
      </c>
    </row>
    <row r="851" spans="1:12" s="40" customFormat="1">
      <c r="A851">
        <v>10874066</v>
      </c>
      <c r="B851" t="s">
        <v>92</v>
      </c>
      <c r="C851" t="s">
        <v>179</v>
      </c>
      <c r="D851" t="s">
        <v>318</v>
      </c>
      <c r="E851" t="s">
        <v>1440</v>
      </c>
      <c r="F851" s="78">
        <v>0.60917824074074078</v>
      </c>
      <c r="G851" t="s">
        <v>1405</v>
      </c>
      <c r="H851" t="s">
        <v>1335</v>
      </c>
      <c r="I851" s="88" t="str">
        <f>VLOOKUP(A851,Base!A:B,2,0)</f>
        <v>10.874.066-3</v>
      </c>
      <c r="J851" s="99" t="str">
        <f>VLOOKUP(A851,Base!A:F,6,0)</f>
        <v>CRISTIAN  DIAZ  HENRIQUEZ</v>
      </c>
      <c r="K851" s="89" t="str">
        <f>IFERROR(IF(VLOOKUP(I851,Ingreso!K:P,6,0)=0,"Sin turtno ing",VLOOKUP(I851,Ingreso!K:P,6,0)),IF(F851&gt;0.25,IF(F851&lt;0.311805555555556,"Turno A",IF(F851&gt;0.3125,IF(F851&lt;0.354166666666667,"Turno C",IF(F851&gt;0.583333333333333,IF(F851&lt;0.625,"Turno B",IF(F851&gt;0.625694444444444,IF(F851&lt;0.8125,"Turno A",IF(F851&gt;0.875,IF(F851&lt;0.936805555555556,"Turno C",IF(F851&gt;0.9375,IF(F851&lt;0.979166666666667,"Turno B",""),"")),"")),"")),"")),"")),""))</f>
        <v>Turno B</v>
      </c>
      <c r="L851" s="91">
        <f t="shared" si="13"/>
        <v>0.3125</v>
      </c>
    </row>
    <row r="852" spans="1:12" s="40" customFormat="1">
      <c r="A852">
        <v>10874066</v>
      </c>
      <c r="B852" t="s">
        <v>92</v>
      </c>
      <c r="C852" t="s">
        <v>179</v>
      </c>
      <c r="D852" t="s">
        <v>318</v>
      </c>
      <c r="E852" t="s">
        <v>1437</v>
      </c>
      <c r="F852" s="78">
        <v>0.94918981481481479</v>
      </c>
      <c r="G852" t="s">
        <v>1406</v>
      </c>
      <c r="H852" t="s">
        <v>1336</v>
      </c>
      <c r="I852" s="88" t="str">
        <f>VLOOKUP(A852,Base!A:B,2,0)</f>
        <v>10.874.066-3</v>
      </c>
      <c r="J852" s="99" t="str">
        <f>VLOOKUP(A852,Base!A:F,6,0)</f>
        <v>CRISTIAN  DIAZ  HENRIQUEZ</v>
      </c>
      <c r="K852" s="89" t="str">
        <f>IFERROR(IF(VLOOKUP(I852,Ingreso!K:P,6,0)=0,"Sin turtno ing",VLOOKUP(I852,Ingreso!K:P,6,0)),IF(F852&gt;0.25,IF(F852&lt;0.311805555555556,"Turno A",IF(F852&gt;0.3125,IF(F852&lt;0.354166666666667,"Turno C",IF(F852&gt;0.583333333333333,IF(F852&lt;0.625,"Turno B",IF(F852&gt;0.625694444444444,IF(F852&lt;0.8125,"Turno A",IF(F852&gt;0.875,IF(F852&lt;0.936805555555556,"Turno C",IF(F852&gt;0.9375,IF(F852&lt;0.979166666666667,"Turno B",""),"")),"")),"")),"")),"")),""))</f>
        <v>Turno B</v>
      </c>
      <c r="L852" s="91">
        <f t="shared" si="13"/>
        <v>0.3125</v>
      </c>
    </row>
    <row r="853" spans="1:12" s="40" customFormat="1">
      <c r="A853">
        <v>10874066</v>
      </c>
      <c r="B853" t="s">
        <v>92</v>
      </c>
      <c r="C853" t="s">
        <v>179</v>
      </c>
      <c r="D853" t="s">
        <v>318</v>
      </c>
      <c r="E853" t="s">
        <v>1437</v>
      </c>
      <c r="F853" s="78">
        <v>0.60750000000000004</v>
      </c>
      <c r="G853" t="s">
        <v>1405</v>
      </c>
      <c r="H853" t="s">
        <v>1335</v>
      </c>
      <c r="I853" s="88" t="str">
        <f>VLOOKUP(A853,Base!A:B,2,0)</f>
        <v>10.874.066-3</v>
      </c>
      <c r="J853" s="99" t="str">
        <f>VLOOKUP(A853,Base!A:F,6,0)</f>
        <v>CRISTIAN  DIAZ  HENRIQUEZ</v>
      </c>
      <c r="K853" s="89" t="str">
        <f>IFERROR(IF(VLOOKUP(I853,Ingreso!K:P,6,0)=0,"Sin turtno ing",VLOOKUP(I853,Ingreso!K:P,6,0)),IF(F853&gt;0.25,IF(F853&lt;0.311805555555556,"Turno A",IF(F853&gt;0.3125,IF(F853&lt;0.354166666666667,"Turno C",IF(F853&gt;0.583333333333333,IF(F853&lt;0.625,"Turno B",IF(F853&gt;0.625694444444444,IF(F853&lt;0.8125,"Turno A",IF(F853&gt;0.875,IF(F853&lt;0.936805555555556,"Turno C",IF(F853&gt;0.9375,IF(F853&lt;0.979166666666667,"Turno B",""),"")),"")),"")),"")),"")),""))</f>
        <v>Turno B</v>
      </c>
      <c r="L853" s="91">
        <f t="shared" si="13"/>
        <v>0.3125</v>
      </c>
    </row>
    <row r="854" spans="1:12" s="40" customFormat="1">
      <c r="A854">
        <v>10874066</v>
      </c>
      <c r="B854" t="s">
        <v>92</v>
      </c>
      <c r="C854" t="s">
        <v>179</v>
      </c>
      <c r="D854" t="s">
        <v>318</v>
      </c>
      <c r="E854" t="s">
        <v>1438</v>
      </c>
      <c r="F854" s="78">
        <v>0.94959490740740737</v>
      </c>
      <c r="G854" t="s">
        <v>1406</v>
      </c>
      <c r="H854" t="s">
        <v>1336</v>
      </c>
      <c r="I854" s="88" t="str">
        <f>VLOOKUP(A854,Base!A:B,2,0)</f>
        <v>10.874.066-3</v>
      </c>
      <c r="J854" s="99" t="str">
        <f>VLOOKUP(A854,Base!A:F,6,0)</f>
        <v>CRISTIAN  DIAZ  HENRIQUEZ</v>
      </c>
      <c r="K854" s="89" t="str">
        <f>IFERROR(IF(VLOOKUP(I854,Ingreso!K:P,6,0)=0,"Sin turtno ing",VLOOKUP(I854,Ingreso!K:P,6,0)),IF(F854&gt;0.25,IF(F854&lt;0.311805555555556,"Turno A",IF(F854&gt;0.3125,IF(F854&lt;0.354166666666667,"Turno C",IF(F854&gt;0.583333333333333,IF(F854&lt;0.625,"Turno B",IF(F854&gt;0.625694444444444,IF(F854&lt;0.8125,"Turno A",IF(F854&gt;0.875,IF(F854&lt;0.936805555555556,"Turno C",IF(F854&gt;0.9375,IF(F854&lt;0.979166666666667,"Turno B",""),"")),"")),"")),"")),"")),""))</f>
        <v>Turno B</v>
      </c>
      <c r="L854" s="91">
        <f t="shared" si="13"/>
        <v>0.3125</v>
      </c>
    </row>
    <row r="855" spans="1:12" s="40" customFormat="1">
      <c r="A855">
        <v>10874066</v>
      </c>
      <c r="B855" t="s">
        <v>92</v>
      </c>
      <c r="C855" t="s">
        <v>179</v>
      </c>
      <c r="D855" t="s">
        <v>318</v>
      </c>
      <c r="E855" t="s">
        <v>1438</v>
      </c>
      <c r="F855" s="78">
        <v>0.60995370370370372</v>
      </c>
      <c r="G855" t="s">
        <v>1405</v>
      </c>
      <c r="H855" t="s">
        <v>1335</v>
      </c>
      <c r="I855" s="88" t="str">
        <f>VLOOKUP(A855,Base!A:B,2,0)</f>
        <v>10.874.066-3</v>
      </c>
      <c r="J855" s="99" t="str">
        <f>VLOOKUP(A855,Base!A:F,6,0)</f>
        <v>CRISTIAN  DIAZ  HENRIQUEZ</v>
      </c>
      <c r="K855" s="89" t="str">
        <f>IFERROR(IF(VLOOKUP(I855,Ingreso!K:P,6,0)=0,"Sin turtno ing",VLOOKUP(I855,Ingreso!K:P,6,0)),IF(F855&gt;0.25,IF(F855&lt;0.311805555555556,"Turno A",IF(F855&gt;0.3125,IF(F855&lt;0.354166666666667,"Turno C",IF(F855&gt;0.583333333333333,IF(F855&lt;0.625,"Turno B",IF(F855&gt;0.625694444444444,IF(F855&lt;0.8125,"Turno A",IF(F855&gt;0.875,IF(F855&lt;0.936805555555556,"Turno C",IF(F855&gt;0.9375,IF(F855&lt;0.979166666666667,"Turno B",""),"")),"")),"")),"")),"")),""))</f>
        <v>Turno B</v>
      </c>
      <c r="L855" s="91">
        <f t="shared" si="13"/>
        <v>0.3125</v>
      </c>
    </row>
    <row r="856" spans="1:12" s="40" customFormat="1">
      <c r="A856">
        <v>10874066</v>
      </c>
      <c r="B856" t="s">
        <v>92</v>
      </c>
      <c r="C856" t="s">
        <v>179</v>
      </c>
      <c r="D856" t="s">
        <v>318</v>
      </c>
      <c r="E856" t="s">
        <v>1439</v>
      </c>
      <c r="F856" s="78">
        <v>0.9513194444444445</v>
      </c>
      <c r="G856" t="s">
        <v>1406</v>
      </c>
      <c r="H856" t="s">
        <v>1336</v>
      </c>
      <c r="I856" s="88" t="str">
        <f>VLOOKUP(A856,Base!A:B,2,0)</f>
        <v>10.874.066-3</v>
      </c>
      <c r="J856" s="99" t="str">
        <f>VLOOKUP(A856,Base!A:F,6,0)</f>
        <v>CRISTIAN  DIAZ  HENRIQUEZ</v>
      </c>
      <c r="K856" s="89" t="str">
        <f>IFERROR(IF(VLOOKUP(I856,Ingreso!K:P,6,0)=0,"Sin turtno ing",VLOOKUP(I856,Ingreso!K:P,6,0)),IF(F856&gt;0.25,IF(F856&lt;0.311805555555556,"Turno A",IF(F856&gt;0.3125,IF(F856&lt;0.354166666666667,"Turno C",IF(F856&gt;0.583333333333333,IF(F856&lt;0.625,"Turno B",IF(F856&gt;0.625694444444444,IF(F856&lt;0.8125,"Turno A",IF(F856&gt;0.875,IF(F856&lt;0.936805555555556,"Turno C",IF(F856&gt;0.9375,IF(F856&lt;0.979166666666667,"Turno B",""),"")),"")),"")),"")),"")),""))</f>
        <v>Turno B</v>
      </c>
      <c r="L856" s="91">
        <f t="shared" si="13"/>
        <v>0.3125</v>
      </c>
    </row>
    <row r="857" spans="1:12" s="40" customFormat="1">
      <c r="A857">
        <v>10874066</v>
      </c>
      <c r="B857" t="s">
        <v>92</v>
      </c>
      <c r="C857" t="s">
        <v>179</v>
      </c>
      <c r="D857" t="s">
        <v>318</v>
      </c>
      <c r="E857" t="s">
        <v>1439</v>
      </c>
      <c r="F857" s="78">
        <v>0.60870370370370364</v>
      </c>
      <c r="G857" t="s">
        <v>1405</v>
      </c>
      <c r="H857" t="s">
        <v>1335</v>
      </c>
      <c r="I857" s="88" t="str">
        <f>VLOOKUP(A857,Base!A:B,2,0)</f>
        <v>10.874.066-3</v>
      </c>
      <c r="J857" s="99" t="str">
        <f>VLOOKUP(A857,Base!A:F,6,0)</f>
        <v>CRISTIAN  DIAZ  HENRIQUEZ</v>
      </c>
      <c r="K857" s="89" t="str">
        <f>IFERROR(IF(VLOOKUP(I857,Ingreso!K:P,6,0)=0,"Sin turtno ing",VLOOKUP(I857,Ingreso!K:P,6,0)),IF(F857&gt;0.25,IF(F857&lt;0.311805555555556,"Turno A",IF(F857&gt;0.3125,IF(F857&lt;0.354166666666667,"Turno C",IF(F857&gt;0.583333333333333,IF(F857&lt;0.625,"Turno B",IF(F857&gt;0.625694444444444,IF(F857&lt;0.8125,"Turno A",IF(F857&gt;0.875,IF(F857&lt;0.936805555555556,"Turno C",IF(F857&gt;0.9375,IF(F857&lt;0.979166666666667,"Turno B",""),"")),"")),"")),"")),"")),""))</f>
        <v>Turno B</v>
      </c>
      <c r="L857" s="91">
        <f t="shared" si="13"/>
        <v>0.3125</v>
      </c>
    </row>
    <row r="858" spans="1:12" s="40" customFormat="1">
      <c r="A858">
        <v>10876404</v>
      </c>
      <c r="B858" t="s">
        <v>766</v>
      </c>
      <c r="C858" t="s">
        <v>126</v>
      </c>
      <c r="D858" t="s">
        <v>765</v>
      </c>
      <c r="E858" t="s">
        <v>1440</v>
      </c>
      <c r="F858" s="78">
        <v>0.9493287037037037</v>
      </c>
      <c r="G858" t="s">
        <v>1406</v>
      </c>
      <c r="H858" t="s">
        <v>1336</v>
      </c>
      <c r="I858" s="88" t="str">
        <f>VLOOKUP(A858,Base!A:B,2,0)</f>
        <v>10.876.404-K</v>
      </c>
      <c r="J858" s="99" t="str">
        <f>VLOOKUP(A858,Base!A:F,6,0)</f>
        <v>LUIS RAFAEL  PALMA  MIRANDA</v>
      </c>
      <c r="K858" s="89" t="str">
        <f>IFERROR(IF(VLOOKUP(I858,Ingreso!K:P,6,0)=0,"Sin turtno ing",VLOOKUP(I858,Ingreso!K:P,6,0)),IF(F858&gt;0.25,IF(F858&lt;0.311805555555556,"Turno A",IF(F858&gt;0.3125,IF(F858&lt;0.354166666666667,"Turno C",IF(F858&gt;0.583333333333333,IF(F858&lt;0.625,"Turno B",IF(F858&gt;0.625694444444444,IF(F858&lt;0.8125,"Turno A",IF(F858&gt;0.875,IF(F858&lt;0.936805555555556,"Turno C",IF(F858&gt;0.9375,IF(F858&lt;0.979166666666667,"Turno B",""),"")),"")),"")),"")),"")),""))</f>
        <v>Turno B</v>
      </c>
      <c r="L858" s="91">
        <f t="shared" si="13"/>
        <v>0.3125</v>
      </c>
    </row>
    <row r="859" spans="1:12" s="40" customFormat="1">
      <c r="A859">
        <v>10876404</v>
      </c>
      <c r="B859" t="s">
        <v>766</v>
      </c>
      <c r="C859" t="s">
        <v>126</v>
      </c>
      <c r="D859" t="s">
        <v>765</v>
      </c>
      <c r="E859" t="s">
        <v>1440</v>
      </c>
      <c r="F859" s="78">
        <v>0.60842592592592593</v>
      </c>
      <c r="G859" t="s">
        <v>1405</v>
      </c>
      <c r="H859" t="s">
        <v>1335</v>
      </c>
      <c r="I859" s="88" t="str">
        <f>VLOOKUP(A859,Base!A:B,2,0)</f>
        <v>10.876.404-K</v>
      </c>
      <c r="J859" s="99" t="str">
        <f>VLOOKUP(A859,Base!A:F,6,0)</f>
        <v>LUIS RAFAEL  PALMA  MIRANDA</v>
      </c>
      <c r="K859" s="89" t="str">
        <f>IFERROR(IF(VLOOKUP(I859,Ingreso!K:P,6,0)=0,"Sin turtno ing",VLOOKUP(I859,Ingreso!K:P,6,0)),IF(F859&gt;0.25,IF(F859&lt;0.311805555555556,"Turno A",IF(F859&gt;0.3125,IF(F859&lt;0.354166666666667,"Turno C",IF(F859&gt;0.583333333333333,IF(F859&lt;0.625,"Turno B",IF(F859&gt;0.625694444444444,IF(F859&lt;0.8125,"Turno A",IF(F859&gt;0.875,IF(F859&lt;0.936805555555556,"Turno C",IF(F859&gt;0.9375,IF(F859&lt;0.979166666666667,"Turno B",""),"")),"")),"")),"")),"")),""))</f>
        <v>Turno B</v>
      </c>
      <c r="L859" s="91">
        <f t="shared" si="13"/>
        <v>0.3125</v>
      </c>
    </row>
    <row r="860" spans="1:12" s="40" customFormat="1">
      <c r="A860">
        <v>10876404</v>
      </c>
      <c r="B860" t="s">
        <v>766</v>
      </c>
      <c r="C860" t="s">
        <v>126</v>
      </c>
      <c r="D860" t="s">
        <v>765</v>
      </c>
      <c r="E860" t="s">
        <v>1441</v>
      </c>
      <c r="F860" s="78">
        <v>0.95401620370370377</v>
      </c>
      <c r="G860" t="s">
        <v>1406</v>
      </c>
      <c r="H860" t="s">
        <v>1336</v>
      </c>
      <c r="I860" s="88" t="str">
        <f>VLOOKUP(A860,Base!A:B,2,0)</f>
        <v>10.876.404-K</v>
      </c>
      <c r="J860" s="99" t="str">
        <f>VLOOKUP(A860,Base!A:F,6,0)</f>
        <v>LUIS RAFAEL  PALMA  MIRANDA</v>
      </c>
      <c r="K860" s="89" t="str">
        <f>IFERROR(IF(VLOOKUP(I860,Ingreso!K:P,6,0)=0,"Sin turtno ing",VLOOKUP(I860,Ingreso!K:P,6,0)),IF(F860&gt;0.25,IF(F860&lt;0.311805555555556,"Turno A",IF(F860&gt;0.3125,IF(F860&lt;0.354166666666667,"Turno C",IF(F860&gt;0.583333333333333,IF(F860&lt;0.625,"Turno B",IF(F860&gt;0.625694444444444,IF(F860&lt;0.8125,"Turno A",IF(F860&gt;0.875,IF(F860&lt;0.936805555555556,"Turno C",IF(F860&gt;0.9375,IF(F860&lt;0.979166666666667,"Turno B",""),"")),"")),"")),"")),"")),""))</f>
        <v>Turno B</v>
      </c>
      <c r="L860" s="91">
        <f t="shared" si="13"/>
        <v>0.3125</v>
      </c>
    </row>
    <row r="861" spans="1:12" s="40" customFormat="1">
      <c r="A861">
        <v>10876404</v>
      </c>
      <c r="B861" t="s">
        <v>766</v>
      </c>
      <c r="C861" t="s">
        <v>126</v>
      </c>
      <c r="D861" t="s">
        <v>765</v>
      </c>
      <c r="E861" t="s">
        <v>1441</v>
      </c>
      <c r="F861" s="78">
        <v>0.61256944444444439</v>
      </c>
      <c r="G861" t="s">
        <v>1405</v>
      </c>
      <c r="H861" t="s">
        <v>1335</v>
      </c>
      <c r="I861" s="88" t="str">
        <f>VLOOKUP(A861,Base!A:B,2,0)</f>
        <v>10.876.404-K</v>
      </c>
      <c r="J861" s="99" t="str">
        <f>VLOOKUP(A861,Base!A:F,6,0)</f>
        <v>LUIS RAFAEL  PALMA  MIRANDA</v>
      </c>
      <c r="K861" s="89" t="str">
        <f>IFERROR(IF(VLOOKUP(I861,Ingreso!K:P,6,0)=0,"Sin turtno ing",VLOOKUP(I861,Ingreso!K:P,6,0)),IF(F861&gt;0.25,IF(F861&lt;0.311805555555556,"Turno A",IF(F861&gt;0.3125,IF(F861&lt;0.354166666666667,"Turno C",IF(F861&gt;0.583333333333333,IF(F861&lt;0.625,"Turno B",IF(F861&gt;0.625694444444444,IF(F861&lt;0.8125,"Turno A",IF(F861&gt;0.875,IF(F861&lt;0.936805555555556,"Turno C",IF(F861&gt;0.9375,IF(F861&lt;0.979166666666667,"Turno B",""),"")),"")),"")),"")),"")),""))</f>
        <v>Turno B</v>
      </c>
      <c r="L861" s="91">
        <f t="shared" si="13"/>
        <v>0.3125</v>
      </c>
    </row>
    <row r="862" spans="1:12" s="40" customFormat="1">
      <c r="A862">
        <v>10876404</v>
      </c>
      <c r="B862" t="s">
        <v>766</v>
      </c>
      <c r="C862" t="s">
        <v>126</v>
      </c>
      <c r="D862" t="s">
        <v>765</v>
      </c>
      <c r="E862" t="s">
        <v>1437</v>
      </c>
      <c r="F862" s="78">
        <v>0.95114583333333336</v>
      </c>
      <c r="G862" t="s">
        <v>1406</v>
      </c>
      <c r="H862" t="s">
        <v>1336</v>
      </c>
      <c r="I862" s="88" t="str">
        <f>VLOOKUP(A862,Base!A:B,2,0)</f>
        <v>10.876.404-K</v>
      </c>
      <c r="J862" s="99" t="str">
        <f>VLOOKUP(A862,Base!A:F,6,0)</f>
        <v>LUIS RAFAEL  PALMA  MIRANDA</v>
      </c>
      <c r="K862" s="89" t="str">
        <f>IFERROR(IF(VLOOKUP(I862,Ingreso!K:P,6,0)=0,"Sin turtno ing",VLOOKUP(I862,Ingreso!K:P,6,0)),IF(F862&gt;0.25,IF(F862&lt;0.311805555555556,"Turno A",IF(F862&gt;0.3125,IF(F862&lt;0.354166666666667,"Turno C",IF(F862&gt;0.583333333333333,IF(F862&lt;0.625,"Turno B",IF(F862&gt;0.625694444444444,IF(F862&lt;0.8125,"Turno A",IF(F862&gt;0.875,IF(F862&lt;0.936805555555556,"Turno C",IF(F862&gt;0.9375,IF(F862&lt;0.979166666666667,"Turno B",""),"")),"")),"")),"")),"")),""))</f>
        <v>Turno B</v>
      </c>
      <c r="L862" s="91">
        <f t="shared" si="13"/>
        <v>0.3125</v>
      </c>
    </row>
    <row r="863" spans="1:12" s="40" customFormat="1">
      <c r="A863">
        <v>10876404</v>
      </c>
      <c r="B863" t="s">
        <v>766</v>
      </c>
      <c r="C863" t="s">
        <v>126</v>
      </c>
      <c r="D863" t="s">
        <v>765</v>
      </c>
      <c r="E863" t="s">
        <v>1437</v>
      </c>
      <c r="F863" s="78">
        <v>0.60589120370370375</v>
      </c>
      <c r="G863" t="s">
        <v>1405</v>
      </c>
      <c r="H863" t="s">
        <v>1335</v>
      </c>
      <c r="I863" s="88" t="str">
        <f>VLOOKUP(A863,Base!A:B,2,0)</f>
        <v>10.876.404-K</v>
      </c>
      <c r="J863" s="99" t="str">
        <f>VLOOKUP(A863,Base!A:F,6,0)</f>
        <v>LUIS RAFAEL  PALMA  MIRANDA</v>
      </c>
      <c r="K863" s="89" t="str">
        <f>IFERROR(IF(VLOOKUP(I863,Ingreso!K:P,6,0)=0,"Sin turtno ing",VLOOKUP(I863,Ingreso!K:P,6,0)),IF(F863&gt;0.25,IF(F863&lt;0.311805555555556,"Turno A",IF(F863&gt;0.3125,IF(F863&lt;0.354166666666667,"Turno C",IF(F863&gt;0.583333333333333,IF(F863&lt;0.625,"Turno B",IF(F863&gt;0.625694444444444,IF(F863&lt;0.8125,"Turno A",IF(F863&gt;0.875,IF(F863&lt;0.936805555555556,"Turno C",IF(F863&gt;0.9375,IF(F863&lt;0.979166666666667,"Turno B",""),"")),"")),"")),"")),"")),""))</f>
        <v>Turno B</v>
      </c>
      <c r="L863" s="91">
        <f t="shared" si="13"/>
        <v>0.3125</v>
      </c>
    </row>
    <row r="864" spans="1:12" s="40" customFormat="1">
      <c r="A864">
        <v>10876404</v>
      </c>
      <c r="B864" t="s">
        <v>766</v>
      </c>
      <c r="C864" t="s">
        <v>126</v>
      </c>
      <c r="D864" t="s">
        <v>765</v>
      </c>
      <c r="E864" t="s">
        <v>1438</v>
      </c>
      <c r="F864" s="78">
        <v>0.95070601851851855</v>
      </c>
      <c r="G864" t="s">
        <v>1406</v>
      </c>
      <c r="H864" t="s">
        <v>1336</v>
      </c>
      <c r="I864" s="88" t="str">
        <f>VLOOKUP(A864,Base!A:B,2,0)</f>
        <v>10.876.404-K</v>
      </c>
      <c r="J864" s="99" t="str">
        <f>VLOOKUP(A864,Base!A:F,6,0)</f>
        <v>LUIS RAFAEL  PALMA  MIRANDA</v>
      </c>
      <c r="K864" s="89" t="str">
        <f>IFERROR(IF(VLOOKUP(I864,Ingreso!K:P,6,0)=0,"Sin turtno ing",VLOOKUP(I864,Ingreso!K:P,6,0)),IF(F864&gt;0.25,IF(F864&lt;0.311805555555556,"Turno A",IF(F864&gt;0.3125,IF(F864&lt;0.354166666666667,"Turno C",IF(F864&gt;0.583333333333333,IF(F864&lt;0.625,"Turno B",IF(F864&gt;0.625694444444444,IF(F864&lt;0.8125,"Turno A",IF(F864&gt;0.875,IF(F864&lt;0.936805555555556,"Turno C",IF(F864&gt;0.9375,IF(F864&lt;0.979166666666667,"Turno B",""),"")),"")),"")),"")),"")),""))</f>
        <v>Turno B</v>
      </c>
      <c r="L864" s="91">
        <f t="shared" si="13"/>
        <v>0.3125</v>
      </c>
    </row>
    <row r="865" spans="1:12" s="40" customFormat="1">
      <c r="A865">
        <v>10876404</v>
      </c>
      <c r="B865" t="s">
        <v>766</v>
      </c>
      <c r="C865" t="s">
        <v>126</v>
      </c>
      <c r="D865" t="s">
        <v>765</v>
      </c>
      <c r="E865" t="s">
        <v>1438</v>
      </c>
      <c r="F865" s="78">
        <v>0.6068634259259259</v>
      </c>
      <c r="G865" t="s">
        <v>1405</v>
      </c>
      <c r="H865" t="s">
        <v>1335</v>
      </c>
      <c r="I865" s="88" t="str">
        <f>VLOOKUP(A865,Base!A:B,2,0)</f>
        <v>10.876.404-K</v>
      </c>
      <c r="J865" s="99" t="str">
        <f>VLOOKUP(A865,Base!A:F,6,0)</f>
        <v>LUIS RAFAEL  PALMA  MIRANDA</v>
      </c>
      <c r="K865" s="89" t="str">
        <f>IFERROR(IF(VLOOKUP(I865,Ingreso!K:P,6,0)=0,"Sin turtno ing",VLOOKUP(I865,Ingreso!K:P,6,0)),IF(F865&gt;0.25,IF(F865&lt;0.311805555555556,"Turno A",IF(F865&gt;0.3125,IF(F865&lt;0.354166666666667,"Turno C",IF(F865&gt;0.583333333333333,IF(F865&lt;0.625,"Turno B",IF(F865&gt;0.625694444444444,IF(F865&lt;0.8125,"Turno A",IF(F865&gt;0.875,IF(F865&lt;0.936805555555556,"Turno C",IF(F865&gt;0.9375,IF(F865&lt;0.979166666666667,"Turno B",""),"")),"")),"")),"")),"")),""))</f>
        <v>Turno B</v>
      </c>
      <c r="L865" s="91">
        <f t="shared" si="13"/>
        <v>0.3125</v>
      </c>
    </row>
    <row r="866" spans="1:12" s="40" customFormat="1">
      <c r="A866">
        <v>10876404</v>
      </c>
      <c r="B866" t="s">
        <v>766</v>
      </c>
      <c r="C866" t="s">
        <v>126</v>
      </c>
      <c r="D866" t="s">
        <v>765</v>
      </c>
      <c r="E866" t="s">
        <v>1439</v>
      </c>
      <c r="F866" s="78">
        <v>0.95241898148148152</v>
      </c>
      <c r="G866" t="s">
        <v>1406</v>
      </c>
      <c r="H866" t="s">
        <v>1336</v>
      </c>
      <c r="I866" s="88" t="str">
        <f>VLOOKUP(A866,Base!A:B,2,0)</f>
        <v>10.876.404-K</v>
      </c>
      <c r="J866" s="99" t="str">
        <f>VLOOKUP(A866,Base!A:F,6,0)</f>
        <v>LUIS RAFAEL  PALMA  MIRANDA</v>
      </c>
      <c r="K866" s="89" t="str">
        <f>IFERROR(IF(VLOOKUP(I866,Ingreso!K:P,6,0)=0,"Sin turtno ing",VLOOKUP(I866,Ingreso!K:P,6,0)),IF(F866&gt;0.25,IF(F866&lt;0.311805555555556,"Turno A",IF(F866&gt;0.3125,IF(F866&lt;0.354166666666667,"Turno C",IF(F866&gt;0.583333333333333,IF(F866&lt;0.625,"Turno B",IF(F866&gt;0.625694444444444,IF(F866&lt;0.8125,"Turno A",IF(F866&gt;0.875,IF(F866&lt;0.936805555555556,"Turno C",IF(F866&gt;0.9375,IF(F866&lt;0.979166666666667,"Turno B",""),"")),"")),"")),"")),"")),""))</f>
        <v>Turno B</v>
      </c>
      <c r="L866" s="91">
        <f t="shared" si="13"/>
        <v>0.3125</v>
      </c>
    </row>
    <row r="867" spans="1:12" s="40" customFormat="1">
      <c r="A867">
        <v>10876404</v>
      </c>
      <c r="B867" t="s">
        <v>766</v>
      </c>
      <c r="C867" t="s">
        <v>126</v>
      </c>
      <c r="D867" t="s">
        <v>765</v>
      </c>
      <c r="E867" t="s">
        <v>1439</v>
      </c>
      <c r="F867" s="78">
        <v>0.60696759259259259</v>
      </c>
      <c r="G867" t="s">
        <v>1405</v>
      </c>
      <c r="H867" t="s">
        <v>1335</v>
      </c>
      <c r="I867" s="88" t="str">
        <f>VLOOKUP(A867,Base!A:B,2,0)</f>
        <v>10.876.404-K</v>
      </c>
      <c r="J867" s="99" t="str">
        <f>VLOOKUP(A867,Base!A:F,6,0)</f>
        <v>LUIS RAFAEL  PALMA  MIRANDA</v>
      </c>
      <c r="K867" s="89" t="str">
        <f>IFERROR(IF(VLOOKUP(I867,Ingreso!K:P,6,0)=0,"Sin turtno ing",VLOOKUP(I867,Ingreso!K:P,6,0)),IF(F867&gt;0.25,IF(F867&lt;0.311805555555556,"Turno A",IF(F867&gt;0.3125,IF(F867&lt;0.354166666666667,"Turno C",IF(F867&gt;0.583333333333333,IF(F867&lt;0.625,"Turno B",IF(F867&gt;0.625694444444444,IF(F867&lt;0.8125,"Turno A",IF(F867&gt;0.875,IF(F867&lt;0.936805555555556,"Turno C",IF(F867&gt;0.9375,IF(F867&lt;0.979166666666667,"Turno B",""),"")),"")),"")),"")),"")),""))</f>
        <v>Turno B</v>
      </c>
      <c r="L867" s="91">
        <f t="shared" si="13"/>
        <v>0.3125</v>
      </c>
    </row>
    <row r="868" spans="1:12" s="40" customFormat="1">
      <c r="A868">
        <v>10933716</v>
      </c>
      <c r="B868" t="s">
        <v>913</v>
      </c>
      <c r="C868" t="s">
        <v>824</v>
      </c>
      <c r="D868" t="s">
        <v>912</v>
      </c>
      <c r="E868" t="s">
        <v>1440</v>
      </c>
      <c r="F868" s="78">
        <v>0.63731481481481478</v>
      </c>
      <c r="G868" t="s">
        <v>1406</v>
      </c>
      <c r="H868" t="s">
        <v>1336</v>
      </c>
      <c r="I868" s="88" t="str">
        <f>VLOOKUP(A868,Base!A:B,2,0)</f>
        <v>10.933.716-1</v>
      </c>
      <c r="J868" s="99" t="str">
        <f>VLOOKUP(A868,Base!A:F,6,0)</f>
        <v>HERNANDO  RIVEROS  RIFFO</v>
      </c>
      <c r="K868" s="89" t="str">
        <f>IFERROR(IF(VLOOKUP(I868,Ingreso!K:P,6,0)=0,"Sin turtno ing",VLOOKUP(I868,Ingreso!K:P,6,0)),IF(F868&gt;0.25,IF(F868&lt;0.311805555555556,"Turno A",IF(F868&gt;0.3125,IF(F868&lt;0.354166666666667,"Turno C",IF(F868&gt;0.583333333333333,IF(F868&lt;0.625,"Turno B",IF(F868&gt;0.625694444444444,IF(F868&lt;0.8125,"Turno A",IF(F868&gt;0.875,IF(F868&lt;0.936805555555556,"Turno C",IF(F868&gt;0.9375,IF(F868&lt;0.979166666666667,"Turno B",""),"")),"")),"")),"")),"")),""))</f>
        <v>Turno A</v>
      </c>
      <c r="L868" s="91">
        <f t="shared" si="13"/>
        <v>0.3125</v>
      </c>
    </row>
    <row r="869" spans="1:12" s="40" customFormat="1">
      <c r="A869">
        <v>10933716</v>
      </c>
      <c r="B869" t="s">
        <v>913</v>
      </c>
      <c r="C869" t="s">
        <v>824</v>
      </c>
      <c r="D869" t="s">
        <v>912</v>
      </c>
      <c r="E869" t="s">
        <v>1440</v>
      </c>
      <c r="F869" s="78">
        <v>0.2955787037037037</v>
      </c>
      <c r="G869" t="s">
        <v>1405</v>
      </c>
      <c r="H869" t="s">
        <v>1335</v>
      </c>
      <c r="I869" s="88" t="str">
        <f>VLOOKUP(A869,Base!A:B,2,0)</f>
        <v>10.933.716-1</v>
      </c>
      <c r="J869" s="99" t="str">
        <f>VLOOKUP(A869,Base!A:F,6,0)</f>
        <v>HERNANDO  RIVEROS  RIFFO</v>
      </c>
      <c r="K869" s="89" t="str">
        <f>IFERROR(IF(VLOOKUP(I869,Ingreso!K:P,6,0)=0,"Sin turtno ing",VLOOKUP(I869,Ingreso!K:P,6,0)),IF(F869&gt;0.25,IF(F869&lt;0.311805555555556,"Turno A",IF(F869&gt;0.3125,IF(F869&lt;0.354166666666667,"Turno C",IF(F869&gt;0.583333333333333,IF(F869&lt;0.625,"Turno B",IF(F869&gt;0.625694444444444,IF(F869&lt;0.8125,"Turno A",IF(F869&gt;0.875,IF(F869&lt;0.936805555555556,"Turno C",IF(F869&gt;0.9375,IF(F869&lt;0.979166666666667,"Turno B",""),"")),"")),"")),"")),"")),""))</f>
        <v>Turno A</v>
      </c>
      <c r="L869" s="91">
        <f t="shared" si="13"/>
        <v>0.3125</v>
      </c>
    </row>
    <row r="870" spans="1:12" s="40" customFormat="1">
      <c r="A870">
        <v>10933716</v>
      </c>
      <c r="B870" t="s">
        <v>913</v>
      </c>
      <c r="C870" t="s">
        <v>824</v>
      </c>
      <c r="D870" t="s">
        <v>912</v>
      </c>
      <c r="E870" t="s">
        <v>1441</v>
      </c>
      <c r="F870" s="78">
        <v>0.62847222222222221</v>
      </c>
      <c r="G870" t="s">
        <v>1406</v>
      </c>
      <c r="H870" t="s">
        <v>1336</v>
      </c>
      <c r="I870" s="88" t="str">
        <f>VLOOKUP(A870,Base!A:B,2,0)</f>
        <v>10.933.716-1</v>
      </c>
      <c r="J870" s="99" t="str">
        <f>VLOOKUP(A870,Base!A:F,6,0)</f>
        <v>HERNANDO  RIVEROS  RIFFO</v>
      </c>
      <c r="K870" s="89" t="str">
        <f>IFERROR(IF(VLOOKUP(I870,Ingreso!K:P,6,0)=0,"Sin turtno ing",VLOOKUP(I870,Ingreso!K:P,6,0)),IF(F870&gt;0.25,IF(F870&lt;0.311805555555556,"Turno A",IF(F870&gt;0.3125,IF(F870&lt;0.354166666666667,"Turno C",IF(F870&gt;0.583333333333333,IF(F870&lt;0.625,"Turno B",IF(F870&gt;0.625694444444444,IF(F870&lt;0.8125,"Turno A",IF(F870&gt;0.875,IF(F870&lt;0.936805555555556,"Turno C",IF(F870&gt;0.9375,IF(F870&lt;0.979166666666667,"Turno B",""),"")),"")),"")),"")),"")),""))</f>
        <v>Turno A</v>
      </c>
      <c r="L870" s="91">
        <f t="shared" si="13"/>
        <v>0.3125</v>
      </c>
    </row>
    <row r="871" spans="1:12" s="40" customFormat="1">
      <c r="A871">
        <v>10933716</v>
      </c>
      <c r="B871" t="s">
        <v>913</v>
      </c>
      <c r="C871" t="s">
        <v>824</v>
      </c>
      <c r="D871" t="s">
        <v>912</v>
      </c>
      <c r="E871" t="s">
        <v>1441</v>
      </c>
      <c r="F871" s="78">
        <v>0.29417824074074073</v>
      </c>
      <c r="G871" t="s">
        <v>1405</v>
      </c>
      <c r="H871" t="s">
        <v>1335</v>
      </c>
      <c r="I871" s="88" t="str">
        <f>VLOOKUP(A871,Base!A:B,2,0)</f>
        <v>10.933.716-1</v>
      </c>
      <c r="J871" s="99" t="str">
        <f>VLOOKUP(A871,Base!A:F,6,0)</f>
        <v>HERNANDO  RIVEROS  RIFFO</v>
      </c>
      <c r="K871" s="89" t="str">
        <f>IFERROR(IF(VLOOKUP(I871,Ingreso!K:P,6,0)=0,"Sin turtno ing",VLOOKUP(I871,Ingreso!K:P,6,0)),IF(F871&gt;0.25,IF(F871&lt;0.311805555555556,"Turno A",IF(F871&gt;0.3125,IF(F871&lt;0.354166666666667,"Turno C",IF(F871&gt;0.583333333333333,IF(F871&lt;0.625,"Turno B",IF(F871&gt;0.625694444444444,IF(F871&lt;0.8125,"Turno A",IF(F871&gt;0.875,IF(F871&lt;0.936805555555556,"Turno C",IF(F871&gt;0.9375,IF(F871&lt;0.979166666666667,"Turno B",""),"")),"")),"")),"")),"")),""))</f>
        <v>Turno A</v>
      </c>
      <c r="L871" s="91">
        <f t="shared" si="13"/>
        <v>0.3125</v>
      </c>
    </row>
    <row r="872" spans="1:12" s="40" customFormat="1">
      <c r="A872">
        <v>10933716</v>
      </c>
      <c r="B872" t="s">
        <v>913</v>
      </c>
      <c r="C872" t="s">
        <v>824</v>
      </c>
      <c r="D872" t="s">
        <v>912</v>
      </c>
      <c r="E872" t="s">
        <v>1437</v>
      </c>
      <c r="F872" s="78">
        <v>0.63605324074074077</v>
      </c>
      <c r="G872" t="s">
        <v>1406</v>
      </c>
      <c r="H872" t="s">
        <v>1336</v>
      </c>
      <c r="I872" s="88" t="str">
        <f>VLOOKUP(A872,Base!A:B,2,0)</f>
        <v>10.933.716-1</v>
      </c>
      <c r="J872" s="99" t="str">
        <f>VLOOKUP(A872,Base!A:F,6,0)</f>
        <v>HERNANDO  RIVEROS  RIFFO</v>
      </c>
      <c r="K872" s="89" t="str">
        <f>IFERROR(IF(VLOOKUP(I872,Ingreso!K:P,6,0)=0,"Sin turtno ing",VLOOKUP(I872,Ingreso!K:P,6,0)),IF(F872&gt;0.25,IF(F872&lt;0.311805555555556,"Turno A",IF(F872&gt;0.3125,IF(F872&lt;0.354166666666667,"Turno C",IF(F872&gt;0.583333333333333,IF(F872&lt;0.625,"Turno B",IF(F872&gt;0.625694444444444,IF(F872&lt;0.8125,"Turno A",IF(F872&gt;0.875,IF(F872&lt;0.936805555555556,"Turno C",IF(F872&gt;0.9375,IF(F872&lt;0.979166666666667,"Turno B",""),"")),"")),"")),"")),"")),""))</f>
        <v>Turno A</v>
      </c>
      <c r="L872" s="91">
        <f t="shared" si="13"/>
        <v>0.3125</v>
      </c>
    </row>
    <row r="873" spans="1:12" s="40" customFormat="1">
      <c r="A873">
        <v>10933716</v>
      </c>
      <c r="B873" t="s">
        <v>913</v>
      </c>
      <c r="C873" t="s">
        <v>824</v>
      </c>
      <c r="D873" t="s">
        <v>912</v>
      </c>
      <c r="E873" t="s">
        <v>1437</v>
      </c>
      <c r="F873" s="78">
        <v>0.29596064814814815</v>
      </c>
      <c r="G873" t="s">
        <v>1405</v>
      </c>
      <c r="H873" t="s">
        <v>1335</v>
      </c>
      <c r="I873" s="88" t="str">
        <f>VLOOKUP(A873,Base!A:B,2,0)</f>
        <v>10.933.716-1</v>
      </c>
      <c r="J873" s="99" t="str">
        <f>VLOOKUP(A873,Base!A:F,6,0)</f>
        <v>HERNANDO  RIVEROS  RIFFO</v>
      </c>
      <c r="K873" s="89" t="str">
        <f>IFERROR(IF(VLOOKUP(I873,Ingreso!K:P,6,0)=0,"Sin turtno ing",VLOOKUP(I873,Ingreso!K:P,6,0)),IF(F873&gt;0.25,IF(F873&lt;0.311805555555556,"Turno A",IF(F873&gt;0.3125,IF(F873&lt;0.354166666666667,"Turno C",IF(F873&gt;0.583333333333333,IF(F873&lt;0.625,"Turno B",IF(F873&gt;0.625694444444444,IF(F873&lt;0.8125,"Turno A",IF(F873&gt;0.875,IF(F873&lt;0.936805555555556,"Turno C",IF(F873&gt;0.9375,IF(F873&lt;0.979166666666667,"Turno B",""),"")),"")),"")),"")),"")),""))</f>
        <v>Turno A</v>
      </c>
      <c r="L873" s="91">
        <f t="shared" si="13"/>
        <v>0.3125</v>
      </c>
    </row>
    <row r="874" spans="1:12" s="40" customFormat="1">
      <c r="A874">
        <v>10933716</v>
      </c>
      <c r="B874" t="s">
        <v>913</v>
      </c>
      <c r="C874" t="s">
        <v>824</v>
      </c>
      <c r="D874" t="s">
        <v>912</v>
      </c>
      <c r="E874" t="s">
        <v>1438</v>
      </c>
      <c r="F874" s="78">
        <v>0.63416666666666666</v>
      </c>
      <c r="G874" t="s">
        <v>1406</v>
      </c>
      <c r="H874" t="s">
        <v>1336</v>
      </c>
      <c r="I874" s="88" t="str">
        <f>VLOOKUP(A874,Base!A:B,2,0)</f>
        <v>10.933.716-1</v>
      </c>
      <c r="J874" s="99" t="str">
        <f>VLOOKUP(A874,Base!A:F,6,0)</f>
        <v>HERNANDO  RIVEROS  RIFFO</v>
      </c>
      <c r="K874" s="89" t="str">
        <f>IFERROR(IF(VLOOKUP(I874,Ingreso!K:P,6,0)=0,"Sin turtno ing",VLOOKUP(I874,Ingreso!K:P,6,0)),IF(F874&gt;0.25,IF(F874&lt;0.311805555555556,"Turno A",IF(F874&gt;0.3125,IF(F874&lt;0.354166666666667,"Turno C",IF(F874&gt;0.583333333333333,IF(F874&lt;0.625,"Turno B",IF(F874&gt;0.625694444444444,IF(F874&lt;0.8125,"Turno A",IF(F874&gt;0.875,IF(F874&lt;0.936805555555556,"Turno C",IF(F874&gt;0.9375,IF(F874&lt;0.979166666666667,"Turno B",""),"")),"")),"")),"")),"")),""))</f>
        <v>Turno A</v>
      </c>
      <c r="L874" s="91">
        <f t="shared" si="13"/>
        <v>0.3125</v>
      </c>
    </row>
    <row r="875" spans="1:12" s="40" customFormat="1">
      <c r="A875">
        <v>10933716</v>
      </c>
      <c r="B875" t="s">
        <v>913</v>
      </c>
      <c r="C875" t="s">
        <v>824</v>
      </c>
      <c r="D875" t="s">
        <v>912</v>
      </c>
      <c r="E875" t="s">
        <v>1438</v>
      </c>
      <c r="F875" s="78">
        <v>0.29446759259259259</v>
      </c>
      <c r="G875" t="s">
        <v>1405</v>
      </c>
      <c r="H875" t="s">
        <v>1335</v>
      </c>
      <c r="I875" s="88" t="str">
        <f>VLOOKUP(A875,Base!A:B,2,0)</f>
        <v>10.933.716-1</v>
      </c>
      <c r="J875" s="99" t="str">
        <f>VLOOKUP(A875,Base!A:F,6,0)</f>
        <v>HERNANDO  RIVEROS  RIFFO</v>
      </c>
      <c r="K875" s="89" t="str">
        <f>IFERROR(IF(VLOOKUP(I875,Ingreso!K:P,6,0)=0,"Sin turtno ing",VLOOKUP(I875,Ingreso!K:P,6,0)),IF(F875&gt;0.25,IF(F875&lt;0.311805555555556,"Turno A",IF(F875&gt;0.3125,IF(F875&lt;0.354166666666667,"Turno C",IF(F875&gt;0.583333333333333,IF(F875&lt;0.625,"Turno B",IF(F875&gt;0.625694444444444,IF(F875&lt;0.8125,"Turno A",IF(F875&gt;0.875,IF(F875&lt;0.936805555555556,"Turno C",IF(F875&gt;0.9375,IF(F875&lt;0.979166666666667,"Turno B",""),"")),"")),"")),"")),"")),""))</f>
        <v>Turno A</v>
      </c>
      <c r="L875" s="91">
        <f t="shared" si="13"/>
        <v>0.3125</v>
      </c>
    </row>
    <row r="876" spans="1:12" s="40" customFormat="1">
      <c r="A876">
        <v>10933716</v>
      </c>
      <c r="B876" t="s">
        <v>913</v>
      </c>
      <c r="C876" t="s">
        <v>824</v>
      </c>
      <c r="D876" t="s">
        <v>912</v>
      </c>
      <c r="E876" t="s">
        <v>1439</v>
      </c>
      <c r="F876" s="78">
        <v>0.63597222222222227</v>
      </c>
      <c r="G876" t="s">
        <v>1406</v>
      </c>
      <c r="H876" t="s">
        <v>1336</v>
      </c>
      <c r="I876" s="88" t="str">
        <f>VLOOKUP(A876,Base!A:B,2,0)</f>
        <v>10.933.716-1</v>
      </c>
      <c r="J876" s="99" t="str">
        <f>VLOOKUP(A876,Base!A:F,6,0)</f>
        <v>HERNANDO  RIVEROS  RIFFO</v>
      </c>
      <c r="K876" s="89" t="str">
        <f>IFERROR(IF(VLOOKUP(I876,Ingreso!K:P,6,0)=0,"Sin turtno ing",VLOOKUP(I876,Ingreso!K:P,6,0)),IF(F876&gt;0.25,IF(F876&lt;0.311805555555556,"Turno A",IF(F876&gt;0.3125,IF(F876&lt;0.354166666666667,"Turno C",IF(F876&gt;0.583333333333333,IF(F876&lt;0.625,"Turno B",IF(F876&gt;0.625694444444444,IF(F876&lt;0.8125,"Turno A",IF(F876&gt;0.875,IF(F876&lt;0.936805555555556,"Turno C",IF(F876&gt;0.9375,IF(F876&lt;0.979166666666667,"Turno B",""),"")),"")),"")),"")),"")),""))</f>
        <v>Turno A</v>
      </c>
      <c r="L876" s="91">
        <f t="shared" si="13"/>
        <v>0.3125</v>
      </c>
    </row>
    <row r="877" spans="1:12" s="40" customFormat="1">
      <c r="A877">
        <v>10933716</v>
      </c>
      <c r="B877" t="s">
        <v>913</v>
      </c>
      <c r="C877" t="s">
        <v>824</v>
      </c>
      <c r="D877" t="s">
        <v>912</v>
      </c>
      <c r="E877" t="s">
        <v>1439</v>
      </c>
      <c r="F877" s="78">
        <v>0.29541666666666666</v>
      </c>
      <c r="G877" t="s">
        <v>1405</v>
      </c>
      <c r="H877" t="s">
        <v>1335</v>
      </c>
      <c r="I877" s="88" t="str">
        <f>VLOOKUP(A877,Base!A:B,2,0)</f>
        <v>10.933.716-1</v>
      </c>
      <c r="J877" s="99" t="str">
        <f>VLOOKUP(A877,Base!A:F,6,0)</f>
        <v>HERNANDO  RIVEROS  RIFFO</v>
      </c>
      <c r="K877" s="89" t="str">
        <f>IFERROR(IF(VLOOKUP(I877,Ingreso!K:P,6,0)=0,"Sin turtno ing",VLOOKUP(I877,Ingreso!K:P,6,0)),IF(F877&gt;0.25,IF(F877&lt;0.311805555555556,"Turno A",IF(F877&gt;0.3125,IF(F877&lt;0.354166666666667,"Turno C",IF(F877&gt;0.583333333333333,IF(F877&lt;0.625,"Turno B",IF(F877&gt;0.625694444444444,IF(F877&lt;0.8125,"Turno A",IF(F877&gt;0.875,IF(F877&lt;0.936805555555556,"Turno C",IF(F877&gt;0.9375,IF(F877&lt;0.979166666666667,"Turno B",""),"")),"")),"")),"")),"")),""))</f>
        <v>Turno A</v>
      </c>
      <c r="L877" s="91">
        <f t="shared" si="13"/>
        <v>0.3125</v>
      </c>
    </row>
    <row r="878" spans="1:12" s="40" customFormat="1">
      <c r="A878">
        <v>10970380</v>
      </c>
      <c r="B878" t="s">
        <v>543</v>
      </c>
      <c r="C878" t="s">
        <v>538</v>
      </c>
      <c r="D878" t="s">
        <v>33</v>
      </c>
      <c r="E878" t="s">
        <v>1440</v>
      </c>
      <c r="F878" s="78">
        <v>0.6328125</v>
      </c>
      <c r="G878" t="s">
        <v>1406</v>
      </c>
      <c r="H878" t="s">
        <v>1336</v>
      </c>
      <c r="I878" s="88" t="str">
        <f>VLOOKUP(A878,Base!A:B,2,0)</f>
        <v>10.970.380-K</v>
      </c>
      <c r="J878" s="99" t="str">
        <f>VLOOKUP(A878,Base!A:F,6,0)</f>
        <v>JUAN ENRIQUE  LEIVA  MUÑOZ</v>
      </c>
      <c r="K878" s="89" t="str">
        <f>IFERROR(IF(VLOOKUP(I878,Ingreso!K:P,6,0)=0,"Sin turtno ing",VLOOKUP(I878,Ingreso!K:P,6,0)),IF(F878&gt;0.25,IF(F878&lt;0.311805555555556,"Turno A",IF(F878&gt;0.3125,IF(F878&lt;0.354166666666667,"Turno C",IF(F878&gt;0.583333333333333,IF(F878&lt;0.625,"Turno B",IF(F878&gt;0.625694444444444,IF(F878&lt;0.8125,"Turno A",IF(F878&gt;0.875,IF(F878&lt;0.936805555555556,"Turno C",IF(F878&gt;0.9375,IF(F878&lt;0.979166666666667,"Turno B",""),"")),"")),"")),"")),"")),""))</f>
        <v>Sin turtno ing</v>
      </c>
      <c r="L878" s="91" t="e">
        <f t="shared" si="13"/>
        <v>#N/A</v>
      </c>
    </row>
    <row r="879" spans="1:12" s="40" customFormat="1">
      <c r="A879">
        <v>10970380</v>
      </c>
      <c r="B879" t="s">
        <v>543</v>
      </c>
      <c r="C879" t="s">
        <v>538</v>
      </c>
      <c r="D879" t="s">
        <v>33</v>
      </c>
      <c r="E879" t="s">
        <v>1440</v>
      </c>
      <c r="F879" s="78">
        <v>0.31119212962962967</v>
      </c>
      <c r="G879" t="s">
        <v>1405</v>
      </c>
      <c r="H879" t="s">
        <v>1335</v>
      </c>
      <c r="I879" s="88" t="str">
        <f>VLOOKUP(A879,Base!A:B,2,0)</f>
        <v>10.970.380-K</v>
      </c>
      <c r="J879" s="99" t="str">
        <f>VLOOKUP(A879,Base!A:F,6,0)</f>
        <v>JUAN ENRIQUE  LEIVA  MUÑOZ</v>
      </c>
      <c r="K879" s="89" t="str">
        <f>IFERROR(IF(VLOOKUP(I879,Ingreso!K:P,6,0)=0,"Sin turtno ing",VLOOKUP(I879,Ingreso!K:P,6,0)),IF(F879&gt;0.25,IF(F879&lt;0.311805555555556,"Turno A",IF(F879&gt;0.3125,IF(F879&lt;0.354166666666667,"Turno C",IF(F879&gt;0.583333333333333,IF(F879&lt;0.625,"Turno B",IF(F879&gt;0.625694444444444,IF(F879&lt;0.8125,"Turno A",IF(F879&gt;0.875,IF(F879&lt;0.936805555555556,"Turno C",IF(F879&gt;0.9375,IF(F879&lt;0.979166666666667,"Turno B",""),"")),"")),"")),"")),"")),""))</f>
        <v>Sin turtno ing</v>
      </c>
      <c r="L879" s="91" t="e">
        <f t="shared" si="13"/>
        <v>#N/A</v>
      </c>
    </row>
    <row r="880" spans="1:12" s="40" customFormat="1">
      <c r="A880">
        <v>10970380</v>
      </c>
      <c r="B880" t="s">
        <v>543</v>
      </c>
      <c r="C880" t="s">
        <v>538</v>
      </c>
      <c r="D880" t="s">
        <v>33</v>
      </c>
      <c r="E880" t="s">
        <v>1441</v>
      </c>
      <c r="F880" s="78">
        <v>0.63015046296296295</v>
      </c>
      <c r="G880" t="s">
        <v>1406</v>
      </c>
      <c r="H880" t="s">
        <v>1336</v>
      </c>
      <c r="I880" s="88" t="str">
        <f>VLOOKUP(A880,Base!A:B,2,0)</f>
        <v>10.970.380-K</v>
      </c>
      <c r="J880" s="99" t="str">
        <f>VLOOKUP(A880,Base!A:F,6,0)</f>
        <v>JUAN ENRIQUE  LEIVA  MUÑOZ</v>
      </c>
      <c r="K880" s="89" t="str">
        <f>IFERROR(IF(VLOOKUP(I880,Ingreso!K:P,6,0)=0,"Sin turtno ing",VLOOKUP(I880,Ingreso!K:P,6,0)),IF(F880&gt;0.25,IF(F880&lt;0.311805555555556,"Turno A",IF(F880&gt;0.3125,IF(F880&lt;0.354166666666667,"Turno C",IF(F880&gt;0.583333333333333,IF(F880&lt;0.625,"Turno B",IF(F880&gt;0.625694444444444,IF(F880&lt;0.8125,"Turno A",IF(F880&gt;0.875,IF(F880&lt;0.936805555555556,"Turno C",IF(F880&gt;0.9375,IF(F880&lt;0.979166666666667,"Turno B",""),"")),"")),"")),"")),"")),""))</f>
        <v>Sin turtno ing</v>
      </c>
      <c r="L880" s="91" t="e">
        <f t="shared" si="13"/>
        <v>#N/A</v>
      </c>
    </row>
    <row r="881" spans="1:12" s="40" customFormat="1">
      <c r="A881">
        <v>10970380</v>
      </c>
      <c r="B881" t="s">
        <v>543</v>
      </c>
      <c r="C881" t="s">
        <v>538</v>
      </c>
      <c r="D881" t="s">
        <v>33</v>
      </c>
      <c r="E881" t="s">
        <v>1441</v>
      </c>
      <c r="F881" s="78">
        <v>0.30807870370370372</v>
      </c>
      <c r="G881" t="s">
        <v>1405</v>
      </c>
      <c r="H881" t="s">
        <v>1335</v>
      </c>
      <c r="I881" s="88" t="str">
        <f>VLOOKUP(A881,Base!A:B,2,0)</f>
        <v>10.970.380-K</v>
      </c>
      <c r="J881" s="99" t="str">
        <f>VLOOKUP(A881,Base!A:F,6,0)</f>
        <v>JUAN ENRIQUE  LEIVA  MUÑOZ</v>
      </c>
      <c r="K881" s="89" t="str">
        <f>IFERROR(IF(VLOOKUP(I881,Ingreso!K:P,6,0)=0,"Sin turtno ing",VLOOKUP(I881,Ingreso!K:P,6,0)),IF(F881&gt;0.25,IF(F881&lt;0.311805555555556,"Turno A",IF(F881&gt;0.3125,IF(F881&lt;0.354166666666667,"Turno C",IF(F881&gt;0.583333333333333,IF(F881&lt;0.625,"Turno B",IF(F881&gt;0.625694444444444,IF(F881&lt;0.8125,"Turno A",IF(F881&gt;0.875,IF(F881&lt;0.936805555555556,"Turno C",IF(F881&gt;0.9375,IF(F881&lt;0.979166666666667,"Turno B",""),"")),"")),"")),"")),"")),""))</f>
        <v>Sin turtno ing</v>
      </c>
      <c r="L881" s="91" t="e">
        <f t="shared" si="13"/>
        <v>#N/A</v>
      </c>
    </row>
    <row r="882" spans="1:12" s="40" customFormat="1">
      <c r="A882">
        <v>10970380</v>
      </c>
      <c r="B882" t="s">
        <v>543</v>
      </c>
      <c r="C882" t="s">
        <v>538</v>
      </c>
      <c r="D882" t="s">
        <v>33</v>
      </c>
      <c r="E882" t="s">
        <v>1442</v>
      </c>
      <c r="F882" s="78">
        <v>0.99612268518518521</v>
      </c>
      <c r="G882" t="s">
        <v>1405</v>
      </c>
      <c r="H882" t="s">
        <v>1335</v>
      </c>
      <c r="I882" s="88" t="str">
        <f>VLOOKUP(A882,Base!A:B,2,0)</f>
        <v>10.970.380-K</v>
      </c>
      <c r="J882" s="99" t="str">
        <f>VLOOKUP(A882,Base!A:F,6,0)</f>
        <v>JUAN ENRIQUE  LEIVA  MUÑOZ</v>
      </c>
      <c r="K882" s="89" t="str">
        <f>IFERROR(IF(VLOOKUP(I882,Ingreso!K:P,6,0)=0,"Sin turtno ing",VLOOKUP(I882,Ingreso!K:P,6,0)),IF(F882&gt;0.25,IF(F882&lt;0.311805555555556,"Turno A",IF(F882&gt;0.3125,IF(F882&lt;0.354166666666667,"Turno C",IF(F882&gt;0.583333333333333,IF(F882&lt;0.625,"Turno B",IF(F882&gt;0.625694444444444,IF(F882&lt;0.8125,"Turno A",IF(F882&gt;0.875,IF(F882&lt;0.936805555555556,"Turno C",IF(F882&gt;0.9375,IF(F882&lt;0.979166666666667,"Turno B",""),"")),"")),"")),"")),"")),""))</f>
        <v>Sin turtno ing</v>
      </c>
      <c r="L882" s="91" t="e">
        <f t="shared" si="13"/>
        <v>#N/A</v>
      </c>
    </row>
    <row r="883" spans="1:12" s="40" customFormat="1">
      <c r="A883">
        <v>10970380</v>
      </c>
      <c r="B883" t="s">
        <v>543</v>
      </c>
      <c r="C883" t="s">
        <v>538</v>
      </c>
      <c r="D883" t="s">
        <v>33</v>
      </c>
      <c r="E883" t="s">
        <v>1437</v>
      </c>
      <c r="F883" s="78">
        <v>0.63202546296296302</v>
      </c>
      <c r="G883" t="s">
        <v>1406</v>
      </c>
      <c r="H883" t="s">
        <v>1336</v>
      </c>
      <c r="I883" s="88" t="str">
        <f>VLOOKUP(A883,Base!A:B,2,0)</f>
        <v>10.970.380-K</v>
      </c>
      <c r="J883" s="99" t="str">
        <f>VLOOKUP(A883,Base!A:F,6,0)</f>
        <v>JUAN ENRIQUE  LEIVA  MUÑOZ</v>
      </c>
      <c r="K883" s="89" t="str">
        <f>IFERROR(IF(VLOOKUP(I883,Ingreso!K:P,6,0)=0,"Sin turtno ing",VLOOKUP(I883,Ingreso!K:P,6,0)),IF(F883&gt;0.25,IF(F883&lt;0.311805555555556,"Turno A",IF(F883&gt;0.3125,IF(F883&lt;0.354166666666667,"Turno C",IF(F883&gt;0.583333333333333,IF(F883&lt;0.625,"Turno B",IF(F883&gt;0.625694444444444,IF(F883&lt;0.8125,"Turno A",IF(F883&gt;0.875,IF(F883&lt;0.936805555555556,"Turno C",IF(F883&gt;0.9375,IF(F883&lt;0.979166666666667,"Turno B",""),"")),"")),"")),"")),"")),""))</f>
        <v>Sin turtno ing</v>
      </c>
      <c r="L883" s="91" t="e">
        <f t="shared" si="13"/>
        <v>#N/A</v>
      </c>
    </row>
    <row r="884" spans="1:12" s="40" customFormat="1">
      <c r="A884">
        <v>10970380</v>
      </c>
      <c r="B884" t="s">
        <v>543</v>
      </c>
      <c r="C884" t="s">
        <v>538</v>
      </c>
      <c r="D884" t="s">
        <v>33</v>
      </c>
      <c r="E884" t="s">
        <v>1437</v>
      </c>
      <c r="F884" s="78">
        <v>0.30677083333333333</v>
      </c>
      <c r="G884" t="s">
        <v>1405</v>
      </c>
      <c r="H884" t="s">
        <v>1335</v>
      </c>
      <c r="I884" s="88" t="str">
        <f>VLOOKUP(A884,Base!A:B,2,0)</f>
        <v>10.970.380-K</v>
      </c>
      <c r="J884" s="99" t="str">
        <f>VLOOKUP(A884,Base!A:F,6,0)</f>
        <v>JUAN ENRIQUE  LEIVA  MUÑOZ</v>
      </c>
      <c r="K884" s="89" t="str">
        <f>IFERROR(IF(VLOOKUP(I884,Ingreso!K:P,6,0)=0,"Sin turtno ing",VLOOKUP(I884,Ingreso!K:P,6,0)),IF(F884&gt;0.25,IF(F884&lt;0.311805555555556,"Turno A",IF(F884&gt;0.3125,IF(F884&lt;0.354166666666667,"Turno C",IF(F884&gt;0.583333333333333,IF(F884&lt;0.625,"Turno B",IF(F884&gt;0.625694444444444,IF(F884&lt;0.8125,"Turno A",IF(F884&gt;0.875,IF(F884&lt;0.936805555555556,"Turno C",IF(F884&gt;0.9375,IF(F884&lt;0.979166666666667,"Turno B",""),"")),"")),"")),"")),"")),""))</f>
        <v>Sin turtno ing</v>
      </c>
      <c r="L884" s="91" t="e">
        <f t="shared" si="13"/>
        <v>#N/A</v>
      </c>
    </row>
    <row r="885" spans="1:12" s="40" customFormat="1">
      <c r="A885">
        <v>10970380</v>
      </c>
      <c r="B885" t="s">
        <v>543</v>
      </c>
      <c r="C885" t="s">
        <v>538</v>
      </c>
      <c r="D885" t="s">
        <v>33</v>
      </c>
      <c r="E885" t="s">
        <v>1438</v>
      </c>
      <c r="F885" s="78">
        <v>0.6303009259259259</v>
      </c>
      <c r="G885" t="s">
        <v>1406</v>
      </c>
      <c r="H885" t="s">
        <v>1336</v>
      </c>
      <c r="I885" s="88" t="str">
        <f>VLOOKUP(A885,Base!A:B,2,0)</f>
        <v>10.970.380-K</v>
      </c>
      <c r="J885" s="99" t="str">
        <f>VLOOKUP(A885,Base!A:F,6,0)</f>
        <v>JUAN ENRIQUE  LEIVA  MUÑOZ</v>
      </c>
      <c r="K885" s="89" t="str">
        <f>IFERROR(IF(VLOOKUP(I885,Ingreso!K:P,6,0)=0,"Sin turtno ing",VLOOKUP(I885,Ingreso!K:P,6,0)),IF(F885&gt;0.25,IF(F885&lt;0.311805555555556,"Turno A",IF(F885&gt;0.3125,IF(F885&lt;0.354166666666667,"Turno C",IF(F885&gt;0.583333333333333,IF(F885&lt;0.625,"Turno B",IF(F885&gt;0.625694444444444,IF(F885&lt;0.8125,"Turno A",IF(F885&gt;0.875,IF(F885&lt;0.936805555555556,"Turno C",IF(F885&gt;0.9375,IF(F885&lt;0.979166666666667,"Turno B",""),"")),"")),"")),"")),"")),""))</f>
        <v>Sin turtno ing</v>
      </c>
      <c r="L885" s="91" t="e">
        <f t="shared" si="13"/>
        <v>#N/A</v>
      </c>
    </row>
    <row r="886" spans="1:12" s="40" customFormat="1">
      <c r="A886">
        <v>10970380</v>
      </c>
      <c r="B886" t="s">
        <v>543</v>
      </c>
      <c r="C886" t="s">
        <v>538</v>
      </c>
      <c r="D886" t="s">
        <v>33</v>
      </c>
      <c r="E886" t="s">
        <v>1438</v>
      </c>
      <c r="F886" s="78">
        <v>0.30537037037037035</v>
      </c>
      <c r="G886" t="s">
        <v>1405</v>
      </c>
      <c r="H886" t="s">
        <v>1335</v>
      </c>
      <c r="I886" s="88" t="str">
        <f>VLOOKUP(A886,Base!A:B,2,0)</f>
        <v>10.970.380-K</v>
      </c>
      <c r="J886" s="99" t="str">
        <f>VLOOKUP(A886,Base!A:F,6,0)</f>
        <v>JUAN ENRIQUE  LEIVA  MUÑOZ</v>
      </c>
      <c r="K886" s="89" t="str">
        <f>IFERROR(IF(VLOOKUP(I886,Ingreso!K:P,6,0)=0,"Sin turtno ing",VLOOKUP(I886,Ingreso!K:P,6,0)),IF(F886&gt;0.25,IF(F886&lt;0.311805555555556,"Turno A",IF(F886&gt;0.3125,IF(F886&lt;0.354166666666667,"Turno C",IF(F886&gt;0.583333333333333,IF(F886&lt;0.625,"Turno B",IF(F886&gt;0.625694444444444,IF(F886&lt;0.8125,"Turno A",IF(F886&gt;0.875,IF(F886&lt;0.936805555555556,"Turno C",IF(F886&gt;0.9375,IF(F886&lt;0.979166666666667,"Turno B",""),"")),"")),"")),"")),"")),""))</f>
        <v>Sin turtno ing</v>
      </c>
      <c r="L886" s="91" t="e">
        <f t="shared" si="13"/>
        <v>#N/A</v>
      </c>
    </row>
    <row r="887" spans="1:12" s="40" customFormat="1">
      <c r="A887">
        <v>10970380</v>
      </c>
      <c r="B887" t="s">
        <v>543</v>
      </c>
      <c r="C887" t="s">
        <v>538</v>
      </c>
      <c r="D887" t="s">
        <v>33</v>
      </c>
      <c r="E887" t="s">
        <v>1439</v>
      </c>
      <c r="F887" s="78">
        <v>0.63364583333333335</v>
      </c>
      <c r="G887" t="s">
        <v>1406</v>
      </c>
      <c r="H887" t="s">
        <v>1336</v>
      </c>
      <c r="I887" s="88" t="str">
        <f>VLOOKUP(A887,Base!A:B,2,0)</f>
        <v>10.970.380-K</v>
      </c>
      <c r="J887" s="99" t="str">
        <f>VLOOKUP(A887,Base!A:F,6,0)</f>
        <v>JUAN ENRIQUE  LEIVA  MUÑOZ</v>
      </c>
      <c r="K887" s="89" t="str">
        <f>IFERROR(IF(VLOOKUP(I887,Ingreso!K:P,6,0)=0,"Sin turtno ing",VLOOKUP(I887,Ingreso!K:P,6,0)),IF(F887&gt;0.25,IF(F887&lt;0.311805555555556,"Turno A",IF(F887&gt;0.3125,IF(F887&lt;0.354166666666667,"Turno C",IF(F887&gt;0.583333333333333,IF(F887&lt;0.625,"Turno B",IF(F887&gt;0.625694444444444,IF(F887&lt;0.8125,"Turno A",IF(F887&gt;0.875,IF(F887&lt;0.936805555555556,"Turno C",IF(F887&gt;0.9375,IF(F887&lt;0.979166666666667,"Turno B",""),"")),"")),"")),"")),"")),""))</f>
        <v>Sin turtno ing</v>
      </c>
      <c r="L887" s="91" t="e">
        <f t="shared" si="13"/>
        <v>#N/A</v>
      </c>
    </row>
    <row r="888" spans="1:12" s="40" customFormat="1">
      <c r="A888">
        <v>10970380</v>
      </c>
      <c r="B888" t="s">
        <v>543</v>
      </c>
      <c r="C888" t="s">
        <v>538</v>
      </c>
      <c r="D888" t="s">
        <v>33</v>
      </c>
      <c r="E888" t="s">
        <v>1439</v>
      </c>
      <c r="F888" s="78">
        <v>0.30518518518518517</v>
      </c>
      <c r="G888" t="s">
        <v>1405</v>
      </c>
      <c r="H888" t="s">
        <v>1335</v>
      </c>
      <c r="I888" s="88" t="str">
        <f>VLOOKUP(A888,Base!A:B,2,0)</f>
        <v>10.970.380-K</v>
      </c>
      <c r="J888" s="99" t="str">
        <f>VLOOKUP(A888,Base!A:F,6,0)</f>
        <v>JUAN ENRIQUE  LEIVA  MUÑOZ</v>
      </c>
      <c r="K888" s="89" t="str">
        <f>IFERROR(IF(VLOOKUP(I888,Ingreso!K:P,6,0)=0,"Sin turtno ing",VLOOKUP(I888,Ingreso!K:P,6,0)),IF(F888&gt;0.25,IF(F888&lt;0.311805555555556,"Turno A",IF(F888&gt;0.3125,IF(F888&lt;0.354166666666667,"Turno C",IF(F888&gt;0.583333333333333,IF(F888&lt;0.625,"Turno B",IF(F888&gt;0.625694444444444,IF(F888&lt;0.8125,"Turno A",IF(F888&gt;0.875,IF(F888&lt;0.936805555555556,"Turno C",IF(F888&gt;0.9375,IF(F888&lt;0.979166666666667,"Turno B",""),"")),"")),"")),"")),"")),""))</f>
        <v>Sin turtno ing</v>
      </c>
      <c r="L888" s="91" t="e">
        <f t="shared" si="13"/>
        <v>#N/A</v>
      </c>
    </row>
    <row r="889" spans="1:12" s="40" customFormat="1">
      <c r="A889">
        <v>11054986</v>
      </c>
      <c r="B889" t="s">
        <v>755</v>
      </c>
      <c r="C889" t="s">
        <v>753</v>
      </c>
      <c r="D889" t="s">
        <v>754</v>
      </c>
      <c r="E889" t="s">
        <v>1440</v>
      </c>
      <c r="F889" s="78">
        <v>0.63320601851851854</v>
      </c>
      <c r="G889" t="s">
        <v>1406</v>
      </c>
      <c r="H889" t="s">
        <v>1336</v>
      </c>
      <c r="I889" s="88" t="str">
        <f>VLOOKUP(A889,Base!A:B,2,0)</f>
        <v>11.054.986-5</v>
      </c>
      <c r="J889" s="99" t="str">
        <f>VLOOKUP(A889,Base!A:F,6,0)</f>
        <v>CLAUDIA  PALAVECINOS  SEPULVEDA</v>
      </c>
      <c r="K889" s="89" t="str">
        <f>IFERROR(IF(VLOOKUP(I889,Ingreso!K:P,6,0)=0,"Sin turtno ing",VLOOKUP(I889,Ingreso!K:P,6,0)),IF(F889&gt;0.25,IF(F889&lt;0.311805555555556,"Turno A",IF(F889&gt;0.3125,IF(F889&lt;0.354166666666667,"Turno C",IF(F889&gt;0.583333333333333,IF(F889&lt;0.625,"Turno B",IF(F889&gt;0.625694444444444,IF(F889&lt;0.8125,"Turno A",IF(F889&gt;0.875,IF(F889&lt;0.936805555555556,"Turno C",IF(F889&gt;0.9375,IF(F889&lt;0.979166666666667,"Turno B",""),"")),"")),"")),"")),"")),""))</f>
        <v>Turno A</v>
      </c>
      <c r="L889" s="91">
        <f t="shared" si="13"/>
        <v>0.3125</v>
      </c>
    </row>
    <row r="890" spans="1:12" s="40" customFormat="1">
      <c r="A890">
        <v>11054986</v>
      </c>
      <c r="B890" t="s">
        <v>755</v>
      </c>
      <c r="C890" t="s">
        <v>753</v>
      </c>
      <c r="D890" t="s">
        <v>754</v>
      </c>
      <c r="E890" t="s">
        <v>1440</v>
      </c>
      <c r="F890" s="78">
        <v>0.29024305555555557</v>
      </c>
      <c r="G890" t="s">
        <v>1405</v>
      </c>
      <c r="H890" t="s">
        <v>1335</v>
      </c>
      <c r="I890" s="88" t="str">
        <f>VLOOKUP(A890,Base!A:B,2,0)</f>
        <v>11.054.986-5</v>
      </c>
      <c r="J890" s="99" t="str">
        <f>VLOOKUP(A890,Base!A:F,6,0)</f>
        <v>CLAUDIA  PALAVECINOS  SEPULVEDA</v>
      </c>
      <c r="K890" s="89" t="str">
        <f>IFERROR(IF(VLOOKUP(I890,Ingreso!K:P,6,0)=0,"Sin turtno ing",VLOOKUP(I890,Ingreso!K:P,6,0)),IF(F890&gt;0.25,IF(F890&lt;0.311805555555556,"Turno A",IF(F890&gt;0.3125,IF(F890&lt;0.354166666666667,"Turno C",IF(F890&gt;0.583333333333333,IF(F890&lt;0.625,"Turno B",IF(F890&gt;0.625694444444444,IF(F890&lt;0.8125,"Turno A",IF(F890&gt;0.875,IF(F890&lt;0.936805555555556,"Turno C",IF(F890&gt;0.9375,IF(F890&lt;0.979166666666667,"Turno B",""),"")),"")),"")),"")),"")),""))</f>
        <v>Turno A</v>
      </c>
      <c r="L890" s="91">
        <f t="shared" si="13"/>
        <v>0.3125</v>
      </c>
    </row>
    <row r="891" spans="1:12" s="40" customFormat="1">
      <c r="A891">
        <v>11054986</v>
      </c>
      <c r="B891" t="s">
        <v>755</v>
      </c>
      <c r="C891" t="s">
        <v>753</v>
      </c>
      <c r="D891" t="s">
        <v>754</v>
      </c>
      <c r="E891" t="s">
        <v>1441</v>
      </c>
      <c r="F891" s="78">
        <v>0.63424768518518515</v>
      </c>
      <c r="G891" t="s">
        <v>1406</v>
      </c>
      <c r="H891" t="s">
        <v>1336</v>
      </c>
      <c r="I891" s="88" t="str">
        <f>VLOOKUP(A891,Base!A:B,2,0)</f>
        <v>11.054.986-5</v>
      </c>
      <c r="J891" s="99" t="str">
        <f>VLOOKUP(A891,Base!A:F,6,0)</f>
        <v>CLAUDIA  PALAVECINOS  SEPULVEDA</v>
      </c>
      <c r="K891" s="89" t="str">
        <f>IFERROR(IF(VLOOKUP(I891,Ingreso!K:P,6,0)=0,"Sin turtno ing",VLOOKUP(I891,Ingreso!K:P,6,0)),IF(F891&gt;0.25,IF(F891&lt;0.311805555555556,"Turno A",IF(F891&gt;0.3125,IF(F891&lt;0.354166666666667,"Turno C",IF(F891&gt;0.583333333333333,IF(F891&lt;0.625,"Turno B",IF(F891&gt;0.625694444444444,IF(F891&lt;0.8125,"Turno A",IF(F891&gt;0.875,IF(F891&lt;0.936805555555556,"Turno C",IF(F891&gt;0.9375,IF(F891&lt;0.979166666666667,"Turno B",""),"")),"")),"")),"")),"")),""))</f>
        <v>Turno A</v>
      </c>
      <c r="L891" s="91">
        <f t="shared" si="13"/>
        <v>0.3125</v>
      </c>
    </row>
    <row r="892" spans="1:12" s="40" customFormat="1">
      <c r="A892">
        <v>11054986</v>
      </c>
      <c r="B892" t="s">
        <v>755</v>
      </c>
      <c r="C892" t="s">
        <v>753</v>
      </c>
      <c r="D892" t="s">
        <v>754</v>
      </c>
      <c r="E892" t="s">
        <v>1441</v>
      </c>
      <c r="F892" s="78">
        <v>0.29873842592592592</v>
      </c>
      <c r="G892" t="s">
        <v>1405</v>
      </c>
      <c r="H892" t="s">
        <v>1335</v>
      </c>
      <c r="I892" s="88" t="str">
        <f>VLOOKUP(A892,Base!A:B,2,0)</f>
        <v>11.054.986-5</v>
      </c>
      <c r="J892" s="99" t="str">
        <f>VLOOKUP(A892,Base!A:F,6,0)</f>
        <v>CLAUDIA  PALAVECINOS  SEPULVEDA</v>
      </c>
      <c r="K892" s="89" t="str">
        <f>IFERROR(IF(VLOOKUP(I892,Ingreso!K:P,6,0)=0,"Sin turtno ing",VLOOKUP(I892,Ingreso!K:P,6,0)),IF(F892&gt;0.25,IF(F892&lt;0.311805555555556,"Turno A",IF(F892&gt;0.3125,IF(F892&lt;0.354166666666667,"Turno C",IF(F892&gt;0.583333333333333,IF(F892&lt;0.625,"Turno B",IF(F892&gt;0.625694444444444,IF(F892&lt;0.8125,"Turno A",IF(F892&gt;0.875,IF(F892&lt;0.936805555555556,"Turno C",IF(F892&gt;0.9375,IF(F892&lt;0.979166666666667,"Turno B",""),"")),"")),"")),"")),"")),""))</f>
        <v>Turno A</v>
      </c>
      <c r="L892" s="91">
        <f t="shared" si="13"/>
        <v>0.3125</v>
      </c>
    </row>
    <row r="893" spans="1:12" s="40" customFormat="1">
      <c r="A893">
        <v>11054986</v>
      </c>
      <c r="B893" t="s">
        <v>755</v>
      </c>
      <c r="C893" t="s">
        <v>753</v>
      </c>
      <c r="D893" t="s">
        <v>754</v>
      </c>
      <c r="E893" t="s">
        <v>1438</v>
      </c>
      <c r="F893" s="78">
        <v>0.62995370370370374</v>
      </c>
      <c r="G893" t="s">
        <v>1406</v>
      </c>
      <c r="H893" t="s">
        <v>1336</v>
      </c>
      <c r="I893" s="88" t="str">
        <f>VLOOKUP(A893,Base!A:B,2,0)</f>
        <v>11.054.986-5</v>
      </c>
      <c r="J893" s="99" t="str">
        <f>VLOOKUP(A893,Base!A:F,6,0)</f>
        <v>CLAUDIA  PALAVECINOS  SEPULVEDA</v>
      </c>
      <c r="K893" s="89" t="str">
        <f>IFERROR(IF(VLOOKUP(I893,Ingreso!K:P,6,0)=0,"Sin turtno ing",VLOOKUP(I893,Ingreso!K:P,6,0)),IF(F893&gt;0.25,IF(F893&lt;0.311805555555556,"Turno A",IF(F893&gt;0.3125,IF(F893&lt;0.354166666666667,"Turno C",IF(F893&gt;0.583333333333333,IF(F893&lt;0.625,"Turno B",IF(F893&gt;0.625694444444444,IF(F893&lt;0.8125,"Turno A",IF(F893&gt;0.875,IF(F893&lt;0.936805555555556,"Turno C",IF(F893&gt;0.9375,IF(F893&lt;0.979166666666667,"Turno B",""),"")),"")),"")),"")),"")),""))</f>
        <v>Turno A</v>
      </c>
      <c r="L893" s="91">
        <f t="shared" si="13"/>
        <v>0.3125</v>
      </c>
    </row>
    <row r="894" spans="1:12" s="40" customFormat="1">
      <c r="A894">
        <v>11054986</v>
      </c>
      <c r="B894" t="s">
        <v>755</v>
      </c>
      <c r="C894" t="s">
        <v>753</v>
      </c>
      <c r="D894" t="s">
        <v>754</v>
      </c>
      <c r="E894" t="s">
        <v>1438</v>
      </c>
      <c r="F894" s="78">
        <v>0.29461805555555559</v>
      </c>
      <c r="G894" t="s">
        <v>1405</v>
      </c>
      <c r="H894" t="s">
        <v>1335</v>
      </c>
      <c r="I894" s="88" t="str">
        <f>VLOOKUP(A894,Base!A:B,2,0)</f>
        <v>11.054.986-5</v>
      </c>
      <c r="J894" s="99" t="str">
        <f>VLOOKUP(A894,Base!A:F,6,0)</f>
        <v>CLAUDIA  PALAVECINOS  SEPULVEDA</v>
      </c>
      <c r="K894" s="89" t="str">
        <f>IFERROR(IF(VLOOKUP(I894,Ingreso!K:P,6,0)=0,"Sin turtno ing",VLOOKUP(I894,Ingreso!K:P,6,0)),IF(F894&gt;0.25,IF(F894&lt;0.311805555555556,"Turno A",IF(F894&gt;0.3125,IF(F894&lt;0.354166666666667,"Turno C",IF(F894&gt;0.583333333333333,IF(F894&lt;0.625,"Turno B",IF(F894&gt;0.625694444444444,IF(F894&lt;0.8125,"Turno A",IF(F894&gt;0.875,IF(F894&lt;0.936805555555556,"Turno C",IF(F894&gt;0.9375,IF(F894&lt;0.979166666666667,"Turno B",""),"")),"")),"")),"")),"")),""))</f>
        <v>Turno A</v>
      </c>
      <c r="L894" s="91">
        <f t="shared" si="13"/>
        <v>0.3125</v>
      </c>
    </row>
    <row r="895" spans="1:12" s="40" customFormat="1">
      <c r="A895">
        <v>11054986</v>
      </c>
      <c r="B895" t="s">
        <v>755</v>
      </c>
      <c r="C895" t="s">
        <v>753</v>
      </c>
      <c r="D895" t="s">
        <v>754</v>
      </c>
      <c r="E895" t="s">
        <v>1439</v>
      </c>
      <c r="F895" s="78">
        <v>0.63407407407407412</v>
      </c>
      <c r="G895" t="s">
        <v>1406</v>
      </c>
      <c r="H895" t="s">
        <v>1336</v>
      </c>
      <c r="I895" s="88" t="str">
        <f>VLOOKUP(A895,Base!A:B,2,0)</f>
        <v>11.054.986-5</v>
      </c>
      <c r="J895" s="99" t="str">
        <f>VLOOKUP(A895,Base!A:F,6,0)</f>
        <v>CLAUDIA  PALAVECINOS  SEPULVEDA</v>
      </c>
      <c r="K895" s="89" t="str">
        <f>IFERROR(IF(VLOOKUP(I895,Ingreso!K:P,6,0)=0,"Sin turtno ing",VLOOKUP(I895,Ingreso!K:P,6,0)),IF(F895&gt;0.25,IF(F895&lt;0.311805555555556,"Turno A",IF(F895&gt;0.3125,IF(F895&lt;0.354166666666667,"Turno C",IF(F895&gt;0.583333333333333,IF(F895&lt;0.625,"Turno B",IF(F895&gt;0.625694444444444,IF(F895&lt;0.8125,"Turno A",IF(F895&gt;0.875,IF(F895&lt;0.936805555555556,"Turno C",IF(F895&gt;0.9375,IF(F895&lt;0.979166666666667,"Turno B",""),"")),"")),"")),"")),"")),""))</f>
        <v>Turno A</v>
      </c>
      <c r="L895" s="91">
        <f t="shared" si="13"/>
        <v>0.3125</v>
      </c>
    </row>
    <row r="896" spans="1:12" s="40" customFormat="1">
      <c r="A896">
        <v>11054986</v>
      </c>
      <c r="B896" t="s">
        <v>755</v>
      </c>
      <c r="C896" t="s">
        <v>753</v>
      </c>
      <c r="D896" t="s">
        <v>754</v>
      </c>
      <c r="E896" t="s">
        <v>1439</v>
      </c>
      <c r="F896" s="78">
        <v>0.28835648148148146</v>
      </c>
      <c r="G896" t="s">
        <v>1405</v>
      </c>
      <c r="H896" t="s">
        <v>1335</v>
      </c>
      <c r="I896" s="88" t="str">
        <f>VLOOKUP(A896,Base!A:B,2,0)</f>
        <v>11.054.986-5</v>
      </c>
      <c r="J896" s="99" t="str">
        <f>VLOOKUP(A896,Base!A:F,6,0)</f>
        <v>CLAUDIA  PALAVECINOS  SEPULVEDA</v>
      </c>
      <c r="K896" s="89" t="str">
        <f>IFERROR(IF(VLOOKUP(I896,Ingreso!K:P,6,0)=0,"Sin turtno ing",VLOOKUP(I896,Ingreso!K:P,6,0)),IF(F896&gt;0.25,IF(F896&lt;0.311805555555556,"Turno A",IF(F896&gt;0.3125,IF(F896&lt;0.354166666666667,"Turno C",IF(F896&gt;0.583333333333333,IF(F896&lt;0.625,"Turno B",IF(F896&gt;0.625694444444444,IF(F896&lt;0.8125,"Turno A",IF(F896&gt;0.875,IF(F896&lt;0.936805555555556,"Turno C",IF(F896&gt;0.9375,IF(F896&lt;0.979166666666667,"Turno B",""),"")),"")),"")),"")),"")),""))</f>
        <v>Turno A</v>
      </c>
      <c r="L896" s="91">
        <f t="shared" si="13"/>
        <v>0.3125</v>
      </c>
    </row>
    <row r="897" spans="1:12" s="40" customFormat="1">
      <c r="A897">
        <v>11123851</v>
      </c>
      <c r="B897" t="s">
        <v>62</v>
      </c>
      <c r="C897" t="s">
        <v>1058</v>
      </c>
      <c r="D897" t="s">
        <v>83</v>
      </c>
      <c r="E897" t="s">
        <v>1440</v>
      </c>
      <c r="F897" s="78">
        <v>0.63685185185185189</v>
      </c>
      <c r="G897" t="s">
        <v>1406</v>
      </c>
      <c r="H897" t="s">
        <v>1336</v>
      </c>
      <c r="I897" s="88" t="str">
        <f>VLOOKUP(A897,Base!A:B,2,0)</f>
        <v>11.123.851-0</v>
      </c>
      <c r="J897" s="99" t="str">
        <f>VLOOKUP(A897,Base!A:F,6,0)</f>
        <v>MAURICIO  VALLE  GONZALEZ</v>
      </c>
      <c r="K897" s="89" t="str">
        <f>IFERROR(IF(VLOOKUP(I897,Ingreso!K:P,6,0)=0,"Sin turtno ing",VLOOKUP(I897,Ingreso!K:P,6,0)),IF(F897&gt;0.25,IF(F897&lt;0.311805555555556,"Turno A",IF(F897&gt;0.3125,IF(F897&lt;0.354166666666667,"Turno C",IF(F897&gt;0.583333333333333,IF(F897&lt;0.625,"Turno B",IF(F897&gt;0.625694444444444,IF(F897&lt;0.8125,"Turno A",IF(F897&gt;0.875,IF(F897&lt;0.936805555555556,"Turno C",IF(F897&gt;0.9375,IF(F897&lt;0.979166666666667,"Turno B",""),"")),"")),"")),"")),"")),""))</f>
        <v>Turno A</v>
      </c>
      <c r="L897" s="91">
        <f t="shared" si="13"/>
        <v>0.3125</v>
      </c>
    </row>
    <row r="898" spans="1:12" s="40" customFormat="1">
      <c r="A898">
        <v>11123851</v>
      </c>
      <c r="B898" t="s">
        <v>62</v>
      </c>
      <c r="C898" t="s">
        <v>1058</v>
      </c>
      <c r="D898" t="s">
        <v>83</v>
      </c>
      <c r="E898" t="s">
        <v>1440</v>
      </c>
      <c r="F898" s="78">
        <v>0.29681712962962964</v>
      </c>
      <c r="G898" t="s">
        <v>1405</v>
      </c>
      <c r="H898" t="s">
        <v>1335</v>
      </c>
      <c r="I898" s="88" t="str">
        <f>VLOOKUP(A898,Base!A:B,2,0)</f>
        <v>11.123.851-0</v>
      </c>
      <c r="J898" s="99" t="str">
        <f>VLOOKUP(A898,Base!A:F,6,0)</f>
        <v>MAURICIO  VALLE  GONZALEZ</v>
      </c>
      <c r="K898" s="89" t="str">
        <f>IFERROR(IF(VLOOKUP(I898,Ingreso!K:P,6,0)=0,"Sin turtno ing",VLOOKUP(I898,Ingreso!K:P,6,0)),IF(F898&gt;0.25,IF(F898&lt;0.311805555555556,"Turno A",IF(F898&gt;0.3125,IF(F898&lt;0.354166666666667,"Turno C",IF(F898&gt;0.583333333333333,IF(F898&lt;0.625,"Turno B",IF(F898&gt;0.625694444444444,IF(F898&lt;0.8125,"Turno A",IF(F898&gt;0.875,IF(F898&lt;0.936805555555556,"Turno C",IF(F898&gt;0.9375,IF(F898&lt;0.979166666666667,"Turno B",""),"")),"")),"")),"")),"")),""))</f>
        <v>Turno A</v>
      </c>
      <c r="L898" s="91">
        <f t="shared" si="13"/>
        <v>0.3125</v>
      </c>
    </row>
    <row r="899" spans="1:12" s="40" customFormat="1">
      <c r="A899">
        <v>11123851</v>
      </c>
      <c r="B899" t="s">
        <v>62</v>
      </c>
      <c r="C899" t="s">
        <v>1058</v>
      </c>
      <c r="D899" t="s">
        <v>83</v>
      </c>
      <c r="E899" t="s">
        <v>1441</v>
      </c>
      <c r="F899" s="78">
        <v>0.63440972222222225</v>
      </c>
      <c r="G899" t="s">
        <v>1406</v>
      </c>
      <c r="H899" t="s">
        <v>1336</v>
      </c>
      <c r="I899" s="88" t="str">
        <f>VLOOKUP(A899,Base!A:B,2,0)</f>
        <v>11.123.851-0</v>
      </c>
      <c r="J899" s="99" t="str">
        <f>VLOOKUP(A899,Base!A:F,6,0)</f>
        <v>MAURICIO  VALLE  GONZALEZ</v>
      </c>
      <c r="K899" s="89" t="str">
        <f>IFERROR(IF(VLOOKUP(I899,Ingreso!K:P,6,0)=0,"Sin turtno ing",VLOOKUP(I899,Ingreso!K:P,6,0)),IF(F899&gt;0.25,IF(F899&lt;0.311805555555556,"Turno A",IF(F899&gt;0.3125,IF(F899&lt;0.354166666666667,"Turno C",IF(F899&gt;0.583333333333333,IF(F899&lt;0.625,"Turno B",IF(F899&gt;0.625694444444444,IF(F899&lt;0.8125,"Turno A",IF(F899&gt;0.875,IF(F899&lt;0.936805555555556,"Turno C",IF(F899&gt;0.9375,IF(F899&lt;0.979166666666667,"Turno B",""),"")),"")),"")),"")),"")),""))</f>
        <v>Turno A</v>
      </c>
      <c r="L899" s="91">
        <f t="shared" ref="L899:L962" si="14">VLOOKUP(K899,$S$3:$T$7,2,0)</f>
        <v>0.3125</v>
      </c>
    </row>
    <row r="900" spans="1:12" s="40" customFormat="1">
      <c r="A900">
        <v>11123851</v>
      </c>
      <c r="B900" t="s">
        <v>62</v>
      </c>
      <c r="C900" t="s">
        <v>1058</v>
      </c>
      <c r="D900" t="s">
        <v>83</v>
      </c>
      <c r="E900" t="s">
        <v>1441</v>
      </c>
      <c r="F900" s="78">
        <v>0.30628472222222219</v>
      </c>
      <c r="G900" t="s">
        <v>1405</v>
      </c>
      <c r="H900" t="s">
        <v>1335</v>
      </c>
      <c r="I900" s="88" t="str">
        <f>VLOOKUP(A900,Base!A:B,2,0)</f>
        <v>11.123.851-0</v>
      </c>
      <c r="J900" s="99" t="str">
        <f>VLOOKUP(A900,Base!A:F,6,0)</f>
        <v>MAURICIO  VALLE  GONZALEZ</v>
      </c>
      <c r="K900" s="89" t="str">
        <f>IFERROR(IF(VLOOKUP(I900,Ingreso!K:P,6,0)=0,"Sin turtno ing",VLOOKUP(I900,Ingreso!K:P,6,0)),IF(F900&gt;0.25,IF(F900&lt;0.311805555555556,"Turno A",IF(F900&gt;0.3125,IF(F900&lt;0.354166666666667,"Turno C",IF(F900&gt;0.583333333333333,IF(F900&lt;0.625,"Turno B",IF(F900&gt;0.625694444444444,IF(F900&lt;0.8125,"Turno A",IF(F900&gt;0.875,IF(F900&lt;0.936805555555556,"Turno C",IF(F900&gt;0.9375,IF(F900&lt;0.979166666666667,"Turno B",""),"")),"")),"")),"")),"")),""))</f>
        <v>Turno A</v>
      </c>
      <c r="L900" s="91">
        <f t="shared" si="14"/>
        <v>0.3125</v>
      </c>
    </row>
    <row r="901" spans="1:12" s="40" customFormat="1">
      <c r="A901">
        <v>11123851</v>
      </c>
      <c r="B901" t="s">
        <v>62</v>
      </c>
      <c r="C901" t="s">
        <v>1058</v>
      </c>
      <c r="D901" t="s">
        <v>83</v>
      </c>
      <c r="E901" t="s">
        <v>1437</v>
      </c>
      <c r="F901" s="78">
        <v>0.6401041666666667</v>
      </c>
      <c r="G901" t="s">
        <v>1406</v>
      </c>
      <c r="H901" t="s">
        <v>1336</v>
      </c>
      <c r="I901" s="88" t="str">
        <f>VLOOKUP(A901,Base!A:B,2,0)</f>
        <v>11.123.851-0</v>
      </c>
      <c r="J901" s="99" t="str">
        <f>VLOOKUP(A901,Base!A:F,6,0)</f>
        <v>MAURICIO  VALLE  GONZALEZ</v>
      </c>
      <c r="K901" s="89" t="str">
        <f>IFERROR(IF(VLOOKUP(I901,Ingreso!K:P,6,0)=0,"Sin turtno ing",VLOOKUP(I901,Ingreso!K:P,6,0)),IF(F901&gt;0.25,IF(F901&lt;0.311805555555556,"Turno A",IF(F901&gt;0.3125,IF(F901&lt;0.354166666666667,"Turno C",IF(F901&gt;0.583333333333333,IF(F901&lt;0.625,"Turno B",IF(F901&gt;0.625694444444444,IF(F901&lt;0.8125,"Turno A",IF(F901&gt;0.875,IF(F901&lt;0.936805555555556,"Turno C",IF(F901&gt;0.9375,IF(F901&lt;0.979166666666667,"Turno B",""),"")),"")),"")),"")),"")),""))</f>
        <v>Turno A</v>
      </c>
      <c r="L901" s="91">
        <f t="shared" si="14"/>
        <v>0.3125</v>
      </c>
    </row>
    <row r="902" spans="1:12" s="40" customFormat="1">
      <c r="A902">
        <v>11123851</v>
      </c>
      <c r="B902" t="s">
        <v>62</v>
      </c>
      <c r="C902" t="s">
        <v>1058</v>
      </c>
      <c r="D902" t="s">
        <v>83</v>
      </c>
      <c r="E902" t="s">
        <v>1437</v>
      </c>
      <c r="F902" s="78">
        <v>0.30290509259259263</v>
      </c>
      <c r="G902" t="s">
        <v>1405</v>
      </c>
      <c r="H902" t="s">
        <v>1335</v>
      </c>
      <c r="I902" s="88" t="str">
        <f>VLOOKUP(A902,Base!A:B,2,0)</f>
        <v>11.123.851-0</v>
      </c>
      <c r="J902" s="99" t="str">
        <f>VLOOKUP(A902,Base!A:F,6,0)</f>
        <v>MAURICIO  VALLE  GONZALEZ</v>
      </c>
      <c r="K902" s="89" t="str">
        <f>IFERROR(IF(VLOOKUP(I902,Ingreso!K:P,6,0)=0,"Sin turtno ing",VLOOKUP(I902,Ingreso!K:P,6,0)),IF(F902&gt;0.25,IF(F902&lt;0.311805555555556,"Turno A",IF(F902&gt;0.3125,IF(F902&lt;0.354166666666667,"Turno C",IF(F902&gt;0.583333333333333,IF(F902&lt;0.625,"Turno B",IF(F902&gt;0.625694444444444,IF(F902&lt;0.8125,"Turno A",IF(F902&gt;0.875,IF(F902&lt;0.936805555555556,"Turno C",IF(F902&gt;0.9375,IF(F902&lt;0.979166666666667,"Turno B",""),"")),"")),"")),"")),"")),""))</f>
        <v>Turno A</v>
      </c>
      <c r="L902" s="91">
        <f t="shared" si="14"/>
        <v>0.3125</v>
      </c>
    </row>
    <row r="903" spans="1:12" s="40" customFormat="1">
      <c r="A903">
        <v>11123851</v>
      </c>
      <c r="B903" t="s">
        <v>62</v>
      </c>
      <c r="C903" t="s">
        <v>1058</v>
      </c>
      <c r="D903" t="s">
        <v>83</v>
      </c>
      <c r="E903" t="s">
        <v>1438</v>
      </c>
      <c r="F903" s="78">
        <v>0.63929398148148142</v>
      </c>
      <c r="G903" t="s">
        <v>1406</v>
      </c>
      <c r="H903" t="s">
        <v>1336</v>
      </c>
      <c r="I903" s="88" t="str">
        <f>VLOOKUP(A903,Base!A:B,2,0)</f>
        <v>11.123.851-0</v>
      </c>
      <c r="J903" s="99" t="str">
        <f>VLOOKUP(A903,Base!A:F,6,0)</f>
        <v>MAURICIO  VALLE  GONZALEZ</v>
      </c>
      <c r="K903" s="89" t="str">
        <f>IFERROR(IF(VLOOKUP(I903,Ingreso!K:P,6,0)=0,"Sin turtno ing",VLOOKUP(I903,Ingreso!K:P,6,0)),IF(F903&gt;0.25,IF(F903&lt;0.311805555555556,"Turno A",IF(F903&gt;0.3125,IF(F903&lt;0.354166666666667,"Turno C",IF(F903&gt;0.583333333333333,IF(F903&lt;0.625,"Turno B",IF(F903&gt;0.625694444444444,IF(F903&lt;0.8125,"Turno A",IF(F903&gt;0.875,IF(F903&lt;0.936805555555556,"Turno C",IF(F903&gt;0.9375,IF(F903&lt;0.979166666666667,"Turno B",""),"")),"")),"")),"")),"")),""))</f>
        <v>Turno A</v>
      </c>
      <c r="L903" s="91">
        <f t="shared" si="14"/>
        <v>0.3125</v>
      </c>
    </row>
    <row r="904" spans="1:12" s="40" customFormat="1">
      <c r="A904">
        <v>11123851</v>
      </c>
      <c r="B904" t="s">
        <v>62</v>
      </c>
      <c r="C904" t="s">
        <v>1058</v>
      </c>
      <c r="D904" t="s">
        <v>83</v>
      </c>
      <c r="E904" t="s">
        <v>1438</v>
      </c>
      <c r="F904" s="78">
        <v>0.30770833333333331</v>
      </c>
      <c r="G904" t="s">
        <v>1405</v>
      </c>
      <c r="H904" t="s">
        <v>1335</v>
      </c>
      <c r="I904" s="88" t="str">
        <f>VLOOKUP(A904,Base!A:B,2,0)</f>
        <v>11.123.851-0</v>
      </c>
      <c r="J904" s="99" t="str">
        <f>VLOOKUP(A904,Base!A:F,6,0)</f>
        <v>MAURICIO  VALLE  GONZALEZ</v>
      </c>
      <c r="K904" s="89" t="str">
        <f>IFERROR(IF(VLOOKUP(I904,Ingreso!K:P,6,0)=0,"Sin turtno ing",VLOOKUP(I904,Ingreso!K:P,6,0)),IF(F904&gt;0.25,IF(F904&lt;0.311805555555556,"Turno A",IF(F904&gt;0.3125,IF(F904&lt;0.354166666666667,"Turno C",IF(F904&gt;0.583333333333333,IF(F904&lt;0.625,"Turno B",IF(F904&gt;0.625694444444444,IF(F904&lt;0.8125,"Turno A",IF(F904&gt;0.875,IF(F904&lt;0.936805555555556,"Turno C",IF(F904&gt;0.9375,IF(F904&lt;0.979166666666667,"Turno B",""),"")),"")),"")),"")),"")),""))</f>
        <v>Turno A</v>
      </c>
      <c r="L904" s="91">
        <f t="shared" si="14"/>
        <v>0.3125</v>
      </c>
    </row>
    <row r="905" spans="1:12" s="40" customFormat="1">
      <c r="A905">
        <v>11123851</v>
      </c>
      <c r="B905" t="s">
        <v>62</v>
      </c>
      <c r="C905" t="s">
        <v>1058</v>
      </c>
      <c r="D905" t="s">
        <v>83</v>
      </c>
      <c r="E905" t="s">
        <v>1439</v>
      </c>
      <c r="F905" s="78">
        <v>0.63704861111111111</v>
      </c>
      <c r="G905" t="s">
        <v>1406</v>
      </c>
      <c r="H905" t="s">
        <v>1336</v>
      </c>
      <c r="I905" s="88" t="str">
        <f>VLOOKUP(A905,Base!A:B,2,0)</f>
        <v>11.123.851-0</v>
      </c>
      <c r="J905" s="99" t="str">
        <f>VLOOKUP(A905,Base!A:F,6,0)</f>
        <v>MAURICIO  VALLE  GONZALEZ</v>
      </c>
      <c r="K905" s="89" t="str">
        <f>IFERROR(IF(VLOOKUP(I905,Ingreso!K:P,6,0)=0,"Sin turtno ing",VLOOKUP(I905,Ingreso!K:P,6,0)),IF(F905&gt;0.25,IF(F905&lt;0.311805555555556,"Turno A",IF(F905&gt;0.3125,IF(F905&lt;0.354166666666667,"Turno C",IF(F905&gt;0.583333333333333,IF(F905&lt;0.625,"Turno B",IF(F905&gt;0.625694444444444,IF(F905&lt;0.8125,"Turno A",IF(F905&gt;0.875,IF(F905&lt;0.936805555555556,"Turno C",IF(F905&gt;0.9375,IF(F905&lt;0.979166666666667,"Turno B",""),"")),"")),"")),"")),"")),""))</f>
        <v>Turno A</v>
      </c>
      <c r="L905" s="91">
        <f t="shared" si="14"/>
        <v>0.3125</v>
      </c>
    </row>
    <row r="906" spans="1:12" s="40" customFormat="1">
      <c r="A906">
        <v>11123851</v>
      </c>
      <c r="B906" t="s">
        <v>62</v>
      </c>
      <c r="C906" t="s">
        <v>1058</v>
      </c>
      <c r="D906" t="s">
        <v>83</v>
      </c>
      <c r="E906" t="s">
        <v>1439</v>
      </c>
      <c r="F906" s="78">
        <v>0.29546296296296298</v>
      </c>
      <c r="G906" t="s">
        <v>1405</v>
      </c>
      <c r="H906" t="s">
        <v>1335</v>
      </c>
      <c r="I906" s="88" t="str">
        <f>VLOOKUP(A906,Base!A:B,2,0)</f>
        <v>11.123.851-0</v>
      </c>
      <c r="J906" s="99" t="str">
        <f>VLOOKUP(A906,Base!A:F,6,0)</f>
        <v>MAURICIO  VALLE  GONZALEZ</v>
      </c>
      <c r="K906" s="89" t="str">
        <f>IFERROR(IF(VLOOKUP(I906,Ingreso!K:P,6,0)=0,"Sin turtno ing",VLOOKUP(I906,Ingreso!K:P,6,0)),IF(F906&gt;0.25,IF(F906&lt;0.311805555555556,"Turno A",IF(F906&gt;0.3125,IF(F906&lt;0.354166666666667,"Turno C",IF(F906&gt;0.583333333333333,IF(F906&lt;0.625,"Turno B",IF(F906&gt;0.625694444444444,IF(F906&lt;0.8125,"Turno A",IF(F906&gt;0.875,IF(F906&lt;0.936805555555556,"Turno C",IF(F906&gt;0.9375,IF(F906&lt;0.979166666666667,"Turno B",""),"")),"")),"")),"")),"")),""))</f>
        <v>Turno A</v>
      </c>
      <c r="L906" s="91">
        <f t="shared" si="14"/>
        <v>0.3125</v>
      </c>
    </row>
    <row r="907" spans="1:12" s="40" customFormat="1">
      <c r="A907">
        <v>11124307</v>
      </c>
      <c r="B907" t="s">
        <v>672</v>
      </c>
      <c r="C907" t="s">
        <v>33</v>
      </c>
      <c r="D907" t="s">
        <v>671</v>
      </c>
      <c r="E907" t="s">
        <v>1440</v>
      </c>
      <c r="F907" s="78">
        <v>0.63923611111111112</v>
      </c>
      <c r="G907" t="s">
        <v>1406</v>
      </c>
      <c r="H907" t="s">
        <v>1336</v>
      </c>
      <c r="I907" s="88" t="str">
        <f>VLOOKUP(A907,Base!A:B,2,0)</f>
        <v>11.124.307-7</v>
      </c>
      <c r="J907" s="99" t="str">
        <f>VLOOKUP(A907,Base!A:F,6,0)</f>
        <v>JOSE ENRIQUE  MUÑOZ  QUENPUL</v>
      </c>
      <c r="K907" s="89" t="str">
        <f>IFERROR(IF(VLOOKUP(I907,Ingreso!K:P,6,0)=0,"Sin turtno ing",VLOOKUP(I907,Ingreso!K:P,6,0)),IF(F907&gt;0.25,IF(F907&lt;0.311805555555556,"Turno A",IF(F907&gt;0.3125,IF(F907&lt;0.354166666666667,"Turno C",IF(F907&gt;0.583333333333333,IF(F907&lt;0.625,"Turno B",IF(F907&gt;0.625694444444444,IF(F907&lt;0.8125,"Turno A",IF(F907&gt;0.875,IF(F907&lt;0.936805555555556,"Turno C",IF(F907&gt;0.9375,IF(F907&lt;0.979166666666667,"Turno B",""),"")),"")),"")),"")),"")),""))</f>
        <v>Sin turtno ing</v>
      </c>
      <c r="L907" s="91" t="e">
        <f t="shared" si="14"/>
        <v>#N/A</v>
      </c>
    </row>
    <row r="908" spans="1:12" s="40" customFormat="1">
      <c r="A908">
        <v>11124307</v>
      </c>
      <c r="B908" t="s">
        <v>672</v>
      </c>
      <c r="C908" t="s">
        <v>33</v>
      </c>
      <c r="D908" t="s">
        <v>671</v>
      </c>
      <c r="E908" t="s">
        <v>1440</v>
      </c>
      <c r="F908" s="78">
        <v>0.29422453703703705</v>
      </c>
      <c r="G908" t="s">
        <v>1405</v>
      </c>
      <c r="H908" t="s">
        <v>1335</v>
      </c>
      <c r="I908" s="88" t="str">
        <f>VLOOKUP(A908,Base!A:B,2,0)</f>
        <v>11.124.307-7</v>
      </c>
      <c r="J908" s="99" t="str">
        <f>VLOOKUP(A908,Base!A:F,6,0)</f>
        <v>JOSE ENRIQUE  MUÑOZ  QUENPUL</v>
      </c>
      <c r="K908" s="89" t="str">
        <f>IFERROR(IF(VLOOKUP(I908,Ingreso!K:P,6,0)=0,"Sin turtno ing",VLOOKUP(I908,Ingreso!K:P,6,0)),IF(F908&gt;0.25,IF(F908&lt;0.311805555555556,"Turno A",IF(F908&gt;0.3125,IF(F908&lt;0.354166666666667,"Turno C",IF(F908&gt;0.583333333333333,IF(F908&lt;0.625,"Turno B",IF(F908&gt;0.625694444444444,IF(F908&lt;0.8125,"Turno A",IF(F908&gt;0.875,IF(F908&lt;0.936805555555556,"Turno C",IF(F908&gt;0.9375,IF(F908&lt;0.979166666666667,"Turno B",""),"")),"")),"")),"")),"")),""))</f>
        <v>Sin turtno ing</v>
      </c>
      <c r="L908" s="91" t="e">
        <f t="shared" si="14"/>
        <v>#N/A</v>
      </c>
    </row>
    <row r="909" spans="1:12" s="40" customFormat="1">
      <c r="A909">
        <v>11124307</v>
      </c>
      <c r="B909" t="s">
        <v>672</v>
      </c>
      <c r="C909" t="s">
        <v>33</v>
      </c>
      <c r="D909" t="s">
        <v>671</v>
      </c>
      <c r="E909" t="s">
        <v>1441</v>
      </c>
      <c r="F909" s="78">
        <v>0.63952546296296298</v>
      </c>
      <c r="G909" t="s">
        <v>1406</v>
      </c>
      <c r="H909" t="s">
        <v>1336</v>
      </c>
      <c r="I909" s="88" t="str">
        <f>VLOOKUP(A909,Base!A:B,2,0)</f>
        <v>11.124.307-7</v>
      </c>
      <c r="J909" s="99" t="str">
        <f>VLOOKUP(A909,Base!A:F,6,0)</f>
        <v>JOSE ENRIQUE  MUÑOZ  QUENPUL</v>
      </c>
      <c r="K909" s="89" t="str">
        <f>IFERROR(IF(VLOOKUP(I909,Ingreso!K:P,6,0)=0,"Sin turtno ing",VLOOKUP(I909,Ingreso!K:P,6,0)),IF(F909&gt;0.25,IF(F909&lt;0.311805555555556,"Turno A",IF(F909&gt;0.3125,IF(F909&lt;0.354166666666667,"Turno C",IF(F909&gt;0.583333333333333,IF(F909&lt;0.625,"Turno B",IF(F909&gt;0.625694444444444,IF(F909&lt;0.8125,"Turno A",IF(F909&gt;0.875,IF(F909&lt;0.936805555555556,"Turno C",IF(F909&gt;0.9375,IF(F909&lt;0.979166666666667,"Turno B",""),"")),"")),"")),"")),"")),""))</f>
        <v>Sin turtno ing</v>
      </c>
      <c r="L909" s="91" t="e">
        <f t="shared" si="14"/>
        <v>#N/A</v>
      </c>
    </row>
    <row r="910" spans="1:12" s="40" customFormat="1">
      <c r="A910">
        <v>11124307</v>
      </c>
      <c r="B910" t="s">
        <v>672</v>
      </c>
      <c r="C910" t="s">
        <v>33</v>
      </c>
      <c r="D910" t="s">
        <v>671</v>
      </c>
      <c r="E910" t="s">
        <v>1441</v>
      </c>
      <c r="F910" s="78">
        <v>0.29488425925925926</v>
      </c>
      <c r="G910" t="s">
        <v>1405</v>
      </c>
      <c r="H910" t="s">
        <v>1335</v>
      </c>
      <c r="I910" s="88" t="str">
        <f>VLOOKUP(A910,Base!A:B,2,0)</f>
        <v>11.124.307-7</v>
      </c>
      <c r="J910" s="99" t="str">
        <f>VLOOKUP(A910,Base!A:F,6,0)</f>
        <v>JOSE ENRIQUE  MUÑOZ  QUENPUL</v>
      </c>
      <c r="K910" s="89" t="str">
        <f>IFERROR(IF(VLOOKUP(I910,Ingreso!K:P,6,0)=0,"Sin turtno ing",VLOOKUP(I910,Ingreso!K:P,6,0)),IF(F910&gt;0.25,IF(F910&lt;0.311805555555556,"Turno A",IF(F910&gt;0.3125,IF(F910&lt;0.354166666666667,"Turno C",IF(F910&gt;0.583333333333333,IF(F910&lt;0.625,"Turno B",IF(F910&gt;0.625694444444444,IF(F910&lt;0.8125,"Turno A",IF(F910&gt;0.875,IF(F910&lt;0.936805555555556,"Turno C",IF(F910&gt;0.9375,IF(F910&lt;0.979166666666667,"Turno B",""),"")),"")),"")),"")),"")),""))</f>
        <v>Sin turtno ing</v>
      </c>
      <c r="L910" s="91" t="e">
        <f t="shared" si="14"/>
        <v>#N/A</v>
      </c>
    </row>
    <row r="911" spans="1:12" s="40" customFormat="1">
      <c r="A911">
        <v>11124307</v>
      </c>
      <c r="B911" t="s">
        <v>672</v>
      </c>
      <c r="C911" t="s">
        <v>33</v>
      </c>
      <c r="D911" t="s">
        <v>671</v>
      </c>
      <c r="E911" t="s">
        <v>1437</v>
      </c>
      <c r="F911" s="78">
        <v>0.64091435185185186</v>
      </c>
      <c r="G911" t="s">
        <v>1406</v>
      </c>
      <c r="H911" t="s">
        <v>1336</v>
      </c>
      <c r="I911" s="88" t="str">
        <f>VLOOKUP(A911,Base!A:B,2,0)</f>
        <v>11.124.307-7</v>
      </c>
      <c r="J911" s="99" t="str">
        <f>VLOOKUP(A911,Base!A:F,6,0)</f>
        <v>JOSE ENRIQUE  MUÑOZ  QUENPUL</v>
      </c>
      <c r="K911" s="89" t="str">
        <f>IFERROR(IF(VLOOKUP(I911,Ingreso!K:P,6,0)=0,"Sin turtno ing",VLOOKUP(I911,Ingreso!K:P,6,0)),IF(F911&gt;0.25,IF(F911&lt;0.311805555555556,"Turno A",IF(F911&gt;0.3125,IF(F911&lt;0.354166666666667,"Turno C",IF(F911&gt;0.583333333333333,IF(F911&lt;0.625,"Turno B",IF(F911&gt;0.625694444444444,IF(F911&lt;0.8125,"Turno A",IF(F911&gt;0.875,IF(F911&lt;0.936805555555556,"Turno C",IF(F911&gt;0.9375,IF(F911&lt;0.979166666666667,"Turno B",""),"")),"")),"")),"")),"")),""))</f>
        <v>Sin turtno ing</v>
      </c>
      <c r="L911" s="91" t="e">
        <f t="shared" si="14"/>
        <v>#N/A</v>
      </c>
    </row>
    <row r="912" spans="1:12" s="40" customFormat="1">
      <c r="A912">
        <v>11124307</v>
      </c>
      <c r="B912" t="s">
        <v>672</v>
      </c>
      <c r="C912" t="s">
        <v>33</v>
      </c>
      <c r="D912" t="s">
        <v>671</v>
      </c>
      <c r="E912" t="s">
        <v>1437</v>
      </c>
      <c r="F912" s="78">
        <v>0.28890046296296296</v>
      </c>
      <c r="G912" t="s">
        <v>1405</v>
      </c>
      <c r="H912" t="s">
        <v>1335</v>
      </c>
      <c r="I912" s="88" t="str">
        <f>VLOOKUP(A912,Base!A:B,2,0)</f>
        <v>11.124.307-7</v>
      </c>
      <c r="J912" s="99" t="str">
        <f>VLOOKUP(A912,Base!A:F,6,0)</f>
        <v>JOSE ENRIQUE  MUÑOZ  QUENPUL</v>
      </c>
      <c r="K912" s="89" t="str">
        <f>IFERROR(IF(VLOOKUP(I912,Ingreso!K:P,6,0)=0,"Sin turtno ing",VLOOKUP(I912,Ingreso!K:P,6,0)),IF(F912&gt;0.25,IF(F912&lt;0.311805555555556,"Turno A",IF(F912&gt;0.3125,IF(F912&lt;0.354166666666667,"Turno C",IF(F912&gt;0.583333333333333,IF(F912&lt;0.625,"Turno B",IF(F912&gt;0.625694444444444,IF(F912&lt;0.8125,"Turno A",IF(F912&gt;0.875,IF(F912&lt;0.936805555555556,"Turno C",IF(F912&gt;0.9375,IF(F912&lt;0.979166666666667,"Turno B",""),"")),"")),"")),"")),"")),""))</f>
        <v>Sin turtno ing</v>
      </c>
      <c r="L912" s="91" t="e">
        <f t="shared" si="14"/>
        <v>#N/A</v>
      </c>
    </row>
    <row r="913" spans="1:12" s="40" customFormat="1">
      <c r="A913">
        <v>11124307</v>
      </c>
      <c r="B913" t="s">
        <v>672</v>
      </c>
      <c r="C913" t="s">
        <v>33</v>
      </c>
      <c r="D913" t="s">
        <v>671</v>
      </c>
      <c r="E913" t="s">
        <v>1438</v>
      </c>
      <c r="F913" s="78">
        <v>0.63567129629629626</v>
      </c>
      <c r="G913" t="s">
        <v>1406</v>
      </c>
      <c r="H913" t="s">
        <v>1336</v>
      </c>
      <c r="I913" s="88" t="str">
        <f>VLOOKUP(A913,Base!A:B,2,0)</f>
        <v>11.124.307-7</v>
      </c>
      <c r="J913" s="99" t="str">
        <f>VLOOKUP(A913,Base!A:F,6,0)</f>
        <v>JOSE ENRIQUE  MUÑOZ  QUENPUL</v>
      </c>
      <c r="K913" s="89" t="str">
        <f>IFERROR(IF(VLOOKUP(I913,Ingreso!K:P,6,0)=0,"Sin turtno ing",VLOOKUP(I913,Ingreso!K:P,6,0)),IF(F913&gt;0.25,IF(F913&lt;0.311805555555556,"Turno A",IF(F913&gt;0.3125,IF(F913&lt;0.354166666666667,"Turno C",IF(F913&gt;0.583333333333333,IF(F913&lt;0.625,"Turno B",IF(F913&gt;0.625694444444444,IF(F913&lt;0.8125,"Turno A",IF(F913&gt;0.875,IF(F913&lt;0.936805555555556,"Turno C",IF(F913&gt;0.9375,IF(F913&lt;0.979166666666667,"Turno B",""),"")),"")),"")),"")),"")),""))</f>
        <v>Sin turtno ing</v>
      </c>
      <c r="L913" s="91" t="e">
        <f t="shared" si="14"/>
        <v>#N/A</v>
      </c>
    </row>
    <row r="914" spans="1:12" s="40" customFormat="1">
      <c r="A914">
        <v>11124307</v>
      </c>
      <c r="B914" t="s">
        <v>672</v>
      </c>
      <c r="C914" t="s">
        <v>33</v>
      </c>
      <c r="D914" t="s">
        <v>671</v>
      </c>
      <c r="E914" t="s">
        <v>1438</v>
      </c>
      <c r="F914" s="78">
        <v>0.29042824074074075</v>
      </c>
      <c r="G914" t="s">
        <v>1405</v>
      </c>
      <c r="H914" t="s">
        <v>1335</v>
      </c>
      <c r="I914" s="88" t="str">
        <f>VLOOKUP(A914,Base!A:B,2,0)</f>
        <v>11.124.307-7</v>
      </c>
      <c r="J914" s="99" t="str">
        <f>VLOOKUP(A914,Base!A:F,6,0)</f>
        <v>JOSE ENRIQUE  MUÑOZ  QUENPUL</v>
      </c>
      <c r="K914" s="89" t="str">
        <f>IFERROR(IF(VLOOKUP(I914,Ingreso!K:P,6,0)=0,"Sin turtno ing",VLOOKUP(I914,Ingreso!K:P,6,0)),IF(F914&gt;0.25,IF(F914&lt;0.311805555555556,"Turno A",IF(F914&gt;0.3125,IF(F914&lt;0.354166666666667,"Turno C",IF(F914&gt;0.583333333333333,IF(F914&lt;0.625,"Turno B",IF(F914&gt;0.625694444444444,IF(F914&lt;0.8125,"Turno A",IF(F914&gt;0.875,IF(F914&lt;0.936805555555556,"Turno C",IF(F914&gt;0.9375,IF(F914&lt;0.979166666666667,"Turno B",""),"")),"")),"")),"")),"")),""))</f>
        <v>Sin turtno ing</v>
      </c>
      <c r="L914" s="91" t="e">
        <f t="shared" si="14"/>
        <v>#N/A</v>
      </c>
    </row>
    <row r="915" spans="1:12" s="40" customFormat="1">
      <c r="A915">
        <v>11124307</v>
      </c>
      <c r="B915" t="s">
        <v>672</v>
      </c>
      <c r="C915" t="s">
        <v>33</v>
      </c>
      <c r="D915" t="s">
        <v>671</v>
      </c>
      <c r="E915" t="s">
        <v>1439</v>
      </c>
      <c r="F915" s="78">
        <v>0.6395601851851852</v>
      </c>
      <c r="G915" t="s">
        <v>1406</v>
      </c>
      <c r="H915" t="s">
        <v>1336</v>
      </c>
      <c r="I915" s="88" t="str">
        <f>VLOOKUP(A915,Base!A:B,2,0)</f>
        <v>11.124.307-7</v>
      </c>
      <c r="J915" s="99" t="str">
        <f>VLOOKUP(A915,Base!A:F,6,0)</f>
        <v>JOSE ENRIQUE  MUÑOZ  QUENPUL</v>
      </c>
      <c r="K915" s="89" t="str">
        <f>IFERROR(IF(VLOOKUP(I915,Ingreso!K:P,6,0)=0,"Sin turtno ing",VLOOKUP(I915,Ingreso!K:P,6,0)),IF(F915&gt;0.25,IF(F915&lt;0.311805555555556,"Turno A",IF(F915&gt;0.3125,IF(F915&lt;0.354166666666667,"Turno C",IF(F915&gt;0.583333333333333,IF(F915&lt;0.625,"Turno B",IF(F915&gt;0.625694444444444,IF(F915&lt;0.8125,"Turno A",IF(F915&gt;0.875,IF(F915&lt;0.936805555555556,"Turno C",IF(F915&gt;0.9375,IF(F915&lt;0.979166666666667,"Turno B",""),"")),"")),"")),"")),"")),""))</f>
        <v>Sin turtno ing</v>
      </c>
      <c r="L915" s="91" t="e">
        <f t="shared" si="14"/>
        <v>#N/A</v>
      </c>
    </row>
    <row r="916" spans="1:12" s="40" customFormat="1">
      <c r="A916">
        <v>11124307</v>
      </c>
      <c r="B916" t="s">
        <v>672</v>
      </c>
      <c r="C916" t="s">
        <v>33</v>
      </c>
      <c r="D916" t="s">
        <v>671</v>
      </c>
      <c r="E916" t="s">
        <v>1439</v>
      </c>
      <c r="F916" s="78">
        <v>0.28864583333333332</v>
      </c>
      <c r="G916" t="s">
        <v>1405</v>
      </c>
      <c r="H916" t="s">
        <v>1335</v>
      </c>
      <c r="I916" s="88" t="str">
        <f>VLOOKUP(A916,Base!A:B,2,0)</f>
        <v>11.124.307-7</v>
      </c>
      <c r="J916" s="99" t="str">
        <f>VLOOKUP(A916,Base!A:F,6,0)</f>
        <v>JOSE ENRIQUE  MUÑOZ  QUENPUL</v>
      </c>
      <c r="K916" s="89" t="str">
        <f>IFERROR(IF(VLOOKUP(I916,Ingreso!K:P,6,0)=0,"Sin turtno ing",VLOOKUP(I916,Ingreso!K:P,6,0)),IF(F916&gt;0.25,IF(F916&lt;0.311805555555556,"Turno A",IF(F916&gt;0.3125,IF(F916&lt;0.354166666666667,"Turno C",IF(F916&gt;0.583333333333333,IF(F916&lt;0.625,"Turno B",IF(F916&gt;0.625694444444444,IF(F916&lt;0.8125,"Turno A",IF(F916&gt;0.875,IF(F916&lt;0.936805555555556,"Turno C",IF(F916&gt;0.9375,IF(F916&lt;0.979166666666667,"Turno B",""),"")),"")),"")),"")),"")),""))</f>
        <v>Sin turtno ing</v>
      </c>
      <c r="L916" s="91" t="e">
        <f t="shared" si="14"/>
        <v>#N/A</v>
      </c>
    </row>
    <row r="917" spans="1:12" s="40" customFormat="1">
      <c r="A917">
        <v>11165105</v>
      </c>
      <c r="B917" t="s">
        <v>328</v>
      </c>
      <c r="C917" t="s">
        <v>179</v>
      </c>
      <c r="D917" t="s">
        <v>327</v>
      </c>
      <c r="E917" t="s">
        <v>1407</v>
      </c>
      <c r="F917" s="78">
        <v>0</v>
      </c>
      <c r="G917"/>
      <c r="H917"/>
      <c r="I917" s="88" t="str">
        <f>VLOOKUP(A917,Base!A:B,2,0)</f>
        <v>11.165.105-1</v>
      </c>
      <c r="J917" s="99" t="str">
        <f>VLOOKUP(A917,Base!A:F,6,0)</f>
        <v>CECILIA  DIAZ  POBLETE</v>
      </c>
      <c r="K917" s="89" t="str">
        <f>IFERROR(IF(VLOOKUP(I917,Ingreso!K:P,6,0)=0,"Sin turtno ing",VLOOKUP(I917,Ingreso!K:P,6,0)),IF(F917&gt;0.25,IF(F917&lt;0.311805555555556,"Turno A",IF(F917&gt;0.3125,IF(F917&lt;0.354166666666667,"Turno C",IF(F917&gt;0.583333333333333,IF(F917&lt;0.625,"Turno B",IF(F917&gt;0.625694444444444,IF(F917&lt;0.8125,"Turno A",IF(F917&gt;0.875,IF(F917&lt;0.936805555555556,"Turno C",IF(F917&gt;0.9375,IF(F917&lt;0.979166666666667,"Turno B",""),"")),"")),"")),"")),"")),""))</f>
        <v/>
      </c>
      <c r="L917" s="91" t="e">
        <f t="shared" si="14"/>
        <v>#N/A</v>
      </c>
    </row>
    <row r="918" spans="1:12" s="40" customFormat="1">
      <c r="A918">
        <v>11267594</v>
      </c>
      <c r="B918" t="s">
        <v>359</v>
      </c>
      <c r="C918" t="s">
        <v>357</v>
      </c>
      <c r="D918" t="s">
        <v>358</v>
      </c>
      <c r="E918" t="s">
        <v>1440</v>
      </c>
      <c r="F918" s="78">
        <v>0.77141203703703709</v>
      </c>
      <c r="G918" t="s">
        <v>1406</v>
      </c>
      <c r="H918" t="s">
        <v>1336</v>
      </c>
      <c r="I918" s="88" t="str">
        <f>VLOOKUP(A918,Base!A:B,2,0)</f>
        <v>11.267.594-9</v>
      </c>
      <c r="J918" s="99" t="str">
        <f>VLOOKUP(A918,Base!A:F,6,0)</f>
        <v>JOAQUIN  ESPINOZA  MORENO</v>
      </c>
      <c r="K918" s="89" t="str">
        <f>IFERROR(IF(VLOOKUP(I918,Ingreso!K:P,6,0)=0,"Sin turtno ing",VLOOKUP(I918,Ingreso!K:P,6,0)),IF(F918&gt;0.25,IF(F918&lt;0.311805555555556,"Turno A",IF(F918&gt;0.3125,IF(F918&lt;0.354166666666667,"Turno C",IF(F918&gt;0.583333333333333,IF(F918&lt;0.625,"Turno B",IF(F918&gt;0.625694444444444,IF(F918&lt;0.8125,"Turno A",IF(F918&gt;0.875,IF(F918&lt;0.936805555555556,"Turno C",IF(F918&gt;0.9375,IF(F918&lt;0.979166666666667,"Turno B",""),"")),"")),"")),"")),"")),""))</f>
        <v>Sin turtno ing</v>
      </c>
      <c r="L918" s="91" t="e">
        <f t="shared" si="14"/>
        <v>#N/A</v>
      </c>
    </row>
    <row r="919" spans="1:12" s="40" customFormat="1">
      <c r="A919">
        <v>11267594</v>
      </c>
      <c r="B919" t="s">
        <v>359</v>
      </c>
      <c r="C919" t="s">
        <v>357</v>
      </c>
      <c r="D919" t="s">
        <v>358</v>
      </c>
      <c r="E919" t="s">
        <v>1440</v>
      </c>
      <c r="F919" s="78">
        <v>0.29039351851851852</v>
      </c>
      <c r="G919" t="s">
        <v>1405</v>
      </c>
      <c r="H919" t="s">
        <v>1335</v>
      </c>
      <c r="I919" s="88" t="str">
        <f>VLOOKUP(A919,Base!A:B,2,0)</f>
        <v>11.267.594-9</v>
      </c>
      <c r="J919" s="99" t="str">
        <f>VLOOKUP(A919,Base!A:F,6,0)</f>
        <v>JOAQUIN  ESPINOZA  MORENO</v>
      </c>
      <c r="K919" s="89" t="str">
        <f>IFERROR(IF(VLOOKUP(I919,Ingreso!K:P,6,0)=0,"Sin turtno ing",VLOOKUP(I919,Ingreso!K:P,6,0)),IF(F919&gt;0.25,IF(F919&lt;0.311805555555556,"Turno A",IF(F919&gt;0.3125,IF(F919&lt;0.354166666666667,"Turno C",IF(F919&gt;0.583333333333333,IF(F919&lt;0.625,"Turno B",IF(F919&gt;0.625694444444444,IF(F919&lt;0.8125,"Turno A",IF(F919&gt;0.875,IF(F919&lt;0.936805555555556,"Turno C",IF(F919&gt;0.9375,IF(F919&lt;0.979166666666667,"Turno B",""),"")),"")),"")),"")),"")),""))</f>
        <v>Sin turtno ing</v>
      </c>
      <c r="L919" s="91" t="e">
        <f t="shared" si="14"/>
        <v>#N/A</v>
      </c>
    </row>
    <row r="920" spans="1:12" s="40" customFormat="1">
      <c r="A920">
        <v>11267594</v>
      </c>
      <c r="B920" t="s">
        <v>359</v>
      </c>
      <c r="C920" t="s">
        <v>357</v>
      </c>
      <c r="D920" t="s">
        <v>358</v>
      </c>
      <c r="E920" t="s">
        <v>1437</v>
      </c>
      <c r="F920" s="78">
        <v>0.81244212962962958</v>
      </c>
      <c r="G920" t="s">
        <v>1406</v>
      </c>
      <c r="H920" t="s">
        <v>1336</v>
      </c>
      <c r="I920" s="88" t="str">
        <f>VLOOKUP(A920,Base!A:B,2,0)</f>
        <v>11.267.594-9</v>
      </c>
      <c r="J920" s="99" t="str">
        <f>VLOOKUP(A920,Base!A:F,6,0)</f>
        <v>JOAQUIN  ESPINOZA  MORENO</v>
      </c>
      <c r="K920" s="89" t="str">
        <f>IFERROR(IF(VLOOKUP(I920,Ingreso!K:P,6,0)=0,"Sin turtno ing",VLOOKUP(I920,Ingreso!K:P,6,0)),IF(F920&gt;0.25,IF(F920&lt;0.311805555555556,"Turno A",IF(F920&gt;0.3125,IF(F920&lt;0.354166666666667,"Turno C",IF(F920&gt;0.583333333333333,IF(F920&lt;0.625,"Turno B",IF(F920&gt;0.625694444444444,IF(F920&lt;0.8125,"Turno A",IF(F920&gt;0.875,IF(F920&lt;0.936805555555556,"Turno C",IF(F920&gt;0.9375,IF(F920&lt;0.979166666666667,"Turno B",""),"")),"")),"")),"")),"")),""))</f>
        <v>Sin turtno ing</v>
      </c>
      <c r="L920" s="91" t="e">
        <f t="shared" si="14"/>
        <v>#N/A</v>
      </c>
    </row>
    <row r="921" spans="1:12" s="40" customFormat="1">
      <c r="A921">
        <v>11267594</v>
      </c>
      <c r="B921" t="s">
        <v>359</v>
      </c>
      <c r="C921" t="s">
        <v>357</v>
      </c>
      <c r="D921" t="s">
        <v>358</v>
      </c>
      <c r="E921" t="s">
        <v>1437</v>
      </c>
      <c r="F921" s="78">
        <v>0.29106481481481478</v>
      </c>
      <c r="G921" t="s">
        <v>1405</v>
      </c>
      <c r="H921" t="s">
        <v>1335</v>
      </c>
      <c r="I921" s="88" t="str">
        <f>VLOOKUP(A921,Base!A:B,2,0)</f>
        <v>11.267.594-9</v>
      </c>
      <c r="J921" s="99" t="str">
        <f>VLOOKUP(A921,Base!A:F,6,0)</f>
        <v>JOAQUIN  ESPINOZA  MORENO</v>
      </c>
      <c r="K921" s="89" t="str">
        <f>IFERROR(IF(VLOOKUP(I921,Ingreso!K:P,6,0)=0,"Sin turtno ing",VLOOKUP(I921,Ingreso!K:P,6,0)),IF(F921&gt;0.25,IF(F921&lt;0.311805555555556,"Turno A",IF(F921&gt;0.3125,IF(F921&lt;0.354166666666667,"Turno C",IF(F921&gt;0.583333333333333,IF(F921&lt;0.625,"Turno B",IF(F921&gt;0.625694444444444,IF(F921&lt;0.8125,"Turno A",IF(F921&gt;0.875,IF(F921&lt;0.936805555555556,"Turno C",IF(F921&gt;0.9375,IF(F921&lt;0.979166666666667,"Turno B",""),"")),"")),"")),"")),"")),""))</f>
        <v>Sin turtno ing</v>
      </c>
      <c r="L921" s="91" t="e">
        <f t="shared" si="14"/>
        <v>#N/A</v>
      </c>
    </row>
    <row r="922" spans="1:12" s="40" customFormat="1">
      <c r="A922">
        <v>11267594</v>
      </c>
      <c r="B922" t="s">
        <v>359</v>
      </c>
      <c r="C922" t="s">
        <v>357</v>
      </c>
      <c r="D922" t="s">
        <v>358</v>
      </c>
      <c r="E922" t="s">
        <v>1438</v>
      </c>
      <c r="F922" s="78">
        <v>0.73548611111111117</v>
      </c>
      <c r="G922" t="s">
        <v>1406</v>
      </c>
      <c r="H922" t="s">
        <v>1336</v>
      </c>
      <c r="I922" s="88" t="str">
        <f>VLOOKUP(A922,Base!A:B,2,0)</f>
        <v>11.267.594-9</v>
      </c>
      <c r="J922" s="99" t="str">
        <f>VLOOKUP(A922,Base!A:F,6,0)</f>
        <v>JOAQUIN  ESPINOZA  MORENO</v>
      </c>
      <c r="K922" s="89" t="str">
        <f>IFERROR(IF(VLOOKUP(I922,Ingreso!K:P,6,0)=0,"Sin turtno ing",VLOOKUP(I922,Ingreso!K:P,6,0)),IF(F922&gt;0.25,IF(F922&lt;0.311805555555556,"Turno A",IF(F922&gt;0.3125,IF(F922&lt;0.354166666666667,"Turno C",IF(F922&gt;0.583333333333333,IF(F922&lt;0.625,"Turno B",IF(F922&gt;0.625694444444444,IF(F922&lt;0.8125,"Turno A",IF(F922&gt;0.875,IF(F922&lt;0.936805555555556,"Turno C",IF(F922&gt;0.9375,IF(F922&lt;0.979166666666667,"Turno B",""),"")),"")),"")),"")),"")),""))</f>
        <v>Sin turtno ing</v>
      </c>
      <c r="L922" s="91" t="e">
        <f t="shared" si="14"/>
        <v>#N/A</v>
      </c>
    </row>
    <row r="923" spans="1:12" s="40" customFormat="1">
      <c r="A923">
        <v>11267594</v>
      </c>
      <c r="B923" t="s">
        <v>359</v>
      </c>
      <c r="C923" t="s">
        <v>357</v>
      </c>
      <c r="D923" t="s">
        <v>358</v>
      </c>
      <c r="E923" t="s">
        <v>1438</v>
      </c>
      <c r="F923" s="78">
        <v>0.2900578703703704</v>
      </c>
      <c r="G923" t="s">
        <v>1405</v>
      </c>
      <c r="H923" t="s">
        <v>1335</v>
      </c>
      <c r="I923" s="88" t="str">
        <f>VLOOKUP(A923,Base!A:B,2,0)</f>
        <v>11.267.594-9</v>
      </c>
      <c r="J923" s="99" t="str">
        <f>VLOOKUP(A923,Base!A:F,6,0)</f>
        <v>JOAQUIN  ESPINOZA  MORENO</v>
      </c>
      <c r="K923" s="89" t="str">
        <f>IFERROR(IF(VLOOKUP(I923,Ingreso!K:P,6,0)=0,"Sin turtno ing",VLOOKUP(I923,Ingreso!K:P,6,0)),IF(F923&gt;0.25,IF(F923&lt;0.311805555555556,"Turno A",IF(F923&gt;0.3125,IF(F923&lt;0.354166666666667,"Turno C",IF(F923&gt;0.583333333333333,IF(F923&lt;0.625,"Turno B",IF(F923&gt;0.625694444444444,IF(F923&lt;0.8125,"Turno A",IF(F923&gt;0.875,IF(F923&lt;0.936805555555556,"Turno C",IF(F923&gt;0.9375,IF(F923&lt;0.979166666666667,"Turno B",""),"")),"")),"")),"")),"")),""))</f>
        <v>Sin turtno ing</v>
      </c>
      <c r="L923" s="91" t="e">
        <f t="shared" si="14"/>
        <v>#N/A</v>
      </c>
    </row>
    <row r="924" spans="1:12" s="40" customFormat="1">
      <c r="A924">
        <v>11267594</v>
      </c>
      <c r="B924" t="s">
        <v>359</v>
      </c>
      <c r="C924" t="s">
        <v>357</v>
      </c>
      <c r="D924" t="s">
        <v>358</v>
      </c>
      <c r="E924" t="s">
        <v>1439</v>
      </c>
      <c r="F924" s="78">
        <v>0.79341435185185183</v>
      </c>
      <c r="G924" t="s">
        <v>1406</v>
      </c>
      <c r="H924" t="s">
        <v>1336</v>
      </c>
      <c r="I924" s="88" t="str">
        <f>VLOOKUP(A924,Base!A:B,2,0)</f>
        <v>11.267.594-9</v>
      </c>
      <c r="J924" s="99" t="str">
        <f>VLOOKUP(A924,Base!A:F,6,0)</f>
        <v>JOAQUIN  ESPINOZA  MORENO</v>
      </c>
      <c r="K924" s="89" t="str">
        <f>IFERROR(IF(VLOOKUP(I924,Ingreso!K:P,6,0)=0,"Sin turtno ing",VLOOKUP(I924,Ingreso!K:P,6,0)),IF(F924&gt;0.25,IF(F924&lt;0.311805555555556,"Turno A",IF(F924&gt;0.3125,IF(F924&lt;0.354166666666667,"Turno C",IF(F924&gt;0.583333333333333,IF(F924&lt;0.625,"Turno B",IF(F924&gt;0.625694444444444,IF(F924&lt;0.8125,"Turno A",IF(F924&gt;0.875,IF(F924&lt;0.936805555555556,"Turno C",IF(F924&gt;0.9375,IF(F924&lt;0.979166666666667,"Turno B",""),"")),"")),"")),"")),"")),""))</f>
        <v>Sin turtno ing</v>
      </c>
      <c r="L924" s="91" t="e">
        <f t="shared" si="14"/>
        <v>#N/A</v>
      </c>
    </row>
    <row r="925" spans="1:12" s="40" customFormat="1">
      <c r="A925">
        <v>11267594</v>
      </c>
      <c r="B925" t="s">
        <v>359</v>
      </c>
      <c r="C925" t="s">
        <v>357</v>
      </c>
      <c r="D925" t="s">
        <v>358</v>
      </c>
      <c r="E925" t="s">
        <v>1439</v>
      </c>
      <c r="F925" s="78">
        <v>0.29413194444444446</v>
      </c>
      <c r="G925" t="s">
        <v>1405</v>
      </c>
      <c r="H925" t="s">
        <v>1335</v>
      </c>
      <c r="I925" s="88" t="str">
        <f>VLOOKUP(A925,Base!A:B,2,0)</f>
        <v>11.267.594-9</v>
      </c>
      <c r="J925" s="99" t="str">
        <f>VLOOKUP(A925,Base!A:F,6,0)</f>
        <v>JOAQUIN  ESPINOZA  MORENO</v>
      </c>
      <c r="K925" s="89" t="str">
        <f>IFERROR(IF(VLOOKUP(I925,Ingreso!K:P,6,0)=0,"Sin turtno ing",VLOOKUP(I925,Ingreso!K:P,6,0)),IF(F925&gt;0.25,IF(F925&lt;0.311805555555556,"Turno A",IF(F925&gt;0.3125,IF(F925&lt;0.354166666666667,"Turno C",IF(F925&gt;0.583333333333333,IF(F925&lt;0.625,"Turno B",IF(F925&gt;0.625694444444444,IF(F925&lt;0.8125,"Turno A",IF(F925&gt;0.875,IF(F925&lt;0.936805555555556,"Turno C",IF(F925&gt;0.9375,IF(F925&lt;0.979166666666667,"Turno B",""),"")),"")),"")),"")),"")),""))</f>
        <v>Sin turtno ing</v>
      </c>
      <c r="L925" s="91" t="e">
        <f t="shared" si="14"/>
        <v>#N/A</v>
      </c>
    </row>
    <row r="926" spans="1:12" s="40" customFormat="1">
      <c r="A926">
        <v>11267622</v>
      </c>
      <c r="B926" t="s">
        <v>1412</v>
      </c>
      <c r="C926" t="s">
        <v>606</v>
      </c>
      <c r="D926" t="s">
        <v>894</v>
      </c>
      <c r="E926" t="s">
        <v>1440</v>
      </c>
      <c r="F926" s="78">
        <v>0.9409143518518519</v>
      </c>
      <c r="G926" t="s">
        <v>1406</v>
      </c>
      <c r="H926" t="s">
        <v>1336</v>
      </c>
      <c r="I926" s="88" t="str">
        <f>VLOOKUP(A926,Base!A:B,2,0)</f>
        <v>11.267.622-8</v>
      </c>
      <c r="J926" s="99" t="str">
        <f>VLOOKUP(A926,Base!A:F,6,0)</f>
        <v>JOSE MATURANA RIOS</v>
      </c>
      <c r="K926" s="89" t="str">
        <f>IFERROR(IF(VLOOKUP(I926,Ingreso!K:P,6,0)=0,"Sin turtno ing",VLOOKUP(I926,Ingreso!K:P,6,0)),IF(F926&gt;0.25,IF(F926&lt;0.311805555555556,"Turno A",IF(F926&gt;0.3125,IF(F926&lt;0.354166666666667,"Turno C",IF(F926&gt;0.583333333333333,IF(F926&lt;0.625,"Turno B",IF(F926&gt;0.625694444444444,IF(F926&lt;0.8125,"Turno A",IF(F926&gt;0.875,IF(F926&lt;0.936805555555556,"Turno C",IF(F926&gt;0.9375,IF(F926&lt;0.979166666666667,"Turno B",""),"")),"")),"")),"")),"")),""))</f>
        <v>Turno B</v>
      </c>
      <c r="L926" s="91">
        <f t="shared" si="14"/>
        <v>0.3125</v>
      </c>
    </row>
    <row r="927" spans="1:12" s="40" customFormat="1">
      <c r="A927">
        <v>11267622</v>
      </c>
      <c r="B927" t="s">
        <v>1412</v>
      </c>
      <c r="C927" t="s">
        <v>606</v>
      </c>
      <c r="D927" t="s">
        <v>894</v>
      </c>
      <c r="E927" t="s">
        <v>1440</v>
      </c>
      <c r="F927" s="78">
        <v>0.61604166666666671</v>
      </c>
      <c r="G927" t="s">
        <v>1405</v>
      </c>
      <c r="H927" t="s">
        <v>1335</v>
      </c>
      <c r="I927" s="88" t="str">
        <f>VLOOKUP(A927,Base!A:B,2,0)</f>
        <v>11.267.622-8</v>
      </c>
      <c r="J927" s="99" t="str">
        <f>VLOOKUP(A927,Base!A:F,6,0)</f>
        <v>JOSE MATURANA RIOS</v>
      </c>
      <c r="K927" s="89" t="str">
        <f>IFERROR(IF(VLOOKUP(I927,Ingreso!K:P,6,0)=0,"Sin turtno ing",VLOOKUP(I927,Ingreso!K:P,6,0)),IF(F927&gt;0.25,IF(F927&lt;0.311805555555556,"Turno A",IF(F927&gt;0.3125,IF(F927&lt;0.354166666666667,"Turno C",IF(F927&gt;0.583333333333333,IF(F927&lt;0.625,"Turno B",IF(F927&gt;0.625694444444444,IF(F927&lt;0.8125,"Turno A",IF(F927&gt;0.875,IF(F927&lt;0.936805555555556,"Turno C",IF(F927&gt;0.9375,IF(F927&lt;0.979166666666667,"Turno B",""),"")),"")),"")),"")),"")),""))</f>
        <v>Turno B</v>
      </c>
      <c r="L927" s="91">
        <f t="shared" si="14"/>
        <v>0.3125</v>
      </c>
    </row>
    <row r="928" spans="1:12" s="40" customFormat="1">
      <c r="A928">
        <v>11267622</v>
      </c>
      <c r="B928" t="s">
        <v>1412</v>
      </c>
      <c r="C928" t="s">
        <v>606</v>
      </c>
      <c r="D928" t="s">
        <v>894</v>
      </c>
      <c r="E928" t="s">
        <v>1441</v>
      </c>
      <c r="F928" s="78">
        <v>0.93738425925925928</v>
      </c>
      <c r="G928" t="s">
        <v>1406</v>
      </c>
      <c r="H928" t="s">
        <v>1336</v>
      </c>
      <c r="I928" s="88" t="str">
        <f>VLOOKUP(A928,Base!A:B,2,0)</f>
        <v>11.267.622-8</v>
      </c>
      <c r="J928" s="99" t="str">
        <f>VLOOKUP(A928,Base!A:F,6,0)</f>
        <v>JOSE MATURANA RIOS</v>
      </c>
      <c r="K928" s="89" t="str">
        <f>IFERROR(IF(VLOOKUP(I928,Ingreso!K:P,6,0)=0,"Sin turtno ing",VLOOKUP(I928,Ingreso!K:P,6,0)),IF(F928&gt;0.25,IF(F928&lt;0.311805555555556,"Turno A",IF(F928&gt;0.3125,IF(F928&lt;0.354166666666667,"Turno C",IF(F928&gt;0.583333333333333,IF(F928&lt;0.625,"Turno B",IF(F928&gt;0.625694444444444,IF(F928&lt;0.8125,"Turno A",IF(F928&gt;0.875,IF(F928&lt;0.936805555555556,"Turno C",IF(F928&gt;0.9375,IF(F928&lt;0.979166666666667,"Turno B",""),"")),"")),"")),"")),"")),""))</f>
        <v>Turno B</v>
      </c>
      <c r="L928" s="91">
        <f t="shared" si="14"/>
        <v>0.3125</v>
      </c>
    </row>
    <row r="929" spans="1:12" s="40" customFormat="1">
      <c r="A929">
        <v>11267622</v>
      </c>
      <c r="B929" t="s">
        <v>1412</v>
      </c>
      <c r="C929" t="s">
        <v>606</v>
      </c>
      <c r="D929" t="s">
        <v>894</v>
      </c>
      <c r="E929" t="s">
        <v>1441</v>
      </c>
      <c r="F929" s="78">
        <v>0.61327546296296298</v>
      </c>
      <c r="G929" t="s">
        <v>1405</v>
      </c>
      <c r="H929" t="s">
        <v>1335</v>
      </c>
      <c r="I929" s="88" t="str">
        <f>VLOOKUP(A929,Base!A:B,2,0)</f>
        <v>11.267.622-8</v>
      </c>
      <c r="J929" s="99" t="str">
        <f>VLOOKUP(A929,Base!A:F,6,0)</f>
        <v>JOSE MATURANA RIOS</v>
      </c>
      <c r="K929" s="89" t="str">
        <f>IFERROR(IF(VLOOKUP(I929,Ingreso!K:P,6,0)=0,"Sin turtno ing",VLOOKUP(I929,Ingreso!K:P,6,0)),IF(F929&gt;0.25,IF(F929&lt;0.311805555555556,"Turno A",IF(F929&gt;0.3125,IF(F929&lt;0.354166666666667,"Turno C",IF(F929&gt;0.583333333333333,IF(F929&lt;0.625,"Turno B",IF(F929&gt;0.625694444444444,IF(F929&lt;0.8125,"Turno A",IF(F929&gt;0.875,IF(F929&lt;0.936805555555556,"Turno C",IF(F929&gt;0.9375,IF(F929&lt;0.979166666666667,"Turno B",""),"")),"")),"")),"")),"")),""))</f>
        <v>Turno B</v>
      </c>
      <c r="L929" s="91">
        <f t="shared" si="14"/>
        <v>0.3125</v>
      </c>
    </row>
    <row r="930" spans="1:12" s="40" customFormat="1">
      <c r="A930">
        <v>11267622</v>
      </c>
      <c r="B930" t="s">
        <v>1412</v>
      </c>
      <c r="C930" t="s">
        <v>606</v>
      </c>
      <c r="D930" t="s">
        <v>894</v>
      </c>
      <c r="E930" t="s">
        <v>1437</v>
      </c>
      <c r="F930" s="78">
        <v>0.93422453703703701</v>
      </c>
      <c r="G930" t="s">
        <v>1406</v>
      </c>
      <c r="H930" t="s">
        <v>1336</v>
      </c>
      <c r="I930" s="88" t="str">
        <f>VLOOKUP(A930,Base!A:B,2,0)</f>
        <v>11.267.622-8</v>
      </c>
      <c r="J930" s="99" t="str">
        <f>VLOOKUP(A930,Base!A:F,6,0)</f>
        <v>JOSE MATURANA RIOS</v>
      </c>
      <c r="K930" s="89" t="str">
        <f>IFERROR(IF(VLOOKUP(I930,Ingreso!K:P,6,0)=0,"Sin turtno ing",VLOOKUP(I930,Ingreso!K:P,6,0)),IF(F930&gt;0.25,IF(F930&lt;0.311805555555556,"Turno A",IF(F930&gt;0.3125,IF(F930&lt;0.354166666666667,"Turno C",IF(F930&gt;0.583333333333333,IF(F930&lt;0.625,"Turno B",IF(F930&gt;0.625694444444444,IF(F930&lt;0.8125,"Turno A",IF(F930&gt;0.875,IF(F930&lt;0.936805555555556,"Turno C",IF(F930&gt;0.9375,IF(F930&lt;0.979166666666667,"Turno B",""),"")),"")),"")),"")),"")),""))</f>
        <v>Turno B</v>
      </c>
      <c r="L930" s="91">
        <f t="shared" si="14"/>
        <v>0.3125</v>
      </c>
    </row>
    <row r="931" spans="1:12" s="40" customFormat="1">
      <c r="A931">
        <v>11267622</v>
      </c>
      <c r="B931" t="s">
        <v>1412</v>
      </c>
      <c r="C931" t="s">
        <v>606</v>
      </c>
      <c r="D931" t="s">
        <v>894</v>
      </c>
      <c r="E931" t="s">
        <v>1437</v>
      </c>
      <c r="F931" s="78">
        <v>0.62012731481481487</v>
      </c>
      <c r="G931" t="s">
        <v>1405</v>
      </c>
      <c r="H931" t="s">
        <v>1335</v>
      </c>
      <c r="I931" s="88" t="str">
        <f>VLOOKUP(A931,Base!A:B,2,0)</f>
        <v>11.267.622-8</v>
      </c>
      <c r="J931" s="99" t="str">
        <f>VLOOKUP(A931,Base!A:F,6,0)</f>
        <v>JOSE MATURANA RIOS</v>
      </c>
      <c r="K931" s="89" t="str">
        <f>IFERROR(IF(VLOOKUP(I931,Ingreso!K:P,6,0)=0,"Sin turtno ing",VLOOKUP(I931,Ingreso!K:P,6,0)),IF(F931&gt;0.25,IF(F931&lt;0.311805555555556,"Turno A",IF(F931&gt;0.3125,IF(F931&lt;0.354166666666667,"Turno C",IF(F931&gt;0.583333333333333,IF(F931&lt;0.625,"Turno B",IF(F931&gt;0.625694444444444,IF(F931&lt;0.8125,"Turno A",IF(F931&gt;0.875,IF(F931&lt;0.936805555555556,"Turno C",IF(F931&gt;0.9375,IF(F931&lt;0.979166666666667,"Turno B",""),"")),"")),"")),"")),"")),""))</f>
        <v>Turno B</v>
      </c>
      <c r="L931" s="91">
        <f t="shared" si="14"/>
        <v>0.3125</v>
      </c>
    </row>
    <row r="932" spans="1:12" s="40" customFormat="1">
      <c r="A932">
        <v>11267622</v>
      </c>
      <c r="B932" t="s">
        <v>1412</v>
      </c>
      <c r="C932" t="s">
        <v>606</v>
      </c>
      <c r="D932" t="s">
        <v>894</v>
      </c>
      <c r="E932" t="s">
        <v>1439</v>
      </c>
      <c r="F932" s="78">
        <v>0.94113425925925931</v>
      </c>
      <c r="G932" t="s">
        <v>1406</v>
      </c>
      <c r="H932" t="s">
        <v>1336</v>
      </c>
      <c r="I932" s="88" t="str">
        <f>VLOOKUP(A932,Base!A:B,2,0)</f>
        <v>11.267.622-8</v>
      </c>
      <c r="J932" s="99" t="str">
        <f>VLOOKUP(A932,Base!A:F,6,0)</f>
        <v>JOSE MATURANA RIOS</v>
      </c>
      <c r="K932" s="89" t="str">
        <f>IFERROR(IF(VLOOKUP(I932,Ingreso!K:P,6,0)=0,"Sin turtno ing",VLOOKUP(I932,Ingreso!K:P,6,0)),IF(F932&gt;0.25,IF(F932&lt;0.311805555555556,"Turno A",IF(F932&gt;0.3125,IF(F932&lt;0.354166666666667,"Turno C",IF(F932&gt;0.583333333333333,IF(F932&lt;0.625,"Turno B",IF(F932&gt;0.625694444444444,IF(F932&lt;0.8125,"Turno A",IF(F932&gt;0.875,IF(F932&lt;0.936805555555556,"Turno C",IF(F932&gt;0.9375,IF(F932&lt;0.979166666666667,"Turno B",""),"")),"")),"")),"")),"")),""))</f>
        <v>Turno B</v>
      </c>
      <c r="L932" s="91">
        <f t="shared" si="14"/>
        <v>0.3125</v>
      </c>
    </row>
    <row r="933" spans="1:12" s="40" customFormat="1">
      <c r="A933">
        <v>11267622</v>
      </c>
      <c r="B933" t="s">
        <v>1412</v>
      </c>
      <c r="C933" t="s">
        <v>606</v>
      </c>
      <c r="D933" t="s">
        <v>894</v>
      </c>
      <c r="E933" t="s">
        <v>1439</v>
      </c>
      <c r="F933" s="78">
        <v>0.61343749999999997</v>
      </c>
      <c r="G933" t="s">
        <v>1405</v>
      </c>
      <c r="H933" t="s">
        <v>1335</v>
      </c>
      <c r="I933" s="88" t="str">
        <f>VLOOKUP(A933,Base!A:B,2,0)</f>
        <v>11.267.622-8</v>
      </c>
      <c r="J933" s="99" t="str">
        <f>VLOOKUP(A933,Base!A:F,6,0)</f>
        <v>JOSE MATURANA RIOS</v>
      </c>
      <c r="K933" s="89" t="str">
        <f>IFERROR(IF(VLOOKUP(I933,Ingreso!K:P,6,0)=0,"Sin turtno ing",VLOOKUP(I933,Ingreso!K:P,6,0)),IF(F933&gt;0.25,IF(F933&lt;0.311805555555556,"Turno A",IF(F933&gt;0.3125,IF(F933&lt;0.354166666666667,"Turno C",IF(F933&gt;0.583333333333333,IF(F933&lt;0.625,"Turno B",IF(F933&gt;0.625694444444444,IF(F933&lt;0.8125,"Turno A",IF(F933&gt;0.875,IF(F933&lt;0.936805555555556,"Turno C",IF(F933&gt;0.9375,IF(F933&lt;0.979166666666667,"Turno B",""),"")),"")),"")),"")),"")),""))</f>
        <v>Turno B</v>
      </c>
      <c r="L933" s="91">
        <f t="shared" si="14"/>
        <v>0.3125</v>
      </c>
    </row>
    <row r="934" spans="1:12" s="40" customFormat="1">
      <c r="A934">
        <v>11268136</v>
      </c>
      <c r="B934" t="s">
        <v>279</v>
      </c>
      <c r="C934" t="s">
        <v>278</v>
      </c>
      <c r="D934" t="s">
        <v>39</v>
      </c>
      <c r="E934" t="s">
        <v>1440</v>
      </c>
      <c r="F934" s="78">
        <v>0.95391203703703698</v>
      </c>
      <c r="G934" t="s">
        <v>1406</v>
      </c>
      <c r="H934" t="s">
        <v>1336</v>
      </c>
      <c r="I934" s="88" t="str">
        <f>VLOOKUP(A934,Base!A:B,2,0)</f>
        <v>11.268.136-1</v>
      </c>
      <c r="J934" s="99" t="str">
        <f>VLOOKUP(A934,Base!A:F,6,0)</f>
        <v>MARIA ANGELICA  CRUCES  AGUILERA</v>
      </c>
      <c r="K934" s="89" t="str">
        <f>IFERROR(IF(VLOOKUP(I934,Ingreso!K:P,6,0)=0,"Sin turtno ing",VLOOKUP(I934,Ingreso!K:P,6,0)),IF(F934&gt;0.25,IF(F934&lt;0.311805555555556,"Turno A",IF(F934&gt;0.3125,IF(F934&lt;0.354166666666667,"Turno C",IF(F934&gt;0.583333333333333,IF(F934&lt;0.625,"Turno B",IF(F934&gt;0.625694444444444,IF(F934&lt;0.8125,"Turno A",IF(F934&gt;0.875,IF(F934&lt;0.936805555555556,"Turno C",IF(F934&gt;0.9375,IF(F934&lt;0.979166666666667,"Turno B",""),"")),"")),"")),"")),"")),""))</f>
        <v>Turno B</v>
      </c>
      <c r="L934" s="91">
        <f t="shared" si="14"/>
        <v>0.3125</v>
      </c>
    </row>
    <row r="935" spans="1:12" s="40" customFormat="1">
      <c r="A935">
        <v>11268136</v>
      </c>
      <c r="B935" t="s">
        <v>279</v>
      </c>
      <c r="C935" t="s">
        <v>278</v>
      </c>
      <c r="D935" t="s">
        <v>39</v>
      </c>
      <c r="E935" t="s">
        <v>1440</v>
      </c>
      <c r="F935" s="78">
        <v>0.60893518518518519</v>
      </c>
      <c r="G935" t="s">
        <v>1405</v>
      </c>
      <c r="H935" t="s">
        <v>1335</v>
      </c>
      <c r="I935" s="88" t="str">
        <f>VLOOKUP(A935,Base!A:B,2,0)</f>
        <v>11.268.136-1</v>
      </c>
      <c r="J935" s="99" t="str">
        <f>VLOOKUP(A935,Base!A:F,6,0)</f>
        <v>MARIA ANGELICA  CRUCES  AGUILERA</v>
      </c>
      <c r="K935" s="89" t="str">
        <f>IFERROR(IF(VLOOKUP(I935,Ingreso!K:P,6,0)=0,"Sin turtno ing",VLOOKUP(I935,Ingreso!K:P,6,0)),IF(F935&gt;0.25,IF(F935&lt;0.311805555555556,"Turno A",IF(F935&gt;0.3125,IF(F935&lt;0.354166666666667,"Turno C",IF(F935&gt;0.583333333333333,IF(F935&lt;0.625,"Turno B",IF(F935&gt;0.625694444444444,IF(F935&lt;0.8125,"Turno A",IF(F935&gt;0.875,IF(F935&lt;0.936805555555556,"Turno C",IF(F935&gt;0.9375,IF(F935&lt;0.979166666666667,"Turno B",""),"")),"")),"")),"")),"")),""))</f>
        <v>Turno B</v>
      </c>
      <c r="L935" s="91">
        <f t="shared" si="14"/>
        <v>0.3125</v>
      </c>
    </row>
    <row r="936" spans="1:12" s="40" customFormat="1">
      <c r="A936">
        <v>11268136</v>
      </c>
      <c r="B936" t="s">
        <v>279</v>
      </c>
      <c r="C936" t="s">
        <v>278</v>
      </c>
      <c r="D936" t="s">
        <v>39</v>
      </c>
      <c r="E936" t="s">
        <v>1441</v>
      </c>
      <c r="F936" s="78">
        <v>0.94797453703703705</v>
      </c>
      <c r="G936" t="s">
        <v>1406</v>
      </c>
      <c r="H936" t="s">
        <v>1336</v>
      </c>
      <c r="I936" s="88" t="str">
        <f>VLOOKUP(A936,Base!A:B,2,0)</f>
        <v>11.268.136-1</v>
      </c>
      <c r="J936" s="99" t="str">
        <f>VLOOKUP(A936,Base!A:F,6,0)</f>
        <v>MARIA ANGELICA  CRUCES  AGUILERA</v>
      </c>
      <c r="K936" s="89" t="str">
        <f>IFERROR(IF(VLOOKUP(I936,Ingreso!K:P,6,0)=0,"Sin turtno ing",VLOOKUP(I936,Ingreso!K:P,6,0)),IF(F936&gt;0.25,IF(F936&lt;0.311805555555556,"Turno A",IF(F936&gt;0.3125,IF(F936&lt;0.354166666666667,"Turno C",IF(F936&gt;0.583333333333333,IF(F936&lt;0.625,"Turno B",IF(F936&gt;0.625694444444444,IF(F936&lt;0.8125,"Turno A",IF(F936&gt;0.875,IF(F936&lt;0.936805555555556,"Turno C",IF(F936&gt;0.9375,IF(F936&lt;0.979166666666667,"Turno B",""),"")),"")),"")),"")),"")),""))</f>
        <v>Turno B</v>
      </c>
      <c r="L936" s="91">
        <f t="shared" si="14"/>
        <v>0.3125</v>
      </c>
    </row>
    <row r="937" spans="1:12" s="40" customFormat="1">
      <c r="A937">
        <v>11268136</v>
      </c>
      <c r="B937" t="s">
        <v>279</v>
      </c>
      <c r="C937" t="s">
        <v>278</v>
      </c>
      <c r="D937" t="s">
        <v>39</v>
      </c>
      <c r="E937" t="s">
        <v>1441</v>
      </c>
      <c r="F937" s="78">
        <v>0.60930555555555554</v>
      </c>
      <c r="G937" t="s">
        <v>1405</v>
      </c>
      <c r="H937" t="s">
        <v>1335</v>
      </c>
      <c r="I937" s="88" t="str">
        <f>VLOOKUP(A937,Base!A:B,2,0)</f>
        <v>11.268.136-1</v>
      </c>
      <c r="J937" s="99" t="str">
        <f>VLOOKUP(A937,Base!A:F,6,0)</f>
        <v>MARIA ANGELICA  CRUCES  AGUILERA</v>
      </c>
      <c r="K937" s="89" t="str">
        <f>IFERROR(IF(VLOOKUP(I937,Ingreso!K:P,6,0)=0,"Sin turtno ing",VLOOKUP(I937,Ingreso!K:P,6,0)),IF(F937&gt;0.25,IF(F937&lt;0.311805555555556,"Turno A",IF(F937&gt;0.3125,IF(F937&lt;0.354166666666667,"Turno C",IF(F937&gt;0.583333333333333,IF(F937&lt;0.625,"Turno B",IF(F937&gt;0.625694444444444,IF(F937&lt;0.8125,"Turno A",IF(F937&gt;0.875,IF(F937&lt;0.936805555555556,"Turno C",IF(F937&gt;0.9375,IF(F937&lt;0.979166666666667,"Turno B",""),"")),"")),"")),"")),"")),""))</f>
        <v>Turno B</v>
      </c>
      <c r="L937" s="91">
        <f t="shared" si="14"/>
        <v>0.3125</v>
      </c>
    </row>
    <row r="938" spans="1:12" s="40" customFormat="1">
      <c r="A938">
        <v>11268136</v>
      </c>
      <c r="B938" t="s">
        <v>279</v>
      </c>
      <c r="C938" t="s">
        <v>278</v>
      </c>
      <c r="D938" t="s">
        <v>39</v>
      </c>
      <c r="E938" t="s">
        <v>1437</v>
      </c>
      <c r="F938" s="78">
        <v>0.94586805555555553</v>
      </c>
      <c r="G938" t="s">
        <v>1406</v>
      </c>
      <c r="H938" t="s">
        <v>1336</v>
      </c>
      <c r="I938" s="88" t="str">
        <f>VLOOKUP(A938,Base!A:B,2,0)</f>
        <v>11.268.136-1</v>
      </c>
      <c r="J938" s="99" t="str">
        <f>VLOOKUP(A938,Base!A:F,6,0)</f>
        <v>MARIA ANGELICA  CRUCES  AGUILERA</v>
      </c>
      <c r="K938" s="89" t="str">
        <f>IFERROR(IF(VLOOKUP(I938,Ingreso!K:P,6,0)=0,"Sin turtno ing",VLOOKUP(I938,Ingreso!K:P,6,0)),IF(F938&gt;0.25,IF(F938&lt;0.311805555555556,"Turno A",IF(F938&gt;0.3125,IF(F938&lt;0.354166666666667,"Turno C",IF(F938&gt;0.583333333333333,IF(F938&lt;0.625,"Turno B",IF(F938&gt;0.625694444444444,IF(F938&lt;0.8125,"Turno A",IF(F938&gt;0.875,IF(F938&lt;0.936805555555556,"Turno C",IF(F938&gt;0.9375,IF(F938&lt;0.979166666666667,"Turno B",""),"")),"")),"")),"")),"")),""))</f>
        <v>Turno B</v>
      </c>
      <c r="L938" s="91">
        <f t="shared" si="14"/>
        <v>0.3125</v>
      </c>
    </row>
    <row r="939" spans="1:12" s="40" customFormat="1">
      <c r="A939">
        <v>11268136</v>
      </c>
      <c r="B939" t="s">
        <v>279</v>
      </c>
      <c r="C939" t="s">
        <v>278</v>
      </c>
      <c r="D939" t="s">
        <v>39</v>
      </c>
      <c r="E939" t="s">
        <v>1437</v>
      </c>
      <c r="F939" s="78">
        <v>0.60651620370370374</v>
      </c>
      <c r="G939" t="s">
        <v>1405</v>
      </c>
      <c r="H939" t="s">
        <v>1335</v>
      </c>
      <c r="I939" s="88" t="str">
        <f>VLOOKUP(A939,Base!A:B,2,0)</f>
        <v>11.268.136-1</v>
      </c>
      <c r="J939" s="99" t="str">
        <f>VLOOKUP(A939,Base!A:F,6,0)</f>
        <v>MARIA ANGELICA  CRUCES  AGUILERA</v>
      </c>
      <c r="K939" s="89" t="str">
        <f>IFERROR(IF(VLOOKUP(I939,Ingreso!K:P,6,0)=0,"Sin turtno ing",VLOOKUP(I939,Ingreso!K:P,6,0)),IF(F939&gt;0.25,IF(F939&lt;0.311805555555556,"Turno A",IF(F939&gt;0.3125,IF(F939&lt;0.354166666666667,"Turno C",IF(F939&gt;0.583333333333333,IF(F939&lt;0.625,"Turno B",IF(F939&gt;0.625694444444444,IF(F939&lt;0.8125,"Turno A",IF(F939&gt;0.875,IF(F939&lt;0.936805555555556,"Turno C",IF(F939&gt;0.9375,IF(F939&lt;0.979166666666667,"Turno B",""),"")),"")),"")),"")),"")),""))</f>
        <v>Turno B</v>
      </c>
      <c r="L939" s="91">
        <f t="shared" si="14"/>
        <v>0.3125</v>
      </c>
    </row>
    <row r="940" spans="1:12" s="40" customFormat="1">
      <c r="A940">
        <v>11268136</v>
      </c>
      <c r="B940" t="s">
        <v>279</v>
      </c>
      <c r="C940" t="s">
        <v>278</v>
      </c>
      <c r="D940" t="s">
        <v>39</v>
      </c>
      <c r="E940" t="s">
        <v>1438</v>
      </c>
      <c r="F940" s="78">
        <v>0.94906250000000003</v>
      </c>
      <c r="G940" t="s">
        <v>1406</v>
      </c>
      <c r="H940" t="s">
        <v>1336</v>
      </c>
      <c r="I940" s="88" t="str">
        <f>VLOOKUP(A940,Base!A:B,2,0)</f>
        <v>11.268.136-1</v>
      </c>
      <c r="J940" s="99" t="str">
        <f>VLOOKUP(A940,Base!A:F,6,0)</f>
        <v>MARIA ANGELICA  CRUCES  AGUILERA</v>
      </c>
      <c r="K940" s="89" t="str">
        <f>IFERROR(IF(VLOOKUP(I940,Ingreso!K:P,6,0)=0,"Sin turtno ing",VLOOKUP(I940,Ingreso!K:P,6,0)),IF(F940&gt;0.25,IF(F940&lt;0.311805555555556,"Turno A",IF(F940&gt;0.3125,IF(F940&lt;0.354166666666667,"Turno C",IF(F940&gt;0.583333333333333,IF(F940&lt;0.625,"Turno B",IF(F940&gt;0.625694444444444,IF(F940&lt;0.8125,"Turno A",IF(F940&gt;0.875,IF(F940&lt;0.936805555555556,"Turno C",IF(F940&gt;0.9375,IF(F940&lt;0.979166666666667,"Turno B",""),"")),"")),"")),"")),"")),""))</f>
        <v>Turno B</v>
      </c>
      <c r="L940" s="91">
        <f t="shared" si="14"/>
        <v>0.3125</v>
      </c>
    </row>
    <row r="941" spans="1:12" s="40" customFormat="1">
      <c r="A941">
        <v>11268136</v>
      </c>
      <c r="B941" t="s">
        <v>279</v>
      </c>
      <c r="C941" t="s">
        <v>278</v>
      </c>
      <c r="D941" t="s">
        <v>39</v>
      </c>
      <c r="E941" t="s">
        <v>1438</v>
      </c>
      <c r="F941" s="78">
        <v>0.60966435185185186</v>
      </c>
      <c r="G941" t="s">
        <v>1405</v>
      </c>
      <c r="H941" t="s">
        <v>1335</v>
      </c>
      <c r="I941" s="88" t="str">
        <f>VLOOKUP(A941,Base!A:B,2,0)</f>
        <v>11.268.136-1</v>
      </c>
      <c r="J941" s="99" t="str">
        <f>VLOOKUP(A941,Base!A:F,6,0)</f>
        <v>MARIA ANGELICA  CRUCES  AGUILERA</v>
      </c>
      <c r="K941" s="89" t="str">
        <f>IFERROR(IF(VLOOKUP(I941,Ingreso!K:P,6,0)=0,"Sin turtno ing",VLOOKUP(I941,Ingreso!K:P,6,0)),IF(F941&gt;0.25,IF(F941&lt;0.311805555555556,"Turno A",IF(F941&gt;0.3125,IF(F941&lt;0.354166666666667,"Turno C",IF(F941&gt;0.583333333333333,IF(F941&lt;0.625,"Turno B",IF(F941&gt;0.625694444444444,IF(F941&lt;0.8125,"Turno A",IF(F941&gt;0.875,IF(F941&lt;0.936805555555556,"Turno C",IF(F941&gt;0.9375,IF(F941&lt;0.979166666666667,"Turno B",""),"")),"")),"")),"")),"")),""))</f>
        <v>Turno B</v>
      </c>
      <c r="L941" s="91">
        <f t="shared" si="14"/>
        <v>0.3125</v>
      </c>
    </row>
    <row r="942" spans="1:12" s="40" customFormat="1">
      <c r="A942">
        <v>11268136</v>
      </c>
      <c r="B942" t="s">
        <v>279</v>
      </c>
      <c r="C942" t="s">
        <v>278</v>
      </c>
      <c r="D942" t="s">
        <v>39</v>
      </c>
      <c r="E942" t="s">
        <v>1439</v>
      </c>
      <c r="F942" s="78">
        <v>0.94821759259259253</v>
      </c>
      <c r="G942" t="s">
        <v>1406</v>
      </c>
      <c r="H942" t="s">
        <v>1336</v>
      </c>
      <c r="I942" s="88" t="str">
        <f>VLOOKUP(A942,Base!A:B,2,0)</f>
        <v>11.268.136-1</v>
      </c>
      <c r="J942" s="99" t="str">
        <f>VLOOKUP(A942,Base!A:F,6,0)</f>
        <v>MARIA ANGELICA  CRUCES  AGUILERA</v>
      </c>
      <c r="K942" s="89" t="str">
        <f>IFERROR(IF(VLOOKUP(I942,Ingreso!K:P,6,0)=0,"Sin turtno ing",VLOOKUP(I942,Ingreso!K:P,6,0)),IF(F942&gt;0.25,IF(F942&lt;0.311805555555556,"Turno A",IF(F942&gt;0.3125,IF(F942&lt;0.354166666666667,"Turno C",IF(F942&gt;0.583333333333333,IF(F942&lt;0.625,"Turno B",IF(F942&gt;0.625694444444444,IF(F942&lt;0.8125,"Turno A",IF(F942&gt;0.875,IF(F942&lt;0.936805555555556,"Turno C",IF(F942&gt;0.9375,IF(F942&lt;0.979166666666667,"Turno B",""),"")),"")),"")),"")),"")),""))</f>
        <v>Turno B</v>
      </c>
      <c r="L942" s="91">
        <f t="shared" si="14"/>
        <v>0.3125</v>
      </c>
    </row>
    <row r="943" spans="1:12" s="40" customFormat="1">
      <c r="A943">
        <v>11268136</v>
      </c>
      <c r="B943" t="s">
        <v>279</v>
      </c>
      <c r="C943" t="s">
        <v>278</v>
      </c>
      <c r="D943" t="s">
        <v>39</v>
      </c>
      <c r="E943" t="s">
        <v>1439</v>
      </c>
      <c r="F943" s="78">
        <v>0.60802083333333334</v>
      </c>
      <c r="G943" t="s">
        <v>1405</v>
      </c>
      <c r="H943" t="s">
        <v>1335</v>
      </c>
      <c r="I943" s="88" t="str">
        <f>VLOOKUP(A943,Base!A:B,2,0)</f>
        <v>11.268.136-1</v>
      </c>
      <c r="J943" s="99" t="str">
        <f>VLOOKUP(A943,Base!A:F,6,0)</f>
        <v>MARIA ANGELICA  CRUCES  AGUILERA</v>
      </c>
      <c r="K943" s="89" t="str">
        <f>IFERROR(IF(VLOOKUP(I943,Ingreso!K:P,6,0)=0,"Sin turtno ing",VLOOKUP(I943,Ingreso!K:P,6,0)),IF(F943&gt;0.25,IF(F943&lt;0.311805555555556,"Turno A",IF(F943&gt;0.3125,IF(F943&lt;0.354166666666667,"Turno C",IF(F943&gt;0.583333333333333,IF(F943&lt;0.625,"Turno B",IF(F943&gt;0.625694444444444,IF(F943&lt;0.8125,"Turno A",IF(F943&gt;0.875,IF(F943&lt;0.936805555555556,"Turno C",IF(F943&gt;0.9375,IF(F943&lt;0.979166666666667,"Turno B",""),"")),"")),"")),"")),"")),""))</f>
        <v>Turno B</v>
      </c>
      <c r="L943" s="91">
        <f t="shared" si="14"/>
        <v>0.3125</v>
      </c>
    </row>
    <row r="944" spans="1:12" s="40" customFormat="1">
      <c r="A944">
        <v>11306351</v>
      </c>
      <c r="B944" t="s">
        <v>575</v>
      </c>
      <c r="C944" t="s">
        <v>573</v>
      </c>
      <c r="D944" t="s">
        <v>574</v>
      </c>
      <c r="E944" t="s">
        <v>1440</v>
      </c>
      <c r="F944" s="78">
        <v>0.94045138888888891</v>
      </c>
      <c r="G944" t="s">
        <v>1406</v>
      </c>
      <c r="H944" t="s">
        <v>1336</v>
      </c>
      <c r="I944" s="88" t="str">
        <f>VLOOKUP(A944,Base!A:B,2,0)</f>
        <v>11.306.351-3</v>
      </c>
      <c r="J944" s="99" t="str">
        <f>VLOOKUP(A944,Base!A:F,6,0)</f>
        <v>RUBEN MARCO  MANQUIAN  NORIEGA</v>
      </c>
      <c r="K944" s="89" t="str">
        <f>IFERROR(IF(VLOOKUP(I944,Ingreso!K:P,6,0)=0,"Sin turtno ing",VLOOKUP(I944,Ingreso!K:P,6,0)),IF(F944&gt;0.25,IF(F944&lt;0.311805555555556,"Turno A",IF(F944&gt;0.3125,IF(F944&lt;0.354166666666667,"Turno C",IF(F944&gt;0.583333333333333,IF(F944&lt;0.625,"Turno B",IF(F944&gt;0.625694444444444,IF(F944&lt;0.8125,"Turno A",IF(F944&gt;0.875,IF(F944&lt;0.936805555555556,"Turno C",IF(F944&gt;0.9375,IF(F944&lt;0.979166666666667,"Turno B",""),"")),"")),"")),"")),"")),""))</f>
        <v>Turno B</v>
      </c>
      <c r="L944" s="91">
        <f t="shared" si="14"/>
        <v>0.3125</v>
      </c>
    </row>
    <row r="945" spans="1:12" s="40" customFormat="1">
      <c r="A945">
        <v>11306351</v>
      </c>
      <c r="B945" t="s">
        <v>575</v>
      </c>
      <c r="C945" t="s">
        <v>573</v>
      </c>
      <c r="D945" t="s">
        <v>574</v>
      </c>
      <c r="E945" t="s">
        <v>1440</v>
      </c>
      <c r="F945" s="78">
        <v>0.56554398148148144</v>
      </c>
      <c r="G945" t="s">
        <v>1405</v>
      </c>
      <c r="H945" t="s">
        <v>1335</v>
      </c>
      <c r="I945" s="88" t="str">
        <f>VLOOKUP(A945,Base!A:B,2,0)</f>
        <v>11.306.351-3</v>
      </c>
      <c r="J945" s="99" t="str">
        <f>VLOOKUP(A945,Base!A:F,6,0)</f>
        <v>RUBEN MARCO  MANQUIAN  NORIEGA</v>
      </c>
      <c r="K945" s="89" t="str">
        <f>IFERROR(IF(VLOOKUP(I945,Ingreso!K:P,6,0)=0,"Sin turtno ing",VLOOKUP(I945,Ingreso!K:P,6,0)),IF(F945&gt;0.25,IF(F945&lt;0.311805555555556,"Turno A",IF(F945&gt;0.3125,IF(F945&lt;0.354166666666667,"Turno C",IF(F945&gt;0.583333333333333,IF(F945&lt;0.625,"Turno B",IF(F945&gt;0.625694444444444,IF(F945&lt;0.8125,"Turno A",IF(F945&gt;0.875,IF(F945&lt;0.936805555555556,"Turno C",IF(F945&gt;0.9375,IF(F945&lt;0.979166666666667,"Turno B",""),"")),"")),"")),"")),"")),""))</f>
        <v>Turno B</v>
      </c>
      <c r="L945" s="91">
        <f t="shared" si="14"/>
        <v>0.3125</v>
      </c>
    </row>
    <row r="946" spans="1:12" s="40" customFormat="1">
      <c r="A946">
        <v>11306351</v>
      </c>
      <c r="B946" t="s">
        <v>575</v>
      </c>
      <c r="C946" t="s">
        <v>573</v>
      </c>
      <c r="D946" t="s">
        <v>574</v>
      </c>
      <c r="E946" t="s">
        <v>1441</v>
      </c>
      <c r="F946" s="78">
        <v>0.86179398148148145</v>
      </c>
      <c r="G946" t="s">
        <v>1406</v>
      </c>
      <c r="H946" t="s">
        <v>1336</v>
      </c>
      <c r="I946" s="88" t="str">
        <f>VLOOKUP(A946,Base!A:B,2,0)</f>
        <v>11.306.351-3</v>
      </c>
      <c r="J946" s="99" t="str">
        <f>VLOOKUP(A946,Base!A:F,6,0)</f>
        <v>RUBEN MARCO  MANQUIAN  NORIEGA</v>
      </c>
      <c r="K946" s="89" t="str">
        <f>IFERROR(IF(VLOOKUP(I946,Ingreso!K:P,6,0)=0,"Sin turtno ing",VLOOKUP(I946,Ingreso!K:P,6,0)),IF(F946&gt;0.25,IF(F946&lt;0.311805555555556,"Turno A",IF(F946&gt;0.3125,IF(F946&lt;0.354166666666667,"Turno C",IF(F946&gt;0.583333333333333,IF(F946&lt;0.625,"Turno B",IF(F946&gt;0.625694444444444,IF(F946&lt;0.8125,"Turno A",IF(F946&gt;0.875,IF(F946&lt;0.936805555555556,"Turno C",IF(F946&gt;0.9375,IF(F946&lt;0.979166666666667,"Turno B",""),"")),"")),"")),"")),"")),""))</f>
        <v>Turno B</v>
      </c>
      <c r="L946" s="91">
        <f t="shared" si="14"/>
        <v>0.3125</v>
      </c>
    </row>
    <row r="947" spans="1:12" s="40" customFormat="1">
      <c r="A947">
        <v>11306351</v>
      </c>
      <c r="B947" t="s">
        <v>575</v>
      </c>
      <c r="C947" t="s">
        <v>573</v>
      </c>
      <c r="D947" t="s">
        <v>574</v>
      </c>
      <c r="E947" t="s">
        <v>1441</v>
      </c>
      <c r="F947" s="78">
        <v>0.5761574074074074</v>
      </c>
      <c r="G947" t="s">
        <v>1405</v>
      </c>
      <c r="H947" t="s">
        <v>1335</v>
      </c>
      <c r="I947" s="88" t="str">
        <f>VLOOKUP(A947,Base!A:B,2,0)</f>
        <v>11.306.351-3</v>
      </c>
      <c r="J947" s="99" t="str">
        <f>VLOOKUP(A947,Base!A:F,6,0)</f>
        <v>RUBEN MARCO  MANQUIAN  NORIEGA</v>
      </c>
      <c r="K947" s="89" t="str">
        <f>IFERROR(IF(VLOOKUP(I947,Ingreso!K:P,6,0)=0,"Sin turtno ing",VLOOKUP(I947,Ingreso!K:P,6,0)),IF(F947&gt;0.25,IF(F947&lt;0.311805555555556,"Turno A",IF(F947&gt;0.3125,IF(F947&lt;0.354166666666667,"Turno C",IF(F947&gt;0.583333333333333,IF(F947&lt;0.625,"Turno B",IF(F947&gt;0.625694444444444,IF(F947&lt;0.8125,"Turno A",IF(F947&gt;0.875,IF(F947&lt;0.936805555555556,"Turno C",IF(F947&gt;0.9375,IF(F947&lt;0.979166666666667,"Turno B",""),"")),"")),"")),"")),"")),""))</f>
        <v>Turno B</v>
      </c>
      <c r="L947" s="91">
        <f t="shared" si="14"/>
        <v>0.3125</v>
      </c>
    </row>
    <row r="948" spans="1:12" s="40" customFormat="1">
      <c r="A948">
        <v>11306351</v>
      </c>
      <c r="B948" t="s">
        <v>575</v>
      </c>
      <c r="C948" t="s">
        <v>573</v>
      </c>
      <c r="D948" t="s">
        <v>574</v>
      </c>
      <c r="E948" t="s">
        <v>1437</v>
      </c>
      <c r="F948" s="78">
        <v>0.9518402777777778</v>
      </c>
      <c r="G948" t="s">
        <v>1406</v>
      </c>
      <c r="H948" t="s">
        <v>1336</v>
      </c>
      <c r="I948" s="88" t="str">
        <f>VLOOKUP(A948,Base!A:B,2,0)</f>
        <v>11.306.351-3</v>
      </c>
      <c r="J948" s="99" t="str">
        <f>VLOOKUP(A948,Base!A:F,6,0)</f>
        <v>RUBEN MARCO  MANQUIAN  NORIEGA</v>
      </c>
      <c r="K948" s="89" t="str">
        <f>IFERROR(IF(VLOOKUP(I948,Ingreso!K:P,6,0)=0,"Sin turtno ing",VLOOKUP(I948,Ingreso!K:P,6,0)),IF(F948&gt;0.25,IF(F948&lt;0.311805555555556,"Turno A",IF(F948&gt;0.3125,IF(F948&lt;0.354166666666667,"Turno C",IF(F948&gt;0.583333333333333,IF(F948&lt;0.625,"Turno B",IF(F948&gt;0.625694444444444,IF(F948&lt;0.8125,"Turno A",IF(F948&gt;0.875,IF(F948&lt;0.936805555555556,"Turno C",IF(F948&gt;0.9375,IF(F948&lt;0.979166666666667,"Turno B",""),"")),"")),"")),"")),"")),""))</f>
        <v>Turno B</v>
      </c>
      <c r="L948" s="91">
        <f t="shared" si="14"/>
        <v>0.3125</v>
      </c>
    </row>
    <row r="949" spans="1:12" s="40" customFormat="1">
      <c r="A949">
        <v>11306351</v>
      </c>
      <c r="B949" t="s">
        <v>575</v>
      </c>
      <c r="C949" t="s">
        <v>573</v>
      </c>
      <c r="D949" t="s">
        <v>574</v>
      </c>
      <c r="E949" t="s">
        <v>1437</v>
      </c>
      <c r="F949" s="78">
        <v>0.58234953703703707</v>
      </c>
      <c r="G949" t="s">
        <v>1405</v>
      </c>
      <c r="H949" t="s">
        <v>1335</v>
      </c>
      <c r="I949" s="88" t="str">
        <f>VLOOKUP(A949,Base!A:B,2,0)</f>
        <v>11.306.351-3</v>
      </c>
      <c r="J949" s="99" t="str">
        <f>VLOOKUP(A949,Base!A:F,6,0)</f>
        <v>RUBEN MARCO  MANQUIAN  NORIEGA</v>
      </c>
      <c r="K949" s="89" t="str">
        <f>IFERROR(IF(VLOOKUP(I949,Ingreso!K:P,6,0)=0,"Sin turtno ing",VLOOKUP(I949,Ingreso!K:P,6,0)),IF(F949&gt;0.25,IF(F949&lt;0.311805555555556,"Turno A",IF(F949&gt;0.3125,IF(F949&lt;0.354166666666667,"Turno C",IF(F949&gt;0.583333333333333,IF(F949&lt;0.625,"Turno B",IF(F949&gt;0.625694444444444,IF(F949&lt;0.8125,"Turno A",IF(F949&gt;0.875,IF(F949&lt;0.936805555555556,"Turno C",IF(F949&gt;0.9375,IF(F949&lt;0.979166666666667,"Turno B",""),"")),"")),"")),"")),"")),""))</f>
        <v>Turno B</v>
      </c>
      <c r="L949" s="91">
        <f t="shared" si="14"/>
        <v>0.3125</v>
      </c>
    </row>
    <row r="950" spans="1:12" s="40" customFormat="1">
      <c r="A950">
        <v>11306351</v>
      </c>
      <c r="B950" t="s">
        <v>575</v>
      </c>
      <c r="C950" t="s">
        <v>573</v>
      </c>
      <c r="D950" t="s">
        <v>574</v>
      </c>
      <c r="E950" t="s">
        <v>1438</v>
      </c>
      <c r="F950" s="78">
        <v>0.94336805555555558</v>
      </c>
      <c r="G950" t="s">
        <v>1406</v>
      </c>
      <c r="H950" t="s">
        <v>1336</v>
      </c>
      <c r="I950" s="88" t="str">
        <f>VLOOKUP(A950,Base!A:B,2,0)</f>
        <v>11.306.351-3</v>
      </c>
      <c r="J950" s="99" t="str">
        <f>VLOOKUP(A950,Base!A:F,6,0)</f>
        <v>RUBEN MARCO  MANQUIAN  NORIEGA</v>
      </c>
      <c r="K950" s="89" t="str">
        <f>IFERROR(IF(VLOOKUP(I950,Ingreso!K:P,6,0)=0,"Sin turtno ing",VLOOKUP(I950,Ingreso!K:P,6,0)),IF(F950&gt;0.25,IF(F950&lt;0.311805555555556,"Turno A",IF(F950&gt;0.3125,IF(F950&lt;0.354166666666667,"Turno C",IF(F950&gt;0.583333333333333,IF(F950&lt;0.625,"Turno B",IF(F950&gt;0.625694444444444,IF(F950&lt;0.8125,"Turno A",IF(F950&gt;0.875,IF(F950&lt;0.936805555555556,"Turno C",IF(F950&gt;0.9375,IF(F950&lt;0.979166666666667,"Turno B",""),"")),"")),"")),"")),"")),""))</f>
        <v>Turno B</v>
      </c>
      <c r="L950" s="91">
        <f t="shared" si="14"/>
        <v>0.3125</v>
      </c>
    </row>
    <row r="951" spans="1:12" s="40" customFormat="1">
      <c r="A951">
        <v>11306351</v>
      </c>
      <c r="B951" t="s">
        <v>575</v>
      </c>
      <c r="C951" t="s">
        <v>573</v>
      </c>
      <c r="D951" t="s">
        <v>574</v>
      </c>
      <c r="E951" t="s">
        <v>1438</v>
      </c>
      <c r="F951" s="78">
        <v>0.57900462962962962</v>
      </c>
      <c r="G951" t="s">
        <v>1405</v>
      </c>
      <c r="H951" t="s">
        <v>1335</v>
      </c>
      <c r="I951" s="88" t="str">
        <f>VLOOKUP(A951,Base!A:B,2,0)</f>
        <v>11.306.351-3</v>
      </c>
      <c r="J951" s="99" t="str">
        <f>VLOOKUP(A951,Base!A:F,6,0)</f>
        <v>RUBEN MARCO  MANQUIAN  NORIEGA</v>
      </c>
      <c r="K951" s="89" t="str">
        <f>IFERROR(IF(VLOOKUP(I951,Ingreso!K:P,6,0)=0,"Sin turtno ing",VLOOKUP(I951,Ingreso!K:P,6,0)),IF(F951&gt;0.25,IF(F951&lt;0.311805555555556,"Turno A",IF(F951&gt;0.3125,IF(F951&lt;0.354166666666667,"Turno C",IF(F951&gt;0.583333333333333,IF(F951&lt;0.625,"Turno B",IF(F951&gt;0.625694444444444,IF(F951&lt;0.8125,"Turno A",IF(F951&gt;0.875,IF(F951&lt;0.936805555555556,"Turno C",IF(F951&gt;0.9375,IF(F951&lt;0.979166666666667,"Turno B",""),"")),"")),"")),"")),"")),""))</f>
        <v>Turno B</v>
      </c>
      <c r="L951" s="91">
        <f t="shared" si="14"/>
        <v>0.3125</v>
      </c>
    </row>
    <row r="952" spans="1:12" s="40" customFormat="1">
      <c r="A952">
        <v>11306351</v>
      </c>
      <c r="B952" t="s">
        <v>575</v>
      </c>
      <c r="C952" t="s">
        <v>573</v>
      </c>
      <c r="D952" t="s">
        <v>574</v>
      </c>
      <c r="E952" t="s">
        <v>1439</v>
      </c>
      <c r="F952" s="78">
        <v>0.94412037037037033</v>
      </c>
      <c r="G952" t="s">
        <v>1406</v>
      </c>
      <c r="H952" t="s">
        <v>1336</v>
      </c>
      <c r="I952" s="88" t="str">
        <f>VLOOKUP(A952,Base!A:B,2,0)</f>
        <v>11.306.351-3</v>
      </c>
      <c r="J952" s="99" t="str">
        <f>VLOOKUP(A952,Base!A:F,6,0)</f>
        <v>RUBEN MARCO  MANQUIAN  NORIEGA</v>
      </c>
      <c r="K952" s="89" t="str">
        <f>IFERROR(IF(VLOOKUP(I952,Ingreso!K:P,6,0)=0,"Sin turtno ing",VLOOKUP(I952,Ingreso!K:P,6,0)),IF(F952&gt;0.25,IF(F952&lt;0.311805555555556,"Turno A",IF(F952&gt;0.3125,IF(F952&lt;0.354166666666667,"Turno C",IF(F952&gt;0.583333333333333,IF(F952&lt;0.625,"Turno B",IF(F952&gt;0.625694444444444,IF(F952&lt;0.8125,"Turno A",IF(F952&gt;0.875,IF(F952&lt;0.936805555555556,"Turno C",IF(F952&gt;0.9375,IF(F952&lt;0.979166666666667,"Turno B",""),"")),"")),"")),"")),"")),""))</f>
        <v>Turno B</v>
      </c>
      <c r="L952" s="91">
        <f t="shared" si="14"/>
        <v>0.3125</v>
      </c>
    </row>
    <row r="953" spans="1:12" s="40" customFormat="1">
      <c r="A953">
        <v>11306351</v>
      </c>
      <c r="B953" t="s">
        <v>575</v>
      </c>
      <c r="C953" t="s">
        <v>573</v>
      </c>
      <c r="D953" t="s">
        <v>574</v>
      </c>
      <c r="E953" t="s">
        <v>1439</v>
      </c>
      <c r="F953" s="78">
        <v>0.56880787037037039</v>
      </c>
      <c r="G953" t="s">
        <v>1405</v>
      </c>
      <c r="H953" t="s">
        <v>1335</v>
      </c>
      <c r="I953" s="88" t="str">
        <f>VLOOKUP(A953,Base!A:B,2,0)</f>
        <v>11.306.351-3</v>
      </c>
      <c r="J953" s="99" t="str">
        <f>VLOOKUP(A953,Base!A:F,6,0)</f>
        <v>RUBEN MARCO  MANQUIAN  NORIEGA</v>
      </c>
      <c r="K953" s="89" t="str">
        <f>IFERROR(IF(VLOOKUP(I953,Ingreso!K:P,6,0)=0,"Sin turtno ing",VLOOKUP(I953,Ingreso!K:P,6,0)),IF(F953&gt;0.25,IF(F953&lt;0.311805555555556,"Turno A",IF(F953&gt;0.3125,IF(F953&lt;0.354166666666667,"Turno C",IF(F953&gt;0.583333333333333,IF(F953&lt;0.625,"Turno B",IF(F953&gt;0.625694444444444,IF(F953&lt;0.8125,"Turno A",IF(F953&gt;0.875,IF(F953&lt;0.936805555555556,"Turno C",IF(F953&gt;0.9375,IF(F953&lt;0.979166666666667,"Turno B",""),"")),"")),"")),"")),"")),""))</f>
        <v>Turno B</v>
      </c>
      <c r="L953" s="91">
        <f t="shared" si="14"/>
        <v>0.3125</v>
      </c>
    </row>
    <row r="954" spans="1:12" s="40" customFormat="1">
      <c r="A954">
        <v>11325204</v>
      </c>
      <c r="B954" t="s">
        <v>133</v>
      </c>
      <c r="C954" t="s">
        <v>132</v>
      </c>
      <c r="D954" t="s">
        <v>25</v>
      </c>
      <c r="E954" t="s">
        <v>1440</v>
      </c>
      <c r="F954" s="78">
        <v>0.62872685185185184</v>
      </c>
      <c r="G954" t="s">
        <v>1406</v>
      </c>
      <c r="H954" t="s">
        <v>1336</v>
      </c>
      <c r="I954" s="88" t="str">
        <f>VLOOKUP(A954,Base!A:B,2,0)</f>
        <v>11.325.204-9</v>
      </c>
      <c r="J954" s="99" t="str">
        <f>VLOOKUP(A954,Base!A:F,6,0)</f>
        <v>LUIS ALBERTO  ALVARADO  MARTINEZ</v>
      </c>
      <c r="K954" s="89" t="str">
        <f>IFERROR(IF(VLOOKUP(I954,Ingreso!K:P,6,0)=0,"Sin turtno ing",VLOOKUP(I954,Ingreso!K:P,6,0)),IF(F954&gt;0.25,IF(F954&lt;0.311805555555556,"Turno A",IF(F954&gt;0.3125,IF(F954&lt;0.354166666666667,"Turno C",IF(F954&gt;0.583333333333333,IF(F954&lt;0.625,"Turno B",IF(F954&gt;0.625694444444444,IF(F954&lt;0.8125,"Turno A",IF(F954&gt;0.875,IF(F954&lt;0.936805555555556,"Turno C",IF(F954&gt;0.9375,IF(F954&lt;0.979166666666667,"Turno B",""),"")),"")),"")),"")),"")),""))</f>
        <v>Sin turtno ing</v>
      </c>
      <c r="L954" s="91" t="e">
        <f t="shared" si="14"/>
        <v>#N/A</v>
      </c>
    </row>
    <row r="955" spans="1:12" s="40" customFormat="1">
      <c r="A955">
        <v>11325204</v>
      </c>
      <c r="B955" t="s">
        <v>133</v>
      </c>
      <c r="C955" t="s">
        <v>132</v>
      </c>
      <c r="D955" t="s">
        <v>25</v>
      </c>
      <c r="E955" t="s">
        <v>1440</v>
      </c>
      <c r="F955" s="78">
        <v>0.31535879629629632</v>
      </c>
      <c r="G955" t="s">
        <v>1405</v>
      </c>
      <c r="H955" t="s">
        <v>1335</v>
      </c>
      <c r="I955" s="88" t="str">
        <f>VLOOKUP(A955,Base!A:B,2,0)</f>
        <v>11.325.204-9</v>
      </c>
      <c r="J955" s="99" t="str">
        <f>VLOOKUP(A955,Base!A:F,6,0)</f>
        <v>LUIS ALBERTO  ALVARADO  MARTINEZ</v>
      </c>
      <c r="K955" s="89" t="str">
        <f>IFERROR(IF(VLOOKUP(I955,Ingreso!K:P,6,0)=0,"Sin turtno ing",VLOOKUP(I955,Ingreso!K:P,6,0)),IF(F955&gt;0.25,IF(F955&lt;0.311805555555556,"Turno A",IF(F955&gt;0.3125,IF(F955&lt;0.354166666666667,"Turno C",IF(F955&gt;0.583333333333333,IF(F955&lt;0.625,"Turno B",IF(F955&gt;0.625694444444444,IF(F955&lt;0.8125,"Turno A",IF(F955&gt;0.875,IF(F955&lt;0.936805555555556,"Turno C",IF(F955&gt;0.9375,IF(F955&lt;0.979166666666667,"Turno B",""),"")),"")),"")),"")),"")),""))</f>
        <v>Sin turtno ing</v>
      </c>
      <c r="L955" s="91" t="e">
        <f t="shared" si="14"/>
        <v>#N/A</v>
      </c>
    </row>
    <row r="956" spans="1:12" s="40" customFormat="1">
      <c r="A956">
        <v>11325204</v>
      </c>
      <c r="B956" t="s">
        <v>133</v>
      </c>
      <c r="C956" t="s">
        <v>132</v>
      </c>
      <c r="D956" t="s">
        <v>25</v>
      </c>
      <c r="E956" t="s">
        <v>1441</v>
      </c>
      <c r="F956" s="78">
        <v>0.63278935185185181</v>
      </c>
      <c r="G956" t="s">
        <v>1406</v>
      </c>
      <c r="H956" t="s">
        <v>1336</v>
      </c>
      <c r="I956" s="88" t="str">
        <f>VLOOKUP(A956,Base!A:B,2,0)</f>
        <v>11.325.204-9</v>
      </c>
      <c r="J956" s="99" t="str">
        <f>VLOOKUP(A956,Base!A:F,6,0)</f>
        <v>LUIS ALBERTO  ALVARADO  MARTINEZ</v>
      </c>
      <c r="K956" s="89" t="str">
        <f>IFERROR(IF(VLOOKUP(I956,Ingreso!K:P,6,0)=0,"Sin turtno ing",VLOOKUP(I956,Ingreso!K:P,6,0)),IF(F956&gt;0.25,IF(F956&lt;0.311805555555556,"Turno A",IF(F956&gt;0.3125,IF(F956&lt;0.354166666666667,"Turno C",IF(F956&gt;0.583333333333333,IF(F956&lt;0.625,"Turno B",IF(F956&gt;0.625694444444444,IF(F956&lt;0.8125,"Turno A",IF(F956&gt;0.875,IF(F956&lt;0.936805555555556,"Turno C",IF(F956&gt;0.9375,IF(F956&lt;0.979166666666667,"Turno B",""),"")),"")),"")),"")),"")),""))</f>
        <v>Sin turtno ing</v>
      </c>
      <c r="L956" s="91" t="e">
        <f t="shared" si="14"/>
        <v>#N/A</v>
      </c>
    </row>
    <row r="957" spans="1:12" s="40" customFormat="1">
      <c r="A957">
        <v>11325204</v>
      </c>
      <c r="B957" t="s">
        <v>133</v>
      </c>
      <c r="C957" t="s">
        <v>132</v>
      </c>
      <c r="D957" t="s">
        <v>25</v>
      </c>
      <c r="E957" t="s">
        <v>1441</v>
      </c>
      <c r="F957" s="78">
        <v>0.31457175925925923</v>
      </c>
      <c r="G957" t="s">
        <v>1405</v>
      </c>
      <c r="H957" t="s">
        <v>1335</v>
      </c>
      <c r="I957" s="88" t="str">
        <f>VLOOKUP(A957,Base!A:B,2,0)</f>
        <v>11.325.204-9</v>
      </c>
      <c r="J957" s="99" t="str">
        <f>VLOOKUP(A957,Base!A:F,6,0)</f>
        <v>LUIS ALBERTO  ALVARADO  MARTINEZ</v>
      </c>
      <c r="K957" s="89" t="str">
        <f>IFERROR(IF(VLOOKUP(I957,Ingreso!K:P,6,0)=0,"Sin turtno ing",VLOOKUP(I957,Ingreso!K:P,6,0)),IF(F957&gt;0.25,IF(F957&lt;0.311805555555556,"Turno A",IF(F957&gt;0.3125,IF(F957&lt;0.354166666666667,"Turno C",IF(F957&gt;0.583333333333333,IF(F957&lt;0.625,"Turno B",IF(F957&gt;0.625694444444444,IF(F957&lt;0.8125,"Turno A",IF(F957&gt;0.875,IF(F957&lt;0.936805555555556,"Turno C",IF(F957&gt;0.9375,IF(F957&lt;0.979166666666667,"Turno B",""),"")),"")),"")),"")),"")),""))</f>
        <v>Sin turtno ing</v>
      </c>
      <c r="L957" s="91" t="e">
        <f t="shared" si="14"/>
        <v>#N/A</v>
      </c>
    </row>
    <row r="958" spans="1:12" s="40" customFormat="1">
      <c r="A958">
        <v>11325204</v>
      </c>
      <c r="B958" t="s">
        <v>133</v>
      </c>
      <c r="C958" t="s">
        <v>132</v>
      </c>
      <c r="D958" t="s">
        <v>25</v>
      </c>
      <c r="E958" t="s">
        <v>1437</v>
      </c>
      <c r="F958" s="78">
        <v>0.62660879629629629</v>
      </c>
      <c r="G958" t="s">
        <v>1406</v>
      </c>
      <c r="H958" t="s">
        <v>1336</v>
      </c>
      <c r="I958" s="88" t="str">
        <f>VLOOKUP(A958,Base!A:B,2,0)</f>
        <v>11.325.204-9</v>
      </c>
      <c r="J958" s="99" t="str">
        <f>VLOOKUP(A958,Base!A:F,6,0)</f>
        <v>LUIS ALBERTO  ALVARADO  MARTINEZ</v>
      </c>
      <c r="K958" s="89" t="str">
        <f>IFERROR(IF(VLOOKUP(I958,Ingreso!K:P,6,0)=0,"Sin turtno ing",VLOOKUP(I958,Ingreso!K:P,6,0)),IF(F958&gt;0.25,IF(F958&lt;0.311805555555556,"Turno A",IF(F958&gt;0.3125,IF(F958&lt;0.354166666666667,"Turno C",IF(F958&gt;0.583333333333333,IF(F958&lt;0.625,"Turno B",IF(F958&gt;0.625694444444444,IF(F958&lt;0.8125,"Turno A",IF(F958&gt;0.875,IF(F958&lt;0.936805555555556,"Turno C",IF(F958&gt;0.9375,IF(F958&lt;0.979166666666667,"Turno B",""),"")),"")),"")),"")),"")),""))</f>
        <v>Sin turtno ing</v>
      </c>
      <c r="L958" s="91" t="e">
        <f t="shared" si="14"/>
        <v>#N/A</v>
      </c>
    </row>
    <row r="959" spans="1:12" s="40" customFormat="1">
      <c r="A959">
        <v>11325204</v>
      </c>
      <c r="B959" t="s">
        <v>133</v>
      </c>
      <c r="C959" t="s">
        <v>132</v>
      </c>
      <c r="D959" t="s">
        <v>25</v>
      </c>
      <c r="E959" t="s">
        <v>1437</v>
      </c>
      <c r="F959" s="78">
        <v>0.31560185185185186</v>
      </c>
      <c r="G959" t="s">
        <v>1405</v>
      </c>
      <c r="H959" t="s">
        <v>1335</v>
      </c>
      <c r="I959" s="88" t="str">
        <f>VLOOKUP(A959,Base!A:B,2,0)</f>
        <v>11.325.204-9</v>
      </c>
      <c r="J959" s="99" t="str">
        <f>VLOOKUP(A959,Base!A:F,6,0)</f>
        <v>LUIS ALBERTO  ALVARADO  MARTINEZ</v>
      </c>
      <c r="K959" s="89" t="str">
        <f>IFERROR(IF(VLOOKUP(I959,Ingreso!K:P,6,0)=0,"Sin turtno ing",VLOOKUP(I959,Ingreso!K:P,6,0)),IF(F959&gt;0.25,IF(F959&lt;0.311805555555556,"Turno A",IF(F959&gt;0.3125,IF(F959&lt;0.354166666666667,"Turno C",IF(F959&gt;0.583333333333333,IF(F959&lt;0.625,"Turno B",IF(F959&gt;0.625694444444444,IF(F959&lt;0.8125,"Turno A",IF(F959&gt;0.875,IF(F959&lt;0.936805555555556,"Turno C",IF(F959&gt;0.9375,IF(F959&lt;0.979166666666667,"Turno B",""),"")),"")),"")),"")),"")),""))</f>
        <v>Sin turtno ing</v>
      </c>
      <c r="L959" s="91" t="e">
        <f t="shared" si="14"/>
        <v>#N/A</v>
      </c>
    </row>
    <row r="960" spans="1:12" s="40" customFormat="1">
      <c r="A960">
        <v>11325204</v>
      </c>
      <c r="B960" t="s">
        <v>133</v>
      </c>
      <c r="C960" t="s">
        <v>132</v>
      </c>
      <c r="D960" t="s">
        <v>25</v>
      </c>
      <c r="E960" t="s">
        <v>1438</v>
      </c>
      <c r="F960" s="78">
        <v>0.62894675925925925</v>
      </c>
      <c r="G960" t="s">
        <v>1406</v>
      </c>
      <c r="H960" t="s">
        <v>1336</v>
      </c>
      <c r="I960" s="88" t="str">
        <f>VLOOKUP(A960,Base!A:B,2,0)</f>
        <v>11.325.204-9</v>
      </c>
      <c r="J960" s="99" t="str">
        <f>VLOOKUP(A960,Base!A:F,6,0)</f>
        <v>LUIS ALBERTO  ALVARADO  MARTINEZ</v>
      </c>
      <c r="K960" s="89" t="str">
        <f>IFERROR(IF(VLOOKUP(I960,Ingreso!K:P,6,0)=0,"Sin turtno ing",VLOOKUP(I960,Ingreso!K:P,6,0)),IF(F960&gt;0.25,IF(F960&lt;0.311805555555556,"Turno A",IF(F960&gt;0.3125,IF(F960&lt;0.354166666666667,"Turno C",IF(F960&gt;0.583333333333333,IF(F960&lt;0.625,"Turno B",IF(F960&gt;0.625694444444444,IF(F960&lt;0.8125,"Turno A",IF(F960&gt;0.875,IF(F960&lt;0.936805555555556,"Turno C",IF(F960&gt;0.9375,IF(F960&lt;0.979166666666667,"Turno B",""),"")),"")),"")),"")),"")),""))</f>
        <v>Sin turtno ing</v>
      </c>
      <c r="L960" s="91" t="e">
        <f t="shared" si="14"/>
        <v>#N/A</v>
      </c>
    </row>
    <row r="961" spans="1:12" s="40" customFormat="1">
      <c r="A961">
        <v>11325204</v>
      </c>
      <c r="B961" t="s">
        <v>133</v>
      </c>
      <c r="C961" t="s">
        <v>132</v>
      </c>
      <c r="D961" t="s">
        <v>25</v>
      </c>
      <c r="E961" t="s">
        <v>1438</v>
      </c>
      <c r="F961" s="78">
        <v>0.32109953703703703</v>
      </c>
      <c r="G961" t="s">
        <v>1405</v>
      </c>
      <c r="H961" t="s">
        <v>1335</v>
      </c>
      <c r="I961" s="88" t="str">
        <f>VLOOKUP(A961,Base!A:B,2,0)</f>
        <v>11.325.204-9</v>
      </c>
      <c r="J961" s="99" t="str">
        <f>VLOOKUP(A961,Base!A:F,6,0)</f>
        <v>LUIS ALBERTO  ALVARADO  MARTINEZ</v>
      </c>
      <c r="K961" s="89" t="str">
        <f>IFERROR(IF(VLOOKUP(I961,Ingreso!K:P,6,0)=0,"Sin turtno ing",VLOOKUP(I961,Ingreso!K:P,6,0)),IF(F961&gt;0.25,IF(F961&lt;0.311805555555556,"Turno A",IF(F961&gt;0.3125,IF(F961&lt;0.354166666666667,"Turno C",IF(F961&gt;0.583333333333333,IF(F961&lt;0.625,"Turno B",IF(F961&gt;0.625694444444444,IF(F961&lt;0.8125,"Turno A",IF(F961&gt;0.875,IF(F961&lt;0.936805555555556,"Turno C",IF(F961&gt;0.9375,IF(F961&lt;0.979166666666667,"Turno B",""),"")),"")),"")),"")),"")),""))</f>
        <v>Sin turtno ing</v>
      </c>
      <c r="L961" s="91" t="e">
        <f t="shared" si="14"/>
        <v>#N/A</v>
      </c>
    </row>
    <row r="962" spans="1:12" s="40" customFormat="1">
      <c r="A962">
        <v>11325204</v>
      </c>
      <c r="B962" t="s">
        <v>133</v>
      </c>
      <c r="C962" t="s">
        <v>132</v>
      </c>
      <c r="D962" t="s">
        <v>25</v>
      </c>
      <c r="E962" t="s">
        <v>1439</v>
      </c>
      <c r="F962" s="78">
        <v>0.63543981481481482</v>
      </c>
      <c r="G962" t="s">
        <v>1406</v>
      </c>
      <c r="H962" t="s">
        <v>1336</v>
      </c>
      <c r="I962" s="88" t="str">
        <f>VLOOKUP(A962,Base!A:B,2,0)</f>
        <v>11.325.204-9</v>
      </c>
      <c r="J962" s="99" t="str">
        <f>VLOOKUP(A962,Base!A:F,6,0)</f>
        <v>LUIS ALBERTO  ALVARADO  MARTINEZ</v>
      </c>
      <c r="K962" s="89" t="str">
        <f>IFERROR(IF(VLOOKUP(I962,Ingreso!K:P,6,0)=0,"Sin turtno ing",VLOOKUP(I962,Ingreso!K:P,6,0)),IF(F962&gt;0.25,IF(F962&lt;0.311805555555556,"Turno A",IF(F962&gt;0.3125,IF(F962&lt;0.354166666666667,"Turno C",IF(F962&gt;0.583333333333333,IF(F962&lt;0.625,"Turno B",IF(F962&gt;0.625694444444444,IF(F962&lt;0.8125,"Turno A",IF(F962&gt;0.875,IF(F962&lt;0.936805555555556,"Turno C",IF(F962&gt;0.9375,IF(F962&lt;0.979166666666667,"Turno B",""),"")),"")),"")),"")),"")),""))</f>
        <v>Sin turtno ing</v>
      </c>
      <c r="L962" s="91" t="e">
        <f t="shared" si="14"/>
        <v>#N/A</v>
      </c>
    </row>
    <row r="963" spans="1:12" s="40" customFormat="1">
      <c r="A963">
        <v>11325204</v>
      </c>
      <c r="B963" t="s">
        <v>133</v>
      </c>
      <c r="C963" t="s">
        <v>132</v>
      </c>
      <c r="D963" t="s">
        <v>25</v>
      </c>
      <c r="E963" t="s">
        <v>1439</v>
      </c>
      <c r="F963" s="78">
        <v>0.32244212962962965</v>
      </c>
      <c r="G963" t="s">
        <v>1405</v>
      </c>
      <c r="H963" t="s">
        <v>1335</v>
      </c>
      <c r="I963" s="88" t="str">
        <f>VLOOKUP(A963,Base!A:B,2,0)</f>
        <v>11.325.204-9</v>
      </c>
      <c r="J963" s="99" t="str">
        <f>VLOOKUP(A963,Base!A:F,6,0)</f>
        <v>LUIS ALBERTO  ALVARADO  MARTINEZ</v>
      </c>
      <c r="K963" s="89" t="str">
        <f>IFERROR(IF(VLOOKUP(I963,Ingreso!K:P,6,0)=0,"Sin turtno ing",VLOOKUP(I963,Ingreso!K:P,6,0)),IF(F963&gt;0.25,IF(F963&lt;0.311805555555556,"Turno A",IF(F963&gt;0.3125,IF(F963&lt;0.354166666666667,"Turno C",IF(F963&gt;0.583333333333333,IF(F963&lt;0.625,"Turno B",IF(F963&gt;0.625694444444444,IF(F963&lt;0.8125,"Turno A",IF(F963&gt;0.875,IF(F963&lt;0.936805555555556,"Turno C",IF(F963&gt;0.9375,IF(F963&lt;0.979166666666667,"Turno B",""),"")),"")),"")),"")),"")),""))</f>
        <v>Sin turtno ing</v>
      </c>
      <c r="L963" s="91" t="e">
        <f t="shared" ref="L963:L1026" si="15">VLOOKUP(K963,$S$3:$T$7,2,0)</f>
        <v>#N/A</v>
      </c>
    </row>
    <row r="964" spans="1:12" s="40" customFormat="1">
      <c r="A964">
        <v>11347053</v>
      </c>
      <c r="B964" t="s">
        <v>285</v>
      </c>
      <c r="C964" t="s">
        <v>283</v>
      </c>
      <c r="D964" t="s">
        <v>284</v>
      </c>
      <c r="E964" t="s">
        <v>1440</v>
      </c>
      <c r="F964" s="78">
        <v>0.94803240740740735</v>
      </c>
      <c r="G964" t="s">
        <v>1406</v>
      </c>
      <c r="H964" t="s">
        <v>1336</v>
      </c>
      <c r="I964" s="88" t="str">
        <f>VLOOKUP(A964,Base!A:B,2,0)</f>
        <v>11.347.053-4</v>
      </c>
      <c r="J964" s="99" t="str">
        <f>VLOOKUP(A964,Base!A:F,6,0)</f>
        <v>LUISA ISABEL  CRUZ  ROMERO</v>
      </c>
      <c r="K964" s="89" t="str">
        <f>IFERROR(IF(VLOOKUP(I964,Ingreso!K:P,6,0)=0,"Sin turtno ing",VLOOKUP(I964,Ingreso!K:P,6,0)),IF(F964&gt;0.25,IF(F964&lt;0.311805555555556,"Turno A",IF(F964&gt;0.3125,IF(F964&lt;0.354166666666667,"Turno C",IF(F964&gt;0.583333333333333,IF(F964&lt;0.625,"Turno B",IF(F964&gt;0.625694444444444,IF(F964&lt;0.8125,"Turno A",IF(F964&gt;0.875,IF(F964&lt;0.936805555555556,"Turno C",IF(F964&gt;0.9375,IF(F964&lt;0.979166666666667,"Turno B",""),"")),"")),"")),"")),"")),""))</f>
        <v>Turno B</v>
      </c>
      <c r="L964" s="91">
        <f t="shared" si="15"/>
        <v>0.3125</v>
      </c>
    </row>
    <row r="965" spans="1:12" s="40" customFormat="1">
      <c r="A965">
        <v>11347053</v>
      </c>
      <c r="B965" t="s">
        <v>285</v>
      </c>
      <c r="C965" t="s">
        <v>283</v>
      </c>
      <c r="D965" t="s">
        <v>284</v>
      </c>
      <c r="E965" t="s">
        <v>1440</v>
      </c>
      <c r="F965" s="78">
        <v>0.62315972222222216</v>
      </c>
      <c r="G965" t="s">
        <v>1405</v>
      </c>
      <c r="H965" t="s">
        <v>1335</v>
      </c>
      <c r="I965" s="88" t="str">
        <f>VLOOKUP(A965,Base!A:B,2,0)</f>
        <v>11.347.053-4</v>
      </c>
      <c r="J965" s="99" t="str">
        <f>VLOOKUP(A965,Base!A:F,6,0)</f>
        <v>LUISA ISABEL  CRUZ  ROMERO</v>
      </c>
      <c r="K965" s="89" t="str">
        <f>IFERROR(IF(VLOOKUP(I965,Ingreso!K:P,6,0)=0,"Sin turtno ing",VLOOKUP(I965,Ingreso!K:P,6,0)),IF(F965&gt;0.25,IF(F965&lt;0.311805555555556,"Turno A",IF(F965&gt;0.3125,IF(F965&lt;0.354166666666667,"Turno C",IF(F965&gt;0.583333333333333,IF(F965&lt;0.625,"Turno B",IF(F965&gt;0.625694444444444,IF(F965&lt;0.8125,"Turno A",IF(F965&gt;0.875,IF(F965&lt;0.936805555555556,"Turno C",IF(F965&gt;0.9375,IF(F965&lt;0.979166666666667,"Turno B",""),"")),"")),"")),"")),"")),""))</f>
        <v>Turno B</v>
      </c>
      <c r="L965" s="91">
        <f t="shared" si="15"/>
        <v>0.3125</v>
      </c>
    </row>
    <row r="966" spans="1:12" s="40" customFormat="1">
      <c r="A966">
        <v>11347053</v>
      </c>
      <c r="B966" t="s">
        <v>285</v>
      </c>
      <c r="C966" t="s">
        <v>283</v>
      </c>
      <c r="D966" t="s">
        <v>284</v>
      </c>
      <c r="E966" t="s">
        <v>1441</v>
      </c>
      <c r="F966" s="78">
        <v>0.9344675925925926</v>
      </c>
      <c r="G966" t="s">
        <v>1406</v>
      </c>
      <c r="H966" t="s">
        <v>1336</v>
      </c>
      <c r="I966" s="88" t="str">
        <f>VLOOKUP(A966,Base!A:B,2,0)</f>
        <v>11.347.053-4</v>
      </c>
      <c r="J966" s="99" t="str">
        <f>VLOOKUP(A966,Base!A:F,6,0)</f>
        <v>LUISA ISABEL  CRUZ  ROMERO</v>
      </c>
      <c r="K966" s="89" t="str">
        <f>IFERROR(IF(VLOOKUP(I966,Ingreso!K:P,6,0)=0,"Sin turtno ing",VLOOKUP(I966,Ingreso!K:P,6,0)),IF(F966&gt;0.25,IF(F966&lt;0.311805555555556,"Turno A",IF(F966&gt;0.3125,IF(F966&lt;0.354166666666667,"Turno C",IF(F966&gt;0.583333333333333,IF(F966&lt;0.625,"Turno B",IF(F966&gt;0.625694444444444,IF(F966&lt;0.8125,"Turno A",IF(F966&gt;0.875,IF(F966&lt;0.936805555555556,"Turno C",IF(F966&gt;0.9375,IF(F966&lt;0.979166666666667,"Turno B",""),"")),"")),"")),"")),"")),""))</f>
        <v>Turno B</v>
      </c>
      <c r="L966" s="91">
        <f t="shared" si="15"/>
        <v>0.3125</v>
      </c>
    </row>
    <row r="967" spans="1:12" s="40" customFormat="1">
      <c r="A967">
        <v>11347053</v>
      </c>
      <c r="B967" t="s">
        <v>285</v>
      </c>
      <c r="C967" t="s">
        <v>283</v>
      </c>
      <c r="D967" t="s">
        <v>284</v>
      </c>
      <c r="E967" t="s">
        <v>1441</v>
      </c>
      <c r="F967" s="78">
        <v>0.64552083333333332</v>
      </c>
      <c r="G967" t="s">
        <v>1405</v>
      </c>
      <c r="H967" t="s">
        <v>1335</v>
      </c>
      <c r="I967" s="88" t="str">
        <f>VLOOKUP(A967,Base!A:B,2,0)</f>
        <v>11.347.053-4</v>
      </c>
      <c r="J967" s="99" t="str">
        <f>VLOOKUP(A967,Base!A:F,6,0)</f>
        <v>LUISA ISABEL  CRUZ  ROMERO</v>
      </c>
      <c r="K967" s="89" t="str">
        <f>IFERROR(IF(VLOOKUP(I967,Ingreso!K:P,6,0)=0,"Sin turtno ing",VLOOKUP(I967,Ingreso!K:P,6,0)),IF(F967&gt;0.25,IF(F967&lt;0.311805555555556,"Turno A",IF(F967&gt;0.3125,IF(F967&lt;0.354166666666667,"Turno C",IF(F967&gt;0.583333333333333,IF(F967&lt;0.625,"Turno B",IF(F967&gt;0.625694444444444,IF(F967&lt;0.8125,"Turno A",IF(F967&gt;0.875,IF(F967&lt;0.936805555555556,"Turno C",IF(F967&gt;0.9375,IF(F967&lt;0.979166666666667,"Turno B",""),"")),"")),"")),"")),"")),""))</f>
        <v>Turno B</v>
      </c>
      <c r="L967" s="91">
        <f t="shared" si="15"/>
        <v>0.3125</v>
      </c>
    </row>
    <row r="968" spans="1:12" s="40" customFormat="1">
      <c r="A968">
        <v>11347053</v>
      </c>
      <c r="B968" t="s">
        <v>285</v>
      </c>
      <c r="C968" t="s">
        <v>283</v>
      </c>
      <c r="D968" t="s">
        <v>284</v>
      </c>
      <c r="E968" t="s">
        <v>1437</v>
      </c>
      <c r="F968" s="78">
        <v>0.94645833333333329</v>
      </c>
      <c r="G968" t="s">
        <v>1406</v>
      </c>
      <c r="H968" t="s">
        <v>1336</v>
      </c>
      <c r="I968" s="88" t="str">
        <f>VLOOKUP(A968,Base!A:B,2,0)</f>
        <v>11.347.053-4</v>
      </c>
      <c r="J968" s="99" t="str">
        <f>VLOOKUP(A968,Base!A:F,6,0)</f>
        <v>LUISA ISABEL  CRUZ  ROMERO</v>
      </c>
      <c r="K968" s="89" t="str">
        <f>IFERROR(IF(VLOOKUP(I968,Ingreso!K:P,6,0)=0,"Sin turtno ing",VLOOKUP(I968,Ingreso!K:P,6,0)),IF(F968&gt;0.25,IF(F968&lt;0.311805555555556,"Turno A",IF(F968&gt;0.3125,IF(F968&lt;0.354166666666667,"Turno C",IF(F968&gt;0.583333333333333,IF(F968&lt;0.625,"Turno B",IF(F968&gt;0.625694444444444,IF(F968&lt;0.8125,"Turno A",IF(F968&gt;0.875,IF(F968&lt;0.936805555555556,"Turno C",IF(F968&gt;0.9375,IF(F968&lt;0.979166666666667,"Turno B",""),"")),"")),"")),"")),"")),""))</f>
        <v>Turno B</v>
      </c>
      <c r="L968" s="91">
        <f t="shared" si="15"/>
        <v>0.3125</v>
      </c>
    </row>
    <row r="969" spans="1:12" s="40" customFormat="1">
      <c r="A969">
        <v>11347053</v>
      </c>
      <c r="B969" t="s">
        <v>285</v>
      </c>
      <c r="C969" t="s">
        <v>283</v>
      </c>
      <c r="D969" t="s">
        <v>284</v>
      </c>
      <c r="E969" t="s">
        <v>1437</v>
      </c>
      <c r="F969" s="78">
        <v>0.62094907407407407</v>
      </c>
      <c r="G969" t="s">
        <v>1405</v>
      </c>
      <c r="H969" t="s">
        <v>1335</v>
      </c>
      <c r="I969" s="88" t="str">
        <f>VLOOKUP(A969,Base!A:B,2,0)</f>
        <v>11.347.053-4</v>
      </c>
      <c r="J969" s="99" t="str">
        <f>VLOOKUP(A969,Base!A:F,6,0)</f>
        <v>LUISA ISABEL  CRUZ  ROMERO</v>
      </c>
      <c r="K969" s="89" t="str">
        <f>IFERROR(IF(VLOOKUP(I969,Ingreso!K:P,6,0)=0,"Sin turtno ing",VLOOKUP(I969,Ingreso!K:P,6,0)),IF(F969&gt;0.25,IF(F969&lt;0.311805555555556,"Turno A",IF(F969&gt;0.3125,IF(F969&lt;0.354166666666667,"Turno C",IF(F969&gt;0.583333333333333,IF(F969&lt;0.625,"Turno B",IF(F969&gt;0.625694444444444,IF(F969&lt;0.8125,"Turno A",IF(F969&gt;0.875,IF(F969&lt;0.936805555555556,"Turno C",IF(F969&gt;0.9375,IF(F969&lt;0.979166666666667,"Turno B",""),"")),"")),"")),"")),"")),""))</f>
        <v>Turno B</v>
      </c>
      <c r="L969" s="91">
        <f t="shared" si="15"/>
        <v>0.3125</v>
      </c>
    </row>
    <row r="970" spans="1:12" s="40" customFormat="1">
      <c r="A970">
        <v>11347053</v>
      </c>
      <c r="B970" t="s">
        <v>285</v>
      </c>
      <c r="C970" t="s">
        <v>283</v>
      </c>
      <c r="D970" t="s">
        <v>284</v>
      </c>
      <c r="E970" t="s">
        <v>1438</v>
      </c>
      <c r="F970" s="78">
        <v>0.94506944444444441</v>
      </c>
      <c r="G970" t="s">
        <v>1406</v>
      </c>
      <c r="H970" t="s">
        <v>1336</v>
      </c>
      <c r="I970" s="88" t="str">
        <f>VLOOKUP(A970,Base!A:B,2,0)</f>
        <v>11.347.053-4</v>
      </c>
      <c r="J970" s="99" t="str">
        <f>VLOOKUP(A970,Base!A:F,6,0)</f>
        <v>LUISA ISABEL  CRUZ  ROMERO</v>
      </c>
      <c r="K970" s="89" t="str">
        <f>IFERROR(IF(VLOOKUP(I970,Ingreso!K:P,6,0)=0,"Sin turtno ing",VLOOKUP(I970,Ingreso!K:P,6,0)),IF(F970&gt;0.25,IF(F970&lt;0.311805555555556,"Turno A",IF(F970&gt;0.3125,IF(F970&lt;0.354166666666667,"Turno C",IF(F970&gt;0.583333333333333,IF(F970&lt;0.625,"Turno B",IF(F970&gt;0.625694444444444,IF(F970&lt;0.8125,"Turno A",IF(F970&gt;0.875,IF(F970&lt;0.936805555555556,"Turno C",IF(F970&gt;0.9375,IF(F970&lt;0.979166666666667,"Turno B",""),"")),"")),"")),"")),"")),""))</f>
        <v>Turno B</v>
      </c>
      <c r="L970" s="91">
        <f t="shared" si="15"/>
        <v>0.3125</v>
      </c>
    </row>
    <row r="971" spans="1:12" s="40" customFormat="1">
      <c r="A971">
        <v>11347053</v>
      </c>
      <c r="B971" t="s">
        <v>285</v>
      </c>
      <c r="C971" t="s">
        <v>283</v>
      </c>
      <c r="D971" t="s">
        <v>284</v>
      </c>
      <c r="E971" t="s">
        <v>1438</v>
      </c>
      <c r="F971" s="78">
        <v>0.62503472222222223</v>
      </c>
      <c r="G971" t="s">
        <v>1405</v>
      </c>
      <c r="H971" t="s">
        <v>1335</v>
      </c>
      <c r="I971" s="88" t="str">
        <f>VLOOKUP(A971,Base!A:B,2,0)</f>
        <v>11.347.053-4</v>
      </c>
      <c r="J971" s="99" t="str">
        <f>VLOOKUP(A971,Base!A:F,6,0)</f>
        <v>LUISA ISABEL  CRUZ  ROMERO</v>
      </c>
      <c r="K971" s="89" t="str">
        <f>IFERROR(IF(VLOOKUP(I971,Ingreso!K:P,6,0)=0,"Sin turtno ing",VLOOKUP(I971,Ingreso!K:P,6,0)),IF(F971&gt;0.25,IF(F971&lt;0.311805555555556,"Turno A",IF(F971&gt;0.3125,IF(F971&lt;0.354166666666667,"Turno C",IF(F971&gt;0.583333333333333,IF(F971&lt;0.625,"Turno B",IF(F971&gt;0.625694444444444,IF(F971&lt;0.8125,"Turno A",IF(F971&gt;0.875,IF(F971&lt;0.936805555555556,"Turno C",IF(F971&gt;0.9375,IF(F971&lt;0.979166666666667,"Turno B",""),"")),"")),"")),"")),"")),""))</f>
        <v>Turno B</v>
      </c>
      <c r="L971" s="91">
        <f t="shared" si="15"/>
        <v>0.3125</v>
      </c>
    </row>
    <row r="972" spans="1:12" s="40" customFormat="1">
      <c r="A972">
        <v>11347053</v>
      </c>
      <c r="B972" t="s">
        <v>285</v>
      </c>
      <c r="C972" t="s">
        <v>283</v>
      </c>
      <c r="D972" t="s">
        <v>284</v>
      </c>
      <c r="E972" t="s">
        <v>1439</v>
      </c>
      <c r="F972" s="78">
        <v>0.94400462962962972</v>
      </c>
      <c r="G972" t="s">
        <v>1406</v>
      </c>
      <c r="H972" t="s">
        <v>1336</v>
      </c>
      <c r="I972" s="88" t="str">
        <f>VLOOKUP(A972,Base!A:B,2,0)</f>
        <v>11.347.053-4</v>
      </c>
      <c r="J972" s="99" t="str">
        <f>VLOOKUP(A972,Base!A:F,6,0)</f>
        <v>LUISA ISABEL  CRUZ  ROMERO</v>
      </c>
      <c r="K972" s="89" t="str">
        <f>IFERROR(IF(VLOOKUP(I972,Ingreso!K:P,6,0)=0,"Sin turtno ing",VLOOKUP(I972,Ingreso!K:P,6,0)),IF(F972&gt;0.25,IF(F972&lt;0.311805555555556,"Turno A",IF(F972&gt;0.3125,IF(F972&lt;0.354166666666667,"Turno C",IF(F972&gt;0.583333333333333,IF(F972&lt;0.625,"Turno B",IF(F972&gt;0.625694444444444,IF(F972&lt;0.8125,"Turno A",IF(F972&gt;0.875,IF(F972&lt;0.936805555555556,"Turno C",IF(F972&gt;0.9375,IF(F972&lt;0.979166666666667,"Turno B",""),"")),"")),"")),"")),"")),""))</f>
        <v>Turno B</v>
      </c>
      <c r="L972" s="91">
        <f t="shared" si="15"/>
        <v>0.3125</v>
      </c>
    </row>
    <row r="973" spans="1:12" s="40" customFormat="1">
      <c r="A973">
        <v>11347053</v>
      </c>
      <c r="B973" t="s">
        <v>285</v>
      </c>
      <c r="C973" t="s">
        <v>283</v>
      </c>
      <c r="D973" t="s">
        <v>284</v>
      </c>
      <c r="E973" t="s">
        <v>1439</v>
      </c>
      <c r="F973" s="78">
        <v>0.62085648148148154</v>
      </c>
      <c r="G973" t="s">
        <v>1405</v>
      </c>
      <c r="H973" t="s">
        <v>1335</v>
      </c>
      <c r="I973" s="88" t="str">
        <f>VLOOKUP(A973,Base!A:B,2,0)</f>
        <v>11.347.053-4</v>
      </c>
      <c r="J973" s="99" t="str">
        <f>VLOOKUP(A973,Base!A:F,6,0)</f>
        <v>LUISA ISABEL  CRUZ  ROMERO</v>
      </c>
      <c r="K973" s="89" t="str">
        <f>IFERROR(IF(VLOOKUP(I973,Ingreso!K:P,6,0)=0,"Sin turtno ing",VLOOKUP(I973,Ingreso!K:P,6,0)),IF(F973&gt;0.25,IF(F973&lt;0.311805555555556,"Turno A",IF(F973&gt;0.3125,IF(F973&lt;0.354166666666667,"Turno C",IF(F973&gt;0.583333333333333,IF(F973&lt;0.625,"Turno B",IF(F973&gt;0.625694444444444,IF(F973&lt;0.8125,"Turno A",IF(F973&gt;0.875,IF(F973&lt;0.936805555555556,"Turno C",IF(F973&gt;0.9375,IF(F973&lt;0.979166666666667,"Turno B",""),"")),"")),"")),"")),"")),""))</f>
        <v>Turno B</v>
      </c>
      <c r="L973" s="91">
        <f t="shared" si="15"/>
        <v>0.3125</v>
      </c>
    </row>
    <row r="974" spans="1:12" s="40" customFormat="1">
      <c r="A974">
        <v>11370436</v>
      </c>
      <c r="B974" t="s">
        <v>586</v>
      </c>
      <c r="C974" t="s">
        <v>585</v>
      </c>
      <c r="D974" t="s">
        <v>132</v>
      </c>
      <c r="E974" t="s">
        <v>1440</v>
      </c>
      <c r="F974" s="78">
        <v>0.63410879629629624</v>
      </c>
      <c r="G974" t="s">
        <v>1406</v>
      </c>
      <c r="H974" t="s">
        <v>1336</v>
      </c>
      <c r="I974" s="88" t="str">
        <f>VLOOKUP(A974,Base!A:B,2,0)</f>
        <v>11.370.436-5</v>
      </c>
      <c r="J974" s="99" t="str">
        <f>VLOOKUP(A974,Base!A:F,6,0)</f>
        <v>LUIS HUMBERTO  MARDONES  ALVARADO</v>
      </c>
      <c r="K974" s="89" t="str">
        <f>IFERROR(IF(VLOOKUP(I974,Ingreso!K:P,6,0)=0,"Sin turtno ing",VLOOKUP(I974,Ingreso!K:P,6,0)),IF(F974&gt;0.25,IF(F974&lt;0.311805555555556,"Turno A",IF(F974&gt;0.3125,IF(F974&lt;0.354166666666667,"Turno C",IF(F974&gt;0.583333333333333,IF(F974&lt;0.625,"Turno B",IF(F974&gt;0.625694444444444,IF(F974&lt;0.8125,"Turno A",IF(F974&gt;0.875,IF(F974&lt;0.936805555555556,"Turno C",IF(F974&gt;0.9375,IF(F974&lt;0.979166666666667,"Turno B",""),"")),"")),"")),"")),"")),""))</f>
        <v>Sin turtno ing</v>
      </c>
      <c r="L974" s="91" t="e">
        <f t="shared" si="15"/>
        <v>#N/A</v>
      </c>
    </row>
    <row r="975" spans="1:12" s="40" customFormat="1">
      <c r="A975">
        <v>11370436</v>
      </c>
      <c r="B975" t="s">
        <v>586</v>
      </c>
      <c r="C975" t="s">
        <v>585</v>
      </c>
      <c r="D975" t="s">
        <v>132</v>
      </c>
      <c r="E975" t="s">
        <v>1440</v>
      </c>
      <c r="F975" s="78">
        <v>0.29354166666666665</v>
      </c>
      <c r="G975" t="s">
        <v>1405</v>
      </c>
      <c r="H975" t="s">
        <v>1335</v>
      </c>
      <c r="I975" s="88" t="str">
        <f>VLOOKUP(A975,Base!A:B,2,0)</f>
        <v>11.370.436-5</v>
      </c>
      <c r="J975" s="99" t="str">
        <f>VLOOKUP(A975,Base!A:F,6,0)</f>
        <v>LUIS HUMBERTO  MARDONES  ALVARADO</v>
      </c>
      <c r="K975" s="89" t="str">
        <f>IFERROR(IF(VLOOKUP(I975,Ingreso!K:P,6,0)=0,"Sin turtno ing",VLOOKUP(I975,Ingreso!K:P,6,0)),IF(F975&gt;0.25,IF(F975&lt;0.311805555555556,"Turno A",IF(F975&gt;0.3125,IF(F975&lt;0.354166666666667,"Turno C",IF(F975&gt;0.583333333333333,IF(F975&lt;0.625,"Turno B",IF(F975&gt;0.625694444444444,IF(F975&lt;0.8125,"Turno A",IF(F975&gt;0.875,IF(F975&lt;0.936805555555556,"Turno C",IF(F975&gt;0.9375,IF(F975&lt;0.979166666666667,"Turno B",""),"")),"")),"")),"")),"")),""))</f>
        <v>Sin turtno ing</v>
      </c>
      <c r="L975" s="91" t="e">
        <f t="shared" si="15"/>
        <v>#N/A</v>
      </c>
    </row>
    <row r="976" spans="1:12" s="40" customFormat="1">
      <c r="A976">
        <v>11370436</v>
      </c>
      <c r="B976" t="s">
        <v>586</v>
      </c>
      <c r="C976" t="s">
        <v>585</v>
      </c>
      <c r="D976" t="s">
        <v>132</v>
      </c>
      <c r="E976" t="s">
        <v>1441</v>
      </c>
      <c r="F976" s="78">
        <v>0.63436342592592598</v>
      </c>
      <c r="G976" t="s">
        <v>1406</v>
      </c>
      <c r="H976" t="s">
        <v>1336</v>
      </c>
      <c r="I976" s="88" t="str">
        <f>VLOOKUP(A976,Base!A:B,2,0)</f>
        <v>11.370.436-5</v>
      </c>
      <c r="J976" s="99" t="str">
        <f>VLOOKUP(A976,Base!A:F,6,0)</f>
        <v>LUIS HUMBERTO  MARDONES  ALVARADO</v>
      </c>
      <c r="K976" s="89" t="str">
        <f>IFERROR(IF(VLOOKUP(I976,Ingreso!K:P,6,0)=0,"Sin turtno ing",VLOOKUP(I976,Ingreso!K:P,6,0)),IF(F976&gt;0.25,IF(F976&lt;0.311805555555556,"Turno A",IF(F976&gt;0.3125,IF(F976&lt;0.354166666666667,"Turno C",IF(F976&gt;0.583333333333333,IF(F976&lt;0.625,"Turno B",IF(F976&gt;0.625694444444444,IF(F976&lt;0.8125,"Turno A",IF(F976&gt;0.875,IF(F976&lt;0.936805555555556,"Turno C",IF(F976&gt;0.9375,IF(F976&lt;0.979166666666667,"Turno B",""),"")),"")),"")),"")),"")),""))</f>
        <v>Sin turtno ing</v>
      </c>
      <c r="L976" s="91" t="e">
        <f t="shared" si="15"/>
        <v>#N/A</v>
      </c>
    </row>
    <row r="977" spans="1:12" s="40" customFormat="1">
      <c r="A977">
        <v>11370436</v>
      </c>
      <c r="B977" t="s">
        <v>586</v>
      </c>
      <c r="C977" t="s">
        <v>585</v>
      </c>
      <c r="D977" t="s">
        <v>132</v>
      </c>
      <c r="E977" t="s">
        <v>1441</v>
      </c>
      <c r="F977" s="78">
        <v>0.29332175925925924</v>
      </c>
      <c r="G977" t="s">
        <v>1405</v>
      </c>
      <c r="H977" t="s">
        <v>1335</v>
      </c>
      <c r="I977" s="88" t="str">
        <f>VLOOKUP(A977,Base!A:B,2,0)</f>
        <v>11.370.436-5</v>
      </c>
      <c r="J977" s="99" t="str">
        <f>VLOOKUP(A977,Base!A:F,6,0)</f>
        <v>LUIS HUMBERTO  MARDONES  ALVARADO</v>
      </c>
      <c r="K977" s="89" t="str">
        <f>IFERROR(IF(VLOOKUP(I977,Ingreso!K:P,6,0)=0,"Sin turtno ing",VLOOKUP(I977,Ingreso!K:P,6,0)),IF(F977&gt;0.25,IF(F977&lt;0.311805555555556,"Turno A",IF(F977&gt;0.3125,IF(F977&lt;0.354166666666667,"Turno C",IF(F977&gt;0.583333333333333,IF(F977&lt;0.625,"Turno B",IF(F977&gt;0.625694444444444,IF(F977&lt;0.8125,"Turno A",IF(F977&gt;0.875,IF(F977&lt;0.936805555555556,"Turno C",IF(F977&gt;0.9375,IF(F977&lt;0.979166666666667,"Turno B",""),"")),"")),"")),"")),"")),""))</f>
        <v>Sin turtno ing</v>
      </c>
      <c r="L977" s="91" t="e">
        <f t="shared" si="15"/>
        <v>#N/A</v>
      </c>
    </row>
    <row r="978" spans="1:12" s="40" customFormat="1">
      <c r="A978">
        <v>11370436</v>
      </c>
      <c r="B978" t="s">
        <v>586</v>
      </c>
      <c r="C978" t="s">
        <v>585</v>
      </c>
      <c r="D978" t="s">
        <v>132</v>
      </c>
      <c r="E978" t="s">
        <v>1437</v>
      </c>
      <c r="F978" s="78">
        <v>0.63359953703703698</v>
      </c>
      <c r="G978" t="s">
        <v>1406</v>
      </c>
      <c r="H978" t="s">
        <v>1336</v>
      </c>
      <c r="I978" s="88" t="str">
        <f>VLOOKUP(A978,Base!A:B,2,0)</f>
        <v>11.370.436-5</v>
      </c>
      <c r="J978" s="99" t="str">
        <f>VLOOKUP(A978,Base!A:F,6,0)</f>
        <v>LUIS HUMBERTO  MARDONES  ALVARADO</v>
      </c>
      <c r="K978" s="89" t="str">
        <f>IFERROR(IF(VLOOKUP(I978,Ingreso!K:P,6,0)=0,"Sin turtno ing",VLOOKUP(I978,Ingreso!K:P,6,0)),IF(F978&gt;0.25,IF(F978&lt;0.311805555555556,"Turno A",IF(F978&gt;0.3125,IF(F978&lt;0.354166666666667,"Turno C",IF(F978&gt;0.583333333333333,IF(F978&lt;0.625,"Turno B",IF(F978&gt;0.625694444444444,IF(F978&lt;0.8125,"Turno A",IF(F978&gt;0.875,IF(F978&lt;0.936805555555556,"Turno C",IF(F978&gt;0.9375,IF(F978&lt;0.979166666666667,"Turno B",""),"")),"")),"")),"")),"")),""))</f>
        <v>Sin turtno ing</v>
      </c>
      <c r="L978" s="91" t="e">
        <f t="shared" si="15"/>
        <v>#N/A</v>
      </c>
    </row>
    <row r="979" spans="1:12" s="40" customFormat="1">
      <c r="A979">
        <v>11370436</v>
      </c>
      <c r="B979" t="s">
        <v>586</v>
      </c>
      <c r="C979" t="s">
        <v>585</v>
      </c>
      <c r="D979" t="s">
        <v>132</v>
      </c>
      <c r="E979" t="s">
        <v>1437</v>
      </c>
      <c r="F979" s="78">
        <v>0.2948958333333333</v>
      </c>
      <c r="G979" t="s">
        <v>1405</v>
      </c>
      <c r="H979" t="s">
        <v>1335</v>
      </c>
      <c r="I979" s="88" t="str">
        <f>VLOOKUP(A979,Base!A:B,2,0)</f>
        <v>11.370.436-5</v>
      </c>
      <c r="J979" s="99" t="str">
        <f>VLOOKUP(A979,Base!A:F,6,0)</f>
        <v>LUIS HUMBERTO  MARDONES  ALVARADO</v>
      </c>
      <c r="K979" s="89" t="str">
        <f>IFERROR(IF(VLOOKUP(I979,Ingreso!K:P,6,0)=0,"Sin turtno ing",VLOOKUP(I979,Ingreso!K:P,6,0)),IF(F979&gt;0.25,IF(F979&lt;0.311805555555556,"Turno A",IF(F979&gt;0.3125,IF(F979&lt;0.354166666666667,"Turno C",IF(F979&gt;0.583333333333333,IF(F979&lt;0.625,"Turno B",IF(F979&gt;0.625694444444444,IF(F979&lt;0.8125,"Turno A",IF(F979&gt;0.875,IF(F979&lt;0.936805555555556,"Turno C",IF(F979&gt;0.9375,IF(F979&lt;0.979166666666667,"Turno B",""),"")),"")),"")),"")),"")),""))</f>
        <v>Sin turtno ing</v>
      </c>
      <c r="L979" s="91" t="e">
        <f t="shared" si="15"/>
        <v>#N/A</v>
      </c>
    </row>
    <row r="980" spans="1:12" s="40" customFormat="1">
      <c r="A980">
        <v>11370436</v>
      </c>
      <c r="B980" t="s">
        <v>586</v>
      </c>
      <c r="C980" t="s">
        <v>585</v>
      </c>
      <c r="D980" t="s">
        <v>132</v>
      </c>
      <c r="E980" t="s">
        <v>1438</v>
      </c>
      <c r="F980" s="78">
        <v>0.63615740740740734</v>
      </c>
      <c r="G980" t="s">
        <v>1406</v>
      </c>
      <c r="H980" t="s">
        <v>1336</v>
      </c>
      <c r="I980" s="88" t="str">
        <f>VLOOKUP(A980,Base!A:B,2,0)</f>
        <v>11.370.436-5</v>
      </c>
      <c r="J980" s="99" t="str">
        <f>VLOOKUP(A980,Base!A:F,6,0)</f>
        <v>LUIS HUMBERTO  MARDONES  ALVARADO</v>
      </c>
      <c r="K980" s="89" t="str">
        <f>IFERROR(IF(VLOOKUP(I980,Ingreso!K:P,6,0)=0,"Sin turtno ing",VLOOKUP(I980,Ingreso!K:P,6,0)),IF(F980&gt;0.25,IF(F980&lt;0.311805555555556,"Turno A",IF(F980&gt;0.3125,IF(F980&lt;0.354166666666667,"Turno C",IF(F980&gt;0.583333333333333,IF(F980&lt;0.625,"Turno B",IF(F980&gt;0.625694444444444,IF(F980&lt;0.8125,"Turno A",IF(F980&gt;0.875,IF(F980&lt;0.936805555555556,"Turno C",IF(F980&gt;0.9375,IF(F980&lt;0.979166666666667,"Turno B",""),"")),"")),"")),"")),"")),""))</f>
        <v>Sin turtno ing</v>
      </c>
      <c r="L980" s="91" t="e">
        <f t="shared" si="15"/>
        <v>#N/A</v>
      </c>
    </row>
    <row r="981" spans="1:12" s="40" customFormat="1">
      <c r="A981">
        <v>11370436</v>
      </c>
      <c r="B981" t="s">
        <v>586</v>
      </c>
      <c r="C981" t="s">
        <v>585</v>
      </c>
      <c r="D981" t="s">
        <v>132</v>
      </c>
      <c r="E981" t="s">
        <v>1438</v>
      </c>
      <c r="F981" s="78">
        <v>0.29302083333333334</v>
      </c>
      <c r="G981" t="s">
        <v>1405</v>
      </c>
      <c r="H981" t="s">
        <v>1335</v>
      </c>
      <c r="I981" s="88" t="str">
        <f>VLOOKUP(A981,Base!A:B,2,0)</f>
        <v>11.370.436-5</v>
      </c>
      <c r="J981" s="99" t="str">
        <f>VLOOKUP(A981,Base!A:F,6,0)</f>
        <v>LUIS HUMBERTO  MARDONES  ALVARADO</v>
      </c>
      <c r="K981" s="89" t="str">
        <f>IFERROR(IF(VLOOKUP(I981,Ingreso!K:P,6,0)=0,"Sin turtno ing",VLOOKUP(I981,Ingreso!K:P,6,0)),IF(F981&gt;0.25,IF(F981&lt;0.311805555555556,"Turno A",IF(F981&gt;0.3125,IF(F981&lt;0.354166666666667,"Turno C",IF(F981&gt;0.583333333333333,IF(F981&lt;0.625,"Turno B",IF(F981&gt;0.625694444444444,IF(F981&lt;0.8125,"Turno A",IF(F981&gt;0.875,IF(F981&lt;0.936805555555556,"Turno C",IF(F981&gt;0.9375,IF(F981&lt;0.979166666666667,"Turno B",""),"")),"")),"")),"")),"")),""))</f>
        <v>Sin turtno ing</v>
      </c>
      <c r="L981" s="91" t="e">
        <f t="shared" si="15"/>
        <v>#N/A</v>
      </c>
    </row>
    <row r="982" spans="1:12" s="40" customFormat="1">
      <c r="A982">
        <v>11370436</v>
      </c>
      <c r="B982" t="s">
        <v>586</v>
      </c>
      <c r="C982" t="s">
        <v>585</v>
      </c>
      <c r="D982" t="s">
        <v>132</v>
      </c>
      <c r="E982" t="s">
        <v>1439</v>
      </c>
      <c r="F982" s="78">
        <v>0.6401041666666667</v>
      </c>
      <c r="G982" t="s">
        <v>1406</v>
      </c>
      <c r="H982" t="s">
        <v>1336</v>
      </c>
      <c r="I982" s="88" t="str">
        <f>VLOOKUP(A982,Base!A:B,2,0)</f>
        <v>11.370.436-5</v>
      </c>
      <c r="J982" s="99" t="str">
        <f>VLOOKUP(A982,Base!A:F,6,0)</f>
        <v>LUIS HUMBERTO  MARDONES  ALVARADO</v>
      </c>
      <c r="K982" s="89" t="str">
        <f>IFERROR(IF(VLOOKUP(I982,Ingreso!K:P,6,0)=0,"Sin turtno ing",VLOOKUP(I982,Ingreso!K:P,6,0)),IF(F982&gt;0.25,IF(F982&lt;0.311805555555556,"Turno A",IF(F982&gt;0.3125,IF(F982&lt;0.354166666666667,"Turno C",IF(F982&gt;0.583333333333333,IF(F982&lt;0.625,"Turno B",IF(F982&gt;0.625694444444444,IF(F982&lt;0.8125,"Turno A",IF(F982&gt;0.875,IF(F982&lt;0.936805555555556,"Turno C",IF(F982&gt;0.9375,IF(F982&lt;0.979166666666667,"Turno B",""),"")),"")),"")),"")),"")),""))</f>
        <v>Sin turtno ing</v>
      </c>
      <c r="L982" s="91" t="e">
        <f t="shared" si="15"/>
        <v>#N/A</v>
      </c>
    </row>
    <row r="983" spans="1:12" s="40" customFormat="1">
      <c r="A983">
        <v>11370436</v>
      </c>
      <c r="B983" t="s">
        <v>586</v>
      </c>
      <c r="C983" t="s">
        <v>585</v>
      </c>
      <c r="D983" t="s">
        <v>132</v>
      </c>
      <c r="E983" t="s">
        <v>1439</v>
      </c>
      <c r="F983" s="78">
        <v>0.29175925925925927</v>
      </c>
      <c r="G983" t="s">
        <v>1405</v>
      </c>
      <c r="H983" t="s">
        <v>1335</v>
      </c>
      <c r="I983" s="88" t="str">
        <f>VLOOKUP(A983,Base!A:B,2,0)</f>
        <v>11.370.436-5</v>
      </c>
      <c r="J983" s="99" t="str">
        <f>VLOOKUP(A983,Base!A:F,6,0)</f>
        <v>LUIS HUMBERTO  MARDONES  ALVARADO</v>
      </c>
      <c r="K983" s="89" t="str">
        <f>IFERROR(IF(VLOOKUP(I983,Ingreso!K:P,6,0)=0,"Sin turtno ing",VLOOKUP(I983,Ingreso!K:P,6,0)),IF(F983&gt;0.25,IF(F983&lt;0.311805555555556,"Turno A",IF(F983&gt;0.3125,IF(F983&lt;0.354166666666667,"Turno C",IF(F983&gt;0.583333333333333,IF(F983&lt;0.625,"Turno B",IF(F983&gt;0.625694444444444,IF(F983&lt;0.8125,"Turno A",IF(F983&gt;0.875,IF(F983&lt;0.936805555555556,"Turno C",IF(F983&gt;0.9375,IF(F983&lt;0.979166666666667,"Turno B",""),"")),"")),"")),"")),"")),""))</f>
        <v>Sin turtno ing</v>
      </c>
      <c r="L983" s="91" t="e">
        <f t="shared" si="15"/>
        <v>#N/A</v>
      </c>
    </row>
    <row r="984" spans="1:12" s="40" customFormat="1">
      <c r="A984">
        <v>11394356</v>
      </c>
      <c r="B984" t="s">
        <v>323</v>
      </c>
      <c r="C984" t="s">
        <v>179</v>
      </c>
      <c r="D984" t="s">
        <v>33</v>
      </c>
      <c r="E984" t="s">
        <v>1440</v>
      </c>
      <c r="F984" s="78">
        <v>0.6508680555555556</v>
      </c>
      <c r="G984" t="s">
        <v>1406</v>
      </c>
      <c r="H984" t="s">
        <v>1336</v>
      </c>
      <c r="I984" s="88" t="str">
        <f>VLOOKUP(A984,Base!A:B,2,0)</f>
        <v>11.394.356-4</v>
      </c>
      <c r="J984" s="99" t="str">
        <f>VLOOKUP(A984,Base!A:F,6,0)</f>
        <v>ANGELICA VICTORIA  DIAZ  MUÑOZ</v>
      </c>
      <c r="K984" s="89" t="str">
        <f>IFERROR(IF(VLOOKUP(I984,Ingreso!K:P,6,0)=0,"Sin turtno ing",VLOOKUP(I984,Ingreso!K:P,6,0)),IF(F984&gt;0.25,IF(F984&lt;0.311805555555556,"Turno A",IF(F984&gt;0.3125,IF(F984&lt;0.354166666666667,"Turno C",IF(F984&gt;0.583333333333333,IF(F984&lt;0.625,"Turno B",IF(F984&gt;0.625694444444444,IF(F984&lt;0.8125,"Turno A",IF(F984&gt;0.875,IF(F984&lt;0.936805555555556,"Turno C",IF(F984&gt;0.9375,IF(F984&lt;0.979166666666667,"Turno B",""),"")),"")),"")),"")),"")),""))</f>
        <v>Turno A</v>
      </c>
      <c r="L984" s="91">
        <f t="shared" si="15"/>
        <v>0.3125</v>
      </c>
    </row>
    <row r="985" spans="1:12" s="40" customFormat="1">
      <c r="A985">
        <v>11394356</v>
      </c>
      <c r="B985" t="s">
        <v>323</v>
      </c>
      <c r="C985" t="s">
        <v>179</v>
      </c>
      <c r="D985" t="s">
        <v>33</v>
      </c>
      <c r="E985" t="s">
        <v>1440</v>
      </c>
      <c r="F985" s="78">
        <v>0.29343750000000002</v>
      </c>
      <c r="G985" t="s">
        <v>1405</v>
      </c>
      <c r="H985" t="s">
        <v>1335</v>
      </c>
      <c r="I985" s="88" t="str">
        <f>VLOOKUP(A985,Base!A:B,2,0)</f>
        <v>11.394.356-4</v>
      </c>
      <c r="J985" s="99" t="str">
        <f>VLOOKUP(A985,Base!A:F,6,0)</f>
        <v>ANGELICA VICTORIA  DIAZ  MUÑOZ</v>
      </c>
      <c r="K985" s="89" t="str">
        <f>IFERROR(IF(VLOOKUP(I985,Ingreso!K:P,6,0)=0,"Sin turtno ing",VLOOKUP(I985,Ingreso!K:P,6,0)),IF(F985&gt;0.25,IF(F985&lt;0.311805555555556,"Turno A",IF(F985&gt;0.3125,IF(F985&lt;0.354166666666667,"Turno C",IF(F985&gt;0.583333333333333,IF(F985&lt;0.625,"Turno B",IF(F985&gt;0.625694444444444,IF(F985&lt;0.8125,"Turno A",IF(F985&gt;0.875,IF(F985&lt;0.936805555555556,"Turno C",IF(F985&gt;0.9375,IF(F985&lt;0.979166666666667,"Turno B",""),"")),"")),"")),"")),"")),""))</f>
        <v>Turno A</v>
      </c>
      <c r="L985" s="91">
        <f t="shared" si="15"/>
        <v>0.3125</v>
      </c>
    </row>
    <row r="986" spans="1:12" s="40" customFormat="1">
      <c r="A986">
        <v>11394356</v>
      </c>
      <c r="B986" t="s">
        <v>323</v>
      </c>
      <c r="C986" t="s">
        <v>179</v>
      </c>
      <c r="D986" t="s">
        <v>33</v>
      </c>
      <c r="E986" t="s">
        <v>1441</v>
      </c>
      <c r="F986" s="78">
        <v>0.6371296296296296</v>
      </c>
      <c r="G986" t="s">
        <v>1406</v>
      </c>
      <c r="H986" t="s">
        <v>1336</v>
      </c>
      <c r="I986" s="88" t="str">
        <f>VLOOKUP(A986,Base!A:B,2,0)</f>
        <v>11.394.356-4</v>
      </c>
      <c r="J986" s="99" t="str">
        <f>VLOOKUP(A986,Base!A:F,6,0)</f>
        <v>ANGELICA VICTORIA  DIAZ  MUÑOZ</v>
      </c>
      <c r="K986" s="89" t="str">
        <f>IFERROR(IF(VLOOKUP(I986,Ingreso!K:P,6,0)=0,"Sin turtno ing",VLOOKUP(I986,Ingreso!K:P,6,0)),IF(F986&gt;0.25,IF(F986&lt;0.311805555555556,"Turno A",IF(F986&gt;0.3125,IF(F986&lt;0.354166666666667,"Turno C",IF(F986&gt;0.583333333333333,IF(F986&lt;0.625,"Turno B",IF(F986&gt;0.625694444444444,IF(F986&lt;0.8125,"Turno A",IF(F986&gt;0.875,IF(F986&lt;0.936805555555556,"Turno C",IF(F986&gt;0.9375,IF(F986&lt;0.979166666666667,"Turno B",""),"")),"")),"")),"")),"")),""))</f>
        <v>Turno A</v>
      </c>
      <c r="L986" s="91">
        <f t="shared" si="15"/>
        <v>0.3125</v>
      </c>
    </row>
    <row r="987" spans="1:12" s="40" customFormat="1">
      <c r="A987">
        <v>11394356</v>
      </c>
      <c r="B987" t="s">
        <v>323</v>
      </c>
      <c r="C987" t="s">
        <v>179</v>
      </c>
      <c r="D987" t="s">
        <v>33</v>
      </c>
      <c r="E987" t="s">
        <v>1441</v>
      </c>
      <c r="F987" s="78">
        <v>0.29182870370370367</v>
      </c>
      <c r="G987" t="s">
        <v>1405</v>
      </c>
      <c r="H987" t="s">
        <v>1335</v>
      </c>
      <c r="I987" s="88" t="str">
        <f>VLOOKUP(A987,Base!A:B,2,0)</f>
        <v>11.394.356-4</v>
      </c>
      <c r="J987" s="99" t="str">
        <f>VLOOKUP(A987,Base!A:F,6,0)</f>
        <v>ANGELICA VICTORIA  DIAZ  MUÑOZ</v>
      </c>
      <c r="K987" s="89" t="str">
        <f>IFERROR(IF(VLOOKUP(I987,Ingreso!K:P,6,0)=0,"Sin turtno ing",VLOOKUP(I987,Ingreso!K:P,6,0)),IF(F987&gt;0.25,IF(F987&lt;0.311805555555556,"Turno A",IF(F987&gt;0.3125,IF(F987&lt;0.354166666666667,"Turno C",IF(F987&gt;0.583333333333333,IF(F987&lt;0.625,"Turno B",IF(F987&gt;0.625694444444444,IF(F987&lt;0.8125,"Turno A",IF(F987&gt;0.875,IF(F987&lt;0.936805555555556,"Turno C",IF(F987&gt;0.9375,IF(F987&lt;0.979166666666667,"Turno B",""),"")),"")),"")),"")),"")),""))</f>
        <v>Turno A</v>
      </c>
      <c r="L987" s="91">
        <f t="shared" si="15"/>
        <v>0.3125</v>
      </c>
    </row>
    <row r="988" spans="1:12" s="40" customFormat="1">
      <c r="A988">
        <v>11394356</v>
      </c>
      <c r="B988" t="s">
        <v>323</v>
      </c>
      <c r="C988" t="s">
        <v>179</v>
      </c>
      <c r="D988" t="s">
        <v>33</v>
      </c>
      <c r="E988" t="s">
        <v>1437</v>
      </c>
      <c r="F988" s="78">
        <v>0.63534722222222217</v>
      </c>
      <c r="G988" t="s">
        <v>1406</v>
      </c>
      <c r="H988" t="s">
        <v>1336</v>
      </c>
      <c r="I988" s="88" t="str">
        <f>VLOOKUP(A988,Base!A:B,2,0)</f>
        <v>11.394.356-4</v>
      </c>
      <c r="J988" s="99" t="str">
        <f>VLOOKUP(A988,Base!A:F,6,0)</f>
        <v>ANGELICA VICTORIA  DIAZ  MUÑOZ</v>
      </c>
      <c r="K988" s="89" t="str">
        <f>IFERROR(IF(VLOOKUP(I988,Ingreso!K:P,6,0)=0,"Sin turtno ing",VLOOKUP(I988,Ingreso!K:P,6,0)),IF(F988&gt;0.25,IF(F988&lt;0.311805555555556,"Turno A",IF(F988&gt;0.3125,IF(F988&lt;0.354166666666667,"Turno C",IF(F988&gt;0.583333333333333,IF(F988&lt;0.625,"Turno B",IF(F988&gt;0.625694444444444,IF(F988&lt;0.8125,"Turno A",IF(F988&gt;0.875,IF(F988&lt;0.936805555555556,"Turno C",IF(F988&gt;0.9375,IF(F988&lt;0.979166666666667,"Turno B",""),"")),"")),"")),"")),"")),""))</f>
        <v>Turno A</v>
      </c>
      <c r="L988" s="91">
        <f t="shared" si="15"/>
        <v>0.3125</v>
      </c>
    </row>
    <row r="989" spans="1:12" s="40" customFormat="1">
      <c r="A989">
        <v>11394356</v>
      </c>
      <c r="B989" t="s">
        <v>323</v>
      </c>
      <c r="C989" t="s">
        <v>179</v>
      </c>
      <c r="D989" t="s">
        <v>33</v>
      </c>
      <c r="E989" t="s">
        <v>1437</v>
      </c>
      <c r="F989" s="78">
        <v>0.3066550925925926</v>
      </c>
      <c r="G989" t="s">
        <v>1405</v>
      </c>
      <c r="H989" t="s">
        <v>1335</v>
      </c>
      <c r="I989" s="88" t="str">
        <f>VLOOKUP(A989,Base!A:B,2,0)</f>
        <v>11.394.356-4</v>
      </c>
      <c r="J989" s="99" t="str">
        <f>VLOOKUP(A989,Base!A:F,6,0)</f>
        <v>ANGELICA VICTORIA  DIAZ  MUÑOZ</v>
      </c>
      <c r="K989" s="89" t="str">
        <f>IFERROR(IF(VLOOKUP(I989,Ingreso!K:P,6,0)=0,"Sin turtno ing",VLOOKUP(I989,Ingreso!K:P,6,0)),IF(F989&gt;0.25,IF(F989&lt;0.311805555555556,"Turno A",IF(F989&gt;0.3125,IF(F989&lt;0.354166666666667,"Turno C",IF(F989&gt;0.583333333333333,IF(F989&lt;0.625,"Turno B",IF(F989&gt;0.625694444444444,IF(F989&lt;0.8125,"Turno A",IF(F989&gt;0.875,IF(F989&lt;0.936805555555556,"Turno C",IF(F989&gt;0.9375,IF(F989&lt;0.979166666666667,"Turno B",""),"")),"")),"")),"")),"")),""))</f>
        <v>Turno A</v>
      </c>
      <c r="L989" s="91">
        <f t="shared" si="15"/>
        <v>0.3125</v>
      </c>
    </row>
    <row r="990" spans="1:12" s="40" customFormat="1">
      <c r="A990">
        <v>11394356</v>
      </c>
      <c r="B990" t="s">
        <v>323</v>
      </c>
      <c r="C990" t="s">
        <v>179</v>
      </c>
      <c r="D990" t="s">
        <v>33</v>
      </c>
      <c r="E990" t="s">
        <v>1438</v>
      </c>
      <c r="F990" s="78">
        <v>0.63721064814814821</v>
      </c>
      <c r="G990" t="s">
        <v>1406</v>
      </c>
      <c r="H990" t="s">
        <v>1336</v>
      </c>
      <c r="I990" s="88" t="str">
        <f>VLOOKUP(A990,Base!A:B,2,0)</f>
        <v>11.394.356-4</v>
      </c>
      <c r="J990" s="99" t="str">
        <f>VLOOKUP(A990,Base!A:F,6,0)</f>
        <v>ANGELICA VICTORIA  DIAZ  MUÑOZ</v>
      </c>
      <c r="K990" s="89" t="str">
        <f>IFERROR(IF(VLOOKUP(I990,Ingreso!K:P,6,0)=0,"Sin turtno ing",VLOOKUP(I990,Ingreso!K:P,6,0)),IF(F990&gt;0.25,IF(F990&lt;0.311805555555556,"Turno A",IF(F990&gt;0.3125,IF(F990&lt;0.354166666666667,"Turno C",IF(F990&gt;0.583333333333333,IF(F990&lt;0.625,"Turno B",IF(F990&gt;0.625694444444444,IF(F990&lt;0.8125,"Turno A",IF(F990&gt;0.875,IF(F990&lt;0.936805555555556,"Turno C",IF(F990&gt;0.9375,IF(F990&lt;0.979166666666667,"Turno B",""),"")),"")),"")),"")),"")),""))</f>
        <v>Turno A</v>
      </c>
      <c r="L990" s="91">
        <f t="shared" si="15"/>
        <v>0.3125</v>
      </c>
    </row>
    <row r="991" spans="1:12" s="40" customFormat="1">
      <c r="A991">
        <v>11394356</v>
      </c>
      <c r="B991" t="s">
        <v>323</v>
      </c>
      <c r="C991" t="s">
        <v>179</v>
      </c>
      <c r="D991" t="s">
        <v>33</v>
      </c>
      <c r="E991" t="s">
        <v>1438</v>
      </c>
      <c r="F991" s="78">
        <v>0.29175925925925927</v>
      </c>
      <c r="G991" t="s">
        <v>1405</v>
      </c>
      <c r="H991" t="s">
        <v>1335</v>
      </c>
      <c r="I991" s="88" t="str">
        <f>VLOOKUP(A991,Base!A:B,2,0)</f>
        <v>11.394.356-4</v>
      </c>
      <c r="J991" s="99" t="str">
        <f>VLOOKUP(A991,Base!A:F,6,0)</f>
        <v>ANGELICA VICTORIA  DIAZ  MUÑOZ</v>
      </c>
      <c r="K991" s="89" t="str">
        <f>IFERROR(IF(VLOOKUP(I991,Ingreso!K:P,6,0)=0,"Sin turtno ing",VLOOKUP(I991,Ingreso!K:P,6,0)),IF(F991&gt;0.25,IF(F991&lt;0.311805555555556,"Turno A",IF(F991&gt;0.3125,IF(F991&lt;0.354166666666667,"Turno C",IF(F991&gt;0.583333333333333,IF(F991&lt;0.625,"Turno B",IF(F991&gt;0.625694444444444,IF(F991&lt;0.8125,"Turno A",IF(F991&gt;0.875,IF(F991&lt;0.936805555555556,"Turno C",IF(F991&gt;0.9375,IF(F991&lt;0.979166666666667,"Turno B",""),"")),"")),"")),"")),"")),""))</f>
        <v>Turno A</v>
      </c>
      <c r="L991" s="91">
        <f t="shared" si="15"/>
        <v>0.3125</v>
      </c>
    </row>
    <row r="992" spans="1:12" s="40" customFormat="1">
      <c r="A992">
        <v>11394356</v>
      </c>
      <c r="B992" t="s">
        <v>323</v>
      </c>
      <c r="C992" t="s">
        <v>179</v>
      </c>
      <c r="D992" t="s">
        <v>33</v>
      </c>
      <c r="E992" t="s">
        <v>1439</v>
      </c>
      <c r="F992" s="78">
        <v>0.64021990740740742</v>
      </c>
      <c r="G992" t="s">
        <v>1406</v>
      </c>
      <c r="H992" t="s">
        <v>1336</v>
      </c>
      <c r="I992" s="88" t="str">
        <f>VLOOKUP(A992,Base!A:B,2,0)</f>
        <v>11.394.356-4</v>
      </c>
      <c r="J992" s="99" t="str">
        <f>VLOOKUP(A992,Base!A:F,6,0)</f>
        <v>ANGELICA VICTORIA  DIAZ  MUÑOZ</v>
      </c>
      <c r="K992" s="89" t="str">
        <f>IFERROR(IF(VLOOKUP(I992,Ingreso!K:P,6,0)=0,"Sin turtno ing",VLOOKUP(I992,Ingreso!K:P,6,0)),IF(F992&gt;0.25,IF(F992&lt;0.311805555555556,"Turno A",IF(F992&gt;0.3125,IF(F992&lt;0.354166666666667,"Turno C",IF(F992&gt;0.583333333333333,IF(F992&lt;0.625,"Turno B",IF(F992&gt;0.625694444444444,IF(F992&lt;0.8125,"Turno A",IF(F992&gt;0.875,IF(F992&lt;0.936805555555556,"Turno C",IF(F992&gt;0.9375,IF(F992&lt;0.979166666666667,"Turno B",""),"")),"")),"")),"")),"")),""))</f>
        <v>Turno A</v>
      </c>
      <c r="L992" s="91">
        <f t="shared" si="15"/>
        <v>0.3125</v>
      </c>
    </row>
    <row r="993" spans="1:12" s="40" customFormat="1">
      <c r="A993">
        <v>11394356</v>
      </c>
      <c r="B993" t="s">
        <v>323</v>
      </c>
      <c r="C993" t="s">
        <v>179</v>
      </c>
      <c r="D993" t="s">
        <v>33</v>
      </c>
      <c r="E993" t="s">
        <v>1439</v>
      </c>
      <c r="F993" s="78">
        <v>0.29157407407407404</v>
      </c>
      <c r="G993" t="s">
        <v>1405</v>
      </c>
      <c r="H993" t="s">
        <v>1335</v>
      </c>
      <c r="I993" s="88" t="str">
        <f>VLOOKUP(A993,Base!A:B,2,0)</f>
        <v>11.394.356-4</v>
      </c>
      <c r="J993" s="99" t="str">
        <f>VLOOKUP(A993,Base!A:F,6,0)</f>
        <v>ANGELICA VICTORIA  DIAZ  MUÑOZ</v>
      </c>
      <c r="K993" s="89" t="str">
        <f>IFERROR(IF(VLOOKUP(I993,Ingreso!K:P,6,0)=0,"Sin turtno ing",VLOOKUP(I993,Ingreso!K:P,6,0)),IF(F993&gt;0.25,IF(F993&lt;0.311805555555556,"Turno A",IF(F993&gt;0.3125,IF(F993&lt;0.354166666666667,"Turno C",IF(F993&gt;0.583333333333333,IF(F993&lt;0.625,"Turno B",IF(F993&gt;0.625694444444444,IF(F993&lt;0.8125,"Turno A",IF(F993&gt;0.875,IF(F993&lt;0.936805555555556,"Turno C",IF(F993&gt;0.9375,IF(F993&lt;0.979166666666667,"Turno B",""),"")),"")),"")),"")),"")),""))</f>
        <v>Turno A</v>
      </c>
      <c r="L993" s="91">
        <f t="shared" si="15"/>
        <v>0.3125</v>
      </c>
    </row>
    <row r="994" spans="1:12" s="40" customFormat="1">
      <c r="A994">
        <v>11476853</v>
      </c>
      <c r="B994" t="s">
        <v>908</v>
      </c>
      <c r="C994" t="s">
        <v>700</v>
      </c>
      <c r="D994" t="s">
        <v>907</v>
      </c>
      <c r="E994" t="s">
        <v>1407</v>
      </c>
      <c r="F994" s="78">
        <v>0</v>
      </c>
      <c r="G994"/>
      <c r="H994"/>
      <c r="I994" s="88" t="str">
        <f>VLOOKUP(A994,Base!A:B,2,0)</f>
        <v>11.476.853-7</v>
      </c>
      <c r="J994" s="99" t="str">
        <f>VLOOKUP(A994,Base!A:F,6,0)</f>
        <v>ALEJANDRA  RIVERA  PANES</v>
      </c>
      <c r="K994" s="89" t="str">
        <f>IFERROR(IF(VLOOKUP(I994,Ingreso!K:P,6,0)=0,"Sin turtno ing",VLOOKUP(I994,Ingreso!K:P,6,0)),IF(F994&gt;0.25,IF(F994&lt;0.311805555555556,"Turno A",IF(F994&gt;0.3125,IF(F994&lt;0.354166666666667,"Turno C",IF(F994&gt;0.583333333333333,IF(F994&lt;0.625,"Turno B",IF(F994&gt;0.625694444444444,IF(F994&lt;0.8125,"Turno A",IF(F994&gt;0.875,IF(F994&lt;0.936805555555556,"Turno C",IF(F994&gt;0.9375,IF(F994&lt;0.979166666666667,"Turno B",""),"")),"")),"")),"")),"")),""))</f>
        <v/>
      </c>
      <c r="L994" s="91" t="e">
        <f t="shared" si="15"/>
        <v>#N/A</v>
      </c>
    </row>
    <row r="995" spans="1:12" s="40" customFormat="1">
      <c r="A995">
        <v>11523492</v>
      </c>
      <c r="B995" t="s">
        <v>274</v>
      </c>
      <c r="C995" t="s">
        <v>267</v>
      </c>
      <c r="D995" t="s">
        <v>197</v>
      </c>
      <c r="E995" t="s">
        <v>1440</v>
      </c>
      <c r="F995" s="78">
        <v>0.64123842592592595</v>
      </c>
      <c r="G995" t="s">
        <v>1406</v>
      </c>
      <c r="H995" t="s">
        <v>1336</v>
      </c>
      <c r="I995" s="88" t="str">
        <f>VLOOKUP(A995,Base!A:B,2,0)</f>
        <v>11.523.492-7</v>
      </c>
      <c r="J995" s="99" t="str">
        <f>VLOOKUP(A995,Base!A:F,6,0)</f>
        <v>CLAUDIO  CORTES  ULLOA</v>
      </c>
      <c r="K995" s="89" t="str">
        <f>IFERROR(IF(VLOOKUP(I995,Ingreso!K:P,6,0)=0,"Sin turtno ing",VLOOKUP(I995,Ingreso!K:P,6,0)),IF(F995&gt;0.25,IF(F995&lt;0.311805555555556,"Turno A",IF(F995&gt;0.3125,IF(F995&lt;0.354166666666667,"Turno C",IF(F995&gt;0.583333333333333,IF(F995&lt;0.625,"Turno B",IF(F995&gt;0.625694444444444,IF(F995&lt;0.8125,"Turno A",IF(F995&gt;0.875,IF(F995&lt;0.936805555555556,"Turno C",IF(F995&gt;0.9375,IF(F995&lt;0.979166666666667,"Turno B",""),"")),"")),"")),"")),"")),""))</f>
        <v>Turno A</v>
      </c>
      <c r="L995" s="91">
        <f t="shared" si="15"/>
        <v>0.3125</v>
      </c>
    </row>
    <row r="996" spans="1:12" s="40" customFormat="1">
      <c r="A996">
        <v>11523492</v>
      </c>
      <c r="B996" t="s">
        <v>274</v>
      </c>
      <c r="C996" t="s">
        <v>267</v>
      </c>
      <c r="D996" t="s">
        <v>197</v>
      </c>
      <c r="E996" t="s">
        <v>1440</v>
      </c>
      <c r="F996" s="78">
        <v>0.29118055555555555</v>
      </c>
      <c r="G996" t="s">
        <v>1405</v>
      </c>
      <c r="H996" t="s">
        <v>1335</v>
      </c>
      <c r="I996" s="88" t="str">
        <f>VLOOKUP(A996,Base!A:B,2,0)</f>
        <v>11.523.492-7</v>
      </c>
      <c r="J996" s="99" t="str">
        <f>VLOOKUP(A996,Base!A:F,6,0)</f>
        <v>CLAUDIO  CORTES  ULLOA</v>
      </c>
      <c r="K996" s="89" t="str">
        <f>IFERROR(IF(VLOOKUP(I996,Ingreso!K:P,6,0)=0,"Sin turtno ing",VLOOKUP(I996,Ingreso!K:P,6,0)),IF(F996&gt;0.25,IF(F996&lt;0.311805555555556,"Turno A",IF(F996&gt;0.3125,IF(F996&lt;0.354166666666667,"Turno C",IF(F996&gt;0.583333333333333,IF(F996&lt;0.625,"Turno B",IF(F996&gt;0.625694444444444,IF(F996&lt;0.8125,"Turno A",IF(F996&gt;0.875,IF(F996&lt;0.936805555555556,"Turno C",IF(F996&gt;0.9375,IF(F996&lt;0.979166666666667,"Turno B",""),"")),"")),"")),"")),"")),""))</f>
        <v>Turno A</v>
      </c>
      <c r="L996" s="91">
        <f t="shared" si="15"/>
        <v>0.3125</v>
      </c>
    </row>
    <row r="997" spans="1:12" s="40" customFormat="1">
      <c r="A997">
        <v>11523492</v>
      </c>
      <c r="B997" t="s">
        <v>274</v>
      </c>
      <c r="C997" t="s">
        <v>267</v>
      </c>
      <c r="D997" t="s">
        <v>197</v>
      </c>
      <c r="E997" t="s">
        <v>1441</v>
      </c>
      <c r="F997" s="78">
        <v>0.63990740740740737</v>
      </c>
      <c r="G997" t="s">
        <v>1406</v>
      </c>
      <c r="H997" t="s">
        <v>1336</v>
      </c>
      <c r="I997" s="88" t="str">
        <f>VLOOKUP(A997,Base!A:B,2,0)</f>
        <v>11.523.492-7</v>
      </c>
      <c r="J997" s="99" t="str">
        <f>VLOOKUP(A997,Base!A:F,6,0)</f>
        <v>CLAUDIO  CORTES  ULLOA</v>
      </c>
      <c r="K997" s="89" t="str">
        <f>IFERROR(IF(VLOOKUP(I997,Ingreso!K:P,6,0)=0,"Sin turtno ing",VLOOKUP(I997,Ingreso!K:P,6,0)),IF(F997&gt;0.25,IF(F997&lt;0.311805555555556,"Turno A",IF(F997&gt;0.3125,IF(F997&lt;0.354166666666667,"Turno C",IF(F997&gt;0.583333333333333,IF(F997&lt;0.625,"Turno B",IF(F997&gt;0.625694444444444,IF(F997&lt;0.8125,"Turno A",IF(F997&gt;0.875,IF(F997&lt;0.936805555555556,"Turno C",IF(F997&gt;0.9375,IF(F997&lt;0.979166666666667,"Turno B",""),"")),"")),"")),"")),"")),""))</f>
        <v>Turno A</v>
      </c>
      <c r="L997" s="91">
        <f t="shared" si="15"/>
        <v>0.3125</v>
      </c>
    </row>
    <row r="998" spans="1:12" s="40" customFormat="1">
      <c r="A998">
        <v>11523492</v>
      </c>
      <c r="B998" t="s">
        <v>274</v>
      </c>
      <c r="C998" t="s">
        <v>267</v>
      </c>
      <c r="D998" t="s">
        <v>197</v>
      </c>
      <c r="E998" t="s">
        <v>1441</v>
      </c>
      <c r="F998" s="78">
        <v>0.28987268518518516</v>
      </c>
      <c r="G998" t="s">
        <v>1405</v>
      </c>
      <c r="H998" t="s">
        <v>1335</v>
      </c>
      <c r="I998" s="88" t="str">
        <f>VLOOKUP(A998,Base!A:B,2,0)</f>
        <v>11.523.492-7</v>
      </c>
      <c r="J998" s="99" t="str">
        <f>VLOOKUP(A998,Base!A:F,6,0)</f>
        <v>CLAUDIO  CORTES  ULLOA</v>
      </c>
      <c r="K998" s="89" t="str">
        <f>IFERROR(IF(VLOOKUP(I998,Ingreso!K:P,6,0)=0,"Sin turtno ing",VLOOKUP(I998,Ingreso!K:P,6,0)),IF(F998&gt;0.25,IF(F998&lt;0.311805555555556,"Turno A",IF(F998&gt;0.3125,IF(F998&lt;0.354166666666667,"Turno C",IF(F998&gt;0.583333333333333,IF(F998&lt;0.625,"Turno B",IF(F998&gt;0.625694444444444,IF(F998&lt;0.8125,"Turno A",IF(F998&gt;0.875,IF(F998&lt;0.936805555555556,"Turno C",IF(F998&gt;0.9375,IF(F998&lt;0.979166666666667,"Turno B",""),"")),"")),"")),"")),"")),""))</f>
        <v>Turno A</v>
      </c>
      <c r="L998" s="91">
        <f t="shared" si="15"/>
        <v>0.3125</v>
      </c>
    </row>
    <row r="999" spans="1:12" s="40" customFormat="1">
      <c r="A999">
        <v>11523492</v>
      </c>
      <c r="B999" t="s">
        <v>274</v>
      </c>
      <c r="C999" t="s">
        <v>267</v>
      </c>
      <c r="D999" t="s">
        <v>197</v>
      </c>
      <c r="E999" t="s">
        <v>1437</v>
      </c>
      <c r="F999" s="78">
        <v>0.63755787037037037</v>
      </c>
      <c r="G999" t="s">
        <v>1406</v>
      </c>
      <c r="H999" t="s">
        <v>1336</v>
      </c>
      <c r="I999" s="88" t="str">
        <f>VLOOKUP(A999,Base!A:B,2,0)</f>
        <v>11.523.492-7</v>
      </c>
      <c r="J999" s="99" t="str">
        <f>VLOOKUP(A999,Base!A:F,6,0)</f>
        <v>CLAUDIO  CORTES  ULLOA</v>
      </c>
      <c r="K999" s="89" t="str">
        <f>IFERROR(IF(VLOOKUP(I999,Ingreso!K:P,6,0)=0,"Sin turtno ing",VLOOKUP(I999,Ingreso!K:P,6,0)),IF(F999&gt;0.25,IF(F999&lt;0.311805555555556,"Turno A",IF(F999&gt;0.3125,IF(F999&lt;0.354166666666667,"Turno C",IF(F999&gt;0.583333333333333,IF(F999&lt;0.625,"Turno B",IF(F999&gt;0.625694444444444,IF(F999&lt;0.8125,"Turno A",IF(F999&gt;0.875,IF(F999&lt;0.936805555555556,"Turno C",IF(F999&gt;0.9375,IF(F999&lt;0.979166666666667,"Turno B",""),"")),"")),"")),"")),"")),""))</f>
        <v>Turno A</v>
      </c>
      <c r="L999" s="91">
        <f t="shared" si="15"/>
        <v>0.3125</v>
      </c>
    </row>
    <row r="1000" spans="1:12" s="40" customFormat="1">
      <c r="A1000">
        <v>11523492</v>
      </c>
      <c r="B1000" t="s">
        <v>274</v>
      </c>
      <c r="C1000" t="s">
        <v>267</v>
      </c>
      <c r="D1000" t="s">
        <v>197</v>
      </c>
      <c r="E1000" t="s">
        <v>1437</v>
      </c>
      <c r="F1000" s="78">
        <v>0.28974537037037035</v>
      </c>
      <c r="G1000" t="s">
        <v>1405</v>
      </c>
      <c r="H1000" t="s">
        <v>1335</v>
      </c>
      <c r="I1000" s="88" t="str">
        <f>VLOOKUP(A1000,Base!A:B,2,0)</f>
        <v>11.523.492-7</v>
      </c>
      <c r="J1000" s="99" t="str">
        <f>VLOOKUP(A1000,Base!A:F,6,0)</f>
        <v>CLAUDIO  CORTES  ULLOA</v>
      </c>
      <c r="K1000" s="89" t="str">
        <f>IFERROR(IF(VLOOKUP(I1000,Ingreso!K:P,6,0)=0,"Sin turtno ing",VLOOKUP(I1000,Ingreso!K:P,6,0)),IF(F1000&gt;0.25,IF(F1000&lt;0.311805555555556,"Turno A",IF(F1000&gt;0.3125,IF(F1000&lt;0.354166666666667,"Turno C",IF(F1000&gt;0.583333333333333,IF(F1000&lt;0.625,"Turno B",IF(F1000&gt;0.625694444444444,IF(F1000&lt;0.8125,"Turno A",IF(F1000&gt;0.875,IF(F1000&lt;0.936805555555556,"Turno C",IF(F1000&gt;0.9375,IF(F1000&lt;0.979166666666667,"Turno B",""),"")),"")),"")),"")),"")),""))</f>
        <v>Turno A</v>
      </c>
      <c r="L1000" s="91">
        <f t="shared" si="15"/>
        <v>0.3125</v>
      </c>
    </row>
    <row r="1001" spans="1:12" s="40" customFormat="1">
      <c r="A1001">
        <v>11523492</v>
      </c>
      <c r="B1001" t="s">
        <v>274</v>
      </c>
      <c r="C1001" t="s">
        <v>267</v>
      </c>
      <c r="D1001" t="s">
        <v>197</v>
      </c>
      <c r="E1001" t="s">
        <v>1438</v>
      </c>
      <c r="F1001" s="78">
        <v>0.63842592592592595</v>
      </c>
      <c r="G1001" t="s">
        <v>1406</v>
      </c>
      <c r="H1001" t="s">
        <v>1336</v>
      </c>
      <c r="I1001" s="88" t="str">
        <f>VLOOKUP(A1001,Base!A:B,2,0)</f>
        <v>11.523.492-7</v>
      </c>
      <c r="J1001" s="99" t="str">
        <f>VLOOKUP(A1001,Base!A:F,6,0)</f>
        <v>CLAUDIO  CORTES  ULLOA</v>
      </c>
      <c r="K1001" s="89" t="str">
        <f>IFERROR(IF(VLOOKUP(I1001,Ingreso!K:P,6,0)=0,"Sin turtno ing",VLOOKUP(I1001,Ingreso!K:P,6,0)),IF(F1001&gt;0.25,IF(F1001&lt;0.311805555555556,"Turno A",IF(F1001&gt;0.3125,IF(F1001&lt;0.354166666666667,"Turno C",IF(F1001&gt;0.583333333333333,IF(F1001&lt;0.625,"Turno B",IF(F1001&gt;0.625694444444444,IF(F1001&lt;0.8125,"Turno A",IF(F1001&gt;0.875,IF(F1001&lt;0.936805555555556,"Turno C",IF(F1001&gt;0.9375,IF(F1001&lt;0.979166666666667,"Turno B",""),"")),"")),"")),"")),"")),""))</f>
        <v>Turno A</v>
      </c>
      <c r="L1001" s="91">
        <f t="shared" si="15"/>
        <v>0.3125</v>
      </c>
    </row>
    <row r="1002" spans="1:12" s="40" customFormat="1">
      <c r="A1002">
        <v>11523492</v>
      </c>
      <c r="B1002" t="s">
        <v>274</v>
      </c>
      <c r="C1002" t="s">
        <v>267</v>
      </c>
      <c r="D1002" t="s">
        <v>197</v>
      </c>
      <c r="E1002" t="s">
        <v>1438</v>
      </c>
      <c r="F1002" s="78">
        <v>0.28865740740740742</v>
      </c>
      <c r="G1002" t="s">
        <v>1405</v>
      </c>
      <c r="H1002" t="s">
        <v>1335</v>
      </c>
      <c r="I1002" s="88" t="str">
        <f>VLOOKUP(A1002,Base!A:B,2,0)</f>
        <v>11.523.492-7</v>
      </c>
      <c r="J1002" s="99" t="str">
        <f>VLOOKUP(A1002,Base!A:F,6,0)</f>
        <v>CLAUDIO  CORTES  ULLOA</v>
      </c>
      <c r="K1002" s="89" t="str">
        <f>IFERROR(IF(VLOOKUP(I1002,Ingreso!K:P,6,0)=0,"Sin turtno ing",VLOOKUP(I1002,Ingreso!K:P,6,0)),IF(F1002&gt;0.25,IF(F1002&lt;0.311805555555556,"Turno A",IF(F1002&gt;0.3125,IF(F1002&lt;0.354166666666667,"Turno C",IF(F1002&gt;0.583333333333333,IF(F1002&lt;0.625,"Turno B",IF(F1002&gt;0.625694444444444,IF(F1002&lt;0.8125,"Turno A",IF(F1002&gt;0.875,IF(F1002&lt;0.936805555555556,"Turno C",IF(F1002&gt;0.9375,IF(F1002&lt;0.979166666666667,"Turno B",""),"")),"")),"")),"")),"")),""))</f>
        <v>Turno A</v>
      </c>
      <c r="L1002" s="91">
        <f t="shared" si="15"/>
        <v>0.3125</v>
      </c>
    </row>
    <row r="1003" spans="1:12" s="40" customFormat="1">
      <c r="A1003">
        <v>11523492</v>
      </c>
      <c r="B1003" t="s">
        <v>274</v>
      </c>
      <c r="C1003" t="s">
        <v>267</v>
      </c>
      <c r="D1003" t="s">
        <v>197</v>
      </c>
      <c r="E1003" t="s">
        <v>1439</v>
      </c>
      <c r="F1003" s="78">
        <v>0.63738425925925923</v>
      </c>
      <c r="G1003" t="s">
        <v>1406</v>
      </c>
      <c r="H1003" t="s">
        <v>1336</v>
      </c>
      <c r="I1003" s="88" t="str">
        <f>VLOOKUP(A1003,Base!A:B,2,0)</f>
        <v>11.523.492-7</v>
      </c>
      <c r="J1003" s="99" t="str">
        <f>VLOOKUP(A1003,Base!A:F,6,0)</f>
        <v>CLAUDIO  CORTES  ULLOA</v>
      </c>
      <c r="K1003" s="89" t="str">
        <f>IFERROR(IF(VLOOKUP(I1003,Ingreso!K:P,6,0)=0,"Sin turtno ing",VLOOKUP(I1003,Ingreso!K:P,6,0)),IF(F1003&gt;0.25,IF(F1003&lt;0.311805555555556,"Turno A",IF(F1003&gt;0.3125,IF(F1003&lt;0.354166666666667,"Turno C",IF(F1003&gt;0.583333333333333,IF(F1003&lt;0.625,"Turno B",IF(F1003&gt;0.625694444444444,IF(F1003&lt;0.8125,"Turno A",IF(F1003&gt;0.875,IF(F1003&lt;0.936805555555556,"Turno C",IF(F1003&gt;0.9375,IF(F1003&lt;0.979166666666667,"Turno B",""),"")),"")),"")),"")),"")),""))</f>
        <v>Turno A</v>
      </c>
      <c r="L1003" s="91">
        <f t="shared" si="15"/>
        <v>0.3125</v>
      </c>
    </row>
    <row r="1004" spans="1:12" s="40" customFormat="1">
      <c r="A1004">
        <v>11523492</v>
      </c>
      <c r="B1004" t="s">
        <v>274</v>
      </c>
      <c r="C1004" t="s">
        <v>267</v>
      </c>
      <c r="D1004" t="s">
        <v>197</v>
      </c>
      <c r="E1004" t="s">
        <v>1439</v>
      </c>
      <c r="F1004" s="78">
        <v>0.2916435185185185</v>
      </c>
      <c r="G1004" t="s">
        <v>1405</v>
      </c>
      <c r="H1004" t="s">
        <v>1335</v>
      </c>
      <c r="I1004" s="88" t="str">
        <f>VLOOKUP(A1004,Base!A:B,2,0)</f>
        <v>11.523.492-7</v>
      </c>
      <c r="J1004" s="99" t="str">
        <f>VLOOKUP(A1004,Base!A:F,6,0)</f>
        <v>CLAUDIO  CORTES  ULLOA</v>
      </c>
      <c r="K1004" s="89" t="str">
        <f>IFERROR(IF(VLOOKUP(I1004,Ingreso!K:P,6,0)=0,"Sin turtno ing",VLOOKUP(I1004,Ingreso!K:P,6,0)),IF(F1004&gt;0.25,IF(F1004&lt;0.311805555555556,"Turno A",IF(F1004&gt;0.3125,IF(F1004&lt;0.354166666666667,"Turno C",IF(F1004&gt;0.583333333333333,IF(F1004&lt;0.625,"Turno B",IF(F1004&gt;0.625694444444444,IF(F1004&lt;0.8125,"Turno A",IF(F1004&gt;0.875,IF(F1004&lt;0.936805555555556,"Turno C",IF(F1004&gt;0.9375,IF(F1004&lt;0.979166666666667,"Turno B",""),"")),"")),"")),"")),"")),""))</f>
        <v>Turno A</v>
      </c>
      <c r="L1004" s="91">
        <f t="shared" si="15"/>
        <v>0.3125</v>
      </c>
    </row>
    <row r="1005" spans="1:12" s="40" customFormat="1">
      <c r="A1005">
        <v>11523497</v>
      </c>
      <c r="B1005" t="s">
        <v>339</v>
      </c>
      <c r="C1005" t="s">
        <v>687</v>
      </c>
      <c r="D1005" t="s">
        <v>179</v>
      </c>
      <c r="E1005" t="s">
        <v>1440</v>
      </c>
      <c r="F1005" s="78">
        <v>0.77135416666666667</v>
      </c>
      <c r="G1005" t="s">
        <v>1406</v>
      </c>
      <c r="H1005" t="s">
        <v>1336</v>
      </c>
      <c r="I1005" s="88" t="str">
        <f>VLOOKUP(A1005,Base!A:B,2,0)</f>
        <v>11.523.497-8</v>
      </c>
      <c r="J1005" s="99" t="str">
        <f>VLOOKUP(A1005,Base!A:F,6,0)</f>
        <v>LUIS  NARVAI  DIAZ</v>
      </c>
      <c r="K1005" s="89" t="str">
        <f>IFERROR(IF(VLOOKUP(I1005,Ingreso!K:P,6,0)=0,"Sin turtno ing",VLOOKUP(I1005,Ingreso!K:P,6,0)),IF(F1005&gt;0.25,IF(F1005&lt;0.311805555555556,"Turno A",IF(F1005&gt;0.3125,IF(F1005&lt;0.354166666666667,"Turno C",IF(F1005&gt;0.583333333333333,IF(F1005&lt;0.625,"Turno B",IF(F1005&gt;0.625694444444444,IF(F1005&lt;0.8125,"Turno A",IF(F1005&gt;0.875,IF(F1005&lt;0.936805555555556,"Turno C",IF(F1005&gt;0.9375,IF(F1005&lt;0.979166666666667,"Turno B",""),"")),"")),"")),"")),"")),""))</f>
        <v>Sin turtno ing</v>
      </c>
      <c r="L1005" s="91" t="e">
        <f t="shared" si="15"/>
        <v>#N/A</v>
      </c>
    </row>
    <row r="1006" spans="1:12" s="40" customFormat="1">
      <c r="A1006">
        <v>11523497</v>
      </c>
      <c r="B1006" t="s">
        <v>339</v>
      </c>
      <c r="C1006" t="s">
        <v>687</v>
      </c>
      <c r="D1006" t="s">
        <v>179</v>
      </c>
      <c r="E1006" t="s">
        <v>1440</v>
      </c>
      <c r="F1006" s="78">
        <v>0.30574074074074076</v>
      </c>
      <c r="G1006" t="s">
        <v>1405</v>
      </c>
      <c r="H1006" t="s">
        <v>1335</v>
      </c>
      <c r="I1006" s="88" t="str">
        <f>VLOOKUP(A1006,Base!A:B,2,0)</f>
        <v>11.523.497-8</v>
      </c>
      <c r="J1006" s="99" t="str">
        <f>VLOOKUP(A1006,Base!A:F,6,0)</f>
        <v>LUIS  NARVAI  DIAZ</v>
      </c>
      <c r="K1006" s="89" t="str">
        <f>IFERROR(IF(VLOOKUP(I1006,Ingreso!K:P,6,0)=0,"Sin turtno ing",VLOOKUP(I1006,Ingreso!K:P,6,0)),IF(F1006&gt;0.25,IF(F1006&lt;0.311805555555556,"Turno A",IF(F1006&gt;0.3125,IF(F1006&lt;0.354166666666667,"Turno C",IF(F1006&gt;0.583333333333333,IF(F1006&lt;0.625,"Turno B",IF(F1006&gt;0.625694444444444,IF(F1006&lt;0.8125,"Turno A",IF(F1006&gt;0.875,IF(F1006&lt;0.936805555555556,"Turno C",IF(F1006&gt;0.9375,IF(F1006&lt;0.979166666666667,"Turno B",""),"")),"")),"")),"")),"")),""))</f>
        <v>Sin turtno ing</v>
      </c>
      <c r="L1006" s="91" t="e">
        <f t="shared" si="15"/>
        <v>#N/A</v>
      </c>
    </row>
    <row r="1007" spans="1:12" s="40" customFormat="1">
      <c r="A1007">
        <v>11523497</v>
      </c>
      <c r="B1007" t="s">
        <v>339</v>
      </c>
      <c r="C1007" t="s">
        <v>687</v>
      </c>
      <c r="D1007" t="s">
        <v>179</v>
      </c>
      <c r="E1007" t="s">
        <v>1441</v>
      </c>
      <c r="F1007" s="78">
        <v>0.61693287037037037</v>
      </c>
      <c r="G1007" t="s">
        <v>1406</v>
      </c>
      <c r="H1007" t="s">
        <v>1336</v>
      </c>
      <c r="I1007" s="88" t="str">
        <f>VLOOKUP(A1007,Base!A:B,2,0)</f>
        <v>11.523.497-8</v>
      </c>
      <c r="J1007" s="99" t="str">
        <f>VLOOKUP(A1007,Base!A:F,6,0)</f>
        <v>LUIS  NARVAI  DIAZ</v>
      </c>
      <c r="K1007" s="89" t="str">
        <f>IFERROR(IF(VLOOKUP(I1007,Ingreso!K:P,6,0)=0,"Sin turtno ing",VLOOKUP(I1007,Ingreso!K:P,6,0)),IF(F1007&gt;0.25,IF(F1007&lt;0.311805555555556,"Turno A",IF(F1007&gt;0.3125,IF(F1007&lt;0.354166666666667,"Turno C",IF(F1007&gt;0.583333333333333,IF(F1007&lt;0.625,"Turno B",IF(F1007&gt;0.625694444444444,IF(F1007&lt;0.8125,"Turno A",IF(F1007&gt;0.875,IF(F1007&lt;0.936805555555556,"Turno C",IF(F1007&gt;0.9375,IF(F1007&lt;0.979166666666667,"Turno B",""),"")),"")),"")),"")),"")),""))</f>
        <v>Sin turtno ing</v>
      </c>
      <c r="L1007" s="91" t="e">
        <f t="shared" si="15"/>
        <v>#N/A</v>
      </c>
    </row>
    <row r="1008" spans="1:12" s="40" customFormat="1">
      <c r="A1008">
        <v>11523497</v>
      </c>
      <c r="B1008" t="s">
        <v>339</v>
      </c>
      <c r="C1008" t="s">
        <v>687</v>
      </c>
      <c r="D1008" t="s">
        <v>179</v>
      </c>
      <c r="E1008" t="s">
        <v>1441</v>
      </c>
      <c r="F1008" s="78">
        <v>0.33931712962962962</v>
      </c>
      <c r="G1008" t="s">
        <v>1405</v>
      </c>
      <c r="H1008" t="s">
        <v>1335</v>
      </c>
      <c r="I1008" s="88" t="str">
        <f>VLOOKUP(A1008,Base!A:B,2,0)</f>
        <v>11.523.497-8</v>
      </c>
      <c r="J1008" s="99" t="str">
        <f>VLOOKUP(A1008,Base!A:F,6,0)</f>
        <v>LUIS  NARVAI  DIAZ</v>
      </c>
      <c r="K1008" s="89" t="str">
        <f>IFERROR(IF(VLOOKUP(I1008,Ingreso!K:P,6,0)=0,"Sin turtno ing",VLOOKUP(I1008,Ingreso!K:P,6,0)),IF(F1008&gt;0.25,IF(F1008&lt;0.311805555555556,"Turno A",IF(F1008&gt;0.3125,IF(F1008&lt;0.354166666666667,"Turno C",IF(F1008&gt;0.583333333333333,IF(F1008&lt;0.625,"Turno B",IF(F1008&gt;0.625694444444444,IF(F1008&lt;0.8125,"Turno A",IF(F1008&gt;0.875,IF(F1008&lt;0.936805555555556,"Turno C",IF(F1008&gt;0.9375,IF(F1008&lt;0.979166666666667,"Turno B",""),"")),"")),"")),"")),"")),""))</f>
        <v>Sin turtno ing</v>
      </c>
      <c r="L1008" s="91" t="e">
        <f t="shared" si="15"/>
        <v>#N/A</v>
      </c>
    </row>
    <row r="1009" spans="1:12" s="40" customFormat="1">
      <c r="A1009">
        <v>11523497</v>
      </c>
      <c r="B1009" t="s">
        <v>339</v>
      </c>
      <c r="C1009" t="s">
        <v>687</v>
      </c>
      <c r="D1009" t="s">
        <v>179</v>
      </c>
      <c r="E1009" t="s">
        <v>1437</v>
      </c>
      <c r="F1009" s="78">
        <v>0.81253472222222223</v>
      </c>
      <c r="G1009" t="s">
        <v>1406</v>
      </c>
      <c r="H1009" t="s">
        <v>1336</v>
      </c>
      <c r="I1009" s="88" t="str">
        <f>VLOOKUP(A1009,Base!A:B,2,0)</f>
        <v>11.523.497-8</v>
      </c>
      <c r="J1009" s="99" t="str">
        <f>VLOOKUP(A1009,Base!A:F,6,0)</f>
        <v>LUIS  NARVAI  DIAZ</v>
      </c>
      <c r="K1009" s="89" t="str">
        <f>IFERROR(IF(VLOOKUP(I1009,Ingreso!K:P,6,0)=0,"Sin turtno ing",VLOOKUP(I1009,Ingreso!K:P,6,0)),IF(F1009&gt;0.25,IF(F1009&lt;0.311805555555556,"Turno A",IF(F1009&gt;0.3125,IF(F1009&lt;0.354166666666667,"Turno C",IF(F1009&gt;0.583333333333333,IF(F1009&lt;0.625,"Turno B",IF(F1009&gt;0.625694444444444,IF(F1009&lt;0.8125,"Turno A",IF(F1009&gt;0.875,IF(F1009&lt;0.936805555555556,"Turno C",IF(F1009&gt;0.9375,IF(F1009&lt;0.979166666666667,"Turno B",""),"")),"")),"")),"")),"")),""))</f>
        <v>Sin turtno ing</v>
      </c>
      <c r="L1009" s="91" t="e">
        <f t="shared" si="15"/>
        <v>#N/A</v>
      </c>
    </row>
    <row r="1010" spans="1:12" s="40" customFormat="1">
      <c r="A1010">
        <v>11523497</v>
      </c>
      <c r="B1010" t="s">
        <v>339</v>
      </c>
      <c r="C1010" t="s">
        <v>687</v>
      </c>
      <c r="D1010" t="s">
        <v>179</v>
      </c>
      <c r="E1010" t="s">
        <v>1437</v>
      </c>
      <c r="F1010" s="78">
        <v>0.30560185185185185</v>
      </c>
      <c r="G1010" t="s">
        <v>1405</v>
      </c>
      <c r="H1010" t="s">
        <v>1335</v>
      </c>
      <c r="I1010" s="88" t="str">
        <f>VLOOKUP(A1010,Base!A:B,2,0)</f>
        <v>11.523.497-8</v>
      </c>
      <c r="J1010" s="99" t="str">
        <f>VLOOKUP(A1010,Base!A:F,6,0)</f>
        <v>LUIS  NARVAI  DIAZ</v>
      </c>
      <c r="K1010" s="89" t="str">
        <f>IFERROR(IF(VLOOKUP(I1010,Ingreso!K:P,6,0)=0,"Sin turtno ing",VLOOKUP(I1010,Ingreso!K:P,6,0)),IF(F1010&gt;0.25,IF(F1010&lt;0.311805555555556,"Turno A",IF(F1010&gt;0.3125,IF(F1010&lt;0.354166666666667,"Turno C",IF(F1010&gt;0.583333333333333,IF(F1010&lt;0.625,"Turno B",IF(F1010&gt;0.625694444444444,IF(F1010&lt;0.8125,"Turno A",IF(F1010&gt;0.875,IF(F1010&lt;0.936805555555556,"Turno C",IF(F1010&gt;0.9375,IF(F1010&lt;0.979166666666667,"Turno B",""),"")),"")),"")),"")),"")),""))</f>
        <v>Sin turtno ing</v>
      </c>
      <c r="L1010" s="91" t="e">
        <f t="shared" si="15"/>
        <v>#N/A</v>
      </c>
    </row>
    <row r="1011" spans="1:12" s="40" customFormat="1">
      <c r="A1011">
        <v>11523497</v>
      </c>
      <c r="B1011" t="s">
        <v>339</v>
      </c>
      <c r="C1011" t="s">
        <v>687</v>
      </c>
      <c r="D1011" t="s">
        <v>179</v>
      </c>
      <c r="E1011" t="s">
        <v>1438</v>
      </c>
      <c r="F1011" s="78">
        <v>0.78898148148148151</v>
      </c>
      <c r="G1011" t="s">
        <v>1406</v>
      </c>
      <c r="H1011" t="s">
        <v>1336</v>
      </c>
      <c r="I1011" s="88" t="str">
        <f>VLOOKUP(A1011,Base!A:B,2,0)</f>
        <v>11.523.497-8</v>
      </c>
      <c r="J1011" s="99" t="str">
        <f>VLOOKUP(A1011,Base!A:F,6,0)</f>
        <v>LUIS  NARVAI  DIAZ</v>
      </c>
      <c r="K1011" s="89" t="str">
        <f>IFERROR(IF(VLOOKUP(I1011,Ingreso!K:P,6,0)=0,"Sin turtno ing",VLOOKUP(I1011,Ingreso!K:P,6,0)),IF(F1011&gt;0.25,IF(F1011&lt;0.311805555555556,"Turno A",IF(F1011&gt;0.3125,IF(F1011&lt;0.354166666666667,"Turno C",IF(F1011&gt;0.583333333333333,IF(F1011&lt;0.625,"Turno B",IF(F1011&gt;0.625694444444444,IF(F1011&lt;0.8125,"Turno A",IF(F1011&gt;0.875,IF(F1011&lt;0.936805555555556,"Turno C",IF(F1011&gt;0.9375,IF(F1011&lt;0.979166666666667,"Turno B",""),"")),"")),"")),"")),"")),""))</f>
        <v>Sin turtno ing</v>
      </c>
      <c r="L1011" s="91" t="e">
        <f t="shared" si="15"/>
        <v>#N/A</v>
      </c>
    </row>
    <row r="1012" spans="1:12" s="40" customFormat="1">
      <c r="A1012">
        <v>11523497</v>
      </c>
      <c r="B1012" t="s">
        <v>339</v>
      </c>
      <c r="C1012" t="s">
        <v>687</v>
      </c>
      <c r="D1012" t="s">
        <v>179</v>
      </c>
      <c r="E1012" t="s">
        <v>1438</v>
      </c>
      <c r="F1012" s="78">
        <v>0.30603009259259256</v>
      </c>
      <c r="G1012" t="s">
        <v>1405</v>
      </c>
      <c r="H1012" t="s">
        <v>1335</v>
      </c>
      <c r="I1012" s="88" t="str">
        <f>VLOOKUP(A1012,Base!A:B,2,0)</f>
        <v>11.523.497-8</v>
      </c>
      <c r="J1012" s="99" t="str">
        <f>VLOOKUP(A1012,Base!A:F,6,0)</f>
        <v>LUIS  NARVAI  DIAZ</v>
      </c>
      <c r="K1012" s="89" t="str">
        <f>IFERROR(IF(VLOOKUP(I1012,Ingreso!K:P,6,0)=0,"Sin turtno ing",VLOOKUP(I1012,Ingreso!K:P,6,0)),IF(F1012&gt;0.25,IF(F1012&lt;0.311805555555556,"Turno A",IF(F1012&gt;0.3125,IF(F1012&lt;0.354166666666667,"Turno C",IF(F1012&gt;0.583333333333333,IF(F1012&lt;0.625,"Turno B",IF(F1012&gt;0.625694444444444,IF(F1012&lt;0.8125,"Turno A",IF(F1012&gt;0.875,IF(F1012&lt;0.936805555555556,"Turno C",IF(F1012&gt;0.9375,IF(F1012&lt;0.979166666666667,"Turno B",""),"")),"")),"")),"")),"")),""))</f>
        <v>Sin turtno ing</v>
      </c>
      <c r="L1012" s="91" t="e">
        <f t="shared" si="15"/>
        <v>#N/A</v>
      </c>
    </row>
    <row r="1013" spans="1:12" s="40" customFormat="1">
      <c r="A1013">
        <v>11523497</v>
      </c>
      <c r="B1013" t="s">
        <v>339</v>
      </c>
      <c r="C1013" t="s">
        <v>687</v>
      </c>
      <c r="D1013" t="s">
        <v>179</v>
      </c>
      <c r="E1013" t="s">
        <v>1439</v>
      </c>
      <c r="F1013" s="78">
        <v>0.76253472222222218</v>
      </c>
      <c r="G1013" t="s">
        <v>1406</v>
      </c>
      <c r="H1013" t="s">
        <v>1336</v>
      </c>
      <c r="I1013" s="88" t="str">
        <f>VLOOKUP(A1013,Base!A:B,2,0)</f>
        <v>11.523.497-8</v>
      </c>
      <c r="J1013" s="99" t="str">
        <f>VLOOKUP(A1013,Base!A:F,6,0)</f>
        <v>LUIS  NARVAI  DIAZ</v>
      </c>
      <c r="K1013" s="89" t="str">
        <f>IFERROR(IF(VLOOKUP(I1013,Ingreso!K:P,6,0)=0,"Sin turtno ing",VLOOKUP(I1013,Ingreso!K:P,6,0)),IF(F1013&gt;0.25,IF(F1013&lt;0.311805555555556,"Turno A",IF(F1013&gt;0.3125,IF(F1013&lt;0.354166666666667,"Turno C",IF(F1013&gt;0.583333333333333,IF(F1013&lt;0.625,"Turno B",IF(F1013&gt;0.625694444444444,IF(F1013&lt;0.8125,"Turno A",IF(F1013&gt;0.875,IF(F1013&lt;0.936805555555556,"Turno C",IF(F1013&gt;0.9375,IF(F1013&lt;0.979166666666667,"Turno B",""),"")),"")),"")),"")),"")),""))</f>
        <v>Sin turtno ing</v>
      </c>
      <c r="L1013" s="91" t="e">
        <f t="shared" si="15"/>
        <v>#N/A</v>
      </c>
    </row>
    <row r="1014" spans="1:12" s="40" customFormat="1">
      <c r="A1014">
        <v>11523497</v>
      </c>
      <c r="B1014" t="s">
        <v>339</v>
      </c>
      <c r="C1014" t="s">
        <v>687</v>
      </c>
      <c r="D1014" t="s">
        <v>179</v>
      </c>
      <c r="E1014" t="s">
        <v>1439</v>
      </c>
      <c r="F1014" s="78">
        <v>0.30334490740740744</v>
      </c>
      <c r="G1014" t="s">
        <v>1405</v>
      </c>
      <c r="H1014" t="s">
        <v>1335</v>
      </c>
      <c r="I1014" s="88" t="str">
        <f>VLOOKUP(A1014,Base!A:B,2,0)</f>
        <v>11.523.497-8</v>
      </c>
      <c r="J1014" s="99" t="str">
        <f>VLOOKUP(A1014,Base!A:F,6,0)</f>
        <v>LUIS  NARVAI  DIAZ</v>
      </c>
      <c r="K1014" s="89" t="str">
        <f>IFERROR(IF(VLOOKUP(I1014,Ingreso!K:P,6,0)=0,"Sin turtno ing",VLOOKUP(I1014,Ingreso!K:P,6,0)),IF(F1014&gt;0.25,IF(F1014&lt;0.311805555555556,"Turno A",IF(F1014&gt;0.3125,IF(F1014&lt;0.354166666666667,"Turno C",IF(F1014&gt;0.583333333333333,IF(F1014&lt;0.625,"Turno B",IF(F1014&gt;0.625694444444444,IF(F1014&lt;0.8125,"Turno A",IF(F1014&gt;0.875,IF(F1014&lt;0.936805555555556,"Turno C",IF(F1014&gt;0.9375,IF(F1014&lt;0.979166666666667,"Turno B",""),"")),"")),"")),"")),"")),""))</f>
        <v>Sin turtno ing</v>
      </c>
      <c r="L1014" s="91" t="e">
        <f t="shared" si="15"/>
        <v>#N/A</v>
      </c>
    </row>
    <row r="1015" spans="1:12" s="40" customFormat="1">
      <c r="A1015">
        <v>11656057</v>
      </c>
      <c r="B1015" t="s">
        <v>504</v>
      </c>
      <c r="C1015" t="s">
        <v>502</v>
      </c>
      <c r="D1015" t="s">
        <v>503</v>
      </c>
      <c r="E1015" t="s">
        <v>1440</v>
      </c>
      <c r="F1015" s="78">
        <v>0.63822916666666674</v>
      </c>
      <c r="G1015" t="s">
        <v>1406</v>
      </c>
      <c r="H1015" t="s">
        <v>1336</v>
      </c>
      <c r="I1015" s="88" t="str">
        <f>VLOOKUP(A1015,Base!A:B,2,0)</f>
        <v>11.656.057-7</v>
      </c>
      <c r="J1015" s="99" t="str">
        <f>VLOOKUP(A1015,Base!A:F,6,0)</f>
        <v>PAOLO CESAR  IBAÑEZ  GRANIFO</v>
      </c>
      <c r="K1015" s="89" t="str">
        <f>IFERROR(IF(VLOOKUP(I1015,Ingreso!K:P,6,0)=0,"Sin turtno ing",VLOOKUP(I1015,Ingreso!K:P,6,0)),IF(F1015&gt;0.25,IF(F1015&lt;0.311805555555556,"Turno A",IF(F1015&gt;0.3125,IF(F1015&lt;0.354166666666667,"Turno C",IF(F1015&gt;0.583333333333333,IF(F1015&lt;0.625,"Turno B",IF(F1015&gt;0.625694444444444,IF(F1015&lt;0.8125,"Turno A",IF(F1015&gt;0.875,IF(F1015&lt;0.936805555555556,"Turno C",IF(F1015&gt;0.9375,IF(F1015&lt;0.979166666666667,"Turno B",""),"")),"")),"")),"")),"")),""))</f>
        <v>Sin turtno ing</v>
      </c>
      <c r="L1015" s="91" t="e">
        <f t="shared" si="15"/>
        <v>#N/A</v>
      </c>
    </row>
    <row r="1016" spans="1:12" s="40" customFormat="1">
      <c r="A1016">
        <v>11656057</v>
      </c>
      <c r="B1016" t="s">
        <v>504</v>
      </c>
      <c r="C1016" t="s">
        <v>502</v>
      </c>
      <c r="D1016" t="s">
        <v>503</v>
      </c>
      <c r="E1016" t="s">
        <v>1440</v>
      </c>
      <c r="F1016" s="78">
        <v>0.29706018518518518</v>
      </c>
      <c r="G1016" t="s">
        <v>1405</v>
      </c>
      <c r="H1016" t="s">
        <v>1335</v>
      </c>
      <c r="I1016" s="88" t="str">
        <f>VLOOKUP(A1016,Base!A:B,2,0)</f>
        <v>11.656.057-7</v>
      </c>
      <c r="J1016" s="99" t="str">
        <f>VLOOKUP(A1016,Base!A:F,6,0)</f>
        <v>PAOLO CESAR  IBAÑEZ  GRANIFO</v>
      </c>
      <c r="K1016" s="89" t="str">
        <f>IFERROR(IF(VLOOKUP(I1016,Ingreso!K:P,6,0)=0,"Sin turtno ing",VLOOKUP(I1016,Ingreso!K:P,6,0)),IF(F1016&gt;0.25,IF(F1016&lt;0.311805555555556,"Turno A",IF(F1016&gt;0.3125,IF(F1016&lt;0.354166666666667,"Turno C",IF(F1016&gt;0.583333333333333,IF(F1016&lt;0.625,"Turno B",IF(F1016&gt;0.625694444444444,IF(F1016&lt;0.8125,"Turno A",IF(F1016&gt;0.875,IF(F1016&lt;0.936805555555556,"Turno C",IF(F1016&gt;0.9375,IF(F1016&lt;0.979166666666667,"Turno B",""),"")),"")),"")),"")),"")),""))</f>
        <v>Sin turtno ing</v>
      </c>
      <c r="L1016" s="91" t="e">
        <f t="shared" si="15"/>
        <v>#N/A</v>
      </c>
    </row>
    <row r="1017" spans="1:12" s="40" customFormat="1">
      <c r="A1017">
        <v>11656057</v>
      </c>
      <c r="B1017" t="s">
        <v>504</v>
      </c>
      <c r="C1017" t="s">
        <v>502</v>
      </c>
      <c r="D1017" t="s">
        <v>503</v>
      </c>
      <c r="E1017" t="s">
        <v>1441</v>
      </c>
      <c r="F1017" s="78">
        <v>0.63792824074074073</v>
      </c>
      <c r="G1017" t="s">
        <v>1406</v>
      </c>
      <c r="H1017" t="s">
        <v>1336</v>
      </c>
      <c r="I1017" s="88" t="str">
        <f>VLOOKUP(A1017,Base!A:B,2,0)</f>
        <v>11.656.057-7</v>
      </c>
      <c r="J1017" s="99" t="str">
        <f>VLOOKUP(A1017,Base!A:F,6,0)</f>
        <v>PAOLO CESAR  IBAÑEZ  GRANIFO</v>
      </c>
      <c r="K1017" s="89" t="str">
        <f>IFERROR(IF(VLOOKUP(I1017,Ingreso!K:P,6,0)=0,"Sin turtno ing",VLOOKUP(I1017,Ingreso!K:P,6,0)),IF(F1017&gt;0.25,IF(F1017&lt;0.311805555555556,"Turno A",IF(F1017&gt;0.3125,IF(F1017&lt;0.354166666666667,"Turno C",IF(F1017&gt;0.583333333333333,IF(F1017&lt;0.625,"Turno B",IF(F1017&gt;0.625694444444444,IF(F1017&lt;0.8125,"Turno A",IF(F1017&gt;0.875,IF(F1017&lt;0.936805555555556,"Turno C",IF(F1017&gt;0.9375,IF(F1017&lt;0.979166666666667,"Turno B",""),"")),"")),"")),"")),"")),""))</f>
        <v>Sin turtno ing</v>
      </c>
      <c r="L1017" s="91" t="e">
        <f t="shared" si="15"/>
        <v>#N/A</v>
      </c>
    </row>
    <row r="1018" spans="1:12" s="40" customFormat="1">
      <c r="A1018">
        <v>11656057</v>
      </c>
      <c r="B1018" t="s">
        <v>504</v>
      </c>
      <c r="C1018" t="s">
        <v>502</v>
      </c>
      <c r="D1018" t="s">
        <v>503</v>
      </c>
      <c r="E1018" t="s">
        <v>1441</v>
      </c>
      <c r="F1018" s="78">
        <v>0.29509259259259263</v>
      </c>
      <c r="G1018" t="s">
        <v>1405</v>
      </c>
      <c r="H1018" t="s">
        <v>1335</v>
      </c>
      <c r="I1018" s="88" t="str">
        <f>VLOOKUP(A1018,Base!A:B,2,0)</f>
        <v>11.656.057-7</v>
      </c>
      <c r="J1018" s="99" t="str">
        <f>VLOOKUP(A1018,Base!A:F,6,0)</f>
        <v>PAOLO CESAR  IBAÑEZ  GRANIFO</v>
      </c>
      <c r="K1018" s="89" t="str">
        <f>IFERROR(IF(VLOOKUP(I1018,Ingreso!K:P,6,0)=0,"Sin turtno ing",VLOOKUP(I1018,Ingreso!K:P,6,0)),IF(F1018&gt;0.25,IF(F1018&lt;0.311805555555556,"Turno A",IF(F1018&gt;0.3125,IF(F1018&lt;0.354166666666667,"Turno C",IF(F1018&gt;0.583333333333333,IF(F1018&lt;0.625,"Turno B",IF(F1018&gt;0.625694444444444,IF(F1018&lt;0.8125,"Turno A",IF(F1018&gt;0.875,IF(F1018&lt;0.936805555555556,"Turno C",IF(F1018&gt;0.9375,IF(F1018&lt;0.979166666666667,"Turno B",""),"")),"")),"")),"")),"")),""))</f>
        <v>Sin turtno ing</v>
      </c>
      <c r="L1018" s="91" t="e">
        <f t="shared" si="15"/>
        <v>#N/A</v>
      </c>
    </row>
    <row r="1019" spans="1:12" s="40" customFormat="1">
      <c r="A1019">
        <v>11656057</v>
      </c>
      <c r="B1019" t="s">
        <v>504</v>
      </c>
      <c r="C1019" t="s">
        <v>502</v>
      </c>
      <c r="D1019" t="s">
        <v>503</v>
      </c>
      <c r="E1019" t="s">
        <v>1438</v>
      </c>
      <c r="F1019" s="78">
        <v>0.63782407407407404</v>
      </c>
      <c r="G1019" t="s">
        <v>1406</v>
      </c>
      <c r="H1019" t="s">
        <v>1336</v>
      </c>
      <c r="I1019" s="88" t="str">
        <f>VLOOKUP(A1019,Base!A:B,2,0)</f>
        <v>11.656.057-7</v>
      </c>
      <c r="J1019" s="99" t="str">
        <f>VLOOKUP(A1019,Base!A:F,6,0)</f>
        <v>PAOLO CESAR  IBAÑEZ  GRANIFO</v>
      </c>
      <c r="K1019" s="89" t="str">
        <f>IFERROR(IF(VLOOKUP(I1019,Ingreso!K:P,6,0)=0,"Sin turtno ing",VLOOKUP(I1019,Ingreso!K:P,6,0)),IF(F1019&gt;0.25,IF(F1019&lt;0.311805555555556,"Turno A",IF(F1019&gt;0.3125,IF(F1019&lt;0.354166666666667,"Turno C",IF(F1019&gt;0.583333333333333,IF(F1019&lt;0.625,"Turno B",IF(F1019&gt;0.625694444444444,IF(F1019&lt;0.8125,"Turno A",IF(F1019&gt;0.875,IF(F1019&lt;0.936805555555556,"Turno C",IF(F1019&gt;0.9375,IF(F1019&lt;0.979166666666667,"Turno B",""),"")),"")),"")),"")),"")),""))</f>
        <v>Sin turtno ing</v>
      </c>
      <c r="L1019" s="91" t="e">
        <f t="shared" si="15"/>
        <v>#N/A</v>
      </c>
    </row>
    <row r="1020" spans="1:12" s="40" customFormat="1">
      <c r="A1020">
        <v>11656057</v>
      </c>
      <c r="B1020" t="s">
        <v>504</v>
      </c>
      <c r="C1020" t="s">
        <v>502</v>
      </c>
      <c r="D1020" t="s">
        <v>503</v>
      </c>
      <c r="E1020" t="s">
        <v>1438</v>
      </c>
      <c r="F1020" s="78">
        <v>0.29531250000000003</v>
      </c>
      <c r="G1020" t="s">
        <v>1405</v>
      </c>
      <c r="H1020" t="s">
        <v>1335</v>
      </c>
      <c r="I1020" s="88" t="str">
        <f>VLOOKUP(A1020,Base!A:B,2,0)</f>
        <v>11.656.057-7</v>
      </c>
      <c r="J1020" s="99" t="str">
        <f>VLOOKUP(A1020,Base!A:F,6,0)</f>
        <v>PAOLO CESAR  IBAÑEZ  GRANIFO</v>
      </c>
      <c r="K1020" s="89" t="str">
        <f>IFERROR(IF(VLOOKUP(I1020,Ingreso!K:P,6,0)=0,"Sin turtno ing",VLOOKUP(I1020,Ingreso!K:P,6,0)),IF(F1020&gt;0.25,IF(F1020&lt;0.311805555555556,"Turno A",IF(F1020&gt;0.3125,IF(F1020&lt;0.354166666666667,"Turno C",IF(F1020&gt;0.583333333333333,IF(F1020&lt;0.625,"Turno B",IF(F1020&gt;0.625694444444444,IF(F1020&lt;0.8125,"Turno A",IF(F1020&gt;0.875,IF(F1020&lt;0.936805555555556,"Turno C",IF(F1020&gt;0.9375,IF(F1020&lt;0.979166666666667,"Turno B",""),"")),"")),"")),"")),"")),""))</f>
        <v>Sin turtno ing</v>
      </c>
      <c r="L1020" s="91" t="e">
        <f t="shared" si="15"/>
        <v>#N/A</v>
      </c>
    </row>
    <row r="1021" spans="1:12" s="40" customFormat="1">
      <c r="A1021">
        <v>11656057</v>
      </c>
      <c r="B1021" t="s">
        <v>504</v>
      </c>
      <c r="C1021" t="s">
        <v>502</v>
      </c>
      <c r="D1021" t="s">
        <v>503</v>
      </c>
      <c r="E1021" t="s">
        <v>1439</v>
      </c>
      <c r="F1021" s="78">
        <v>0.64091435185185186</v>
      </c>
      <c r="G1021" t="s">
        <v>1406</v>
      </c>
      <c r="H1021" t="s">
        <v>1336</v>
      </c>
      <c r="I1021" s="88" t="str">
        <f>VLOOKUP(A1021,Base!A:B,2,0)</f>
        <v>11.656.057-7</v>
      </c>
      <c r="J1021" s="99" t="str">
        <f>VLOOKUP(A1021,Base!A:F,6,0)</f>
        <v>PAOLO CESAR  IBAÑEZ  GRANIFO</v>
      </c>
      <c r="K1021" s="89" t="str">
        <f>IFERROR(IF(VLOOKUP(I1021,Ingreso!K:P,6,0)=0,"Sin turtno ing",VLOOKUP(I1021,Ingreso!K:P,6,0)),IF(F1021&gt;0.25,IF(F1021&lt;0.311805555555556,"Turno A",IF(F1021&gt;0.3125,IF(F1021&lt;0.354166666666667,"Turno C",IF(F1021&gt;0.583333333333333,IF(F1021&lt;0.625,"Turno B",IF(F1021&gt;0.625694444444444,IF(F1021&lt;0.8125,"Turno A",IF(F1021&gt;0.875,IF(F1021&lt;0.936805555555556,"Turno C",IF(F1021&gt;0.9375,IF(F1021&lt;0.979166666666667,"Turno B",""),"")),"")),"")),"")),"")),""))</f>
        <v>Sin turtno ing</v>
      </c>
      <c r="L1021" s="91" t="e">
        <f t="shared" si="15"/>
        <v>#N/A</v>
      </c>
    </row>
    <row r="1022" spans="1:12" s="40" customFormat="1">
      <c r="A1022">
        <v>11656057</v>
      </c>
      <c r="B1022" t="s">
        <v>504</v>
      </c>
      <c r="C1022" t="s">
        <v>502</v>
      </c>
      <c r="D1022" t="s">
        <v>503</v>
      </c>
      <c r="E1022" t="s">
        <v>1439</v>
      </c>
      <c r="F1022" s="78">
        <v>0.30322916666666666</v>
      </c>
      <c r="G1022" t="s">
        <v>1405</v>
      </c>
      <c r="H1022" t="s">
        <v>1335</v>
      </c>
      <c r="I1022" s="88" t="str">
        <f>VLOOKUP(A1022,Base!A:B,2,0)</f>
        <v>11.656.057-7</v>
      </c>
      <c r="J1022" s="99" t="str">
        <f>VLOOKUP(A1022,Base!A:F,6,0)</f>
        <v>PAOLO CESAR  IBAÑEZ  GRANIFO</v>
      </c>
      <c r="K1022" s="89" t="str">
        <f>IFERROR(IF(VLOOKUP(I1022,Ingreso!K:P,6,0)=0,"Sin turtno ing",VLOOKUP(I1022,Ingreso!K:P,6,0)),IF(F1022&gt;0.25,IF(F1022&lt;0.311805555555556,"Turno A",IF(F1022&gt;0.3125,IF(F1022&lt;0.354166666666667,"Turno C",IF(F1022&gt;0.583333333333333,IF(F1022&lt;0.625,"Turno B",IF(F1022&gt;0.625694444444444,IF(F1022&lt;0.8125,"Turno A",IF(F1022&gt;0.875,IF(F1022&lt;0.936805555555556,"Turno C",IF(F1022&gt;0.9375,IF(F1022&lt;0.979166666666667,"Turno B",""),"")),"")),"")),"")),"")),""))</f>
        <v>Sin turtno ing</v>
      </c>
      <c r="L1022" s="91" t="e">
        <f t="shared" si="15"/>
        <v>#N/A</v>
      </c>
    </row>
    <row r="1023" spans="1:12" s="40" customFormat="1">
      <c r="A1023">
        <v>11657838</v>
      </c>
      <c r="B1023" t="s">
        <v>180</v>
      </c>
      <c r="C1023" t="s">
        <v>925</v>
      </c>
      <c r="D1023" t="s">
        <v>943</v>
      </c>
      <c r="E1023" t="s">
        <v>1440</v>
      </c>
      <c r="F1023" s="78">
        <v>0.31318287037037035</v>
      </c>
      <c r="G1023" t="s">
        <v>1406</v>
      </c>
      <c r="H1023" t="s">
        <v>1336</v>
      </c>
      <c r="I1023" s="88" t="str">
        <f>VLOOKUP(A1023,Base!A:B,2,0)</f>
        <v>11.657.838-7</v>
      </c>
      <c r="J1023" s="99" t="str">
        <f>VLOOKUP(A1023,Base!A:F,6,0)</f>
        <v>JUAN RAMON  SALAMANCA  VIDAL</v>
      </c>
      <c r="K1023" s="89" t="str">
        <f>IFERROR(IF(VLOOKUP(I1023,Ingreso!K:P,6,0)=0,"Sin turtno ing",VLOOKUP(I1023,Ingreso!K:P,6,0)),IF(F1023&gt;0.25,IF(F1023&lt;0.311805555555556,"Turno A",IF(F1023&gt;0.3125,IF(F1023&lt;0.354166666666667,"Turno C",IF(F1023&gt;0.583333333333333,IF(F1023&lt;0.625,"Turno B",IF(F1023&gt;0.625694444444444,IF(F1023&lt;0.8125,"Turno A",IF(F1023&gt;0.875,IF(F1023&lt;0.936805555555556,"Turno C",IF(F1023&gt;0.9375,IF(F1023&lt;0.979166666666667,"Turno B",""),"")),"")),"")),"")),"")),""))</f>
        <v>Turno C</v>
      </c>
      <c r="L1023" s="91">
        <f t="shared" si="15"/>
        <v>0.375</v>
      </c>
    </row>
    <row r="1024" spans="1:12" s="40" customFormat="1">
      <c r="A1024">
        <v>11657838</v>
      </c>
      <c r="B1024" t="s">
        <v>180</v>
      </c>
      <c r="C1024" t="s">
        <v>925</v>
      </c>
      <c r="D1024" t="s">
        <v>943</v>
      </c>
      <c r="E1024" t="s">
        <v>1440</v>
      </c>
      <c r="F1024" s="78">
        <v>0.92638888888888893</v>
      </c>
      <c r="G1024" t="s">
        <v>1405</v>
      </c>
      <c r="H1024" t="s">
        <v>1335</v>
      </c>
      <c r="I1024" s="88" t="str">
        <f>VLOOKUP(A1024,Base!A:B,2,0)</f>
        <v>11.657.838-7</v>
      </c>
      <c r="J1024" s="99" t="str">
        <f>VLOOKUP(A1024,Base!A:F,6,0)</f>
        <v>JUAN RAMON  SALAMANCA  VIDAL</v>
      </c>
      <c r="K1024" s="89" t="str">
        <f>IFERROR(IF(VLOOKUP(I1024,Ingreso!K:P,6,0)=0,"Sin turtno ing",VLOOKUP(I1024,Ingreso!K:P,6,0)),IF(F1024&gt;0.25,IF(F1024&lt;0.311805555555556,"Turno A",IF(F1024&gt;0.3125,IF(F1024&lt;0.354166666666667,"Turno C",IF(F1024&gt;0.583333333333333,IF(F1024&lt;0.625,"Turno B",IF(F1024&gt;0.625694444444444,IF(F1024&lt;0.8125,"Turno A",IF(F1024&gt;0.875,IF(F1024&lt;0.936805555555556,"Turno C",IF(F1024&gt;0.9375,IF(F1024&lt;0.979166666666667,"Turno B",""),"")),"")),"")),"")),"")),""))</f>
        <v>Turno C</v>
      </c>
      <c r="L1024" s="91">
        <f t="shared" si="15"/>
        <v>0.375</v>
      </c>
    </row>
    <row r="1025" spans="1:12" s="40" customFormat="1">
      <c r="A1025">
        <v>11657838</v>
      </c>
      <c r="B1025" t="s">
        <v>180</v>
      </c>
      <c r="C1025" t="s">
        <v>925</v>
      </c>
      <c r="D1025" t="s">
        <v>943</v>
      </c>
      <c r="E1025" t="s">
        <v>1441</v>
      </c>
      <c r="F1025" s="78">
        <v>0.31258101851851855</v>
      </c>
      <c r="G1025" t="s">
        <v>1406</v>
      </c>
      <c r="H1025" t="s">
        <v>1336</v>
      </c>
      <c r="I1025" s="88" t="str">
        <f>VLOOKUP(A1025,Base!A:B,2,0)</f>
        <v>11.657.838-7</v>
      </c>
      <c r="J1025" s="99" t="str">
        <f>VLOOKUP(A1025,Base!A:F,6,0)</f>
        <v>JUAN RAMON  SALAMANCA  VIDAL</v>
      </c>
      <c r="K1025" s="89" t="str">
        <f>IFERROR(IF(VLOOKUP(I1025,Ingreso!K:P,6,0)=0,"Sin turtno ing",VLOOKUP(I1025,Ingreso!K:P,6,0)),IF(F1025&gt;0.25,IF(F1025&lt;0.311805555555556,"Turno A",IF(F1025&gt;0.3125,IF(F1025&lt;0.354166666666667,"Turno C",IF(F1025&gt;0.583333333333333,IF(F1025&lt;0.625,"Turno B",IF(F1025&gt;0.625694444444444,IF(F1025&lt;0.8125,"Turno A",IF(F1025&gt;0.875,IF(F1025&lt;0.936805555555556,"Turno C",IF(F1025&gt;0.9375,IF(F1025&lt;0.979166666666667,"Turno B",""),"")),"")),"")),"")),"")),""))</f>
        <v>Turno C</v>
      </c>
      <c r="L1025" s="91">
        <f t="shared" si="15"/>
        <v>0.375</v>
      </c>
    </row>
    <row r="1026" spans="1:12" s="40" customFormat="1">
      <c r="A1026">
        <v>11657838</v>
      </c>
      <c r="B1026" t="s">
        <v>180</v>
      </c>
      <c r="C1026" t="s">
        <v>925</v>
      </c>
      <c r="D1026" t="s">
        <v>943</v>
      </c>
      <c r="E1026" t="s">
        <v>1437</v>
      </c>
      <c r="F1026" s="78">
        <v>0.92334490740740749</v>
      </c>
      <c r="G1026" t="s">
        <v>1405</v>
      </c>
      <c r="H1026" t="s">
        <v>1335</v>
      </c>
      <c r="I1026" s="88" t="str">
        <f>VLOOKUP(A1026,Base!A:B,2,0)</f>
        <v>11.657.838-7</v>
      </c>
      <c r="J1026" s="99" t="str">
        <f>VLOOKUP(A1026,Base!A:F,6,0)</f>
        <v>JUAN RAMON  SALAMANCA  VIDAL</v>
      </c>
      <c r="K1026" s="89" t="str">
        <f>IFERROR(IF(VLOOKUP(I1026,Ingreso!K:P,6,0)=0,"Sin turtno ing",VLOOKUP(I1026,Ingreso!K:P,6,0)),IF(F1026&gt;0.25,IF(F1026&lt;0.311805555555556,"Turno A",IF(F1026&gt;0.3125,IF(F1026&lt;0.354166666666667,"Turno C",IF(F1026&gt;0.583333333333333,IF(F1026&lt;0.625,"Turno B",IF(F1026&gt;0.625694444444444,IF(F1026&lt;0.8125,"Turno A",IF(F1026&gt;0.875,IF(F1026&lt;0.936805555555556,"Turno C",IF(F1026&gt;0.9375,IF(F1026&lt;0.979166666666667,"Turno B",""),"")),"")),"")),"")),"")),""))</f>
        <v>Turno C</v>
      </c>
      <c r="L1026" s="91">
        <f t="shared" si="15"/>
        <v>0.375</v>
      </c>
    </row>
    <row r="1027" spans="1:12" s="40" customFormat="1">
      <c r="A1027">
        <v>11657838</v>
      </c>
      <c r="B1027" t="s">
        <v>180</v>
      </c>
      <c r="C1027" t="s">
        <v>925</v>
      </c>
      <c r="D1027" t="s">
        <v>943</v>
      </c>
      <c r="E1027" t="s">
        <v>1438</v>
      </c>
      <c r="F1027" s="78">
        <v>0.31274305555555554</v>
      </c>
      <c r="G1027" t="s">
        <v>1406</v>
      </c>
      <c r="H1027" t="s">
        <v>1336</v>
      </c>
      <c r="I1027" s="88" t="str">
        <f>VLOOKUP(A1027,Base!A:B,2,0)</f>
        <v>11.657.838-7</v>
      </c>
      <c r="J1027" s="99" t="str">
        <f>VLOOKUP(A1027,Base!A:F,6,0)</f>
        <v>JUAN RAMON  SALAMANCA  VIDAL</v>
      </c>
      <c r="K1027" s="89" t="str">
        <f>IFERROR(IF(VLOOKUP(I1027,Ingreso!K:P,6,0)=0,"Sin turtno ing",VLOOKUP(I1027,Ingreso!K:P,6,0)),IF(F1027&gt;0.25,IF(F1027&lt;0.311805555555556,"Turno A",IF(F1027&gt;0.3125,IF(F1027&lt;0.354166666666667,"Turno C",IF(F1027&gt;0.583333333333333,IF(F1027&lt;0.625,"Turno B",IF(F1027&gt;0.625694444444444,IF(F1027&lt;0.8125,"Turno A",IF(F1027&gt;0.875,IF(F1027&lt;0.936805555555556,"Turno C",IF(F1027&gt;0.9375,IF(F1027&lt;0.979166666666667,"Turno B",""),"")),"")),"")),"")),"")),""))</f>
        <v>Turno C</v>
      </c>
      <c r="L1027" s="91">
        <f t="shared" ref="L1027:L1090" si="16">VLOOKUP(K1027,$S$3:$T$7,2,0)</f>
        <v>0.375</v>
      </c>
    </row>
    <row r="1028" spans="1:12" s="40" customFormat="1">
      <c r="A1028">
        <v>11657838</v>
      </c>
      <c r="B1028" t="s">
        <v>180</v>
      </c>
      <c r="C1028" t="s">
        <v>925</v>
      </c>
      <c r="D1028" t="s">
        <v>943</v>
      </c>
      <c r="E1028" t="s">
        <v>1438</v>
      </c>
      <c r="F1028" s="78">
        <v>0.93174768518518514</v>
      </c>
      <c r="G1028" t="s">
        <v>1405</v>
      </c>
      <c r="H1028" t="s">
        <v>1335</v>
      </c>
      <c r="I1028" s="88" t="str">
        <f>VLOOKUP(A1028,Base!A:B,2,0)</f>
        <v>11.657.838-7</v>
      </c>
      <c r="J1028" s="99" t="str">
        <f>VLOOKUP(A1028,Base!A:F,6,0)</f>
        <v>JUAN RAMON  SALAMANCA  VIDAL</v>
      </c>
      <c r="K1028" s="89" t="str">
        <f>IFERROR(IF(VLOOKUP(I1028,Ingreso!K:P,6,0)=0,"Sin turtno ing",VLOOKUP(I1028,Ingreso!K:P,6,0)),IF(F1028&gt;0.25,IF(F1028&lt;0.311805555555556,"Turno A",IF(F1028&gt;0.3125,IF(F1028&lt;0.354166666666667,"Turno C",IF(F1028&gt;0.583333333333333,IF(F1028&lt;0.625,"Turno B",IF(F1028&gt;0.625694444444444,IF(F1028&lt;0.8125,"Turno A",IF(F1028&gt;0.875,IF(F1028&lt;0.936805555555556,"Turno C",IF(F1028&gt;0.9375,IF(F1028&lt;0.979166666666667,"Turno B",""),"")),"")),"")),"")),"")),""))</f>
        <v>Turno C</v>
      </c>
      <c r="L1028" s="91">
        <f t="shared" si="16"/>
        <v>0.375</v>
      </c>
    </row>
    <row r="1029" spans="1:12" s="40" customFormat="1">
      <c r="A1029">
        <v>11657838</v>
      </c>
      <c r="B1029" t="s">
        <v>180</v>
      </c>
      <c r="C1029" t="s">
        <v>925</v>
      </c>
      <c r="D1029" t="s">
        <v>943</v>
      </c>
      <c r="E1029" t="s">
        <v>1439</v>
      </c>
      <c r="F1029" s="78">
        <v>0.3147800925925926</v>
      </c>
      <c r="G1029" t="s">
        <v>1406</v>
      </c>
      <c r="H1029" t="s">
        <v>1336</v>
      </c>
      <c r="I1029" s="88" t="str">
        <f>VLOOKUP(A1029,Base!A:B,2,0)</f>
        <v>11.657.838-7</v>
      </c>
      <c r="J1029" s="99" t="str">
        <f>VLOOKUP(A1029,Base!A:F,6,0)</f>
        <v>JUAN RAMON  SALAMANCA  VIDAL</v>
      </c>
      <c r="K1029" s="89" t="str">
        <f>IFERROR(IF(VLOOKUP(I1029,Ingreso!K:P,6,0)=0,"Sin turtno ing",VLOOKUP(I1029,Ingreso!K:P,6,0)),IF(F1029&gt;0.25,IF(F1029&lt;0.311805555555556,"Turno A",IF(F1029&gt;0.3125,IF(F1029&lt;0.354166666666667,"Turno C",IF(F1029&gt;0.583333333333333,IF(F1029&lt;0.625,"Turno B",IF(F1029&gt;0.625694444444444,IF(F1029&lt;0.8125,"Turno A",IF(F1029&gt;0.875,IF(F1029&lt;0.936805555555556,"Turno C",IF(F1029&gt;0.9375,IF(F1029&lt;0.979166666666667,"Turno B",""),"")),"")),"")),"")),"")),""))</f>
        <v>Turno C</v>
      </c>
      <c r="L1029" s="91">
        <f t="shared" si="16"/>
        <v>0.375</v>
      </c>
    </row>
    <row r="1030" spans="1:12" s="40" customFormat="1">
      <c r="A1030">
        <v>11657838</v>
      </c>
      <c r="B1030" t="s">
        <v>180</v>
      </c>
      <c r="C1030" t="s">
        <v>925</v>
      </c>
      <c r="D1030" t="s">
        <v>943</v>
      </c>
      <c r="E1030" t="s">
        <v>1439</v>
      </c>
      <c r="F1030" s="78">
        <v>0.92799768518518511</v>
      </c>
      <c r="G1030" t="s">
        <v>1405</v>
      </c>
      <c r="H1030" t="s">
        <v>1335</v>
      </c>
      <c r="I1030" s="88" t="str">
        <f>VLOOKUP(A1030,Base!A:B,2,0)</f>
        <v>11.657.838-7</v>
      </c>
      <c r="J1030" s="99" t="str">
        <f>VLOOKUP(A1030,Base!A:F,6,0)</f>
        <v>JUAN RAMON  SALAMANCA  VIDAL</v>
      </c>
      <c r="K1030" s="89" t="str">
        <f>IFERROR(IF(VLOOKUP(I1030,Ingreso!K:P,6,0)=0,"Sin turtno ing",VLOOKUP(I1030,Ingreso!K:P,6,0)),IF(F1030&gt;0.25,IF(F1030&lt;0.311805555555556,"Turno A",IF(F1030&gt;0.3125,IF(F1030&lt;0.354166666666667,"Turno C",IF(F1030&gt;0.583333333333333,IF(F1030&lt;0.625,"Turno B",IF(F1030&gt;0.625694444444444,IF(F1030&lt;0.8125,"Turno A",IF(F1030&gt;0.875,IF(F1030&lt;0.936805555555556,"Turno C",IF(F1030&gt;0.9375,IF(F1030&lt;0.979166666666667,"Turno B",""),"")),"")),"")),"")),"")),""))</f>
        <v>Turno C</v>
      </c>
      <c r="L1030" s="91">
        <f t="shared" si="16"/>
        <v>0.375</v>
      </c>
    </row>
    <row r="1031" spans="1:12" s="40" customFormat="1">
      <c r="A1031">
        <v>11659510</v>
      </c>
      <c r="B1031" t="s">
        <v>667</v>
      </c>
      <c r="C1031" t="s">
        <v>33</v>
      </c>
      <c r="D1031" t="s">
        <v>33</v>
      </c>
      <c r="E1031" t="s">
        <v>1440</v>
      </c>
      <c r="F1031" s="78">
        <v>0.67402777777777778</v>
      </c>
      <c r="G1031" t="s">
        <v>1406</v>
      </c>
      <c r="H1031" t="s">
        <v>1336</v>
      </c>
      <c r="I1031" s="88" t="str">
        <f>VLOOKUP(A1031,Base!A:B,2,0)</f>
        <v>11.659.510-9</v>
      </c>
      <c r="J1031" s="99" t="str">
        <f>VLOOKUP(A1031,Base!A:F,6,0)</f>
        <v>CLAUDIO ARTURO  MUÑOZ  MUÑOZ</v>
      </c>
      <c r="K1031" s="89" t="str">
        <f>IFERROR(IF(VLOOKUP(I1031,Ingreso!K:P,6,0)=0,"Sin turtno ing",VLOOKUP(I1031,Ingreso!K:P,6,0)),IF(F1031&gt;0.25,IF(F1031&lt;0.311805555555556,"Turno A",IF(F1031&gt;0.3125,IF(F1031&lt;0.354166666666667,"Turno C",IF(F1031&gt;0.583333333333333,IF(F1031&lt;0.625,"Turno B",IF(F1031&gt;0.625694444444444,IF(F1031&lt;0.8125,"Turno A",IF(F1031&gt;0.875,IF(F1031&lt;0.936805555555556,"Turno C",IF(F1031&gt;0.9375,IF(F1031&lt;0.979166666666667,"Turno B",""),"")),"")),"")),"")),"")),""))</f>
        <v>Sin turtno ing</v>
      </c>
      <c r="L1031" s="91" t="e">
        <f t="shared" si="16"/>
        <v>#N/A</v>
      </c>
    </row>
    <row r="1032" spans="1:12" s="40" customFormat="1">
      <c r="A1032">
        <v>11659510</v>
      </c>
      <c r="B1032" t="s">
        <v>667</v>
      </c>
      <c r="C1032" t="s">
        <v>33</v>
      </c>
      <c r="D1032" t="s">
        <v>33</v>
      </c>
      <c r="E1032" t="s">
        <v>1440</v>
      </c>
      <c r="F1032" s="78">
        <v>0.30597222222222226</v>
      </c>
      <c r="G1032" t="s">
        <v>1405</v>
      </c>
      <c r="H1032" t="s">
        <v>1335</v>
      </c>
      <c r="I1032" s="88" t="str">
        <f>VLOOKUP(A1032,Base!A:B,2,0)</f>
        <v>11.659.510-9</v>
      </c>
      <c r="J1032" s="99" t="str">
        <f>VLOOKUP(A1032,Base!A:F,6,0)</f>
        <v>CLAUDIO ARTURO  MUÑOZ  MUÑOZ</v>
      </c>
      <c r="K1032" s="89" t="str">
        <f>IFERROR(IF(VLOOKUP(I1032,Ingreso!K:P,6,0)=0,"Sin turtno ing",VLOOKUP(I1032,Ingreso!K:P,6,0)),IF(F1032&gt;0.25,IF(F1032&lt;0.311805555555556,"Turno A",IF(F1032&gt;0.3125,IF(F1032&lt;0.354166666666667,"Turno C",IF(F1032&gt;0.583333333333333,IF(F1032&lt;0.625,"Turno B",IF(F1032&gt;0.625694444444444,IF(F1032&lt;0.8125,"Turno A",IF(F1032&gt;0.875,IF(F1032&lt;0.936805555555556,"Turno C",IF(F1032&gt;0.9375,IF(F1032&lt;0.979166666666667,"Turno B",""),"")),"")),"")),"")),"")),""))</f>
        <v>Sin turtno ing</v>
      </c>
      <c r="L1032" s="91" t="e">
        <f t="shared" si="16"/>
        <v>#N/A</v>
      </c>
    </row>
    <row r="1033" spans="1:12" s="40" customFormat="1">
      <c r="A1033">
        <v>11659510</v>
      </c>
      <c r="B1033" t="s">
        <v>667</v>
      </c>
      <c r="C1033" t="s">
        <v>33</v>
      </c>
      <c r="D1033" t="s">
        <v>33</v>
      </c>
      <c r="E1033" t="s">
        <v>1441</v>
      </c>
      <c r="F1033" s="78">
        <v>0.6367708333333334</v>
      </c>
      <c r="G1033" t="s">
        <v>1406</v>
      </c>
      <c r="H1033" t="s">
        <v>1336</v>
      </c>
      <c r="I1033" s="88" t="str">
        <f>VLOOKUP(A1033,Base!A:B,2,0)</f>
        <v>11.659.510-9</v>
      </c>
      <c r="J1033" s="99" t="str">
        <f>VLOOKUP(A1033,Base!A:F,6,0)</f>
        <v>CLAUDIO ARTURO  MUÑOZ  MUÑOZ</v>
      </c>
      <c r="K1033" s="89" t="str">
        <f>IFERROR(IF(VLOOKUP(I1033,Ingreso!K:P,6,0)=0,"Sin turtno ing",VLOOKUP(I1033,Ingreso!K:P,6,0)),IF(F1033&gt;0.25,IF(F1033&lt;0.311805555555556,"Turno A",IF(F1033&gt;0.3125,IF(F1033&lt;0.354166666666667,"Turno C",IF(F1033&gt;0.583333333333333,IF(F1033&lt;0.625,"Turno B",IF(F1033&gt;0.625694444444444,IF(F1033&lt;0.8125,"Turno A",IF(F1033&gt;0.875,IF(F1033&lt;0.936805555555556,"Turno C",IF(F1033&gt;0.9375,IF(F1033&lt;0.979166666666667,"Turno B",""),"")),"")),"")),"")),"")),""))</f>
        <v>Sin turtno ing</v>
      </c>
      <c r="L1033" s="91" t="e">
        <f t="shared" si="16"/>
        <v>#N/A</v>
      </c>
    </row>
    <row r="1034" spans="1:12" s="40" customFormat="1">
      <c r="A1034">
        <v>11659510</v>
      </c>
      <c r="B1034" t="s">
        <v>667</v>
      </c>
      <c r="C1034" t="s">
        <v>33</v>
      </c>
      <c r="D1034" t="s">
        <v>33</v>
      </c>
      <c r="E1034" t="s">
        <v>1441</v>
      </c>
      <c r="F1034" s="78">
        <v>0.30663194444444447</v>
      </c>
      <c r="G1034" t="s">
        <v>1405</v>
      </c>
      <c r="H1034" t="s">
        <v>1335</v>
      </c>
      <c r="I1034" s="88" t="str">
        <f>VLOOKUP(A1034,Base!A:B,2,0)</f>
        <v>11.659.510-9</v>
      </c>
      <c r="J1034" s="99" t="str">
        <f>VLOOKUP(A1034,Base!A:F,6,0)</f>
        <v>CLAUDIO ARTURO  MUÑOZ  MUÑOZ</v>
      </c>
      <c r="K1034" s="89" t="str">
        <f>IFERROR(IF(VLOOKUP(I1034,Ingreso!K:P,6,0)=0,"Sin turtno ing",VLOOKUP(I1034,Ingreso!K:P,6,0)),IF(F1034&gt;0.25,IF(F1034&lt;0.311805555555556,"Turno A",IF(F1034&gt;0.3125,IF(F1034&lt;0.354166666666667,"Turno C",IF(F1034&gt;0.583333333333333,IF(F1034&lt;0.625,"Turno B",IF(F1034&gt;0.625694444444444,IF(F1034&lt;0.8125,"Turno A",IF(F1034&gt;0.875,IF(F1034&lt;0.936805555555556,"Turno C",IF(F1034&gt;0.9375,IF(F1034&lt;0.979166666666667,"Turno B",""),"")),"")),"")),"")),"")),""))</f>
        <v>Sin turtno ing</v>
      </c>
      <c r="L1034" s="91" t="e">
        <f t="shared" si="16"/>
        <v>#N/A</v>
      </c>
    </row>
    <row r="1035" spans="1:12" s="40" customFormat="1">
      <c r="A1035">
        <v>11659510</v>
      </c>
      <c r="B1035" t="s">
        <v>667</v>
      </c>
      <c r="C1035" t="s">
        <v>33</v>
      </c>
      <c r="D1035" t="s">
        <v>33</v>
      </c>
      <c r="E1035" t="s">
        <v>1437</v>
      </c>
      <c r="F1035" s="78">
        <v>0.63719907407407406</v>
      </c>
      <c r="G1035" t="s">
        <v>1406</v>
      </c>
      <c r="H1035" t="s">
        <v>1336</v>
      </c>
      <c r="I1035" s="88" t="str">
        <f>VLOOKUP(A1035,Base!A:B,2,0)</f>
        <v>11.659.510-9</v>
      </c>
      <c r="J1035" s="99" t="str">
        <f>VLOOKUP(A1035,Base!A:F,6,0)</f>
        <v>CLAUDIO ARTURO  MUÑOZ  MUÑOZ</v>
      </c>
      <c r="K1035" s="89" t="str">
        <f>IFERROR(IF(VLOOKUP(I1035,Ingreso!K:P,6,0)=0,"Sin turtno ing",VLOOKUP(I1035,Ingreso!K:P,6,0)),IF(F1035&gt;0.25,IF(F1035&lt;0.311805555555556,"Turno A",IF(F1035&gt;0.3125,IF(F1035&lt;0.354166666666667,"Turno C",IF(F1035&gt;0.583333333333333,IF(F1035&lt;0.625,"Turno B",IF(F1035&gt;0.625694444444444,IF(F1035&lt;0.8125,"Turno A",IF(F1035&gt;0.875,IF(F1035&lt;0.936805555555556,"Turno C",IF(F1035&gt;0.9375,IF(F1035&lt;0.979166666666667,"Turno B",""),"")),"")),"")),"")),"")),""))</f>
        <v>Sin turtno ing</v>
      </c>
      <c r="L1035" s="91" t="e">
        <f t="shared" si="16"/>
        <v>#N/A</v>
      </c>
    </row>
    <row r="1036" spans="1:12" s="40" customFormat="1">
      <c r="A1036">
        <v>11659510</v>
      </c>
      <c r="B1036" t="s">
        <v>667</v>
      </c>
      <c r="C1036" t="s">
        <v>33</v>
      </c>
      <c r="D1036" t="s">
        <v>33</v>
      </c>
      <c r="E1036" t="s">
        <v>1437</v>
      </c>
      <c r="F1036" s="78">
        <v>0.30583333333333335</v>
      </c>
      <c r="G1036" t="s">
        <v>1405</v>
      </c>
      <c r="H1036" t="s">
        <v>1335</v>
      </c>
      <c r="I1036" s="88" t="str">
        <f>VLOOKUP(A1036,Base!A:B,2,0)</f>
        <v>11.659.510-9</v>
      </c>
      <c r="J1036" s="99" t="str">
        <f>VLOOKUP(A1036,Base!A:F,6,0)</f>
        <v>CLAUDIO ARTURO  MUÑOZ  MUÑOZ</v>
      </c>
      <c r="K1036" s="89" t="str">
        <f>IFERROR(IF(VLOOKUP(I1036,Ingreso!K:P,6,0)=0,"Sin turtno ing",VLOOKUP(I1036,Ingreso!K:P,6,0)),IF(F1036&gt;0.25,IF(F1036&lt;0.311805555555556,"Turno A",IF(F1036&gt;0.3125,IF(F1036&lt;0.354166666666667,"Turno C",IF(F1036&gt;0.583333333333333,IF(F1036&lt;0.625,"Turno B",IF(F1036&gt;0.625694444444444,IF(F1036&lt;0.8125,"Turno A",IF(F1036&gt;0.875,IF(F1036&lt;0.936805555555556,"Turno C",IF(F1036&gt;0.9375,IF(F1036&lt;0.979166666666667,"Turno B",""),"")),"")),"")),"")),"")),""))</f>
        <v>Sin turtno ing</v>
      </c>
      <c r="L1036" s="91" t="e">
        <f t="shared" si="16"/>
        <v>#N/A</v>
      </c>
    </row>
    <row r="1037" spans="1:12" s="40" customFormat="1">
      <c r="A1037">
        <v>11659510</v>
      </c>
      <c r="B1037" t="s">
        <v>667</v>
      </c>
      <c r="C1037" t="s">
        <v>33</v>
      </c>
      <c r="D1037" t="s">
        <v>33</v>
      </c>
      <c r="E1037" t="s">
        <v>1438</v>
      </c>
      <c r="F1037" s="78">
        <v>0.70918981481481491</v>
      </c>
      <c r="G1037" t="s">
        <v>1406</v>
      </c>
      <c r="H1037" t="s">
        <v>1336</v>
      </c>
      <c r="I1037" s="88" t="str">
        <f>VLOOKUP(A1037,Base!A:B,2,0)</f>
        <v>11.659.510-9</v>
      </c>
      <c r="J1037" s="99" t="str">
        <f>VLOOKUP(A1037,Base!A:F,6,0)</f>
        <v>CLAUDIO ARTURO  MUÑOZ  MUÑOZ</v>
      </c>
      <c r="K1037" s="89" t="str">
        <f>IFERROR(IF(VLOOKUP(I1037,Ingreso!K:P,6,0)=0,"Sin turtno ing",VLOOKUP(I1037,Ingreso!K:P,6,0)),IF(F1037&gt;0.25,IF(F1037&lt;0.311805555555556,"Turno A",IF(F1037&gt;0.3125,IF(F1037&lt;0.354166666666667,"Turno C",IF(F1037&gt;0.583333333333333,IF(F1037&lt;0.625,"Turno B",IF(F1037&gt;0.625694444444444,IF(F1037&lt;0.8125,"Turno A",IF(F1037&gt;0.875,IF(F1037&lt;0.936805555555556,"Turno C",IF(F1037&gt;0.9375,IF(F1037&lt;0.979166666666667,"Turno B",""),"")),"")),"")),"")),"")),""))</f>
        <v>Sin turtno ing</v>
      </c>
      <c r="L1037" s="91" t="e">
        <f t="shared" si="16"/>
        <v>#N/A</v>
      </c>
    </row>
    <row r="1038" spans="1:12" s="40" customFormat="1">
      <c r="A1038">
        <v>11659510</v>
      </c>
      <c r="B1038" t="s">
        <v>667</v>
      </c>
      <c r="C1038" t="s">
        <v>33</v>
      </c>
      <c r="D1038" t="s">
        <v>33</v>
      </c>
      <c r="E1038" t="s">
        <v>1438</v>
      </c>
      <c r="F1038" s="78">
        <v>0.3066666666666667</v>
      </c>
      <c r="G1038" t="s">
        <v>1405</v>
      </c>
      <c r="H1038" t="s">
        <v>1335</v>
      </c>
      <c r="I1038" s="88" t="str">
        <f>VLOOKUP(A1038,Base!A:B,2,0)</f>
        <v>11.659.510-9</v>
      </c>
      <c r="J1038" s="99" t="str">
        <f>VLOOKUP(A1038,Base!A:F,6,0)</f>
        <v>CLAUDIO ARTURO  MUÑOZ  MUÑOZ</v>
      </c>
      <c r="K1038" s="89" t="str">
        <f>IFERROR(IF(VLOOKUP(I1038,Ingreso!K:P,6,0)=0,"Sin turtno ing",VLOOKUP(I1038,Ingreso!K:P,6,0)),IF(F1038&gt;0.25,IF(F1038&lt;0.311805555555556,"Turno A",IF(F1038&gt;0.3125,IF(F1038&lt;0.354166666666667,"Turno C",IF(F1038&gt;0.583333333333333,IF(F1038&lt;0.625,"Turno B",IF(F1038&gt;0.625694444444444,IF(F1038&lt;0.8125,"Turno A",IF(F1038&gt;0.875,IF(F1038&lt;0.936805555555556,"Turno C",IF(F1038&gt;0.9375,IF(F1038&lt;0.979166666666667,"Turno B",""),"")),"")),"")),"")),"")),""))</f>
        <v>Sin turtno ing</v>
      </c>
      <c r="L1038" s="91" t="e">
        <f t="shared" si="16"/>
        <v>#N/A</v>
      </c>
    </row>
    <row r="1039" spans="1:12" s="40" customFormat="1">
      <c r="A1039">
        <v>11659510</v>
      </c>
      <c r="B1039" t="s">
        <v>667</v>
      </c>
      <c r="C1039" t="s">
        <v>33</v>
      </c>
      <c r="D1039" t="s">
        <v>33</v>
      </c>
      <c r="E1039" t="s">
        <v>1439</v>
      </c>
      <c r="F1039" s="78">
        <v>0.672337962962963</v>
      </c>
      <c r="G1039" t="s">
        <v>1406</v>
      </c>
      <c r="H1039" t="s">
        <v>1336</v>
      </c>
      <c r="I1039" s="88" t="str">
        <f>VLOOKUP(A1039,Base!A:B,2,0)</f>
        <v>11.659.510-9</v>
      </c>
      <c r="J1039" s="99" t="str">
        <f>VLOOKUP(A1039,Base!A:F,6,0)</f>
        <v>CLAUDIO ARTURO  MUÑOZ  MUÑOZ</v>
      </c>
      <c r="K1039" s="89" t="str">
        <f>IFERROR(IF(VLOOKUP(I1039,Ingreso!K:P,6,0)=0,"Sin turtno ing",VLOOKUP(I1039,Ingreso!K:P,6,0)),IF(F1039&gt;0.25,IF(F1039&lt;0.311805555555556,"Turno A",IF(F1039&gt;0.3125,IF(F1039&lt;0.354166666666667,"Turno C",IF(F1039&gt;0.583333333333333,IF(F1039&lt;0.625,"Turno B",IF(F1039&gt;0.625694444444444,IF(F1039&lt;0.8125,"Turno A",IF(F1039&gt;0.875,IF(F1039&lt;0.936805555555556,"Turno C",IF(F1039&gt;0.9375,IF(F1039&lt;0.979166666666667,"Turno B",""),"")),"")),"")),"")),"")),""))</f>
        <v>Sin turtno ing</v>
      </c>
      <c r="L1039" s="91" t="e">
        <f t="shared" si="16"/>
        <v>#N/A</v>
      </c>
    </row>
    <row r="1040" spans="1:12" s="40" customFormat="1">
      <c r="A1040">
        <v>11659510</v>
      </c>
      <c r="B1040" t="s">
        <v>667</v>
      </c>
      <c r="C1040" t="s">
        <v>33</v>
      </c>
      <c r="D1040" t="s">
        <v>33</v>
      </c>
      <c r="E1040" t="s">
        <v>1439</v>
      </c>
      <c r="F1040" s="78">
        <v>0.30746527777777777</v>
      </c>
      <c r="G1040" t="s">
        <v>1405</v>
      </c>
      <c r="H1040" t="s">
        <v>1335</v>
      </c>
      <c r="I1040" s="88" t="str">
        <f>VLOOKUP(A1040,Base!A:B,2,0)</f>
        <v>11.659.510-9</v>
      </c>
      <c r="J1040" s="99" t="str">
        <f>VLOOKUP(A1040,Base!A:F,6,0)</f>
        <v>CLAUDIO ARTURO  MUÑOZ  MUÑOZ</v>
      </c>
      <c r="K1040" s="89" t="str">
        <f>IFERROR(IF(VLOOKUP(I1040,Ingreso!K:P,6,0)=0,"Sin turtno ing",VLOOKUP(I1040,Ingreso!K:P,6,0)),IF(F1040&gt;0.25,IF(F1040&lt;0.311805555555556,"Turno A",IF(F1040&gt;0.3125,IF(F1040&lt;0.354166666666667,"Turno C",IF(F1040&gt;0.583333333333333,IF(F1040&lt;0.625,"Turno B",IF(F1040&gt;0.625694444444444,IF(F1040&lt;0.8125,"Turno A",IF(F1040&gt;0.875,IF(F1040&lt;0.936805555555556,"Turno C",IF(F1040&gt;0.9375,IF(F1040&lt;0.979166666666667,"Turno B",""),"")),"")),"")),"")),"")),""))</f>
        <v>Sin turtno ing</v>
      </c>
      <c r="L1040" s="91" t="e">
        <f t="shared" si="16"/>
        <v>#N/A</v>
      </c>
    </row>
    <row r="1041" spans="1:12" s="40" customFormat="1">
      <c r="A1041">
        <v>11660411</v>
      </c>
      <c r="B1041" t="s">
        <v>269</v>
      </c>
      <c r="C1041" t="s">
        <v>267</v>
      </c>
      <c r="D1041" t="s">
        <v>268</v>
      </c>
      <c r="E1041" t="s">
        <v>1440</v>
      </c>
      <c r="F1041" s="78">
        <v>0.33076388888888891</v>
      </c>
      <c r="G1041" t="s">
        <v>1406</v>
      </c>
      <c r="H1041" t="s">
        <v>1336</v>
      </c>
      <c r="I1041" s="88" t="str">
        <f>VLOOKUP(A1041,Base!A:B,2,0)</f>
        <v>11.660.411-6</v>
      </c>
      <c r="J1041" s="99" t="str">
        <f>VLOOKUP(A1041,Base!A:F,6,0)</f>
        <v>SIXTO PATRICIO  CORTES  HERRERA</v>
      </c>
      <c r="K1041" s="89" t="str">
        <f>IFERROR(IF(VLOOKUP(I1041,Ingreso!K:P,6,0)=0,"Sin turtno ing",VLOOKUP(I1041,Ingreso!K:P,6,0)),IF(F1041&gt;0.25,IF(F1041&lt;0.311805555555556,"Turno A",IF(F1041&gt;0.3125,IF(F1041&lt;0.354166666666667,"Turno C",IF(F1041&gt;0.583333333333333,IF(F1041&lt;0.625,"Turno B",IF(F1041&gt;0.625694444444444,IF(F1041&lt;0.8125,"Turno A",IF(F1041&gt;0.875,IF(F1041&lt;0.936805555555556,"Turno C",IF(F1041&gt;0.9375,IF(F1041&lt;0.979166666666667,"Turno B",""),"")),"")),"")),"")),"")),""))</f>
        <v>Sin turtno ing</v>
      </c>
      <c r="L1041" s="91" t="e">
        <f t="shared" si="16"/>
        <v>#N/A</v>
      </c>
    </row>
    <row r="1042" spans="1:12" s="40" customFormat="1">
      <c r="A1042">
        <v>11660411</v>
      </c>
      <c r="B1042" t="s">
        <v>269</v>
      </c>
      <c r="C1042" t="s">
        <v>267</v>
      </c>
      <c r="D1042" t="s">
        <v>268</v>
      </c>
      <c r="E1042" t="s">
        <v>1440</v>
      </c>
      <c r="F1042" s="78">
        <v>0.9205902777777778</v>
      </c>
      <c r="G1042" t="s">
        <v>1405</v>
      </c>
      <c r="H1042" t="s">
        <v>1335</v>
      </c>
      <c r="I1042" s="88" t="str">
        <f>VLOOKUP(A1042,Base!A:B,2,0)</f>
        <v>11.660.411-6</v>
      </c>
      <c r="J1042" s="99" t="str">
        <f>VLOOKUP(A1042,Base!A:F,6,0)</f>
        <v>SIXTO PATRICIO  CORTES  HERRERA</v>
      </c>
      <c r="K1042" s="89" t="str">
        <f>IFERROR(IF(VLOOKUP(I1042,Ingreso!K:P,6,0)=0,"Sin turtno ing",VLOOKUP(I1042,Ingreso!K:P,6,0)),IF(F1042&gt;0.25,IF(F1042&lt;0.311805555555556,"Turno A",IF(F1042&gt;0.3125,IF(F1042&lt;0.354166666666667,"Turno C",IF(F1042&gt;0.583333333333333,IF(F1042&lt;0.625,"Turno B",IF(F1042&gt;0.625694444444444,IF(F1042&lt;0.8125,"Turno A",IF(F1042&gt;0.875,IF(F1042&lt;0.936805555555556,"Turno C",IF(F1042&gt;0.9375,IF(F1042&lt;0.979166666666667,"Turno B",""),"")),"")),"")),"")),"")),""))</f>
        <v>Sin turtno ing</v>
      </c>
      <c r="L1042" s="91" t="e">
        <f t="shared" si="16"/>
        <v>#N/A</v>
      </c>
    </row>
    <row r="1043" spans="1:12" s="40" customFormat="1">
      <c r="A1043">
        <v>11660411</v>
      </c>
      <c r="B1043" t="s">
        <v>269</v>
      </c>
      <c r="C1043" t="s">
        <v>267</v>
      </c>
      <c r="D1043" t="s">
        <v>268</v>
      </c>
      <c r="E1043" t="s">
        <v>1441</v>
      </c>
      <c r="F1043" s="78">
        <v>0.3316087962962963</v>
      </c>
      <c r="G1043" t="s">
        <v>1406</v>
      </c>
      <c r="H1043" t="s">
        <v>1336</v>
      </c>
      <c r="I1043" s="88" t="str">
        <f>VLOOKUP(A1043,Base!A:B,2,0)</f>
        <v>11.660.411-6</v>
      </c>
      <c r="J1043" s="99" t="str">
        <f>VLOOKUP(A1043,Base!A:F,6,0)</f>
        <v>SIXTO PATRICIO  CORTES  HERRERA</v>
      </c>
      <c r="K1043" s="89" t="str">
        <f>IFERROR(IF(VLOOKUP(I1043,Ingreso!K:P,6,0)=0,"Sin turtno ing",VLOOKUP(I1043,Ingreso!K:P,6,0)),IF(F1043&gt;0.25,IF(F1043&lt;0.311805555555556,"Turno A",IF(F1043&gt;0.3125,IF(F1043&lt;0.354166666666667,"Turno C",IF(F1043&gt;0.583333333333333,IF(F1043&lt;0.625,"Turno B",IF(F1043&gt;0.625694444444444,IF(F1043&lt;0.8125,"Turno A",IF(F1043&gt;0.875,IF(F1043&lt;0.936805555555556,"Turno C",IF(F1043&gt;0.9375,IF(F1043&lt;0.979166666666667,"Turno B",""),"")),"")),"")),"")),"")),""))</f>
        <v>Sin turtno ing</v>
      </c>
      <c r="L1043" s="91" t="e">
        <f t="shared" si="16"/>
        <v>#N/A</v>
      </c>
    </row>
    <row r="1044" spans="1:12" s="40" customFormat="1">
      <c r="A1044">
        <v>11660411</v>
      </c>
      <c r="B1044" t="s">
        <v>269</v>
      </c>
      <c r="C1044" t="s">
        <v>267</v>
      </c>
      <c r="D1044" t="s">
        <v>268</v>
      </c>
      <c r="E1044" t="s">
        <v>1437</v>
      </c>
      <c r="F1044" s="78">
        <v>0.91863425925925923</v>
      </c>
      <c r="G1044" t="s">
        <v>1405</v>
      </c>
      <c r="H1044" t="s">
        <v>1335</v>
      </c>
      <c r="I1044" s="88" t="str">
        <f>VLOOKUP(A1044,Base!A:B,2,0)</f>
        <v>11.660.411-6</v>
      </c>
      <c r="J1044" s="99" t="str">
        <f>VLOOKUP(A1044,Base!A:F,6,0)</f>
        <v>SIXTO PATRICIO  CORTES  HERRERA</v>
      </c>
      <c r="K1044" s="89" t="str">
        <f>IFERROR(IF(VLOOKUP(I1044,Ingreso!K:P,6,0)=0,"Sin turtno ing",VLOOKUP(I1044,Ingreso!K:P,6,0)),IF(F1044&gt;0.25,IF(F1044&lt;0.311805555555556,"Turno A",IF(F1044&gt;0.3125,IF(F1044&lt;0.354166666666667,"Turno C",IF(F1044&gt;0.583333333333333,IF(F1044&lt;0.625,"Turno B",IF(F1044&gt;0.625694444444444,IF(F1044&lt;0.8125,"Turno A",IF(F1044&gt;0.875,IF(F1044&lt;0.936805555555556,"Turno C",IF(F1044&gt;0.9375,IF(F1044&lt;0.979166666666667,"Turno B",""),"")),"")),"")),"")),"")),""))</f>
        <v>Sin turtno ing</v>
      </c>
      <c r="L1044" s="91" t="e">
        <f t="shared" si="16"/>
        <v>#N/A</v>
      </c>
    </row>
    <row r="1045" spans="1:12" s="40" customFormat="1">
      <c r="A1045">
        <v>11660411</v>
      </c>
      <c r="B1045" t="s">
        <v>269</v>
      </c>
      <c r="C1045" t="s">
        <v>267</v>
      </c>
      <c r="D1045" t="s">
        <v>268</v>
      </c>
      <c r="E1045" t="s">
        <v>1438</v>
      </c>
      <c r="F1045" s="78">
        <v>0.32668981481481479</v>
      </c>
      <c r="G1045" t="s">
        <v>1406</v>
      </c>
      <c r="H1045" t="s">
        <v>1336</v>
      </c>
      <c r="I1045" s="88" t="str">
        <f>VLOOKUP(A1045,Base!A:B,2,0)</f>
        <v>11.660.411-6</v>
      </c>
      <c r="J1045" s="99" t="str">
        <f>VLOOKUP(A1045,Base!A:F,6,0)</f>
        <v>SIXTO PATRICIO  CORTES  HERRERA</v>
      </c>
      <c r="K1045" s="89" t="str">
        <f>IFERROR(IF(VLOOKUP(I1045,Ingreso!K:P,6,0)=0,"Sin turtno ing",VLOOKUP(I1045,Ingreso!K:P,6,0)),IF(F1045&gt;0.25,IF(F1045&lt;0.311805555555556,"Turno A",IF(F1045&gt;0.3125,IF(F1045&lt;0.354166666666667,"Turno C",IF(F1045&gt;0.583333333333333,IF(F1045&lt;0.625,"Turno B",IF(F1045&gt;0.625694444444444,IF(F1045&lt;0.8125,"Turno A",IF(F1045&gt;0.875,IF(F1045&lt;0.936805555555556,"Turno C",IF(F1045&gt;0.9375,IF(F1045&lt;0.979166666666667,"Turno B",""),"")),"")),"")),"")),"")),""))</f>
        <v>Sin turtno ing</v>
      </c>
      <c r="L1045" s="91" t="e">
        <f t="shared" si="16"/>
        <v>#N/A</v>
      </c>
    </row>
    <row r="1046" spans="1:12" s="40" customFormat="1">
      <c r="A1046">
        <v>11660411</v>
      </c>
      <c r="B1046" t="s">
        <v>269</v>
      </c>
      <c r="C1046" t="s">
        <v>267</v>
      </c>
      <c r="D1046" t="s">
        <v>268</v>
      </c>
      <c r="E1046" t="s">
        <v>1438</v>
      </c>
      <c r="F1046" s="78">
        <v>0.92045138888888889</v>
      </c>
      <c r="G1046" t="s">
        <v>1405</v>
      </c>
      <c r="H1046" t="s">
        <v>1335</v>
      </c>
      <c r="I1046" s="88" t="str">
        <f>VLOOKUP(A1046,Base!A:B,2,0)</f>
        <v>11.660.411-6</v>
      </c>
      <c r="J1046" s="99" t="str">
        <f>VLOOKUP(A1046,Base!A:F,6,0)</f>
        <v>SIXTO PATRICIO  CORTES  HERRERA</v>
      </c>
      <c r="K1046" s="89" t="str">
        <f>IFERROR(IF(VLOOKUP(I1046,Ingreso!K:P,6,0)=0,"Sin turtno ing",VLOOKUP(I1046,Ingreso!K:P,6,0)),IF(F1046&gt;0.25,IF(F1046&lt;0.311805555555556,"Turno A",IF(F1046&gt;0.3125,IF(F1046&lt;0.354166666666667,"Turno C",IF(F1046&gt;0.583333333333333,IF(F1046&lt;0.625,"Turno B",IF(F1046&gt;0.625694444444444,IF(F1046&lt;0.8125,"Turno A",IF(F1046&gt;0.875,IF(F1046&lt;0.936805555555556,"Turno C",IF(F1046&gt;0.9375,IF(F1046&lt;0.979166666666667,"Turno B",""),"")),"")),"")),"")),"")),""))</f>
        <v>Sin turtno ing</v>
      </c>
      <c r="L1046" s="91" t="e">
        <f t="shared" si="16"/>
        <v>#N/A</v>
      </c>
    </row>
    <row r="1047" spans="1:12" s="40" customFormat="1">
      <c r="A1047">
        <v>11660411</v>
      </c>
      <c r="B1047" t="s">
        <v>269</v>
      </c>
      <c r="C1047" t="s">
        <v>267</v>
      </c>
      <c r="D1047" t="s">
        <v>268</v>
      </c>
      <c r="E1047" t="s">
        <v>1439</v>
      </c>
      <c r="F1047" s="78">
        <v>0.32704861111111111</v>
      </c>
      <c r="G1047" t="s">
        <v>1406</v>
      </c>
      <c r="H1047" t="s">
        <v>1336</v>
      </c>
      <c r="I1047" s="88" t="str">
        <f>VLOOKUP(A1047,Base!A:B,2,0)</f>
        <v>11.660.411-6</v>
      </c>
      <c r="J1047" s="99" t="str">
        <f>VLOOKUP(A1047,Base!A:F,6,0)</f>
        <v>SIXTO PATRICIO  CORTES  HERRERA</v>
      </c>
      <c r="K1047" s="89" t="str">
        <f>IFERROR(IF(VLOOKUP(I1047,Ingreso!K:P,6,0)=0,"Sin turtno ing",VLOOKUP(I1047,Ingreso!K:P,6,0)),IF(F1047&gt;0.25,IF(F1047&lt;0.311805555555556,"Turno A",IF(F1047&gt;0.3125,IF(F1047&lt;0.354166666666667,"Turno C",IF(F1047&gt;0.583333333333333,IF(F1047&lt;0.625,"Turno B",IF(F1047&gt;0.625694444444444,IF(F1047&lt;0.8125,"Turno A",IF(F1047&gt;0.875,IF(F1047&lt;0.936805555555556,"Turno C",IF(F1047&gt;0.9375,IF(F1047&lt;0.979166666666667,"Turno B",""),"")),"")),"")),"")),"")),""))</f>
        <v>Sin turtno ing</v>
      </c>
      <c r="L1047" s="91" t="e">
        <f t="shared" si="16"/>
        <v>#N/A</v>
      </c>
    </row>
    <row r="1048" spans="1:12" s="40" customFormat="1">
      <c r="A1048">
        <v>11660411</v>
      </c>
      <c r="B1048" t="s">
        <v>269</v>
      </c>
      <c r="C1048" t="s">
        <v>267</v>
      </c>
      <c r="D1048" t="s">
        <v>268</v>
      </c>
      <c r="E1048" t="s">
        <v>1439</v>
      </c>
      <c r="F1048" s="78">
        <v>0.96577546296296291</v>
      </c>
      <c r="G1048" t="s">
        <v>1405</v>
      </c>
      <c r="H1048" t="s">
        <v>1335</v>
      </c>
      <c r="I1048" s="88" t="str">
        <f>VLOOKUP(A1048,Base!A:B,2,0)</f>
        <v>11.660.411-6</v>
      </c>
      <c r="J1048" s="99" t="str">
        <f>VLOOKUP(A1048,Base!A:F,6,0)</f>
        <v>SIXTO PATRICIO  CORTES  HERRERA</v>
      </c>
      <c r="K1048" s="89" t="str">
        <f>IFERROR(IF(VLOOKUP(I1048,Ingreso!K:P,6,0)=0,"Sin turtno ing",VLOOKUP(I1048,Ingreso!K:P,6,0)),IF(F1048&gt;0.25,IF(F1048&lt;0.311805555555556,"Turno A",IF(F1048&gt;0.3125,IF(F1048&lt;0.354166666666667,"Turno C",IF(F1048&gt;0.583333333333333,IF(F1048&lt;0.625,"Turno B",IF(F1048&gt;0.625694444444444,IF(F1048&lt;0.8125,"Turno A",IF(F1048&gt;0.875,IF(F1048&lt;0.936805555555556,"Turno C",IF(F1048&gt;0.9375,IF(F1048&lt;0.979166666666667,"Turno B",""),"")),"")),"")),"")),"")),""))</f>
        <v>Sin turtno ing</v>
      </c>
      <c r="L1048" s="91" t="e">
        <f t="shared" si="16"/>
        <v>#N/A</v>
      </c>
    </row>
    <row r="1049" spans="1:12" s="40" customFormat="1">
      <c r="A1049">
        <v>11754811</v>
      </c>
      <c r="B1049" t="s">
        <v>688</v>
      </c>
      <c r="C1049" t="s">
        <v>687</v>
      </c>
      <c r="D1049" t="s">
        <v>179</v>
      </c>
      <c r="E1049" t="s">
        <v>1407</v>
      </c>
      <c r="F1049" s="78">
        <v>0</v>
      </c>
      <c r="G1049"/>
      <c r="H1049"/>
      <c r="I1049" s="88" t="str">
        <f>VLOOKUP(A1049,Base!A:B,2,0)</f>
        <v>11.754.811-2</v>
      </c>
      <c r="J1049" s="99" t="str">
        <f>VLOOKUP(A1049,Base!A:F,6,0)</f>
        <v>ALEXIS ANTONIO  NARVAI  DIAZ</v>
      </c>
      <c r="K1049" s="89" t="str">
        <f>IFERROR(IF(VLOOKUP(I1049,Ingreso!K:P,6,0)=0,"Sin turtno ing",VLOOKUP(I1049,Ingreso!K:P,6,0)),IF(F1049&gt;0.25,IF(F1049&lt;0.311805555555556,"Turno A",IF(F1049&gt;0.3125,IF(F1049&lt;0.354166666666667,"Turno C",IF(F1049&gt;0.583333333333333,IF(F1049&lt;0.625,"Turno B",IF(F1049&gt;0.625694444444444,IF(F1049&lt;0.8125,"Turno A",IF(F1049&gt;0.875,IF(F1049&lt;0.936805555555556,"Turno C",IF(F1049&gt;0.9375,IF(F1049&lt;0.979166666666667,"Turno B",""),"")),"")),"")),"")),"")),""))</f>
        <v>Sin turtno ing</v>
      </c>
      <c r="L1049" s="91" t="e">
        <f t="shared" si="16"/>
        <v>#N/A</v>
      </c>
    </row>
    <row r="1050" spans="1:12" s="40" customFormat="1">
      <c r="A1050">
        <v>11840491</v>
      </c>
      <c r="B1050" t="s">
        <v>1033</v>
      </c>
      <c r="C1050" t="s">
        <v>706</v>
      </c>
      <c r="D1050" t="s">
        <v>1032</v>
      </c>
      <c r="E1050" t="s">
        <v>1440</v>
      </c>
      <c r="F1050" s="78">
        <v>0.63896990740740744</v>
      </c>
      <c r="G1050" t="s">
        <v>1406</v>
      </c>
      <c r="H1050" t="s">
        <v>1336</v>
      </c>
      <c r="I1050" s="88" t="str">
        <f>VLOOKUP(A1050,Base!A:B,2,0)</f>
        <v>11.840.491-2</v>
      </c>
      <c r="J1050" s="99" t="str">
        <f>VLOOKUP(A1050,Base!A:F,6,0)</f>
        <v>CESAR OMAR  TORRES  FARIAS</v>
      </c>
      <c r="K1050" s="89" t="str">
        <f>IFERROR(IF(VLOOKUP(I1050,Ingreso!K:P,6,0)=0,"Sin turtno ing",VLOOKUP(I1050,Ingreso!K:P,6,0)),IF(F1050&gt;0.25,IF(F1050&lt;0.311805555555556,"Turno A",IF(F1050&gt;0.3125,IF(F1050&lt;0.354166666666667,"Turno C",IF(F1050&gt;0.583333333333333,IF(F1050&lt;0.625,"Turno B",IF(F1050&gt;0.625694444444444,IF(F1050&lt;0.8125,"Turno A",IF(F1050&gt;0.875,IF(F1050&lt;0.936805555555556,"Turno C",IF(F1050&gt;0.9375,IF(F1050&lt;0.979166666666667,"Turno B",""),"")),"")),"")),"")),"")),""))</f>
        <v>Turno A</v>
      </c>
      <c r="L1050" s="91">
        <f t="shared" si="16"/>
        <v>0.3125</v>
      </c>
    </row>
    <row r="1051" spans="1:12" s="40" customFormat="1">
      <c r="A1051">
        <v>11840491</v>
      </c>
      <c r="B1051" t="s">
        <v>1033</v>
      </c>
      <c r="C1051" t="s">
        <v>706</v>
      </c>
      <c r="D1051" t="s">
        <v>1032</v>
      </c>
      <c r="E1051" t="s">
        <v>1440</v>
      </c>
      <c r="F1051" s="78">
        <v>0.29145833333333332</v>
      </c>
      <c r="G1051" t="s">
        <v>1405</v>
      </c>
      <c r="H1051" t="s">
        <v>1335</v>
      </c>
      <c r="I1051" s="88" t="str">
        <f>VLOOKUP(A1051,Base!A:B,2,0)</f>
        <v>11.840.491-2</v>
      </c>
      <c r="J1051" s="99" t="str">
        <f>VLOOKUP(A1051,Base!A:F,6,0)</f>
        <v>CESAR OMAR  TORRES  FARIAS</v>
      </c>
      <c r="K1051" s="89" t="str">
        <f>IFERROR(IF(VLOOKUP(I1051,Ingreso!K:P,6,0)=0,"Sin turtno ing",VLOOKUP(I1051,Ingreso!K:P,6,0)),IF(F1051&gt;0.25,IF(F1051&lt;0.311805555555556,"Turno A",IF(F1051&gt;0.3125,IF(F1051&lt;0.354166666666667,"Turno C",IF(F1051&gt;0.583333333333333,IF(F1051&lt;0.625,"Turno B",IF(F1051&gt;0.625694444444444,IF(F1051&lt;0.8125,"Turno A",IF(F1051&gt;0.875,IF(F1051&lt;0.936805555555556,"Turno C",IF(F1051&gt;0.9375,IF(F1051&lt;0.979166666666667,"Turno B",""),"")),"")),"")),"")),"")),""))</f>
        <v>Turno A</v>
      </c>
      <c r="L1051" s="91">
        <f t="shared" si="16"/>
        <v>0.3125</v>
      </c>
    </row>
    <row r="1052" spans="1:12" s="40" customFormat="1">
      <c r="A1052">
        <v>11840491</v>
      </c>
      <c r="B1052" t="s">
        <v>1033</v>
      </c>
      <c r="C1052" t="s">
        <v>706</v>
      </c>
      <c r="D1052" t="s">
        <v>1032</v>
      </c>
      <c r="E1052" t="s">
        <v>1441</v>
      </c>
      <c r="F1052" s="78">
        <v>0.62212962962962959</v>
      </c>
      <c r="G1052" t="s">
        <v>1406</v>
      </c>
      <c r="H1052" t="s">
        <v>1336</v>
      </c>
      <c r="I1052" s="88" t="str">
        <f>VLOOKUP(A1052,Base!A:B,2,0)</f>
        <v>11.840.491-2</v>
      </c>
      <c r="J1052" s="99" t="str">
        <f>VLOOKUP(A1052,Base!A:F,6,0)</f>
        <v>CESAR OMAR  TORRES  FARIAS</v>
      </c>
      <c r="K1052" s="89" t="str">
        <f>IFERROR(IF(VLOOKUP(I1052,Ingreso!K:P,6,0)=0,"Sin turtno ing",VLOOKUP(I1052,Ingreso!K:P,6,0)),IF(F1052&gt;0.25,IF(F1052&lt;0.311805555555556,"Turno A",IF(F1052&gt;0.3125,IF(F1052&lt;0.354166666666667,"Turno C",IF(F1052&gt;0.583333333333333,IF(F1052&lt;0.625,"Turno B",IF(F1052&gt;0.625694444444444,IF(F1052&lt;0.8125,"Turno A",IF(F1052&gt;0.875,IF(F1052&lt;0.936805555555556,"Turno C",IF(F1052&gt;0.9375,IF(F1052&lt;0.979166666666667,"Turno B",""),"")),"")),"")),"")),"")),""))</f>
        <v>Turno B</v>
      </c>
      <c r="L1052" s="91">
        <f t="shared" si="16"/>
        <v>0.3125</v>
      </c>
    </row>
    <row r="1053" spans="1:12" s="40" customFormat="1">
      <c r="A1053">
        <v>11840491</v>
      </c>
      <c r="B1053" t="s">
        <v>1033</v>
      </c>
      <c r="C1053" t="s">
        <v>706</v>
      </c>
      <c r="D1053" t="s">
        <v>1032</v>
      </c>
      <c r="E1053" t="s">
        <v>1441</v>
      </c>
      <c r="F1053" s="78">
        <v>0.4715509259259259</v>
      </c>
      <c r="G1053" t="s">
        <v>1405</v>
      </c>
      <c r="H1053" t="s">
        <v>1335</v>
      </c>
      <c r="I1053" s="88" t="str">
        <f>VLOOKUP(A1053,Base!A:B,2,0)</f>
        <v>11.840.491-2</v>
      </c>
      <c r="J1053" s="99" t="str">
        <f>VLOOKUP(A1053,Base!A:F,6,0)</f>
        <v>CESAR OMAR  TORRES  FARIAS</v>
      </c>
      <c r="K1053" s="89" t="str">
        <f>IFERROR(IF(VLOOKUP(I1053,Ingreso!K:P,6,0)=0,"Sin turtno ing",VLOOKUP(I1053,Ingreso!K:P,6,0)),IF(F1053&gt;0.25,IF(F1053&lt;0.311805555555556,"Turno A",IF(F1053&gt;0.3125,IF(F1053&lt;0.354166666666667,"Turno C",IF(F1053&gt;0.583333333333333,IF(F1053&lt;0.625,"Turno B",IF(F1053&gt;0.625694444444444,IF(F1053&lt;0.8125,"Turno A",IF(F1053&gt;0.875,IF(F1053&lt;0.936805555555556,"Turno C",IF(F1053&gt;0.9375,IF(F1053&lt;0.979166666666667,"Turno B",""),"")),"")),"")),"")),"")),""))</f>
        <v/>
      </c>
      <c r="L1053" s="91" t="e">
        <f t="shared" si="16"/>
        <v>#N/A</v>
      </c>
    </row>
    <row r="1054" spans="1:12" s="40" customFormat="1">
      <c r="A1054">
        <v>11840491</v>
      </c>
      <c r="B1054" t="s">
        <v>1033</v>
      </c>
      <c r="C1054" t="s">
        <v>706</v>
      </c>
      <c r="D1054" t="s">
        <v>1032</v>
      </c>
      <c r="E1054" t="s">
        <v>1438</v>
      </c>
      <c r="F1054" s="78">
        <v>0.62820601851851854</v>
      </c>
      <c r="G1054" t="s">
        <v>1406</v>
      </c>
      <c r="H1054" t="s">
        <v>1336</v>
      </c>
      <c r="I1054" s="88" t="str">
        <f>VLOOKUP(A1054,Base!A:B,2,0)</f>
        <v>11.840.491-2</v>
      </c>
      <c r="J1054" s="99" t="str">
        <f>VLOOKUP(A1054,Base!A:F,6,0)</f>
        <v>CESAR OMAR  TORRES  FARIAS</v>
      </c>
      <c r="K1054" s="89" t="str">
        <f>IFERROR(IF(VLOOKUP(I1054,Ingreso!K:P,6,0)=0,"Sin turtno ing",VLOOKUP(I1054,Ingreso!K:P,6,0)),IF(F1054&gt;0.25,IF(F1054&lt;0.311805555555556,"Turno A",IF(F1054&gt;0.3125,IF(F1054&lt;0.354166666666667,"Turno C",IF(F1054&gt;0.583333333333333,IF(F1054&lt;0.625,"Turno B",IF(F1054&gt;0.625694444444444,IF(F1054&lt;0.8125,"Turno A",IF(F1054&gt;0.875,IF(F1054&lt;0.936805555555556,"Turno C",IF(F1054&gt;0.9375,IF(F1054&lt;0.979166666666667,"Turno B",""),"")),"")),"")),"")),"")),""))</f>
        <v>Turno A</v>
      </c>
      <c r="L1054" s="91">
        <f t="shared" si="16"/>
        <v>0.3125</v>
      </c>
    </row>
    <row r="1055" spans="1:12" s="40" customFormat="1">
      <c r="A1055">
        <v>11840491</v>
      </c>
      <c r="B1055" t="s">
        <v>1033</v>
      </c>
      <c r="C1055" t="s">
        <v>706</v>
      </c>
      <c r="D1055" t="s">
        <v>1032</v>
      </c>
      <c r="E1055" t="s">
        <v>1438</v>
      </c>
      <c r="F1055" s="78">
        <v>0.30780092592592595</v>
      </c>
      <c r="G1055" t="s">
        <v>1405</v>
      </c>
      <c r="H1055" t="s">
        <v>1335</v>
      </c>
      <c r="I1055" s="88" t="str">
        <f>VLOOKUP(A1055,Base!A:B,2,0)</f>
        <v>11.840.491-2</v>
      </c>
      <c r="J1055" s="99" t="str">
        <f>VLOOKUP(A1055,Base!A:F,6,0)</f>
        <v>CESAR OMAR  TORRES  FARIAS</v>
      </c>
      <c r="K1055" s="89" t="str">
        <f>IFERROR(IF(VLOOKUP(I1055,Ingreso!K:P,6,0)=0,"Sin turtno ing",VLOOKUP(I1055,Ingreso!K:P,6,0)),IF(F1055&gt;0.25,IF(F1055&lt;0.311805555555556,"Turno A",IF(F1055&gt;0.3125,IF(F1055&lt;0.354166666666667,"Turno C",IF(F1055&gt;0.583333333333333,IF(F1055&lt;0.625,"Turno B",IF(F1055&gt;0.625694444444444,IF(F1055&lt;0.8125,"Turno A",IF(F1055&gt;0.875,IF(F1055&lt;0.936805555555556,"Turno C",IF(F1055&gt;0.9375,IF(F1055&lt;0.979166666666667,"Turno B",""),"")),"")),"")),"")),"")),""))</f>
        <v>Turno A</v>
      </c>
      <c r="L1055" s="91">
        <f t="shared" si="16"/>
        <v>0.3125</v>
      </c>
    </row>
    <row r="1056" spans="1:12" s="40" customFormat="1">
      <c r="A1056">
        <v>11840491</v>
      </c>
      <c r="B1056" t="s">
        <v>1033</v>
      </c>
      <c r="C1056" t="s">
        <v>706</v>
      </c>
      <c r="D1056" t="s">
        <v>1032</v>
      </c>
      <c r="E1056" t="s">
        <v>1439</v>
      </c>
      <c r="F1056" s="78">
        <v>0.6251620370370371</v>
      </c>
      <c r="G1056" t="s">
        <v>1406</v>
      </c>
      <c r="H1056" t="s">
        <v>1336</v>
      </c>
      <c r="I1056" s="88" t="str">
        <f>VLOOKUP(A1056,Base!A:B,2,0)</f>
        <v>11.840.491-2</v>
      </c>
      <c r="J1056" s="99" t="str">
        <f>VLOOKUP(A1056,Base!A:F,6,0)</f>
        <v>CESAR OMAR  TORRES  FARIAS</v>
      </c>
      <c r="K1056" s="89" t="str">
        <f>IFERROR(IF(VLOOKUP(I1056,Ingreso!K:P,6,0)=0,"Sin turtno ing",VLOOKUP(I1056,Ingreso!K:P,6,0)),IF(F1056&gt;0.25,IF(F1056&lt;0.311805555555556,"Turno A",IF(F1056&gt;0.3125,IF(F1056&lt;0.354166666666667,"Turno C",IF(F1056&gt;0.583333333333333,IF(F1056&lt;0.625,"Turno B",IF(F1056&gt;0.625694444444444,IF(F1056&lt;0.8125,"Turno A",IF(F1056&gt;0.875,IF(F1056&lt;0.936805555555556,"Turno C",IF(F1056&gt;0.9375,IF(F1056&lt;0.979166666666667,"Turno B",""),"")),"")),"")),"")),"")),""))</f>
        <v/>
      </c>
      <c r="L1056" s="91" t="e">
        <f t="shared" si="16"/>
        <v>#N/A</v>
      </c>
    </row>
    <row r="1057" spans="1:12" s="40" customFormat="1">
      <c r="A1057">
        <v>11840491</v>
      </c>
      <c r="B1057" t="s">
        <v>1033</v>
      </c>
      <c r="C1057" t="s">
        <v>706</v>
      </c>
      <c r="D1057" t="s">
        <v>1032</v>
      </c>
      <c r="E1057" t="s">
        <v>1439</v>
      </c>
      <c r="F1057" s="78">
        <v>0.29180555555555554</v>
      </c>
      <c r="G1057" t="s">
        <v>1405</v>
      </c>
      <c r="H1057" t="s">
        <v>1335</v>
      </c>
      <c r="I1057" s="88" t="str">
        <f>VLOOKUP(A1057,Base!A:B,2,0)</f>
        <v>11.840.491-2</v>
      </c>
      <c r="J1057" s="99" t="str">
        <f>VLOOKUP(A1057,Base!A:F,6,0)</f>
        <v>CESAR OMAR  TORRES  FARIAS</v>
      </c>
      <c r="K1057" s="89" t="str">
        <f>IFERROR(IF(VLOOKUP(I1057,Ingreso!K:P,6,0)=0,"Sin turtno ing",VLOOKUP(I1057,Ingreso!K:P,6,0)),IF(F1057&gt;0.25,IF(F1057&lt;0.311805555555556,"Turno A",IF(F1057&gt;0.3125,IF(F1057&lt;0.354166666666667,"Turno C",IF(F1057&gt;0.583333333333333,IF(F1057&lt;0.625,"Turno B",IF(F1057&gt;0.625694444444444,IF(F1057&lt;0.8125,"Turno A",IF(F1057&gt;0.875,IF(F1057&lt;0.936805555555556,"Turno C",IF(F1057&gt;0.9375,IF(F1057&lt;0.979166666666667,"Turno B",""),"")),"")),"")),"")),"")),""))</f>
        <v>Turno A</v>
      </c>
      <c r="L1057" s="91">
        <f t="shared" si="16"/>
        <v>0.3125</v>
      </c>
    </row>
    <row r="1058" spans="1:12" s="40" customFormat="1">
      <c r="A1058">
        <v>11873201</v>
      </c>
      <c r="B1058" t="s">
        <v>257</v>
      </c>
      <c r="C1058" t="s">
        <v>547</v>
      </c>
      <c r="D1058" t="s">
        <v>548</v>
      </c>
      <c r="E1058" t="s">
        <v>1407</v>
      </c>
      <c r="F1058" s="78">
        <v>0</v>
      </c>
      <c r="G1058"/>
      <c r="H1058"/>
      <c r="I1058" s="88" t="str">
        <f>VLOOKUP(A1058,Base!A:B,2,0)</f>
        <v>11.873.201-4</v>
      </c>
      <c r="J1058" s="99" t="str">
        <f>VLOOKUP(A1058,Base!A:F,6,0)</f>
        <v>CARLOS  LEMUS  VELIZ</v>
      </c>
      <c r="K1058" s="89" t="str">
        <f>IFERROR(IF(VLOOKUP(I1058,Ingreso!K:P,6,0)=0,"Sin turtno ing",VLOOKUP(I1058,Ingreso!K:P,6,0)),IF(F1058&gt;0.25,IF(F1058&lt;0.311805555555556,"Turno A",IF(F1058&gt;0.3125,IF(F1058&lt;0.354166666666667,"Turno C",IF(F1058&gt;0.583333333333333,IF(F1058&lt;0.625,"Turno B",IF(F1058&gt;0.625694444444444,IF(F1058&lt;0.8125,"Turno A",IF(F1058&gt;0.875,IF(F1058&lt;0.936805555555556,"Turno C",IF(F1058&gt;0.9375,IF(F1058&lt;0.979166666666667,"Turno B",""),"")),"")),"")),"")),"")),""))</f>
        <v/>
      </c>
      <c r="L1058" s="91" t="e">
        <f t="shared" si="16"/>
        <v>#N/A</v>
      </c>
    </row>
    <row r="1059" spans="1:12" s="40" customFormat="1">
      <c r="A1059">
        <v>11914799</v>
      </c>
      <c r="B1059" t="s">
        <v>339</v>
      </c>
      <c r="C1059" t="s">
        <v>368</v>
      </c>
      <c r="D1059" t="s">
        <v>369</v>
      </c>
      <c r="E1059" t="s">
        <v>1440</v>
      </c>
      <c r="F1059" s="78">
        <v>0.94863425925925926</v>
      </c>
      <c r="G1059" t="s">
        <v>1406</v>
      </c>
      <c r="H1059" t="s">
        <v>1336</v>
      </c>
      <c r="I1059" s="88" t="str">
        <f>VLOOKUP(A1059,Base!A:B,2,0)</f>
        <v>11.914.799-9</v>
      </c>
      <c r="J1059" s="99" t="str">
        <f>VLOOKUP(A1059,Base!A:F,6,0)</f>
        <v>LUIS  FERNANDEZ  MELLA</v>
      </c>
      <c r="K1059" s="89" t="str">
        <f>IFERROR(IF(VLOOKUP(I1059,Ingreso!K:P,6,0)=0,"Sin turtno ing",VLOOKUP(I1059,Ingreso!K:P,6,0)),IF(F1059&gt;0.25,IF(F1059&lt;0.311805555555556,"Turno A",IF(F1059&gt;0.3125,IF(F1059&lt;0.354166666666667,"Turno C",IF(F1059&gt;0.583333333333333,IF(F1059&lt;0.625,"Turno B",IF(F1059&gt;0.625694444444444,IF(F1059&lt;0.8125,"Turno A",IF(F1059&gt;0.875,IF(F1059&lt;0.936805555555556,"Turno C",IF(F1059&gt;0.9375,IF(F1059&lt;0.979166666666667,"Turno B",""),"")),"")),"")),"")),"")),""))</f>
        <v>Turno B</v>
      </c>
      <c r="L1059" s="91">
        <f t="shared" si="16"/>
        <v>0.3125</v>
      </c>
    </row>
    <row r="1060" spans="1:12" s="40" customFormat="1">
      <c r="A1060">
        <v>11914799</v>
      </c>
      <c r="B1060" t="s">
        <v>339</v>
      </c>
      <c r="C1060" t="s">
        <v>368</v>
      </c>
      <c r="D1060" t="s">
        <v>369</v>
      </c>
      <c r="E1060" t="s">
        <v>1440</v>
      </c>
      <c r="F1060" s="78">
        <v>0.60932870370370373</v>
      </c>
      <c r="G1060" t="s">
        <v>1405</v>
      </c>
      <c r="H1060" t="s">
        <v>1335</v>
      </c>
      <c r="I1060" s="88" t="str">
        <f>VLOOKUP(A1060,Base!A:B,2,0)</f>
        <v>11.914.799-9</v>
      </c>
      <c r="J1060" s="99" t="str">
        <f>VLOOKUP(A1060,Base!A:F,6,0)</f>
        <v>LUIS  FERNANDEZ  MELLA</v>
      </c>
      <c r="K1060" s="89" t="str">
        <f>IFERROR(IF(VLOOKUP(I1060,Ingreso!K:P,6,0)=0,"Sin turtno ing",VLOOKUP(I1060,Ingreso!K:P,6,0)),IF(F1060&gt;0.25,IF(F1060&lt;0.311805555555556,"Turno A",IF(F1060&gt;0.3125,IF(F1060&lt;0.354166666666667,"Turno C",IF(F1060&gt;0.583333333333333,IF(F1060&lt;0.625,"Turno B",IF(F1060&gt;0.625694444444444,IF(F1060&lt;0.8125,"Turno A",IF(F1060&gt;0.875,IF(F1060&lt;0.936805555555556,"Turno C",IF(F1060&gt;0.9375,IF(F1060&lt;0.979166666666667,"Turno B",""),"")),"")),"")),"")),"")),""))</f>
        <v>Turno B</v>
      </c>
      <c r="L1060" s="91">
        <f t="shared" si="16"/>
        <v>0.3125</v>
      </c>
    </row>
    <row r="1061" spans="1:12" s="40" customFormat="1">
      <c r="A1061">
        <v>11914799</v>
      </c>
      <c r="B1061" t="s">
        <v>339</v>
      </c>
      <c r="C1061" t="s">
        <v>368</v>
      </c>
      <c r="D1061" t="s">
        <v>369</v>
      </c>
      <c r="E1061" t="s">
        <v>1441</v>
      </c>
      <c r="F1061" s="78">
        <v>0.63818287037037036</v>
      </c>
      <c r="G1061" t="s">
        <v>1406</v>
      </c>
      <c r="H1061" t="s">
        <v>1336</v>
      </c>
      <c r="I1061" s="88" t="str">
        <f>VLOOKUP(A1061,Base!A:B,2,0)</f>
        <v>11.914.799-9</v>
      </c>
      <c r="J1061" s="99" t="str">
        <f>VLOOKUP(A1061,Base!A:F,6,0)</f>
        <v>LUIS  FERNANDEZ  MELLA</v>
      </c>
      <c r="K1061" s="89" t="str">
        <f>IFERROR(IF(VLOOKUP(I1061,Ingreso!K:P,6,0)=0,"Sin turtno ing",VLOOKUP(I1061,Ingreso!K:P,6,0)),IF(F1061&gt;0.25,IF(F1061&lt;0.311805555555556,"Turno A",IF(F1061&gt;0.3125,IF(F1061&lt;0.354166666666667,"Turno C",IF(F1061&gt;0.583333333333333,IF(F1061&lt;0.625,"Turno B",IF(F1061&gt;0.625694444444444,IF(F1061&lt;0.8125,"Turno A",IF(F1061&gt;0.875,IF(F1061&lt;0.936805555555556,"Turno C",IF(F1061&gt;0.9375,IF(F1061&lt;0.979166666666667,"Turno B",""),"")),"")),"")),"")),"")),""))</f>
        <v>Turno A</v>
      </c>
      <c r="L1061" s="91">
        <f t="shared" si="16"/>
        <v>0.3125</v>
      </c>
    </row>
    <row r="1062" spans="1:12" s="40" customFormat="1">
      <c r="A1062">
        <v>11914799</v>
      </c>
      <c r="B1062" t="s">
        <v>339</v>
      </c>
      <c r="C1062" t="s">
        <v>368</v>
      </c>
      <c r="D1062" t="s">
        <v>369</v>
      </c>
      <c r="E1062" t="s">
        <v>1441</v>
      </c>
      <c r="F1062" s="78">
        <v>0.29373842592592592</v>
      </c>
      <c r="G1062" t="s">
        <v>1405</v>
      </c>
      <c r="H1062" t="s">
        <v>1335</v>
      </c>
      <c r="I1062" s="88" t="str">
        <f>VLOOKUP(A1062,Base!A:B,2,0)</f>
        <v>11.914.799-9</v>
      </c>
      <c r="J1062" s="99" t="str">
        <f>VLOOKUP(A1062,Base!A:F,6,0)</f>
        <v>LUIS  FERNANDEZ  MELLA</v>
      </c>
      <c r="K1062" s="89" t="str">
        <f>IFERROR(IF(VLOOKUP(I1062,Ingreso!K:P,6,0)=0,"Sin turtno ing",VLOOKUP(I1062,Ingreso!K:P,6,0)),IF(F1062&gt;0.25,IF(F1062&lt;0.311805555555556,"Turno A",IF(F1062&gt;0.3125,IF(F1062&lt;0.354166666666667,"Turno C",IF(F1062&gt;0.583333333333333,IF(F1062&lt;0.625,"Turno B",IF(F1062&gt;0.625694444444444,IF(F1062&lt;0.8125,"Turno A",IF(F1062&gt;0.875,IF(F1062&lt;0.936805555555556,"Turno C",IF(F1062&gt;0.9375,IF(F1062&lt;0.979166666666667,"Turno B",""),"")),"")),"")),"")),"")),""))</f>
        <v>Turno A</v>
      </c>
      <c r="L1062" s="91">
        <f t="shared" si="16"/>
        <v>0.3125</v>
      </c>
    </row>
    <row r="1063" spans="1:12" s="40" customFormat="1">
      <c r="A1063">
        <v>11914799</v>
      </c>
      <c r="B1063" t="s">
        <v>339</v>
      </c>
      <c r="C1063" t="s">
        <v>368</v>
      </c>
      <c r="D1063" t="s">
        <v>369</v>
      </c>
      <c r="E1063" t="s">
        <v>1437</v>
      </c>
      <c r="F1063" s="78">
        <v>0.94810185185185192</v>
      </c>
      <c r="G1063" t="s">
        <v>1406</v>
      </c>
      <c r="H1063" t="s">
        <v>1336</v>
      </c>
      <c r="I1063" s="88" t="str">
        <f>VLOOKUP(A1063,Base!A:B,2,0)</f>
        <v>11.914.799-9</v>
      </c>
      <c r="J1063" s="99" t="str">
        <f>VLOOKUP(A1063,Base!A:F,6,0)</f>
        <v>LUIS  FERNANDEZ  MELLA</v>
      </c>
      <c r="K1063" s="89" t="str">
        <f>IFERROR(IF(VLOOKUP(I1063,Ingreso!K:P,6,0)=0,"Sin turtno ing",VLOOKUP(I1063,Ingreso!K:P,6,0)),IF(F1063&gt;0.25,IF(F1063&lt;0.311805555555556,"Turno A",IF(F1063&gt;0.3125,IF(F1063&lt;0.354166666666667,"Turno C",IF(F1063&gt;0.583333333333333,IF(F1063&lt;0.625,"Turno B",IF(F1063&gt;0.625694444444444,IF(F1063&lt;0.8125,"Turno A",IF(F1063&gt;0.875,IF(F1063&lt;0.936805555555556,"Turno C",IF(F1063&gt;0.9375,IF(F1063&lt;0.979166666666667,"Turno B",""),"")),"")),"")),"")),"")),""))</f>
        <v>Turno B</v>
      </c>
      <c r="L1063" s="91">
        <f t="shared" si="16"/>
        <v>0.3125</v>
      </c>
    </row>
    <row r="1064" spans="1:12" s="40" customFormat="1">
      <c r="A1064">
        <v>11914799</v>
      </c>
      <c r="B1064" t="s">
        <v>339</v>
      </c>
      <c r="C1064" t="s">
        <v>368</v>
      </c>
      <c r="D1064" t="s">
        <v>369</v>
      </c>
      <c r="E1064" t="s">
        <v>1437</v>
      </c>
      <c r="F1064" s="78">
        <v>0.60637731481481483</v>
      </c>
      <c r="G1064" t="s">
        <v>1405</v>
      </c>
      <c r="H1064" t="s">
        <v>1335</v>
      </c>
      <c r="I1064" s="88" t="str">
        <f>VLOOKUP(A1064,Base!A:B,2,0)</f>
        <v>11.914.799-9</v>
      </c>
      <c r="J1064" s="99" t="str">
        <f>VLOOKUP(A1064,Base!A:F,6,0)</f>
        <v>LUIS  FERNANDEZ  MELLA</v>
      </c>
      <c r="K1064" s="89" t="str">
        <f>IFERROR(IF(VLOOKUP(I1064,Ingreso!K:P,6,0)=0,"Sin turtno ing",VLOOKUP(I1064,Ingreso!K:P,6,0)),IF(F1064&gt;0.25,IF(F1064&lt;0.311805555555556,"Turno A",IF(F1064&gt;0.3125,IF(F1064&lt;0.354166666666667,"Turno C",IF(F1064&gt;0.583333333333333,IF(F1064&lt;0.625,"Turno B",IF(F1064&gt;0.625694444444444,IF(F1064&lt;0.8125,"Turno A",IF(F1064&gt;0.875,IF(F1064&lt;0.936805555555556,"Turno C",IF(F1064&gt;0.9375,IF(F1064&lt;0.979166666666667,"Turno B",""),"")),"")),"")),"")),"")),""))</f>
        <v>Turno B</v>
      </c>
      <c r="L1064" s="91">
        <f t="shared" si="16"/>
        <v>0.3125</v>
      </c>
    </row>
    <row r="1065" spans="1:12" s="40" customFormat="1">
      <c r="A1065">
        <v>11914799</v>
      </c>
      <c r="B1065" t="s">
        <v>339</v>
      </c>
      <c r="C1065" t="s">
        <v>368</v>
      </c>
      <c r="D1065" t="s">
        <v>369</v>
      </c>
      <c r="E1065" t="s">
        <v>1438</v>
      </c>
      <c r="F1065" s="78">
        <v>0.94811342592592596</v>
      </c>
      <c r="G1065" t="s">
        <v>1406</v>
      </c>
      <c r="H1065" t="s">
        <v>1336</v>
      </c>
      <c r="I1065" s="88" t="str">
        <f>VLOOKUP(A1065,Base!A:B,2,0)</f>
        <v>11.914.799-9</v>
      </c>
      <c r="J1065" s="99" t="str">
        <f>VLOOKUP(A1065,Base!A:F,6,0)</f>
        <v>LUIS  FERNANDEZ  MELLA</v>
      </c>
      <c r="K1065" s="89" t="str">
        <f>IFERROR(IF(VLOOKUP(I1065,Ingreso!K:P,6,0)=0,"Sin turtno ing",VLOOKUP(I1065,Ingreso!K:P,6,0)),IF(F1065&gt;0.25,IF(F1065&lt;0.311805555555556,"Turno A",IF(F1065&gt;0.3125,IF(F1065&lt;0.354166666666667,"Turno C",IF(F1065&gt;0.583333333333333,IF(F1065&lt;0.625,"Turno B",IF(F1065&gt;0.625694444444444,IF(F1065&lt;0.8125,"Turno A",IF(F1065&gt;0.875,IF(F1065&lt;0.936805555555556,"Turno C",IF(F1065&gt;0.9375,IF(F1065&lt;0.979166666666667,"Turno B",""),"")),"")),"")),"")),"")),""))</f>
        <v>Turno B</v>
      </c>
      <c r="L1065" s="91">
        <f t="shared" si="16"/>
        <v>0.3125</v>
      </c>
    </row>
    <row r="1066" spans="1:12" s="40" customFormat="1">
      <c r="A1066">
        <v>11914799</v>
      </c>
      <c r="B1066" t="s">
        <v>339</v>
      </c>
      <c r="C1066" t="s">
        <v>368</v>
      </c>
      <c r="D1066" t="s">
        <v>369</v>
      </c>
      <c r="E1066" t="s">
        <v>1438</v>
      </c>
      <c r="F1066" s="78">
        <v>0.60718749999999999</v>
      </c>
      <c r="G1066" t="s">
        <v>1405</v>
      </c>
      <c r="H1066" t="s">
        <v>1335</v>
      </c>
      <c r="I1066" s="88" t="str">
        <f>VLOOKUP(A1066,Base!A:B,2,0)</f>
        <v>11.914.799-9</v>
      </c>
      <c r="J1066" s="99" t="str">
        <f>VLOOKUP(A1066,Base!A:F,6,0)</f>
        <v>LUIS  FERNANDEZ  MELLA</v>
      </c>
      <c r="K1066" s="89" t="str">
        <f>IFERROR(IF(VLOOKUP(I1066,Ingreso!K:P,6,0)=0,"Sin turtno ing",VLOOKUP(I1066,Ingreso!K:P,6,0)),IF(F1066&gt;0.25,IF(F1066&lt;0.311805555555556,"Turno A",IF(F1066&gt;0.3125,IF(F1066&lt;0.354166666666667,"Turno C",IF(F1066&gt;0.583333333333333,IF(F1066&lt;0.625,"Turno B",IF(F1066&gt;0.625694444444444,IF(F1066&lt;0.8125,"Turno A",IF(F1066&gt;0.875,IF(F1066&lt;0.936805555555556,"Turno C",IF(F1066&gt;0.9375,IF(F1066&lt;0.979166666666667,"Turno B",""),"")),"")),"")),"")),"")),""))</f>
        <v>Turno B</v>
      </c>
      <c r="L1066" s="91">
        <f t="shared" si="16"/>
        <v>0.3125</v>
      </c>
    </row>
    <row r="1067" spans="1:12" s="40" customFormat="1">
      <c r="A1067">
        <v>11914799</v>
      </c>
      <c r="B1067" t="s">
        <v>339</v>
      </c>
      <c r="C1067" t="s">
        <v>368</v>
      </c>
      <c r="D1067" t="s">
        <v>369</v>
      </c>
      <c r="E1067" t="s">
        <v>1439</v>
      </c>
      <c r="F1067" s="78">
        <v>0.94811342592592596</v>
      </c>
      <c r="G1067" t="s">
        <v>1406</v>
      </c>
      <c r="H1067" t="s">
        <v>1336</v>
      </c>
      <c r="I1067" s="88" t="str">
        <f>VLOOKUP(A1067,Base!A:B,2,0)</f>
        <v>11.914.799-9</v>
      </c>
      <c r="J1067" s="99" t="str">
        <f>VLOOKUP(A1067,Base!A:F,6,0)</f>
        <v>LUIS  FERNANDEZ  MELLA</v>
      </c>
      <c r="K1067" s="89" t="str">
        <f>IFERROR(IF(VLOOKUP(I1067,Ingreso!K:P,6,0)=0,"Sin turtno ing",VLOOKUP(I1067,Ingreso!K:P,6,0)),IF(F1067&gt;0.25,IF(F1067&lt;0.311805555555556,"Turno A",IF(F1067&gt;0.3125,IF(F1067&lt;0.354166666666667,"Turno C",IF(F1067&gt;0.583333333333333,IF(F1067&lt;0.625,"Turno B",IF(F1067&gt;0.625694444444444,IF(F1067&lt;0.8125,"Turno A",IF(F1067&gt;0.875,IF(F1067&lt;0.936805555555556,"Turno C",IF(F1067&gt;0.9375,IF(F1067&lt;0.979166666666667,"Turno B",""),"")),"")),"")),"")),"")),""))</f>
        <v>Turno B</v>
      </c>
      <c r="L1067" s="91">
        <f t="shared" si="16"/>
        <v>0.3125</v>
      </c>
    </row>
    <row r="1068" spans="1:12" s="40" customFormat="1">
      <c r="A1068">
        <v>11914799</v>
      </c>
      <c r="B1068" t="s">
        <v>339</v>
      </c>
      <c r="C1068" t="s">
        <v>368</v>
      </c>
      <c r="D1068" t="s">
        <v>369</v>
      </c>
      <c r="E1068" t="s">
        <v>1439</v>
      </c>
      <c r="F1068" s="78">
        <v>0.60709490740740735</v>
      </c>
      <c r="G1068" t="s">
        <v>1405</v>
      </c>
      <c r="H1068" t="s">
        <v>1335</v>
      </c>
      <c r="I1068" s="88" t="str">
        <f>VLOOKUP(A1068,Base!A:B,2,0)</f>
        <v>11.914.799-9</v>
      </c>
      <c r="J1068" s="99" t="str">
        <f>VLOOKUP(A1068,Base!A:F,6,0)</f>
        <v>LUIS  FERNANDEZ  MELLA</v>
      </c>
      <c r="K1068" s="89" t="str">
        <f>IFERROR(IF(VLOOKUP(I1068,Ingreso!K:P,6,0)=0,"Sin turtno ing",VLOOKUP(I1068,Ingreso!K:P,6,0)),IF(F1068&gt;0.25,IF(F1068&lt;0.311805555555556,"Turno A",IF(F1068&gt;0.3125,IF(F1068&lt;0.354166666666667,"Turno C",IF(F1068&gt;0.583333333333333,IF(F1068&lt;0.625,"Turno B",IF(F1068&gt;0.625694444444444,IF(F1068&lt;0.8125,"Turno A",IF(F1068&gt;0.875,IF(F1068&lt;0.936805555555556,"Turno C",IF(F1068&gt;0.9375,IF(F1068&lt;0.979166666666667,"Turno B",""),"")),"")),"")),"")),"")),""))</f>
        <v>Turno B</v>
      </c>
      <c r="L1068" s="91">
        <f t="shared" si="16"/>
        <v>0.3125</v>
      </c>
    </row>
    <row r="1069" spans="1:12" s="40" customFormat="1">
      <c r="A1069">
        <v>11994656</v>
      </c>
      <c r="B1069" t="s">
        <v>649</v>
      </c>
      <c r="C1069" t="s">
        <v>595</v>
      </c>
      <c r="D1069" t="s">
        <v>150</v>
      </c>
      <c r="E1069" t="s">
        <v>1440</v>
      </c>
      <c r="F1069" s="78">
        <v>0.74834490740740733</v>
      </c>
      <c r="G1069" t="s">
        <v>1406</v>
      </c>
      <c r="H1069" t="s">
        <v>1336</v>
      </c>
      <c r="I1069" s="88" t="str">
        <f>VLOOKUP(A1069,Base!A:B,2,0)</f>
        <v>11.994.656-5</v>
      </c>
      <c r="J1069" s="99" t="str">
        <f>VLOOKUP(A1069,Base!A:F,6,0)</f>
        <v>MARIA E  MOSCOSO  LOPEZ</v>
      </c>
      <c r="K1069" s="89" t="str">
        <f>IFERROR(IF(VLOOKUP(I1069,Ingreso!K:P,6,0)=0,"Sin turtno ing",VLOOKUP(I1069,Ingreso!K:P,6,0)),IF(F1069&gt;0.25,IF(F1069&lt;0.311805555555556,"Turno A",IF(F1069&gt;0.3125,IF(F1069&lt;0.354166666666667,"Turno C",IF(F1069&gt;0.583333333333333,IF(F1069&lt;0.625,"Turno B",IF(F1069&gt;0.625694444444444,IF(F1069&lt;0.8125,"Turno A",IF(F1069&gt;0.875,IF(F1069&lt;0.936805555555556,"Turno C",IF(F1069&gt;0.9375,IF(F1069&lt;0.979166666666667,"Turno B",""),"")),"")),"")),"")),"")),""))</f>
        <v>Turno A</v>
      </c>
      <c r="L1069" s="91">
        <f t="shared" si="16"/>
        <v>0.3125</v>
      </c>
    </row>
    <row r="1070" spans="1:12" s="40" customFormat="1">
      <c r="A1070">
        <v>11994656</v>
      </c>
      <c r="B1070" t="s">
        <v>649</v>
      </c>
      <c r="C1070" t="s">
        <v>595</v>
      </c>
      <c r="D1070" t="s">
        <v>150</v>
      </c>
      <c r="E1070" t="s">
        <v>1440</v>
      </c>
      <c r="F1070" s="78">
        <v>0.35515046296296293</v>
      </c>
      <c r="G1070" t="s">
        <v>1405</v>
      </c>
      <c r="H1070" t="s">
        <v>1335</v>
      </c>
      <c r="I1070" s="88" t="str">
        <f>VLOOKUP(A1070,Base!A:B,2,0)</f>
        <v>11.994.656-5</v>
      </c>
      <c r="J1070" s="99" t="str">
        <f>VLOOKUP(A1070,Base!A:F,6,0)</f>
        <v>MARIA E  MOSCOSO  LOPEZ</v>
      </c>
      <c r="K1070" s="89" t="str">
        <f>IFERROR(IF(VLOOKUP(I1070,Ingreso!K:P,6,0)=0,"Sin turtno ing",VLOOKUP(I1070,Ingreso!K:P,6,0)),IF(F1070&gt;0.25,IF(F1070&lt;0.311805555555556,"Turno A",IF(F1070&gt;0.3125,IF(F1070&lt;0.354166666666667,"Turno C",IF(F1070&gt;0.583333333333333,IF(F1070&lt;0.625,"Turno B",IF(F1070&gt;0.625694444444444,IF(F1070&lt;0.8125,"Turno A",IF(F1070&gt;0.875,IF(F1070&lt;0.936805555555556,"Turno C",IF(F1070&gt;0.9375,IF(F1070&lt;0.979166666666667,"Turno B",""),"")),"")),"")),"")),"")),""))</f>
        <v/>
      </c>
      <c r="L1070" s="91" t="e">
        <f t="shared" si="16"/>
        <v>#N/A</v>
      </c>
    </row>
    <row r="1071" spans="1:12" s="40" customFormat="1">
      <c r="A1071">
        <v>11994656</v>
      </c>
      <c r="B1071" t="s">
        <v>649</v>
      </c>
      <c r="C1071" t="s">
        <v>595</v>
      </c>
      <c r="D1071" t="s">
        <v>150</v>
      </c>
      <c r="E1071" t="s">
        <v>1437</v>
      </c>
      <c r="F1071" s="78">
        <v>0.77690972222222221</v>
      </c>
      <c r="G1071" t="s">
        <v>1406</v>
      </c>
      <c r="H1071" t="s">
        <v>1336</v>
      </c>
      <c r="I1071" s="88" t="str">
        <f>VLOOKUP(A1071,Base!A:B,2,0)</f>
        <v>11.994.656-5</v>
      </c>
      <c r="J1071" s="99" t="str">
        <f>VLOOKUP(A1071,Base!A:F,6,0)</f>
        <v>MARIA E  MOSCOSO  LOPEZ</v>
      </c>
      <c r="K1071" s="89" t="str">
        <f>IFERROR(IF(VLOOKUP(I1071,Ingreso!K:P,6,0)=0,"Sin turtno ing",VLOOKUP(I1071,Ingreso!K:P,6,0)),IF(F1071&gt;0.25,IF(F1071&lt;0.311805555555556,"Turno A",IF(F1071&gt;0.3125,IF(F1071&lt;0.354166666666667,"Turno C",IF(F1071&gt;0.583333333333333,IF(F1071&lt;0.625,"Turno B",IF(F1071&gt;0.625694444444444,IF(F1071&lt;0.8125,"Turno A",IF(F1071&gt;0.875,IF(F1071&lt;0.936805555555556,"Turno C",IF(F1071&gt;0.9375,IF(F1071&lt;0.979166666666667,"Turno B",""),"")),"")),"")),"")),"")),""))</f>
        <v>Turno A</v>
      </c>
      <c r="L1071" s="91">
        <f t="shared" si="16"/>
        <v>0.3125</v>
      </c>
    </row>
    <row r="1072" spans="1:12" s="40" customFormat="1">
      <c r="A1072">
        <v>11994656</v>
      </c>
      <c r="B1072" t="s">
        <v>649</v>
      </c>
      <c r="C1072" t="s">
        <v>595</v>
      </c>
      <c r="D1072" t="s">
        <v>150</v>
      </c>
      <c r="E1072" t="s">
        <v>1437</v>
      </c>
      <c r="F1072" s="78">
        <v>0.35180555555555554</v>
      </c>
      <c r="G1072" t="s">
        <v>1405</v>
      </c>
      <c r="H1072" t="s">
        <v>1335</v>
      </c>
      <c r="I1072" s="88" t="str">
        <f>VLOOKUP(A1072,Base!A:B,2,0)</f>
        <v>11.994.656-5</v>
      </c>
      <c r="J1072" s="99" t="str">
        <f>VLOOKUP(A1072,Base!A:F,6,0)</f>
        <v>MARIA E  MOSCOSO  LOPEZ</v>
      </c>
      <c r="K1072" s="89" t="str">
        <f>IFERROR(IF(VLOOKUP(I1072,Ingreso!K:P,6,0)=0,"Sin turtno ing",VLOOKUP(I1072,Ingreso!K:P,6,0)),IF(F1072&gt;0.25,IF(F1072&lt;0.311805555555556,"Turno A",IF(F1072&gt;0.3125,IF(F1072&lt;0.354166666666667,"Turno C",IF(F1072&gt;0.583333333333333,IF(F1072&lt;0.625,"Turno B",IF(F1072&gt;0.625694444444444,IF(F1072&lt;0.8125,"Turno A",IF(F1072&gt;0.875,IF(F1072&lt;0.936805555555556,"Turno C",IF(F1072&gt;0.9375,IF(F1072&lt;0.979166666666667,"Turno B",""),"")),"")),"")),"")),"")),""))</f>
        <v>Turno C</v>
      </c>
      <c r="L1072" s="91">
        <f t="shared" si="16"/>
        <v>0.375</v>
      </c>
    </row>
    <row r="1073" spans="1:12" s="40" customFormat="1">
      <c r="A1073">
        <v>11994656</v>
      </c>
      <c r="B1073" t="s">
        <v>649</v>
      </c>
      <c r="C1073" t="s">
        <v>595</v>
      </c>
      <c r="D1073" t="s">
        <v>150</v>
      </c>
      <c r="E1073" t="s">
        <v>1438</v>
      </c>
      <c r="F1073" s="78">
        <v>0.79871527777777773</v>
      </c>
      <c r="G1073" t="s">
        <v>1406</v>
      </c>
      <c r="H1073" t="s">
        <v>1336</v>
      </c>
      <c r="I1073" s="88" t="str">
        <f>VLOOKUP(A1073,Base!A:B,2,0)</f>
        <v>11.994.656-5</v>
      </c>
      <c r="J1073" s="99" t="str">
        <f>VLOOKUP(A1073,Base!A:F,6,0)</f>
        <v>MARIA E  MOSCOSO  LOPEZ</v>
      </c>
      <c r="K1073" s="89" t="str">
        <f>IFERROR(IF(VLOOKUP(I1073,Ingreso!K:P,6,0)=0,"Sin turtno ing",VLOOKUP(I1073,Ingreso!K:P,6,0)),IF(F1073&gt;0.25,IF(F1073&lt;0.311805555555556,"Turno A",IF(F1073&gt;0.3125,IF(F1073&lt;0.354166666666667,"Turno C",IF(F1073&gt;0.583333333333333,IF(F1073&lt;0.625,"Turno B",IF(F1073&gt;0.625694444444444,IF(F1073&lt;0.8125,"Turno A",IF(F1073&gt;0.875,IF(F1073&lt;0.936805555555556,"Turno C",IF(F1073&gt;0.9375,IF(F1073&lt;0.979166666666667,"Turno B",""),"")),"")),"")),"")),"")),""))</f>
        <v>Turno A</v>
      </c>
      <c r="L1073" s="91">
        <f t="shared" si="16"/>
        <v>0.3125</v>
      </c>
    </row>
    <row r="1074" spans="1:12" s="40" customFormat="1">
      <c r="A1074">
        <v>11994656</v>
      </c>
      <c r="B1074" t="s">
        <v>649</v>
      </c>
      <c r="C1074" t="s">
        <v>595</v>
      </c>
      <c r="D1074" t="s">
        <v>150</v>
      </c>
      <c r="E1074" t="s">
        <v>1438</v>
      </c>
      <c r="F1074" s="78">
        <v>0.3479976851851852</v>
      </c>
      <c r="G1074" t="s">
        <v>1405</v>
      </c>
      <c r="H1074" t="s">
        <v>1335</v>
      </c>
      <c r="I1074" s="88" t="str">
        <f>VLOOKUP(A1074,Base!A:B,2,0)</f>
        <v>11.994.656-5</v>
      </c>
      <c r="J1074" s="99" t="str">
        <f>VLOOKUP(A1074,Base!A:F,6,0)</f>
        <v>MARIA E  MOSCOSO  LOPEZ</v>
      </c>
      <c r="K1074" s="89" t="str">
        <f>IFERROR(IF(VLOOKUP(I1074,Ingreso!K:P,6,0)=0,"Sin turtno ing",VLOOKUP(I1074,Ingreso!K:P,6,0)),IF(F1074&gt;0.25,IF(F1074&lt;0.311805555555556,"Turno A",IF(F1074&gt;0.3125,IF(F1074&lt;0.354166666666667,"Turno C",IF(F1074&gt;0.583333333333333,IF(F1074&lt;0.625,"Turno B",IF(F1074&gt;0.625694444444444,IF(F1074&lt;0.8125,"Turno A",IF(F1074&gt;0.875,IF(F1074&lt;0.936805555555556,"Turno C",IF(F1074&gt;0.9375,IF(F1074&lt;0.979166666666667,"Turno B",""),"")),"")),"")),"")),"")),""))</f>
        <v>Turno C</v>
      </c>
      <c r="L1074" s="91">
        <f t="shared" si="16"/>
        <v>0.375</v>
      </c>
    </row>
    <row r="1075" spans="1:12" s="40" customFormat="1">
      <c r="A1075">
        <v>11994656</v>
      </c>
      <c r="B1075" t="s">
        <v>649</v>
      </c>
      <c r="C1075" t="s">
        <v>595</v>
      </c>
      <c r="D1075" t="s">
        <v>150</v>
      </c>
      <c r="E1075" t="s">
        <v>1439</v>
      </c>
      <c r="F1075" s="78">
        <v>0.76300925925925922</v>
      </c>
      <c r="G1075" t="s">
        <v>1406</v>
      </c>
      <c r="H1075" t="s">
        <v>1336</v>
      </c>
      <c r="I1075" s="88" t="str">
        <f>VLOOKUP(A1075,Base!A:B,2,0)</f>
        <v>11.994.656-5</v>
      </c>
      <c r="J1075" s="99" t="str">
        <f>VLOOKUP(A1075,Base!A:F,6,0)</f>
        <v>MARIA E  MOSCOSO  LOPEZ</v>
      </c>
      <c r="K1075" s="89" t="str">
        <f>IFERROR(IF(VLOOKUP(I1075,Ingreso!K:P,6,0)=0,"Sin turtno ing",VLOOKUP(I1075,Ingreso!K:P,6,0)),IF(F1075&gt;0.25,IF(F1075&lt;0.311805555555556,"Turno A",IF(F1075&gt;0.3125,IF(F1075&lt;0.354166666666667,"Turno C",IF(F1075&gt;0.583333333333333,IF(F1075&lt;0.625,"Turno B",IF(F1075&gt;0.625694444444444,IF(F1075&lt;0.8125,"Turno A",IF(F1075&gt;0.875,IF(F1075&lt;0.936805555555556,"Turno C",IF(F1075&gt;0.9375,IF(F1075&lt;0.979166666666667,"Turno B",""),"")),"")),"")),"")),"")),""))</f>
        <v>Turno A</v>
      </c>
      <c r="L1075" s="91">
        <f t="shared" si="16"/>
        <v>0.3125</v>
      </c>
    </row>
    <row r="1076" spans="1:12" s="40" customFormat="1">
      <c r="A1076">
        <v>11994656</v>
      </c>
      <c r="B1076" t="s">
        <v>649</v>
      </c>
      <c r="C1076" t="s">
        <v>595</v>
      </c>
      <c r="D1076" t="s">
        <v>150</v>
      </c>
      <c r="E1076" t="s">
        <v>1439</v>
      </c>
      <c r="F1076" s="78">
        <v>0.33729166666666671</v>
      </c>
      <c r="G1076" t="s">
        <v>1405</v>
      </c>
      <c r="H1076" t="s">
        <v>1335</v>
      </c>
      <c r="I1076" s="88" t="str">
        <f>VLOOKUP(A1076,Base!A:B,2,0)</f>
        <v>11.994.656-5</v>
      </c>
      <c r="J1076" s="99" t="str">
        <f>VLOOKUP(A1076,Base!A:F,6,0)</f>
        <v>MARIA E  MOSCOSO  LOPEZ</v>
      </c>
      <c r="K1076" s="89" t="str">
        <f>IFERROR(IF(VLOOKUP(I1076,Ingreso!K:P,6,0)=0,"Sin turtno ing",VLOOKUP(I1076,Ingreso!K:P,6,0)),IF(F1076&gt;0.25,IF(F1076&lt;0.311805555555556,"Turno A",IF(F1076&gt;0.3125,IF(F1076&lt;0.354166666666667,"Turno C",IF(F1076&gt;0.583333333333333,IF(F1076&lt;0.625,"Turno B",IF(F1076&gt;0.625694444444444,IF(F1076&lt;0.8125,"Turno A",IF(F1076&gt;0.875,IF(F1076&lt;0.936805555555556,"Turno C",IF(F1076&gt;0.9375,IF(F1076&lt;0.979166666666667,"Turno B",""),"")),"")),"")),"")),"")),""))</f>
        <v>Turno C</v>
      </c>
      <c r="L1076" s="91">
        <f t="shared" si="16"/>
        <v>0.375</v>
      </c>
    </row>
    <row r="1077" spans="1:12" s="40" customFormat="1">
      <c r="A1077">
        <v>12020450</v>
      </c>
      <c r="B1077" t="s">
        <v>802</v>
      </c>
      <c r="C1077" t="s">
        <v>801</v>
      </c>
      <c r="D1077" t="s">
        <v>785</v>
      </c>
      <c r="E1077" t="s">
        <v>1440</v>
      </c>
      <c r="F1077" s="78">
        <v>0.37210648148148145</v>
      </c>
      <c r="G1077" t="s">
        <v>1405</v>
      </c>
      <c r="H1077" t="s">
        <v>1335</v>
      </c>
      <c r="I1077" s="88" t="str">
        <f>VLOOKUP(A1077,Base!A:B,2,0)</f>
        <v>12.020.450-5</v>
      </c>
      <c r="J1077" s="99" t="str">
        <f>VLOOKUP(A1077,Base!A:F,6,0)</f>
        <v>ROBERTO  PINEDA  PEREZ</v>
      </c>
      <c r="K1077" s="89" t="str">
        <f>IFERROR(IF(VLOOKUP(I1077,Ingreso!K:P,6,0)=0,"Sin turtno ing",VLOOKUP(I1077,Ingreso!K:P,6,0)),IF(F1077&gt;0.25,IF(F1077&lt;0.311805555555556,"Turno A",IF(F1077&gt;0.3125,IF(F1077&lt;0.354166666666667,"Turno C",IF(F1077&gt;0.583333333333333,IF(F1077&lt;0.625,"Turno B",IF(F1077&gt;0.625694444444444,IF(F1077&lt;0.8125,"Turno A",IF(F1077&gt;0.875,IF(F1077&lt;0.936805555555556,"Turno C",IF(F1077&gt;0.9375,IF(F1077&lt;0.979166666666667,"Turno B",""),"")),"")),"")),"")),"")),""))</f>
        <v>Sin turtno ing</v>
      </c>
      <c r="L1077" s="91" t="e">
        <f t="shared" si="16"/>
        <v>#N/A</v>
      </c>
    </row>
    <row r="1078" spans="1:12" s="40" customFormat="1">
      <c r="A1078">
        <v>12020450</v>
      </c>
      <c r="B1078" t="s">
        <v>802</v>
      </c>
      <c r="C1078" t="s">
        <v>801</v>
      </c>
      <c r="D1078" t="s">
        <v>785</v>
      </c>
      <c r="E1078" t="s">
        <v>1437</v>
      </c>
      <c r="F1078" s="78">
        <v>0.7718518518518519</v>
      </c>
      <c r="G1078" t="s">
        <v>1406</v>
      </c>
      <c r="H1078" t="s">
        <v>1336</v>
      </c>
      <c r="I1078" s="88" t="str">
        <f>VLOOKUP(A1078,Base!A:B,2,0)</f>
        <v>12.020.450-5</v>
      </c>
      <c r="J1078" s="99" t="str">
        <f>VLOOKUP(A1078,Base!A:F,6,0)</f>
        <v>ROBERTO  PINEDA  PEREZ</v>
      </c>
      <c r="K1078" s="89" t="str">
        <f>IFERROR(IF(VLOOKUP(I1078,Ingreso!K:P,6,0)=0,"Sin turtno ing",VLOOKUP(I1078,Ingreso!K:P,6,0)),IF(F1078&gt;0.25,IF(F1078&lt;0.311805555555556,"Turno A",IF(F1078&gt;0.3125,IF(F1078&lt;0.354166666666667,"Turno C",IF(F1078&gt;0.583333333333333,IF(F1078&lt;0.625,"Turno B",IF(F1078&gt;0.625694444444444,IF(F1078&lt;0.8125,"Turno A",IF(F1078&gt;0.875,IF(F1078&lt;0.936805555555556,"Turno C",IF(F1078&gt;0.9375,IF(F1078&lt;0.979166666666667,"Turno B",""),"")),"")),"")),"")),"")),""))</f>
        <v>Sin turtno ing</v>
      </c>
      <c r="L1078" s="91" t="e">
        <f t="shared" si="16"/>
        <v>#N/A</v>
      </c>
    </row>
    <row r="1079" spans="1:12" s="40" customFormat="1">
      <c r="A1079">
        <v>12020450</v>
      </c>
      <c r="B1079" t="s">
        <v>802</v>
      </c>
      <c r="C1079" t="s">
        <v>801</v>
      </c>
      <c r="D1079" t="s">
        <v>785</v>
      </c>
      <c r="E1079" t="s">
        <v>1437</v>
      </c>
      <c r="F1079" s="78">
        <v>0.36712962962962964</v>
      </c>
      <c r="G1079" t="s">
        <v>1405</v>
      </c>
      <c r="H1079" t="s">
        <v>1335</v>
      </c>
      <c r="I1079" s="88" t="str">
        <f>VLOOKUP(A1079,Base!A:B,2,0)</f>
        <v>12.020.450-5</v>
      </c>
      <c r="J1079" s="99" t="str">
        <f>VLOOKUP(A1079,Base!A:F,6,0)</f>
        <v>ROBERTO  PINEDA  PEREZ</v>
      </c>
      <c r="K1079" s="89" t="str">
        <f>IFERROR(IF(VLOOKUP(I1079,Ingreso!K:P,6,0)=0,"Sin turtno ing",VLOOKUP(I1079,Ingreso!K:P,6,0)),IF(F1079&gt;0.25,IF(F1079&lt;0.311805555555556,"Turno A",IF(F1079&gt;0.3125,IF(F1079&lt;0.354166666666667,"Turno C",IF(F1079&gt;0.583333333333333,IF(F1079&lt;0.625,"Turno B",IF(F1079&gt;0.625694444444444,IF(F1079&lt;0.8125,"Turno A",IF(F1079&gt;0.875,IF(F1079&lt;0.936805555555556,"Turno C",IF(F1079&gt;0.9375,IF(F1079&lt;0.979166666666667,"Turno B",""),"")),"")),"")),"")),"")),""))</f>
        <v>Sin turtno ing</v>
      </c>
      <c r="L1079" s="91" t="e">
        <f t="shared" si="16"/>
        <v>#N/A</v>
      </c>
    </row>
    <row r="1080" spans="1:12" s="40" customFormat="1">
      <c r="A1080">
        <v>12020450</v>
      </c>
      <c r="B1080" t="s">
        <v>802</v>
      </c>
      <c r="C1080" t="s">
        <v>801</v>
      </c>
      <c r="D1080" t="s">
        <v>785</v>
      </c>
      <c r="E1080" t="s">
        <v>1438</v>
      </c>
      <c r="F1080" s="78">
        <v>0.3649074074074074</v>
      </c>
      <c r="G1080" t="s">
        <v>1405</v>
      </c>
      <c r="H1080" t="s">
        <v>1335</v>
      </c>
      <c r="I1080" s="88" t="str">
        <f>VLOOKUP(A1080,Base!A:B,2,0)</f>
        <v>12.020.450-5</v>
      </c>
      <c r="J1080" s="99" t="str">
        <f>VLOOKUP(A1080,Base!A:F,6,0)</f>
        <v>ROBERTO  PINEDA  PEREZ</v>
      </c>
      <c r="K1080" s="89" t="str">
        <f>IFERROR(IF(VLOOKUP(I1080,Ingreso!K:P,6,0)=0,"Sin turtno ing",VLOOKUP(I1080,Ingreso!K:P,6,0)),IF(F1080&gt;0.25,IF(F1080&lt;0.311805555555556,"Turno A",IF(F1080&gt;0.3125,IF(F1080&lt;0.354166666666667,"Turno C",IF(F1080&gt;0.583333333333333,IF(F1080&lt;0.625,"Turno B",IF(F1080&gt;0.625694444444444,IF(F1080&lt;0.8125,"Turno A",IF(F1080&gt;0.875,IF(F1080&lt;0.936805555555556,"Turno C",IF(F1080&gt;0.9375,IF(F1080&lt;0.979166666666667,"Turno B",""),"")),"")),"")),"")),"")),""))</f>
        <v>Sin turtno ing</v>
      </c>
      <c r="L1080" s="91" t="e">
        <f t="shared" si="16"/>
        <v>#N/A</v>
      </c>
    </row>
    <row r="1081" spans="1:12" s="40" customFormat="1">
      <c r="A1081">
        <v>12020450</v>
      </c>
      <c r="B1081" t="s">
        <v>802</v>
      </c>
      <c r="C1081" t="s">
        <v>801</v>
      </c>
      <c r="D1081" t="s">
        <v>785</v>
      </c>
      <c r="E1081" t="s">
        <v>1439</v>
      </c>
      <c r="F1081" s="78">
        <v>0.76667824074074076</v>
      </c>
      <c r="G1081" t="s">
        <v>1406</v>
      </c>
      <c r="H1081" t="s">
        <v>1336</v>
      </c>
      <c r="I1081" s="88" t="str">
        <f>VLOOKUP(A1081,Base!A:B,2,0)</f>
        <v>12.020.450-5</v>
      </c>
      <c r="J1081" s="99" t="str">
        <f>VLOOKUP(A1081,Base!A:F,6,0)</f>
        <v>ROBERTO  PINEDA  PEREZ</v>
      </c>
      <c r="K1081" s="89" t="str">
        <f>IFERROR(IF(VLOOKUP(I1081,Ingreso!K:P,6,0)=0,"Sin turtno ing",VLOOKUP(I1081,Ingreso!K:P,6,0)),IF(F1081&gt;0.25,IF(F1081&lt;0.311805555555556,"Turno A",IF(F1081&gt;0.3125,IF(F1081&lt;0.354166666666667,"Turno C",IF(F1081&gt;0.583333333333333,IF(F1081&lt;0.625,"Turno B",IF(F1081&gt;0.625694444444444,IF(F1081&lt;0.8125,"Turno A",IF(F1081&gt;0.875,IF(F1081&lt;0.936805555555556,"Turno C",IF(F1081&gt;0.9375,IF(F1081&lt;0.979166666666667,"Turno B",""),"")),"")),"")),"")),"")),""))</f>
        <v>Sin turtno ing</v>
      </c>
      <c r="L1081" s="91" t="e">
        <f t="shared" si="16"/>
        <v>#N/A</v>
      </c>
    </row>
    <row r="1082" spans="1:12" s="40" customFormat="1">
      <c r="A1082">
        <v>12020450</v>
      </c>
      <c r="B1082" t="s">
        <v>802</v>
      </c>
      <c r="C1082" t="s">
        <v>801</v>
      </c>
      <c r="D1082" t="s">
        <v>785</v>
      </c>
      <c r="E1082" t="s">
        <v>1439</v>
      </c>
      <c r="F1082" s="78">
        <v>0.36469907407407409</v>
      </c>
      <c r="G1082" t="s">
        <v>1405</v>
      </c>
      <c r="H1082" t="s">
        <v>1335</v>
      </c>
      <c r="I1082" s="88" t="str">
        <f>VLOOKUP(A1082,Base!A:B,2,0)</f>
        <v>12.020.450-5</v>
      </c>
      <c r="J1082" s="99" t="str">
        <f>VLOOKUP(A1082,Base!A:F,6,0)</f>
        <v>ROBERTO  PINEDA  PEREZ</v>
      </c>
      <c r="K1082" s="89" t="str">
        <f>IFERROR(IF(VLOOKUP(I1082,Ingreso!K:P,6,0)=0,"Sin turtno ing",VLOOKUP(I1082,Ingreso!K:P,6,0)),IF(F1082&gt;0.25,IF(F1082&lt;0.311805555555556,"Turno A",IF(F1082&gt;0.3125,IF(F1082&lt;0.354166666666667,"Turno C",IF(F1082&gt;0.583333333333333,IF(F1082&lt;0.625,"Turno B",IF(F1082&gt;0.625694444444444,IF(F1082&lt;0.8125,"Turno A",IF(F1082&gt;0.875,IF(F1082&lt;0.936805555555556,"Turno C",IF(F1082&gt;0.9375,IF(F1082&lt;0.979166666666667,"Turno B",""),"")),"")),"")),"")),"")),""))</f>
        <v>Sin turtno ing</v>
      </c>
      <c r="L1082" s="91" t="e">
        <f t="shared" si="16"/>
        <v>#N/A</v>
      </c>
    </row>
    <row r="1083" spans="1:12" s="40" customFormat="1">
      <c r="A1083">
        <v>12051254</v>
      </c>
      <c r="B1083" t="s">
        <v>1413</v>
      </c>
      <c r="C1083" t="s">
        <v>842</v>
      </c>
      <c r="D1083" t="s">
        <v>377</v>
      </c>
      <c r="E1083" t="s">
        <v>1407</v>
      </c>
      <c r="F1083" s="78">
        <v>0</v>
      </c>
      <c r="G1083"/>
      <c r="H1083"/>
      <c r="I1083" s="88" t="str">
        <f>VLOOKUP(A1083,Base!A:B,2,0)</f>
        <v>12.051.254-4</v>
      </c>
      <c r="J1083" s="99" t="str">
        <f>VLOOKUP(A1083,Base!A:F,6,0)</f>
        <v>MAURICIO  NOVA  FIGUEROA</v>
      </c>
      <c r="K1083" s="89" t="str">
        <f>IFERROR(IF(VLOOKUP(I1083,Ingreso!K:P,6,0)=0,"Sin turtno ing",VLOOKUP(I1083,Ingreso!K:P,6,0)),IF(F1083&gt;0.25,IF(F1083&lt;0.311805555555556,"Turno A",IF(F1083&gt;0.3125,IF(F1083&lt;0.354166666666667,"Turno C",IF(F1083&gt;0.583333333333333,IF(F1083&lt;0.625,"Turno B",IF(F1083&gt;0.625694444444444,IF(F1083&lt;0.8125,"Turno A",IF(F1083&gt;0.875,IF(F1083&lt;0.936805555555556,"Turno C",IF(F1083&gt;0.9375,IF(F1083&lt;0.979166666666667,"Turno B",""),"")),"")),"")),"")),"")),""))</f>
        <v>Sin turtno ing</v>
      </c>
      <c r="L1083" s="91" t="e">
        <f t="shared" si="16"/>
        <v>#N/A</v>
      </c>
    </row>
    <row r="1084" spans="1:12" s="40" customFormat="1">
      <c r="A1084">
        <v>12093149</v>
      </c>
      <c r="B1084" t="s">
        <v>1139</v>
      </c>
      <c r="C1084" t="s">
        <v>69</v>
      </c>
      <c r="D1084" t="s">
        <v>267</v>
      </c>
      <c r="E1084" t="s">
        <v>1440</v>
      </c>
      <c r="F1084" s="78">
        <v>0.64</v>
      </c>
      <c r="G1084" t="s">
        <v>1406</v>
      </c>
      <c r="H1084" t="s">
        <v>1336</v>
      </c>
      <c r="I1084" s="88" t="str">
        <f>VLOOKUP(A1084,Base!A:B,2,0)</f>
        <v>12.093.149-0</v>
      </c>
      <c r="J1084" s="99" t="str">
        <f>VLOOKUP(A1084,Base!A:F,6,0)</f>
        <v>ANGEL GUILLERMO  CONTRERAS  CORTES</v>
      </c>
      <c r="K1084" s="89" t="str">
        <f>IFERROR(IF(VLOOKUP(I1084,Ingreso!K:P,6,0)=0,"Sin turtno ing",VLOOKUP(I1084,Ingreso!K:P,6,0)),IF(F1084&gt;0.25,IF(F1084&lt;0.311805555555556,"Turno A",IF(F1084&gt;0.3125,IF(F1084&lt;0.354166666666667,"Turno C",IF(F1084&gt;0.583333333333333,IF(F1084&lt;0.625,"Turno B",IF(F1084&gt;0.625694444444444,IF(F1084&lt;0.8125,"Turno A",IF(F1084&gt;0.875,IF(F1084&lt;0.936805555555556,"Turno C",IF(F1084&gt;0.9375,IF(F1084&lt;0.979166666666667,"Turno B",""),"")),"")),"")),"")),"")),""))</f>
        <v>Turno A</v>
      </c>
      <c r="L1084" s="91">
        <f t="shared" si="16"/>
        <v>0.3125</v>
      </c>
    </row>
    <row r="1085" spans="1:12" s="40" customFormat="1">
      <c r="A1085">
        <v>12093149</v>
      </c>
      <c r="B1085" t="s">
        <v>1139</v>
      </c>
      <c r="C1085" t="s">
        <v>69</v>
      </c>
      <c r="D1085" t="s">
        <v>267</v>
      </c>
      <c r="E1085" t="s">
        <v>1440</v>
      </c>
      <c r="F1085" s="78">
        <v>0.30506944444444445</v>
      </c>
      <c r="G1085" t="s">
        <v>1405</v>
      </c>
      <c r="H1085" t="s">
        <v>1335</v>
      </c>
      <c r="I1085" s="88" t="str">
        <f>VLOOKUP(A1085,Base!A:B,2,0)</f>
        <v>12.093.149-0</v>
      </c>
      <c r="J1085" s="99" t="str">
        <f>VLOOKUP(A1085,Base!A:F,6,0)</f>
        <v>ANGEL GUILLERMO  CONTRERAS  CORTES</v>
      </c>
      <c r="K1085" s="89" t="str">
        <f>IFERROR(IF(VLOOKUP(I1085,Ingreso!K:P,6,0)=0,"Sin turtno ing",VLOOKUP(I1085,Ingreso!K:P,6,0)),IF(F1085&gt;0.25,IF(F1085&lt;0.311805555555556,"Turno A",IF(F1085&gt;0.3125,IF(F1085&lt;0.354166666666667,"Turno C",IF(F1085&gt;0.583333333333333,IF(F1085&lt;0.625,"Turno B",IF(F1085&gt;0.625694444444444,IF(F1085&lt;0.8125,"Turno A",IF(F1085&gt;0.875,IF(F1085&lt;0.936805555555556,"Turno C",IF(F1085&gt;0.9375,IF(F1085&lt;0.979166666666667,"Turno B",""),"")),"")),"")),"")),"")),""))</f>
        <v>Turno A</v>
      </c>
      <c r="L1085" s="91">
        <f t="shared" si="16"/>
        <v>0.3125</v>
      </c>
    </row>
    <row r="1086" spans="1:12" s="40" customFormat="1">
      <c r="A1086">
        <v>12093149</v>
      </c>
      <c r="B1086" t="s">
        <v>1139</v>
      </c>
      <c r="C1086" t="s">
        <v>69</v>
      </c>
      <c r="D1086" t="s">
        <v>267</v>
      </c>
      <c r="E1086" t="s">
        <v>1441</v>
      </c>
      <c r="F1086" s="78">
        <v>0.64922453703703698</v>
      </c>
      <c r="G1086" t="s">
        <v>1406</v>
      </c>
      <c r="H1086" t="s">
        <v>1336</v>
      </c>
      <c r="I1086" s="88" t="str">
        <f>VLOOKUP(A1086,Base!A:B,2,0)</f>
        <v>12.093.149-0</v>
      </c>
      <c r="J1086" s="99" t="str">
        <f>VLOOKUP(A1086,Base!A:F,6,0)</f>
        <v>ANGEL GUILLERMO  CONTRERAS  CORTES</v>
      </c>
      <c r="K1086" s="89" t="str">
        <f>IFERROR(IF(VLOOKUP(I1086,Ingreso!K:P,6,0)=0,"Sin turtno ing",VLOOKUP(I1086,Ingreso!K:P,6,0)),IF(F1086&gt;0.25,IF(F1086&lt;0.311805555555556,"Turno A",IF(F1086&gt;0.3125,IF(F1086&lt;0.354166666666667,"Turno C",IF(F1086&gt;0.583333333333333,IF(F1086&lt;0.625,"Turno B",IF(F1086&gt;0.625694444444444,IF(F1086&lt;0.8125,"Turno A",IF(F1086&gt;0.875,IF(F1086&lt;0.936805555555556,"Turno C",IF(F1086&gt;0.9375,IF(F1086&lt;0.979166666666667,"Turno B",""),"")),"")),"")),"")),"")),""))</f>
        <v>Turno A</v>
      </c>
      <c r="L1086" s="91">
        <f t="shared" si="16"/>
        <v>0.3125</v>
      </c>
    </row>
    <row r="1087" spans="1:12" s="40" customFormat="1">
      <c r="A1087">
        <v>12093149</v>
      </c>
      <c r="B1087" t="s">
        <v>1139</v>
      </c>
      <c r="C1087" t="s">
        <v>69</v>
      </c>
      <c r="D1087" t="s">
        <v>267</v>
      </c>
      <c r="E1087" t="s">
        <v>1441</v>
      </c>
      <c r="F1087" s="78">
        <v>0.30784722222222222</v>
      </c>
      <c r="G1087" t="s">
        <v>1405</v>
      </c>
      <c r="H1087" t="s">
        <v>1335</v>
      </c>
      <c r="I1087" s="88" t="str">
        <f>VLOOKUP(A1087,Base!A:B,2,0)</f>
        <v>12.093.149-0</v>
      </c>
      <c r="J1087" s="99" t="str">
        <f>VLOOKUP(A1087,Base!A:F,6,0)</f>
        <v>ANGEL GUILLERMO  CONTRERAS  CORTES</v>
      </c>
      <c r="K1087" s="89" t="str">
        <f>IFERROR(IF(VLOOKUP(I1087,Ingreso!K:P,6,0)=0,"Sin turtno ing",VLOOKUP(I1087,Ingreso!K:P,6,0)),IF(F1087&gt;0.25,IF(F1087&lt;0.311805555555556,"Turno A",IF(F1087&gt;0.3125,IF(F1087&lt;0.354166666666667,"Turno C",IF(F1087&gt;0.583333333333333,IF(F1087&lt;0.625,"Turno B",IF(F1087&gt;0.625694444444444,IF(F1087&lt;0.8125,"Turno A",IF(F1087&gt;0.875,IF(F1087&lt;0.936805555555556,"Turno C",IF(F1087&gt;0.9375,IF(F1087&lt;0.979166666666667,"Turno B",""),"")),"")),"")),"")),"")),""))</f>
        <v>Turno A</v>
      </c>
      <c r="L1087" s="91">
        <f t="shared" si="16"/>
        <v>0.3125</v>
      </c>
    </row>
    <row r="1088" spans="1:12" s="40" customFormat="1">
      <c r="A1088">
        <v>12093149</v>
      </c>
      <c r="B1088" t="s">
        <v>1139</v>
      </c>
      <c r="C1088" t="s">
        <v>69</v>
      </c>
      <c r="D1088" t="s">
        <v>267</v>
      </c>
      <c r="E1088" t="s">
        <v>1437</v>
      </c>
      <c r="F1088" s="78">
        <v>0.63503472222222224</v>
      </c>
      <c r="G1088" t="s">
        <v>1406</v>
      </c>
      <c r="H1088" t="s">
        <v>1336</v>
      </c>
      <c r="I1088" s="88" t="str">
        <f>VLOOKUP(A1088,Base!A:B,2,0)</f>
        <v>12.093.149-0</v>
      </c>
      <c r="J1088" s="99" t="str">
        <f>VLOOKUP(A1088,Base!A:F,6,0)</f>
        <v>ANGEL GUILLERMO  CONTRERAS  CORTES</v>
      </c>
      <c r="K1088" s="89" t="str">
        <f>IFERROR(IF(VLOOKUP(I1088,Ingreso!K:P,6,0)=0,"Sin turtno ing",VLOOKUP(I1088,Ingreso!K:P,6,0)),IF(F1088&gt;0.25,IF(F1088&lt;0.311805555555556,"Turno A",IF(F1088&gt;0.3125,IF(F1088&lt;0.354166666666667,"Turno C",IF(F1088&gt;0.583333333333333,IF(F1088&lt;0.625,"Turno B",IF(F1088&gt;0.625694444444444,IF(F1088&lt;0.8125,"Turno A",IF(F1088&gt;0.875,IF(F1088&lt;0.936805555555556,"Turno C",IF(F1088&gt;0.9375,IF(F1088&lt;0.979166666666667,"Turno B",""),"")),"")),"")),"")),"")),""))</f>
        <v>Turno A</v>
      </c>
      <c r="L1088" s="91">
        <f t="shared" si="16"/>
        <v>0.3125</v>
      </c>
    </row>
    <row r="1089" spans="1:12" s="40" customFormat="1">
      <c r="A1089">
        <v>12093149</v>
      </c>
      <c r="B1089" t="s">
        <v>1139</v>
      </c>
      <c r="C1089" t="s">
        <v>69</v>
      </c>
      <c r="D1089" t="s">
        <v>267</v>
      </c>
      <c r="E1089" t="s">
        <v>1437</v>
      </c>
      <c r="F1089" s="78">
        <v>0.30174768518518519</v>
      </c>
      <c r="G1089" t="s">
        <v>1405</v>
      </c>
      <c r="H1089" t="s">
        <v>1335</v>
      </c>
      <c r="I1089" s="88" t="str">
        <f>VLOOKUP(A1089,Base!A:B,2,0)</f>
        <v>12.093.149-0</v>
      </c>
      <c r="J1089" s="99" t="str">
        <f>VLOOKUP(A1089,Base!A:F,6,0)</f>
        <v>ANGEL GUILLERMO  CONTRERAS  CORTES</v>
      </c>
      <c r="K1089" s="89" t="str">
        <f>IFERROR(IF(VLOOKUP(I1089,Ingreso!K:P,6,0)=0,"Sin turtno ing",VLOOKUP(I1089,Ingreso!K:P,6,0)),IF(F1089&gt;0.25,IF(F1089&lt;0.311805555555556,"Turno A",IF(F1089&gt;0.3125,IF(F1089&lt;0.354166666666667,"Turno C",IF(F1089&gt;0.583333333333333,IF(F1089&lt;0.625,"Turno B",IF(F1089&gt;0.625694444444444,IF(F1089&lt;0.8125,"Turno A",IF(F1089&gt;0.875,IF(F1089&lt;0.936805555555556,"Turno C",IF(F1089&gt;0.9375,IF(F1089&lt;0.979166666666667,"Turno B",""),"")),"")),"")),"")),"")),""))</f>
        <v>Turno A</v>
      </c>
      <c r="L1089" s="91">
        <f t="shared" si="16"/>
        <v>0.3125</v>
      </c>
    </row>
    <row r="1090" spans="1:12" s="40" customFormat="1">
      <c r="A1090">
        <v>12093149</v>
      </c>
      <c r="B1090" t="s">
        <v>1139</v>
      </c>
      <c r="C1090" t="s">
        <v>69</v>
      </c>
      <c r="D1090" t="s">
        <v>267</v>
      </c>
      <c r="E1090" t="s">
        <v>1438</v>
      </c>
      <c r="F1090" s="78">
        <v>0.63381944444444438</v>
      </c>
      <c r="G1090" t="s">
        <v>1406</v>
      </c>
      <c r="H1090" t="s">
        <v>1336</v>
      </c>
      <c r="I1090" s="88" t="str">
        <f>VLOOKUP(A1090,Base!A:B,2,0)</f>
        <v>12.093.149-0</v>
      </c>
      <c r="J1090" s="99" t="str">
        <f>VLOOKUP(A1090,Base!A:F,6,0)</f>
        <v>ANGEL GUILLERMO  CONTRERAS  CORTES</v>
      </c>
      <c r="K1090" s="89" t="str">
        <f>IFERROR(IF(VLOOKUP(I1090,Ingreso!K:P,6,0)=0,"Sin turtno ing",VLOOKUP(I1090,Ingreso!K:P,6,0)),IF(F1090&gt;0.25,IF(F1090&lt;0.311805555555556,"Turno A",IF(F1090&gt;0.3125,IF(F1090&lt;0.354166666666667,"Turno C",IF(F1090&gt;0.583333333333333,IF(F1090&lt;0.625,"Turno B",IF(F1090&gt;0.625694444444444,IF(F1090&lt;0.8125,"Turno A",IF(F1090&gt;0.875,IF(F1090&lt;0.936805555555556,"Turno C",IF(F1090&gt;0.9375,IF(F1090&lt;0.979166666666667,"Turno B",""),"")),"")),"")),"")),"")),""))</f>
        <v>Turno A</v>
      </c>
      <c r="L1090" s="91">
        <f t="shared" si="16"/>
        <v>0.3125</v>
      </c>
    </row>
    <row r="1091" spans="1:12" s="40" customFormat="1">
      <c r="A1091">
        <v>12093149</v>
      </c>
      <c r="B1091" t="s">
        <v>1139</v>
      </c>
      <c r="C1091" t="s">
        <v>69</v>
      </c>
      <c r="D1091" t="s">
        <v>267</v>
      </c>
      <c r="E1091" t="s">
        <v>1438</v>
      </c>
      <c r="F1091" s="78">
        <v>0.30283564814814817</v>
      </c>
      <c r="G1091" t="s">
        <v>1405</v>
      </c>
      <c r="H1091" t="s">
        <v>1335</v>
      </c>
      <c r="I1091" s="88" t="str">
        <f>VLOOKUP(A1091,Base!A:B,2,0)</f>
        <v>12.093.149-0</v>
      </c>
      <c r="J1091" s="99" t="str">
        <f>VLOOKUP(A1091,Base!A:F,6,0)</f>
        <v>ANGEL GUILLERMO  CONTRERAS  CORTES</v>
      </c>
      <c r="K1091" s="89" t="str">
        <f>IFERROR(IF(VLOOKUP(I1091,Ingreso!K:P,6,0)=0,"Sin turtno ing",VLOOKUP(I1091,Ingreso!K:P,6,0)),IF(F1091&gt;0.25,IF(F1091&lt;0.311805555555556,"Turno A",IF(F1091&gt;0.3125,IF(F1091&lt;0.354166666666667,"Turno C",IF(F1091&gt;0.583333333333333,IF(F1091&lt;0.625,"Turno B",IF(F1091&gt;0.625694444444444,IF(F1091&lt;0.8125,"Turno A",IF(F1091&gt;0.875,IF(F1091&lt;0.936805555555556,"Turno C",IF(F1091&gt;0.9375,IF(F1091&lt;0.979166666666667,"Turno B",""),"")),"")),"")),"")),"")),""))</f>
        <v>Turno A</v>
      </c>
      <c r="L1091" s="91">
        <f t="shared" ref="L1091:L1154" si="17">VLOOKUP(K1091,$S$3:$T$7,2,0)</f>
        <v>0.3125</v>
      </c>
    </row>
    <row r="1092" spans="1:12" s="40" customFormat="1">
      <c r="A1092">
        <v>12093149</v>
      </c>
      <c r="B1092" t="s">
        <v>1139</v>
      </c>
      <c r="C1092" t="s">
        <v>69</v>
      </c>
      <c r="D1092" t="s">
        <v>267</v>
      </c>
      <c r="E1092" t="s">
        <v>1439</v>
      </c>
      <c r="F1092" s="78">
        <v>0.63997685185185182</v>
      </c>
      <c r="G1092" t="s">
        <v>1406</v>
      </c>
      <c r="H1092" t="s">
        <v>1336</v>
      </c>
      <c r="I1092" s="88" t="str">
        <f>VLOOKUP(A1092,Base!A:B,2,0)</f>
        <v>12.093.149-0</v>
      </c>
      <c r="J1092" s="99" t="str">
        <f>VLOOKUP(A1092,Base!A:F,6,0)</f>
        <v>ANGEL GUILLERMO  CONTRERAS  CORTES</v>
      </c>
      <c r="K1092" s="89" t="str">
        <f>IFERROR(IF(VLOOKUP(I1092,Ingreso!K:P,6,0)=0,"Sin turtno ing",VLOOKUP(I1092,Ingreso!K:P,6,0)),IF(F1092&gt;0.25,IF(F1092&lt;0.311805555555556,"Turno A",IF(F1092&gt;0.3125,IF(F1092&lt;0.354166666666667,"Turno C",IF(F1092&gt;0.583333333333333,IF(F1092&lt;0.625,"Turno B",IF(F1092&gt;0.625694444444444,IF(F1092&lt;0.8125,"Turno A",IF(F1092&gt;0.875,IF(F1092&lt;0.936805555555556,"Turno C",IF(F1092&gt;0.9375,IF(F1092&lt;0.979166666666667,"Turno B",""),"")),"")),"")),"")),"")),""))</f>
        <v>Turno A</v>
      </c>
      <c r="L1092" s="91">
        <f t="shared" si="17"/>
        <v>0.3125</v>
      </c>
    </row>
    <row r="1093" spans="1:12" s="40" customFormat="1">
      <c r="A1093">
        <v>12093149</v>
      </c>
      <c r="B1093" t="s">
        <v>1139</v>
      </c>
      <c r="C1093" t="s">
        <v>69</v>
      </c>
      <c r="D1093" t="s">
        <v>267</v>
      </c>
      <c r="E1093" t="s">
        <v>1439</v>
      </c>
      <c r="F1093" s="78">
        <v>0.30363425925925924</v>
      </c>
      <c r="G1093" t="s">
        <v>1405</v>
      </c>
      <c r="H1093" t="s">
        <v>1335</v>
      </c>
      <c r="I1093" s="88" t="str">
        <f>VLOOKUP(A1093,Base!A:B,2,0)</f>
        <v>12.093.149-0</v>
      </c>
      <c r="J1093" s="99" t="str">
        <f>VLOOKUP(A1093,Base!A:F,6,0)</f>
        <v>ANGEL GUILLERMO  CONTRERAS  CORTES</v>
      </c>
      <c r="K1093" s="89" t="str">
        <f>IFERROR(IF(VLOOKUP(I1093,Ingreso!K:P,6,0)=0,"Sin turtno ing",VLOOKUP(I1093,Ingreso!K:P,6,0)),IF(F1093&gt;0.25,IF(F1093&lt;0.311805555555556,"Turno A",IF(F1093&gt;0.3125,IF(F1093&lt;0.354166666666667,"Turno C",IF(F1093&gt;0.583333333333333,IF(F1093&lt;0.625,"Turno B",IF(F1093&gt;0.625694444444444,IF(F1093&lt;0.8125,"Turno A",IF(F1093&gt;0.875,IF(F1093&lt;0.936805555555556,"Turno C",IF(F1093&gt;0.9375,IF(F1093&lt;0.979166666666667,"Turno B",""),"")),"")),"")),"")),"")),""))</f>
        <v>Turno A</v>
      </c>
      <c r="L1093" s="91">
        <f t="shared" si="17"/>
        <v>0.3125</v>
      </c>
    </row>
    <row r="1094" spans="1:12" s="40" customFormat="1">
      <c r="A1094">
        <v>12093228</v>
      </c>
      <c r="B1094" t="s">
        <v>92</v>
      </c>
      <c r="C1094" t="s">
        <v>90</v>
      </c>
      <c r="D1094" t="s">
        <v>91</v>
      </c>
      <c r="E1094" t="s">
        <v>1440</v>
      </c>
      <c r="F1094" s="78">
        <v>0.30653935185185183</v>
      </c>
      <c r="G1094" t="s">
        <v>1406</v>
      </c>
      <c r="H1094" t="s">
        <v>1336</v>
      </c>
      <c r="I1094" s="88" t="str">
        <f>VLOOKUP(A1094,Base!A:B,2,0)</f>
        <v>12.093.228-4</v>
      </c>
      <c r="J1094" s="99" t="str">
        <f>VLOOKUP(A1094,Base!A:F,6,0)</f>
        <v>CRISTIAN  ARANCIBIA  NIETO</v>
      </c>
      <c r="K1094" s="89" t="str">
        <f>IFERROR(IF(VLOOKUP(I1094,Ingreso!K:P,6,0)=0,"Sin turtno ing",VLOOKUP(I1094,Ingreso!K:P,6,0)),IF(F1094&gt;0.25,IF(F1094&lt;0.311805555555556,"Turno A",IF(F1094&gt;0.3125,IF(F1094&lt;0.354166666666667,"Turno C",IF(F1094&gt;0.583333333333333,IF(F1094&lt;0.625,"Turno B",IF(F1094&gt;0.625694444444444,IF(F1094&lt;0.8125,"Turno A",IF(F1094&gt;0.875,IF(F1094&lt;0.936805555555556,"Turno C",IF(F1094&gt;0.9375,IF(F1094&lt;0.979166666666667,"Turno B",""),"")),"")),"")),"")),"")),""))</f>
        <v>Sin turtno ing</v>
      </c>
      <c r="L1094" s="91" t="e">
        <f t="shared" si="17"/>
        <v>#N/A</v>
      </c>
    </row>
    <row r="1095" spans="1:12" s="40" customFormat="1">
      <c r="A1095">
        <v>12093228</v>
      </c>
      <c r="B1095" t="s">
        <v>92</v>
      </c>
      <c r="C1095" t="s">
        <v>90</v>
      </c>
      <c r="D1095" t="s">
        <v>91</v>
      </c>
      <c r="E1095" t="s">
        <v>1440</v>
      </c>
      <c r="F1095" s="78">
        <v>0.77128472222222222</v>
      </c>
      <c r="G1095" t="s">
        <v>1406</v>
      </c>
      <c r="H1095" t="s">
        <v>1336</v>
      </c>
      <c r="I1095" s="88" t="str">
        <f>VLOOKUP(A1095,Base!A:B,2,0)</f>
        <v>12.093.228-4</v>
      </c>
      <c r="J1095" s="99" t="str">
        <f>VLOOKUP(A1095,Base!A:F,6,0)</f>
        <v>CRISTIAN  ARANCIBIA  NIETO</v>
      </c>
      <c r="K1095" s="89" t="str">
        <f>IFERROR(IF(VLOOKUP(I1095,Ingreso!K:P,6,0)=0,"Sin turtno ing",VLOOKUP(I1095,Ingreso!K:P,6,0)),IF(F1095&gt;0.25,IF(F1095&lt;0.311805555555556,"Turno A",IF(F1095&gt;0.3125,IF(F1095&lt;0.354166666666667,"Turno C",IF(F1095&gt;0.583333333333333,IF(F1095&lt;0.625,"Turno B",IF(F1095&gt;0.625694444444444,IF(F1095&lt;0.8125,"Turno A",IF(F1095&gt;0.875,IF(F1095&lt;0.936805555555556,"Turno C",IF(F1095&gt;0.9375,IF(F1095&lt;0.979166666666667,"Turno B",""),"")),"")),"")),"")),"")),""))</f>
        <v>Sin turtno ing</v>
      </c>
      <c r="L1095" s="91" t="e">
        <f t="shared" si="17"/>
        <v>#N/A</v>
      </c>
    </row>
    <row r="1096" spans="1:12" s="40" customFormat="1">
      <c r="A1096">
        <v>12093228</v>
      </c>
      <c r="B1096" t="s">
        <v>92</v>
      </c>
      <c r="C1096" t="s">
        <v>90</v>
      </c>
      <c r="D1096" t="s">
        <v>91</v>
      </c>
      <c r="E1096" t="s">
        <v>1437</v>
      </c>
      <c r="F1096" s="78">
        <v>0.79006944444444438</v>
      </c>
      <c r="G1096" t="s">
        <v>1406</v>
      </c>
      <c r="H1096" t="s">
        <v>1336</v>
      </c>
      <c r="I1096" s="88" t="str">
        <f>VLOOKUP(A1096,Base!A:B,2,0)</f>
        <v>12.093.228-4</v>
      </c>
      <c r="J1096" s="99" t="str">
        <f>VLOOKUP(A1096,Base!A:F,6,0)</f>
        <v>CRISTIAN  ARANCIBIA  NIETO</v>
      </c>
      <c r="K1096" s="89" t="str">
        <f>IFERROR(IF(VLOOKUP(I1096,Ingreso!K:P,6,0)=0,"Sin turtno ing",VLOOKUP(I1096,Ingreso!K:P,6,0)),IF(F1096&gt;0.25,IF(F1096&lt;0.311805555555556,"Turno A",IF(F1096&gt;0.3125,IF(F1096&lt;0.354166666666667,"Turno C",IF(F1096&gt;0.583333333333333,IF(F1096&lt;0.625,"Turno B",IF(F1096&gt;0.625694444444444,IF(F1096&lt;0.8125,"Turno A",IF(F1096&gt;0.875,IF(F1096&lt;0.936805555555556,"Turno C",IF(F1096&gt;0.9375,IF(F1096&lt;0.979166666666667,"Turno B",""),"")),"")),"")),"")),"")),""))</f>
        <v>Sin turtno ing</v>
      </c>
      <c r="L1096" s="91" t="e">
        <f t="shared" si="17"/>
        <v>#N/A</v>
      </c>
    </row>
    <row r="1097" spans="1:12" s="40" customFormat="1">
      <c r="A1097">
        <v>12093228</v>
      </c>
      <c r="B1097" t="s">
        <v>92</v>
      </c>
      <c r="C1097" t="s">
        <v>90</v>
      </c>
      <c r="D1097" t="s">
        <v>91</v>
      </c>
      <c r="E1097" t="s">
        <v>1437</v>
      </c>
      <c r="F1097" s="78">
        <v>0.29368055555555556</v>
      </c>
      <c r="G1097" t="s">
        <v>1405</v>
      </c>
      <c r="H1097" t="s">
        <v>1335</v>
      </c>
      <c r="I1097" s="88" t="str">
        <f>VLOOKUP(A1097,Base!A:B,2,0)</f>
        <v>12.093.228-4</v>
      </c>
      <c r="J1097" s="99" t="str">
        <f>VLOOKUP(A1097,Base!A:F,6,0)</f>
        <v>CRISTIAN  ARANCIBIA  NIETO</v>
      </c>
      <c r="K1097" s="89" t="str">
        <f>IFERROR(IF(VLOOKUP(I1097,Ingreso!K:P,6,0)=0,"Sin turtno ing",VLOOKUP(I1097,Ingreso!K:P,6,0)),IF(F1097&gt;0.25,IF(F1097&lt;0.311805555555556,"Turno A",IF(F1097&gt;0.3125,IF(F1097&lt;0.354166666666667,"Turno C",IF(F1097&gt;0.583333333333333,IF(F1097&lt;0.625,"Turno B",IF(F1097&gt;0.625694444444444,IF(F1097&lt;0.8125,"Turno A",IF(F1097&gt;0.875,IF(F1097&lt;0.936805555555556,"Turno C",IF(F1097&gt;0.9375,IF(F1097&lt;0.979166666666667,"Turno B",""),"")),"")),"")),"")),"")),""))</f>
        <v>Sin turtno ing</v>
      </c>
      <c r="L1097" s="91" t="e">
        <f t="shared" si="17"/>
        <v>#N/A</v>
      </c>
    </row>
    <row r="1098" spans="1:12" s="40" customFormat="1">
      <c r="A1098">
        <v>12093228</v>
      </c>
      <c r="B1098" t="s">
        <v>92</v>
      </c>
      <c r="C1098" t="s">
        <v>90</v>
      </c>
      <c r="D1098" t="s">
        <v>91</v>
      </c>
      <c r="E1098" t="s">
        <v>1438</v>
      </c>
      <c r="F1098" s="78">
        <v>0.789525462962963</v>
      </c>
      <c r="G1098" t="s">
        <v>1406</v>
      </c>
      <c r="H1098" t="s">
        <v>1336</v>
      </c>
      <c r="I1098" s="88" t="str">
        <f>VLOOKUP(A1098,Base!A:B,2,0)</f>
        <v>12.093.228-4</v>
      </c>
      <c r="J1098" s="99" t="str">
        <f>VLOOKUP(A1098,Base!A:F,6,0)</f>
        <v>CRISTIAN  ARANCIBIA  NIETO</v>
      </c>
      <c r="K1098" s="89" t="str">
        <f>IFERROR(IF(VLOOKUP(I1098,Ingreso!K:P,6,0)=0,"Sin turtno ing",VLOOKUP(I1098,Ingreso!K:P,6,0)),IF(F1098&gt;0.25,IF(F1098&lt;0.311805555555556,"Turno A",IF(F1098&gt;0.3125,IF(F1098&lt;0.354166666666667,"Turno C",IF(F1098&gt;0.583333333333333,IF(F1098&lt;0.625,"Turno B",IF(F1098&gt;0.625694444444444,IF(F1098&lt;0.8125,"Turno A",IF(F1098&gt;0.875,IF(F1098&lt;0.936805555555556,"Turno C",IF(F1098&gt;0.9375,IF(F1098&lt;0.979166666666667,"Turno B",""),"")),"")),"")),"")),"")),""))</f>
        <v>Sin turtno ing</v>
      </c>
      <c r="L1098" s="91" t="e">
        <f t="shared" si="17"/>
        <v>#N/A</v>
      </c>
    </row>
    <row r="1099" spans="1:12" s="40" customFormat="1">
      <c r="A1099">
        <v>12093228</v>
      </c>
      <c r="B1099" t="s">
        <v>92</v>
      </c>
      <c r="C1099" t="s">
        <v>90</v>
      </c>
      <c r="D1099" t="s">
        <v>91</v>
      </c>
      <c r="E1099" t="s">
        <v>1438</v>
      </c>
      <c r="F1099" s="78">
        <v>0.30908564814814815</v>
      </c>
      <c r="G1099" t="s">
        <v>1405</v>
      </c>
      <c r="H1099" t="s">
        <v>1335</v>
      </c>
      <c r="I1099" s="88" t="str">
        <f>VLOOKUP(A1099,Base!A:B,2,0)</f>
        <v>12.093.228-4</v>
      </c>
      <c r="J1099" s="99" t="str">
        <f>VLOOKUP(A1099,Base!A:F,6,0)</f>
        <v>CRISTIAN  ARANCIBIA  NIETO</v>
      </c>
      <c r="K1099" s="89" t="str">
        <f>IFERROR(IF(VLOOKUP(I1099,Ingreso!K:P,6,0)=0,"Sin turtno ing",VLOOKUP(I1099,Ingreso!K:P,6,0)),IF(F1099&gt;0.25,IF(F1099&lt;0.311805555555556,"Turno A",IF(F1099&gt;0.3125,IF(F1099&lt;0.354166666666667,"Turno C",IF(F1099&gt;0.583333333333333,IF(F1099&lt;0.625,"Turno B",IF(F1099&gt;0.625694444444444,IF(F1099&lt;0.8125,"Turno A",IF(F1099&gt;0.875,IF(F1099&lt;0.936805555555556,"Turno C",IF(F1099&gt;0.9375,IF(F1099&lt;0.979166666666667,"Turno B",""),"")),"")),"")),"")),"")),""))</f>
        <v>Sin turtno ing</v>
      </c>
      <c r="L1099" s="91" t="e">
        <f t="shared" si="17"/>
        <v>#N/A</v>
      </c>
    </row>
    <row r="1100" spans="1:12" s="40" customFormat="1">
      <c r="A1100">
        <v>12093228</v>
      </c>
      <c r="B1100" t="s">
        <v>92</v>
      </c>
      <c r="C1100" t="s">
        <v>90</v>
      </c>
      <c r="D1100" t="s">
        <v>91</v>
      </c>
      <c r="E1100" t="s">
        <v>1439</v>
      </c>
      <c r="F1100" s="78">
        <v>0.7327662037037036</v>
      </c>
      <c r="G1100" t="s">
        <v>1406</v>
      </c>
      <c r="H1100" t="s">
        <v>1336</v>
      </c>
      <c r="I1100" s="88" t="str">
        <f>VLOOKUP(A1100,Base!A:B,2,0)</f>
        <v>12.093.228-4</v>
      </c>
      <c r="J1100" s="99" t="str">
        <f>VLOOKUP(A1100,Base!A:F,6,0)</f>
        <v>CRISTIAN  ARANCIBIA  NIETO</v>
      </c>
      <c r="K1100" s="89" t="str">
        <f>IFERROR(IF(VLOOKUP(I1100,Ingreso!K:P,6,0)=0,"Sin turtno ing",VLOOKUP(I1100,Ingreso!K:P,6,0)),IF(F1100&gt;0.25,IF(F1100&lt;0.311805555555556,"Turno A",IF(F1100&gt;0.3125,IF(F1100&lt;0.354166666666667,"Turno C",IF(F1100&gt;0.583333333333333,IF(F1100&lt;0.625,"Turno B",IF(F1100&gt;0.625694444444444,IF(F1100&lt;0.8125,"Turno A",IF(F1100&gt;0.875,IF(F1100&lt;0.936805555555556,"Turno C",IF(F1100&gt;0.9375,IF(F1100&lt;0.979166666666667,"Turno B",""),"")),"")),"")),"")),"")),""))</f>
        <v>Sin turtno ing</v>
      </c>
      <c r="L1100" s="91" t="e">
        <f t="shared" si="17"/>
        <v>#N/A</v>
      </c>
    </row>
    <row r="1101" spans="1:12" s="40" customFormat="1">
      <c r="A1101">
        <v>12093228</v>
      </c>
      <c r="B1101" t="s">
        <v>92</v>
      </c>
      <c r="C1101" t="s">
        <v>90</v>
      </c>
      <c r="D1101" t="s">
        <v>91</v>
      </c>
      <c r="E1101" t="s">
        <v>1439</v>
      </c>
      <c r="F1101" s="78">
        <v>0.29138888888888886</v>
      </c>
      <c r="G1101" t="s">
        <v>1405</v>
      </c>
      <c r="H1101" t="s">
        <v>1335</v>
      </c>
      <c r="I1101" s="88" t="str">
        <f>VLOOKUP(A1101,Base!A:B,2,0)</f>
        <v>12.093.228-4</v>
      </c>
      <c r="J1101" s="99" t="str">
        <f>VLOOKUP(A1101,Base!A:F,6,0)</f>
        <v>CRISTIAN  ARANCIBIA  NIETO</v>
      </c>
      <c r="K1101" s="89" t="str">
        <f>IFERROR(IF(VLOOKUP(I1101,Ingreso!K:P,6,0)=0,"Sin turtno ing",VLOOKUP(I1101,Ingreso!K:P,6,0)),IF(F1101&gt;0.25,IF(F1101&lt;0.311805555555556,"Turno A",IF(F1101&gt;0.3125,IF(F1101&lt;0.354166666666667,"Turno C",IF(F1101&gt;0.583333333333333,IF(F1101&lt;0.625,"Turno B",IF(F1101&gt;0.625694444444444,IF(F1101&lt;0.8125,"Turno A",IF(F1101&gt;0.875,IF(F1101&lt;0.936805555555556,"Turno C",IF(F1101&gt;0.9375,IF(F1101&lt;0.979166666666667,"Turno B",""),"")),"")),"")),"")),"")),""))</f>
        <v>Sin turtno ing</v>
      </c>
      <c r="L1101" s="91" t="e">
        <f t="shared" si="17"/>
        <v>#N/A</v>
      </c>
    </row>
    <row r="1102" spans="1:12" s="40" customFormat="1">
      <c r="A1102">
        <v>12175753</v>
      </c>
      <c r="B1102" t="s">
        <v>1108</v>
      </c>
      <c r="C1102" t="s">
        <v>1107</v>
      </c>
      <c r="D1102" t="s">
        <v>126</v>
      </c>
      <c r="E1102" t="s">
        <v>1407</v>
      </c>
      <c r="F1102" s="78">
        <v>0</v>
      </c>
      <c r="G1102"/>
      <c r="H1102"/>
      <c r="I1102" s="88" t="str">
        <f>VLOOKUP(A1102,Base!A:B,2,0)</f>
        <v>12.175.753-2</v>
      </c>
      <c r="J1102" s="99" t="str">
        <f>VLOOKUP(A1102,Base!A:F,6,0)</f>
        <v>MARIO  MESIAS  PALMA</v>
      </c>
      <c r="K1102" s="89" t="str">
        <f>IFERROR(IF(VLOOKUP(I1102,Ingreso!K:P,6,0)=0,"Sin turtno ing",VLOOKUP(I1102,Ingreso!K:P,6,0)),IF(F1102&gt;0.25,IF(F1102&lt;0.311805555555556,"Turno A",IF(F1102&gt;0.3125,IF(F1102&lt;0.354166666666667,"Turno C",IF(F1102&gt;0.583333333333333,IF(F1102&lt;0.625,"Turno B",IF(F1102&gt;0.625694444444444,IF(F1102&lt;0.8125,"Turno A",IF(F1102&gt;0.875,IF(F1102&lt;0.936805555555556,"Turno C",IF(F1102&gt;0.9375,IF(F1102&lt;0.979166666666667,"Turno B",""),"")),"")),"")),"")),"")),""))</f>
        <v/>
      </c>
      <c r="L1102" s="91" t="e">
        <f t="shared" si="17"/>
        <v>#N/A</v>
      </c>
    </row>
    <row r="1103" spans="1:12" s="40" customFormat="1">
      <c r="A1103">
        <v>12210109</v>
      </c>
      <c r="B1103" t="s">
        <v>1261</v>
      </c>
      <c r="C1103" t="s">
        <v>1155</v>
      </c>
      <c r="D1103" t="s">
        <v>700</v>
      </c>
      <c r="E1103" t="s">
        <v>1440</v>
      </c>
      <c r="F1103" s="78">
        <v>0.91270833333333334</v>
      </c>
      <c r="G1103" t="s">
        <v>1405</v>
      </c>
      <c r="H1103" t="s">
        <v>1335</v>
      </c>
      <c r="I1103" s="88" t="str">
        <f>VLOOKUP(A1103,Base!A:B,2,0)</f>
        <v>12.210.109-0</v>
      </c>
      <c r="J1103" s="99" t="str">
        <f>VLOOKUP(A1103,Base!A:F,6,0)</f>
        <v>ROBERTO FERNANDO  ESCOBAR  RIVERA</v>
      </c>
      <c r="K1103" s="89" t="str">
        <f>IFERROR(IF(VLOOKUP(I1103,Ingreso!K:P,6,0)=0,"Sin turtno ing",VLOOKUP(I1103,Ingreso!K:P,6,0)),IF(F1103&gt;0.25,IF(F1103&lt;0.311805555555556,"Turno A",IF(F1103&gt;0.3125,IF(F1103&lt;0.354166666666667,"Turno C",IF(F1103&gt;0.583333333333333,IF(F1103&lt;0.625,"Turno B",IF(F1103&gt;0.625694444444444,IF(F1103&lt;0.8125,"Turno A",IF(F1103&gt;0.875,IF(F1103&lt;0.936805555555556,"Turno C",IF(F1103&gt;0.9375,IF(F1103&lt;0.979166666666667,"Turno B",""),"")),"")),"")),"")),"")),""))</f>
        <v>Turno C</v>
      </c>
      <c r="L1103" s="91">
        <f t="shared" si="17"/>
        <v>0.375</v>
      </c>
    </row>
    <row r="1104" spans="1:12" s="40" customFormat="1">
      <c r="A1104">
        <v>12210109</v>
      </c>
      <c r="B1104" t="s">
        <v>1261</v>
      </c>
      <c r="C1104" t="s">
        <v>1155</v>
      </c>
      <c r="D1104" t="s">
        <v>700</v>
      </c>
      <c r="E1104" t="s">
        <v>1441</v>
      </c>
      <c r="F1104" s="78">
        <v>0.32849537037037035</v>
      </c>
      <c r="G1104" t="s">
        <v>1406</v>
      </c>
      <c r="H1104" t="s">
        <v>1336</v>
      </c>
      <c r="I1104" s="88" t="str">
        <f>VLOOKUP(A1104,Base!A:B,2,0)</f>
        <v>12.210.109-0</v>
      </c>
      <c r="J1104" s="99" t="str">
        <f>VLOOKUP(A1104,Base!A:F,6,0)</f>
        <v>ROBERTO FERNANDO  ESCOBAR  RIVERA</v>
      </c>
      <c r="K1104" s="89" t="str">
        <f>IFERROR(IF(VLOOKUP(I1104,Ingreso!K:P,6,0)=0,"Sin turtno ing",VLOOKUP(I1104,Ingreso!K:P,6,0)),IF(F1104&gt;0.25,IF(F1104&lt;0.311805555555556,"Turno A",IF(F1104&gt;0.3125,IF(F1104&lt;0.354166666666667,"Turno C",IF(F1104&gt;0.583333333333333,IF(F1104&lt;0.625,"Turno B",IF(F1104&gt;0.625694444444444,IF(F1104&lt;0.8125,"Turno A",IF(F1104&gt;0.875,IF(F1104&lt;0.936805555555556,"Turno C",IF(F1104&gt;0.9375,IF(F1104&lt;0.979166666666667,"Turno B",""),"")),"")),"")),"")),"")),""))</f>
        <v>Turno C</v>
      </c>
      <c r="L1104" s="91">
        <f t="shared" si="17"/>
        <v>0.375</v>
      </c>
    </row>
    <row r="1105" spans="1:12" s="40" customFormat="1">
      <c r="A1105">
        <v>12210109</v>
      </c>
      <c r="B1105" t="s">
        <v>1261</v>
      </c>
      <c r="C1105" t="s">
        <v>1155</v>
      </c>
      <c r="D1105" t="s">
        <v>700</v>
      </c>
      <c r="E1105" t="s">
        <v>1437</v>
      </c>
      <c r="F1105" s="78">
        <v>0.94840277777777782</v>
      </c>
      <c r="G1105" t="s">
        <v>1406</v>
      </c>
      <c r="H1105" t="s">
        <v>1336</v>
      </c>
      <c r="I1105" s="88" t="str">
        <f>VLOOKUP(A1105,Base!A:B,2,0)</f>
        <v>12.210.109-0</v>
      </c>
      <c r="J1105" s="99" t="str">
        <f>VLOOKUP(A1105,Base!A:F,6,0)</f>
        <v>ROBERTO FERNANDO  ESCOBAR  RIVERA</v>
      </c>
      <c r="K1105" s="89" t="str">
        <f>IFERROR(IF(VLOOKUP(I1105,Ingreso!K:P,6,0)=0,"Sin turtno ing",VLOOKUP(I1105,Ingreso!K:P,6,0)),IF(F1105&gt;0.25,IF(F1105&lt;0.311805555555556,"Turno A",IF(F1105&gt;0.3125,IF(F1105&lt;0.354166666666667,"Turno C",IF(F1105&gt;0.583333333333333,IF(F1105&lt;0.625,"Turno B",IF(F1105&gt;0.625694444444444,IF(F1105&lt;0.8125,"Turno A",IF(F1105&gt;0.875,IF(F1105&lt;0.936805555555556,"Turno C",IF(F1105&gt;0.9375,IF(F1105&lt;0.979166666666667,"Turno B",""),"")),"")),"")),"")),"")),""))</f>
        <v>Turno B</v>
      </c>
      <c r="L1105" s="91">
        <f t="shared" si="17"/>
        <v>0.3125</v>
      </c>
    </row>
    <row r="1106" spans="1:12" s="40" customFormat="1">
      <c r="A1106">
        <v>12210109</v>
      </c>
      <c r="B1106" t="s">
        <v>1261</v>
      </c>
      <c r="C1106" t="s">
        <v>1155</v>
      </c>
      <c r="D1106" t="s">
        <v>700</v>
      </c>
      <c r="E1106" t="s">
        <v>1437</v>
      </c>
      <c r="F1106" s="78">
        <v>0.60913194444444441</v>
      </c>
      <c r="G1106" t="s">
        <v>1405</v>
      </c>
      <c r="H1106" t="s">
        <v>1335</v>
      </c>
      <c r="I1106" s="88" t="str">
        <f>VLOOKUP(A1106,Base!A:B,2,0)</f>
        <v>12.210.109-0</v>
      </c>
      <c r="J1106" s="99" t="str">
        <f>VLOOKUP(A1106,Base!A:F,6,0)</f>
        <v>ROBERTO FERNANDO  ESCOBAR  RIVERA</v>
      </c>
      <c r="K1106" s="89" t="str">
        <f>IFERROR(IF(VLOOKUP(I1106,Ingreso!K:P,6,0)=0,"Sin turtno ing",VLOOKUP(I1106,Ingreso!K:P,6,0)),IF(F1106&gt;0.25,IF(F1106&lt;0.311805555555556,"Turno A",IF(F1106&gt;0.3125,IF(F1106&lt;0.354166666666667,"Turno C",IF(F1106&gt;0.583333333333333,IF(F1106&lt;0.625,"Turno B",IF(F1106&gt;0.625694444444444,IF(F1106&lt;0.8125,"Turno A",IF(F1106&gt;0.875,IF(F1106&lt;0.936805555555556,"Turno C",IF(F1106&gt;0.9375,IF(F1106&lt;0.979166666666667,"Turno B",""),"")),"")),"")),"")),"")),""))</f>
        <v>Turno B</v>
      </c>
      <c r="L1106" s="91">
        <f t="shared" si="17"/>
        <v>0.3125</v>
      </c>
    </row>
    <row r="1107" spans="1:12" s="40" customFormat="1">
      <c r="A1107">
        <v>12210109</v>
      </c>
      <c r="B1107" t="s">
        <v>1261</v>
      </c>
      <c r="C1107" t="s">
        <v>1155</v>
      </c>
      <c r="D1107" t="s">
        <v>700</v>
      </c>
      <c r="E1107" t="s">
        <v>1438</v>
      </c>
      <c r="F1107" s="78">
        <v>0.94949074074074069</v>
      </c>
      <c r="G1107" t="s">
        <v>1406</v>
      </c>
      <c r="H1107" t="s">
        <v>1336</v>
      </c>
      <c r="I1107" s="88" t="str">
        <f>VLOOKUP(A1107,Base!A:B,2,0)</f>
        <v>12.210.109-0</v>
      </c>
      <c r="J1107" s="99" t="str">
        <f>VLOOKUP(A1107,Base!A:F,6,0)</f>
        <v>ROBERTO FERNANDO  ESCOBAR  RIVERA</v>
      </c>
      <c r="K1107" s="89" t="str">
        <f>IFERROR(IF(VLOOKUP(I1107,Ingreso!K:P,6,0)=0,"Sin turtno ing",VLOOKUP(I1107,Ingreso!K:P,6,0)),IF(F1107&gt;0.25,IF(F1107&lt;0.311805555555556,"Turno A",IF(F1107&gt;0.3125,IF(F1107&lt;0.354166666666667,"Turno C",IF(F1107&gt;0.583333333333333,IF(F1107&lt;0.625,"Turno B",IF(F1107&gt;0.625694444444444,IF(F1107&lt;0.8125,"Turno A",IF(F1107&gt;0.875,IF(F1107&lt;0.936805555555556,"Turno C",IF(F1107&gt;0.9375,IF(F1107&lt;0.979166666666667,"Turno B",""),"")),"")),"")),"")),"")),""))</f>
        <v>Turno B</v>
      </c>
      <c r="L1107" s="91">
        <f t="shared" si="17"/>
        <v>0.3125</v>
      </c>
    </row>
    <row r="1108" spans="1:12" s="40" customFormat="1">
      <c r="A1108">
        <v>12210109</v>
      </c>
      <c r="B1108" t="s">
        <v>1261</v>
      </c>
      <c r="C1108" t="s">
        <v>1155</v>
      </c>
      <c r="D1108" t="s">
        <v>700</v>
      </c>
      <c r="E1108" t="s">
        <v>1438</v>
      </c>
      <c r="F1108" s="78">
        <v>0.60866898148148152</v>
      </c>
      <c r="G1108" t="s">
        <v>1405</v>
      </c>
      <c r="H1108" t="s">
        <v>1335</v>
      </c>
      <c r="I1108" s="88" t="str">
        <f>VLOOKUP(A1108,Base!A:B,2,0)</f>
        <v>12.210.109-0</v>
      </c>
      <c r="J1108" s="99" t="str">
        <f>VLOOKUP(A1108,Base!A:F,6,0)</f>
        <v>ROBERTO FERNANDO  ESCOBAR  RIVERA</v>
      </c>
      <c r="K1108" s="89" t="str">
        <f>IFERROR(IF(VLOOKUP(I1108,Ingreso!K:P,6,0)=0,"Sin turtno ing",VLOOKUP(I1108,Ingreso!K:P,6,0)),IF(F1108&gt;0.25,IF(F1108&lt;0.311805555555556,"Turno A",IF(F1108&gt;0.3125,IF(F1108&lt;0.354166666666667,"Turno C",IF(F1108&gt;0.583333333333333,IF(F1108&lt;0.625,"Turno B",IF(F1108&gt;0.625694444444444,IF(F1108&lt;0.8125,"Turno A",IF(F1108&gt;0.875,IF(F1108&lt;0.936805555555556,"Turno C",IF(F1108&gt;0.9375,IF(F1108&lt;0.979166666666667,"Turno B",""),"")),"")),"")),"")),"")),""))</f>
        <v>Turno B</v>
      </c>
      <c r="L1108" s="91">
        <f t="shared" si="17"/>
        <v>0.3125</v>
      </c>
    </row>
    <row r="1109" spans="1:12" s="40" customFormat="1">
      <c r="A1109">
        <v>12210109</v>
      </c>
      <c r="B1109" t="s">
        <v>1261</v>
      </c>
      <c r="C1109" t="s">
        <v>1155</v>
      </c>
      <c r="D1109" t="s">
        <v>700</v>
      </c>
      <c r="E1109" t="s">
        <v>1439</v>
      </c>
      <c r="F1109" s="78">
        <v>0.94847222222222216</v>
      </c>
      <c r="G1109" t="s">
        <v>1406</v>
      </c>
      <c r="H1109" t="s">
        <v>1336</v>
      </c>
      <c r="I1109" s="88" t="str">
        <f>VLOOKUP(A1109,Base!A:B,2,0)</f>
        <v>12.210.109-0</v>
      </c>
      <c r="J1109" s="99" t="str">
        <f>VLOOKUP(A1109,Base!A:F,6,0)</f>
        <v>ROBERTO FERNANDO  ESCOBAR  RIVERA</v>
      </c>
      <c r="K1109" s="89" t="str">
        <f>IFERROR(IF(VLOOKUP(I1109,Ingreso!K:P,6,0)=0,"Sin turtno ing",VLOOKUP(I1109,Ingreso!K:P,6,0)),IF(F1109&gt;0.25,IF(F1109&lt;0.311805555555556,"Turno A",IF(F1109&gt;0.3125,IF(F1109&lt;0.354166666666667,"Turno C",IF(F1109&gt;0.583333333333333,IF(F1109&lt;0.625,"Turno B",IF(F1109&gt;0.625694444444444,IF(F1109&lt;0.8125,"Turno A",IF(F1109&gt;0.875,IF(F1109&lt;0.936805555555556,"Turno C",IF(F1109&gt;0.9375,IF(F1109&lt;0.979166666666667,"Turno B",""),"")),"")),"")),"")),"")),""))</f>
        <v>Turno B</v>
      </c>
      <c r="L1109" s="91">
        <f t="shared" si="17"/>
        <v>0.3125</v>
      </c>
    </row>
    <row r="1110" spans="1:12" s="40" customFormat="1">
      <c r="A1110">
        <v>12210109</v>
      </c>
      <c r="B1110" t="s">
        <v>1261</v>
      </c>
      <c r="C1110" t="s">
        <v>1155</v>
      </c>
      <c r="D1110" t="s">
        <v>700</v>
      </c>
      <c r="E1110" t="s">
        <v>1439</v>
      </c>
      <c r="F1110" s="78">
        <v>0.60850694444444442</v>
      </c>
      <c r="G1110" t="s">
        <v>1405</v>
      </c>
      <c r="H1110" t="s">
        <v>1335</v>
      </c>
      <c r="I1110" s="88" t="str">
        <f>VLOOKUP(A1110,Base!A:B,2,0)</f>
        <v>12.210.109-0</v>
      </c>
      <c r="J1110" s="99" t="str">
        <f>VLOOKUP(A1110,Base!A:F,6,0)</f>
        <v>ROBERTO FERNANDO  ESCOBAR  RIVERA</v>
      </c>
      <c r="K1110" s="89" t="str">
        <f>IFERROR(IF(VLOOKUP(I1110,Ingreso!K:P,6,0)=0,"Sin turtno ing",VLOOKUP(I1110,Ingreso!K:P,6,0)),IF(F1110&gt;0.25,IF(F1110&lt;0.311805555555556,"Turno A",IF(F1110&gt;0.3125,IF(F1110&lt;0.354166666666667,"Turno C",IF(F1110&gt;0.583333333333333,IF(F1110&lt;0.625,"Turno B",IF(F1110&gt;0.625694444444444,IF(F1110&lt;0.8125,"Turno A",IF(F1110&gt;0.875,IF(F1110&lt;0.936805555555556,"Turno C",IF(F1110&gt;0.9375,IF(F1110&lt;0.979166666666667,"Turno B",""),"")),"")),"")),"")),"")),""))</f>
        <v>Turno B</v>
      </c>
      <c r="L1110" s="91">
        <f t="shared" si="17"/>
        <v>0.3125</v>
      </c>
    </row>
    <row r="1111" spans="1:12" s="40" customFormat="1">
      <c r="A1111">
        <v>12392999</v>
      </c>
      <c r="B1111" t="s">
        <v>257</v>
      </c>
      <c r="C1111" t="s">
        <v>1019</v>
      </c>
      <c r="D1111" t="s">
        <v>1020</v>
      </c>
      <c r="E1111" t="s">
        <v>1407</v>
      </c>
      <c r="F1111" s="78">
        <v>0</v>
      </c>
      <c r="G1111"/>
      <c r="H1111"/>
      <c r="I1111" s="88" t="str">
        <f>VLOOKUP(A1111,Base!A:B,2,0)</f>
        <v>12.392.999-3</v>
      </c>
      <c r="J1111" s="99" t="str">
        <f>VLOOKUP(A1111,Base!A:F,6,0)</f>
        <v>CARLOS  TAPIA  CANTILLANA</v>
      </c>
      <c r="K1111" s="89" t="str">
        <f>IFERROR(IF(VLOOKUP(I1111,Ingreso!K:P,6,0)=0,"Sin turtno ing",VLOOKUP(I1111,Ingreso!K:P,6,0)),IF(F1111&gt;0.25,IF(F1111&lt;0.311805555555556,"Turno A",IF(F1111&gt;0.3125,IF(F1111&lt;0.354166666666667,"Turno C",IF(F1111&gt;0.583333333333333,IF(F1111&lt;0.625,"Turno B",IF(F1111&gt;0.625694444444444,IF(F1111&lt;0.8125,"Turno A",IF(F1111&gt;0.875,IF(F1111&lt;0.936805555555556,"Turno C",IF(F1111&gt;0.9375,IF(F1111&lt;0.979166666666667,"Turno B",""),"")),"")),"")),"")),"")),""))</f>
        <v/>
      </c>
      <c r="L1111" s="91" t="e">
        <f t="shared" si="17"/>
        <v>#N/A</v>
      </c>
    </row>
    <row r="1112" spans="1:12" s="40" customFormat="1">
      <c r="A1112">
        <v>12410690</v>
      </c>
      <c r="B1112" t="s">
        <v>215</v>
      </c>
      <c r="C1112" t="s">
        <v>213</v>
      </c>
      <c r="D1112" t="s">
        <v>214</v>
      </c>
      <c r="E1112" t="s">
        <v>1440</v>
      </c>
      <c r="F1112" s="78">
        <v>0.64094907407407409</v>
      </c>
      <c r="G1112" t="s">
        <v>1406</v>
      </c>
      <c r="H1112" t="s">
        <v>1336</v>
      </c>
      <c r="I1112" s="88" t="str">
        <f>VLOOKUP(A1112,Base!A:B,2,0)</f>
        <v>12.410.690-7</v>
      </c>
      <c r="J1112" s="99" t="str">
        <f>VLOOKUP(A1112,Base!A:F,6,0)</f>
        <v>SIMON ANDRES  CARRASCO  CID</v>
      </c>
      <c r="K1112" s="89" t="str">
        <f>IFERROR(IF(VLOOKUP(I1112,Ingreso!K:P,6,0)=0,"Sin turtno ing",VLOOKUP(I1112,Ingreso!K:P,6,0)),IF(F1112&gt;0.25,IF(F1112&lt;0.311805555555556,"Turno A",IF(F1112&gt;0.3125,IF(F1112&lt;0.354166666666667,"Turno C",IF(F1112&gt;0.583333333333333,IF(F1112&lt;0.625,"Turno B",IF(F1112&gt;0.625694444444444,IF(F1112&lt;0.8125,"Turno A",IF(F1112&gt;0.875,IF(F1112&lt;0.936805555555556,"Turno C",IF(F1112&gt;0.9375,IF(F1112&lt;0.979166666666667,"Turno B",""),"")),"")),"")),"")),"")),""))</f>
        <v>Turno A</v>
      </c>
      <c r="L1112" s="91">
        <f t="shared" si="17"/>
        <v>0.3125</v>
      </c>
    </row>
    <row r="1113" spans="1:12" s="40" customFormat="1">
      <c r="A1113">
        <v>12410690</v>
      </c>
      <c r="B1113" t="s">
        <v>215</v>
      </c>
      <c r="C1113" t="s">
        <v>213</v>
      </c>
      <c r="D1113" t="s">
        <v>214</v>
      </c>
      <c r="E1113" t="s">
        <v>1440</v>
      </c>
      <c r="F1113" s="78">
        <v>0.29511574074074071</v>
      </c>
      <c r="G1113" t="s">
        <v>1405</v>
      </c>
      <c r="H1113" t="s">
        <v>1335</v>
      </c>
      <c r="I1113" s="88" t="str">
        <f>VLOOKUP(A1113,Base!A:B,2,0)</f>
        <v>12.410.690-7</v>
      </c>
      <c r="J1113" s="99" t="str">
        <f>VLOOKUP(A1113,Base!A:F,6,0)</f>
        <v>SIMON ANDRES  CARRASCO  CID</v>
      </c>
      <c r="K1113" s="89" t="str">
        <f>IFERROR(IF(VLOOKUP(I1113,Ingreso!K:P,6,0)=0,"Sin turtno ing",VLOOKUP(I1113,Ingreso!K:P,6,0)),IF(F1113&gt;0.25,IF(F1113&lt;0.311805555555556,"Turno A",IF(F1113&gt;0.3125,IF(F1113&lt;0.354166666666667,"Turno C",IF(F1113&gt;0.583333333333333,IF(F1113&lt;0.625,"Turno B",IF(F1113&gt;0.625694444444444,IF(F1113&lt;0.8125,"Turno A",IF(F1113&gt;0.875,IF(F1113&lt;0.936805555555556,"Turno C",IF(F1113&gt;0.9375,IF(F1113&lt;0.979166666666667,"Turno B",""),"")),"")),"")),"")),"")),""))</f>
        <v>Turno A</v>
      </c>
      <c r="L1113" s="91">
        <f t="shared" si="17"/>
        <v>0.3125</v>
      </c>
    </row>
    <row r="1114" spans="1:12" s="40" customFormat="1">
      <c r="A1114">
        <v>12410690</v>
      </c>
      <c r="B1114" t="s">
        <v>215</v>
      </c>
      <c r="C1114" t="s">
        <v>213</v>
      </c>
      <c r="D1114" t="s">
        <v>214</v>
      </c>
      <c r="E1114" t="s">
        <v>1441</v>
      </c>
      <c r="F1114" s="78">
        <v>0.9587268518518518</v>
      </c>
      <c r="G1114" t="s">
        <v>1406</v>
      </c>
      <c r="H1114" t="s">
        <v>1336</v>
      </c>
      <c r="I1114" s="88" t="str">
        <f>VLOOKUP(A1114,Base!A:B,2,0)</f>
        <v>12.410.690-7</v>
      </c>
      <c r="J1114" s="99" t="str">
        <f>VLOOKUP(A1114,Base!A:F,6,0)</f>
        <v>SIMON ANDRES  CARRASCO  CID</v>
      </c>
      <c r="K1114" s="89" t="str">
        <f>IFERROR(IF(VLOOKUP(I1114,Ingreso!K:P,6,0)=0,"Sin turtno ing",VLOOKUP(I1114,Ingreso!K:P,6,0)),IF(F1114&gt;0.25,IF(F1114&lt;0.311805555555556,"Turno A",IF(F1114&gt;0.3125,IF(F1114&lt;0.354166666666667,"Turno C",IF(F1114&gt;0.583333333333333,IF(F1114&lt;0.625,"Turno B",IF(F1114&gt;0.625694444444444,IF(F1114&lt;0.8125,"Turno A",IF(F1114&gt;0.875,IF(F1114&lt;0.936805555555556,"Turno C",IF(F1114&gt;0.9375,IF(F1114&lt;0.979166666666667,"Turno B",""),"")),"")),"")),"")),"")),""))</f>
        <v>Turno A</v>
      </c>
      <c r="L1114" s="91">
        <f t="shared" si="17"/>
        <v>0.3125</v>
      </c>
    </row>
    <row r="1115" spans="1:12" s="40" customFormat="1">
      <c r="A1115">
        <v>12410690</v>
      </c>
      <c r="B1115" t="s">
        <v>215</v>
      </c>
      <c r="C1115" t="s">
        <v>213</v>
      </c>
      <c r="D1115" t="s">
        <v>214</v>
      </c>
      <c r="E1115" t="s">
        <v>1441</v>
      </c>
      <c r="F1115" s="78">
        <v>0.61109953703703701</v>
      </c>
      <c r="G1115" t="s">
        <v>1405</v>
      </c>
      <c r="H1115" t="s">
        <v>1335</v>
      </c>
      <c r="I1115" s="88" t="str">
        <f>VLOOKUP(A1115,Base!A:B,2,0)</f>
        <v>12.410.690-7</v>
      </c>
      <c r="J1115" s="99" t="str">
        <f>VLOOKUP(A1115,Base!A:F,6,0)</f>
        <v>SIMON ANDRES  CARRASCO  CID</v>
      </c>
      <c r="K1115" s="89" t="str">
        <f>IFERROR(IF(VLOOKUP(I1115,Ingreso!K:P,6,0)=0,"Sin turtno ing",VLOOKUP(I1115,Ingreso!K:P,6,0)),IF(F1115&gt;0.25,IF(F1115&lt;0.311805555555556,"Turno A",IF(F1115&gt;0.3125,IF(F1115&lt;0.354166666666667,"Turno C",IF(F1115&gt;0.583333333333333,IF(F1115&lt;0.625,"Turno B",IF(F1115&gt;0.625694444444444,IF(F1115&lt;0.8125,"Turno A",IF(F1115&gt;0.875,IF(F1115&lt;0.936805555555556,"Turno C",IF(F1115&gt;0.9375,IF(F1115&lt;0.979166666666667,"Turno B",""),"")),"")),"")),"")),"")),""))</f>
        <v>Turno A</v>
      </c>
      <c r="L1115" s="91">
        <f t="shared" si="17"/>
        <v>0.3125</v>
      </c>
    </row>
    <row r="1116" spans="1:12" s="40" customFormat="1">
      <c r="A1116">
        <v>12410690</v>
      </c>
      <c r="B1116" t="s">
        <v>215</v>
      </c>
      <c r="C1116" t="s">
        <v>213</v>
      </c>
      <c r="D1116" t="s">
        <v>214</v>
      </c>
      <c r="E1116" t="s">
        <v>1437</v>
      </c>
      <c r="F1116" s="78">
        <v>0.63922453703703697</v>
      </c>
      <c r="G1116" t="s">
        <v>1406</v>
      </c>
      <c r="H1116" t="s">
        <v>1336</v>
      </c>
      <c r="I1116" s="88" t="str">
        <f>VLOOKUP(A1116,Base!A:B,2,0)</f>
        <v>12.410.690-7</v>
      </c>
      <c r="J1116" s="99" t="str">
        <f>VLOOKUP(A1116,Base!A:F,6,0)</f>
        <v>SIMON ANDRES  CARRASCO  CID</v>
      </c>
      <c r="K1116" s="89" t="str">
        <f>IFERROR(IF(VLOOKUP(I1116,Ingreso!K:P,6,0)=0,"Sin turtno ing",VLOOKUP(I1116,Ingreso!K:P,6,0)),IF(F1116&gt;0.25,IF(F1116&lt;0.311805555555556,"Turno A",IF(F1116&gt;0.3125,IF(F1116&lt;0.354166666666667,"Turno C",IF(F1116&gt;0.583333333333333,IF(F1116&lt;0.625,"Turno B",IF(F1116&gt;0.625694444444444,IF(F1116&lt;0.8125,"Turno A",IF(F1116&gt;0.875,IF(F1116&lt;0.936805555555556,"Turno C",IF(F1116&gt;0.9375,IF(F1116&lt;0.979166666666667,"Turno B",""),"")),"")),"")),"")),"")),""))</f>
        <v>Turno A</v>
      </c>
      <c r="L1116" s="91">
        <f t="shared" si="17"/>
        <v>0.3125</v>
      </c>
    </row>
    <row r="1117" spans="1:12" s="40" customFormat="1">
      <c r="A1117">
        <v>12410690</v>
      </c>
      <c r="B1117" t="s">
        <v>215</v>
      </c>
      <c r="C1117" t="s">
        <v>213</v>
      </c>
      <c r="D1117" t="s">
        <v>214</v>
      </c>
      <c r="E1117" t="s">
        <v>1437</v>
      </c>
      <c r="F1117" s="78">
        <v>0.29570601851851852</v>
      </c>
      <c r="G1117" t="s">
        <v>1405</v>
      </c>
      <c r="H1117" t="s">
        <v>1335</v>
      </c>
      <c r="I1117" s="88" t="str">
        <f>VLOOKUP(A1117,Base!A:B,2,0)</f>
        <v>12.410.690-7</v>
      </c>
      <c r="J1117" s="99" t="str">
        <f>VLOOKUP(A1117,Base!A:F,6,0)</f>
        <v>SIMON ANDRES  CARRASCO  CID</v>
      </c>
      <c r="K1117" s="89" t="str">
        <f>IFERROR(IF(VLOOKUP(I1117,Ingreso!K:P,6,0)=0,"Sin turtno ing",VLOOKUP(I1117,Ingreso!K:P,6,0)),IF(F1117&gt;0.25,IF(F1117&lt;0.311805555555556,"Turno A",IF(F1117&gt;0.3125,IF(F1117&lt;0.354166666666667,"Turno C",IF(F1117&gt;0.583333333333333,IF(F1117&lt;0.625,"Turno B",IF(F1117&gt;0.625694444444444,IF(F1117&lt;0.8125,"Turno A",IF(F1117&gt;0.875,IF(F1117&lt;0.936805555555556,"Turno C",IF(F1117&gt;0.9375,IF(F1117&lt;0.979166666666667,"Turno B",""),"")),"")),"")),"")),"")),""))</f>
        <v>Turno A</v>
      </c>
      <c r="L1117" s="91">
        <f t="shared" si="17"/>
        <v>0.3125</v>
      </c>
    </row>
    <row r="1118" spans="1:12" s="40" customFormat="1">
      <c r="A1118">
        <v>12410690</v>
      </c>
      <c r="B1118" t="s">
        <v>215</v>
      </c>
      <c r="C1118" t="s">
        <v>213</v>
      </c>
      <c r="D1118" t="s">
        <v>214</v>
      </c>
      <c r="E1118" t="s">
        <v>1438</v>
      </c>
      <c r="F1118" s="78">
        <v>0.63937500000000003</v>
      </c>
      <c r="G1118" t="s">
        <v>1406</v>
      </c>
      <c r="H1118" t="s">
        <v>1336</v>
      </c>
      <c r="I1118" s="88" t="str">
        <f>VLOOKUP(A1118,Base!A:B,2,0)</f>
        <v>12.410.690-7</v>
      </c>
      <c r="J1118" s="99" t="str">
        <f>VLOOKUP(A1118,Base!A:F,6,0)</f>
        <v>SIMON ANDRES  CARRASCO  CID</v>
      </c>
      <c r="K1118" s="89" t="str">
        <f>IFERROR(IF(VLOOKUP(I1118,Ingreso!K:P,6,0)=0,"Sin turtno ing",VLOOKUP(I1118,Ingreso!K:P,6,0)),IF(F1118&gt;0.25,IF(F1118&lt;0.311805555555556,"Turno A",IF(F1118&gt;0.3125,IF(F1118&lt;0.354166666666667,"Turno C",IF(F1118&gt;0.583333333333333,IF(F1118&lt;0.625,"Turno B",IF(F1118&gt;0.625694444444444,IF(F1118&lt;0.8125,"Turno A",IF(F1118&gt;0.875,IF(F1118&lt;0.936805555555556,"Turno C",IF(F1118&gt;0.9375,IF(F1118&lt;0.979166666666667,"Turno B",""),"")),"")),"")),"")),"")),""))</f>
        <v>Turno A</v>
      </c>
      <c r="L1118" s="91">
        <f t="shared" si="17"/>
        <v>0.3125</v>
      </c>
    </row>
    <row r="1119" spans="1:12" s="40" customFormat="1">
      <c r="A1119">
        <v>12410690</v>
      </c>
      <c r="B1119" t="s">
        <v>215</v>
      </c>
      <c r="C1119" t="s">
        <v>213</v>
      </c>
      <c r="D1119" t="s">
        <v>214</v>
      </c>
      <c r="E1119" t="s">
        <v>1438</v>
      </c>
      <c r="F1119" s="78">
        <v>0.29600694444444448</v>
      </c>
      <c r="G1119" t="s">
        <v>1405</v>
      </c>
      <c r="H1119" t="s">
        <v>1335</v>
      </c>
      <c r="I1119" s="88" t="str">
        <f>VLOOKUP(A1119,Base!A:B,2,0)</f>
        <v>12.410.690-7</v>
      </c>
      <c r="J1119" s="99" t="str">
        <f>VLOOKUP(A1119,Base!A:F,6,0)</f>
        <v>SIMON ANDRES  CARRASCO  CID</v>
      </c>
      <c r="K1119" s="89" t="str">
        <f>IFERROR(IF(VLOOKUP(I1119,Ingreso!K:P,6,0)=0,"Sin turtno ing",VLOOKUP(I1119,Ingreso!K:P,6,0)),IF(F1119&gt;0.25,IF(F1119&lt;0.311805555555556,"Turno A",IF(F1119&gt;0.3125,IF(F1119&lt;0.354166666666667,"Turno C",IF(F1119&gt;0.583333333333333,IF(F1119&lt;0.625,"Turno B",IF(F1119&gt;0.625694444444444,IF(F1119&lt;0.8125,"Turno A",IF(F1119&gt;0.875,IF(F1119&lt;0.936805555555556,"Turno C",IF(F1119&gt;0.9375,IF(F1119&lt;0.979166666666667,"Turno B",""),"")),"")),"")),"")),"")),""))</f>
        <v>Turno A</v>
      </c>
      <c r="L1119" s="91">
        <f t="shared" si="17"/>
        <v>0.3125</v>
      </c>
    </row>
    <row r="1120" spans="1:12" s="40" customFormat="1">
      <c r="A1120">
        <v>12410690</v>
      </c>
      <c r="B1120" t="s">
        <v>215</v>
      </c>
      <c r="C1120" t="s">
        <v>213</v>
      </c>
      <c r="D1120" t="s">
        <v>214</v>
      </c>
      <c r="E1120" t="s">
        <v>1439</v>
      </c>
      <c r="F1120" s="78">
        <v>0.73059027777777785</v>
      </c>
      <c r="G1120" t="s">
        <v>1406</v>
      </c>
      <c r="H1120" t="s">
        <v>1336</v>
      </c>
      <c r="I1120" s="88" t="str">
        <f>VLOOKUP(A1120,Base!A:B,2,0)</f>
        <v>12.410.690-7</v>
      </c>
      <c r="J1120" s="99" t="str">
        <f>VLOOKUP(A1120,Base!A:F,6,0)</f>
        <v>SIMON ANDRES  CARRASCO  CID</v>
      </c>
      <c r="K1120" s="89" t="str">
        <f>IFERROR(IF(VLOOKUP(I1120,Ingreso!K:P,6,0)=0,"Sin turtno ing",VLOOKUP(I1120,Ingreso!K:P,6,0)),IF(F1120&gt;0.25,IF(F1120&lt;0.311805555555556,"Turno A",IF(F1120&gt;0.3125,IF(F1120&lt;0.354166666666667,"Turno C",IF(F1120&gt;0.583333333333333,IF(F1120&lt;0.625,"Turno B",IF(F1120&gt;0.625694444444444,IF(F1120&lt;0.8125,"Turno A",IF(F1120&gt;0.875,IF(F1120&lt;0.936805555555556,"Turno C",IF(F1120&gt;0.9375,IF(F1120&lt;0.979166666666667,"Turno B",""),"")),"")),"")),"")),"")),""))</f>
        <v>Turno A</v>
      </c>
      <c r="L1120" s="91">
        <f t="shared" si="17"/>
        <v>0.3125</v>
      </c>
    </row>
    <row r="1121" spans="1:12" s="40" customFormat="1">
      <c r="A1121">
        <v>12410690</v>
      </c>
      <c r="B1121" t="s">
        <v>215</v>
      </c>
      <c r="C1121" t="s">
        <v>213</v>
      </c>
      <c r="D1121" t="s">
        <v>214</v>
      </c>
      <c r="E1121" t="s">
        <v>1439</v>
      </c>
      <c r="F1121" s="78">
        <v>0.30849537037037039</v>
      </c>
      <c r="G1121" t="s">
        <v>1405</v>
      </c>
      <c r="H1121" t="s">
        <v>1335</v>
      </c>
      <c r="I1121" s="88" t="str">
        <f>VLOOKUP(A1121,Base!A:B,2,0)</f>
        <v>12.410.690-7</v>
      </c>
      <c r="J1121" s="99" t="str">
        <f>VLOOKUP(A1121,Base!A:F,6,0)</f>
        <v>SIMON ANDRES  CARRASCO  CID</v>
      </c>
      <c r="K1121" s="89" t="str">
        <f>IFERROR(IF(VLOOKUP(I1121,Ingreso!K:P,6,0)=0,"Sin turtno ing",VLOOKUP(I1121,Ingreso!K:P,6,0)),IF(F1121&gt;0.25,IF(F1121&lt;0.311805555555556,"Turno A",IF(F1121&gt;0.3125,IF(F1121&lt;0.354166666666667,"Turno C",IF(F1121&gt;0.583333333333333,IF(F1121&lt;0.625,"Turno B",IF(F1121&gt;0.625694444444444,IF(F1121&lt;0.8125,"Turno A",IF(F1121&gt;0.875,IF(F1121&lt;0.936805555555556,"Turno C",IF(F1121&gt;0.9375,IF(F1121&lt;0.979166666666667,"Turno B",""),"")),"")),"")),"")),"")),""))</f>
        <v>Turno A</v>
      </c>
      <c r="L1121" s="91">
        <f t="shared" si="17"/>
        <v>0.3125</v>
      </c>
    </row>
    <row r="1122" spans="1:12" s="40" customFormat="1">
      <c r="A1122">
        <v>12500119</v>
      </c>
      <c r="B1122" t="s">
        <v>975</v>
      </c>
      <c r="C1122" t="s">
        <v>974</v>
      </c>
      <c r="D1122" t="s">
        <v>706</v>
      </c>
      <c r="E1122" t="s">
        <v>1440</v>
      </c>
      <c r="F1122" s="78">
        <v>0.82105324074074071</v>
      </c>
      <c r="G1122" t="s">
        <v>1406</v>
      </c>
      <c r="H1122" t="s">
        <v>1336</v>
      </c>
      <c r="I1122" s="88" t="str">
        <f>VLOOKUP(A1122,Base!A:B,2,0)</f>
        <v>12.500.119-K</v>
      </c>
      <c r="J1122" s="99" t="str">
        <f>VLOOKUP(A1122,Base!A:F,6,0)</f>
        <v>FREDDY  SANCHEZ  TORRES</v>
      </c>
      <c r="K1122" s="89" t="str">
        <f>IFERROR(IF(VLOOKUP(I1122,Ingreso!K:P,6,0)=0,"Sin turtno ing",VLOOKUP(I1122,Ingreso!K:P,6,0)),IF(F1122&gt;0.25,IF(F1122&lt;0.311805555555556,"Turno A",IF(F1122&gt;0.3125,IF(F1122&lt;0.354166666666667,"Turno C",IF(F1122&gt;0.583333333333333,IF(F1122&lt;0.625,"Turno B",IF(F1122&gt;0.625694444444444,IF(F1122&lt;0.8125,"Turno A",IF(F1122&gt;0.875,IF(F1122&lt;0.936805555555556,"Turno C",IF(F1122&gt;0.9375,IF(F1122&lt;0.979166666666667,"Turno B",""),"")),"")),"")),"")),"")),""))</f>
        <v>Sin turtno ing</v>
      </c>
      <c r="L1122" s="91" t="e">
        <f t="shared" si="17"/>
        <v>#N/A</v>
      </c>
    </row>
    <row r="1123" spans="1:12" s="40" customFormat="1">
      <c r="A1123">
        <v>12500119</v>
      </c>
      <c r="B1123" t="s">
        <v>975</v>
      </c>
      <c r="C1123" t="s">
        <v>974</v>
      </c>
      <c r="D1123" t="s">
        <v>706</v>
      </c>
      <c r="E1123" t="s">
        <v>1440</v>
      </c>
      <c r="F1123" s="78">
        <v>0.34942129629629631</v>
      </c>
      <c r="G1123" t="s">
        <v>1405</v>
      </c>
      <c r="H1123" t="s">
        <v>1335</v>
      </c>
      <c r="I1123" s="88" t="str">
        <f>VLOOKUP(A1123,Base!A:B,2,0)</f>
        <v>12.500.119-K</v>
      </c>
      <c r="J1123" s="99" t="str">
        <f>VLOOKUP(A1123,Base!A:F,6,0)</f>
        <v>FREDDY  SANCHEZ  TORRES</v>
      </c>
      <c r="K1123" s="89" t="str">
        <f>IFERROR(IF(VLOOKUP(I1123,Ingreso!K:P,6,0)=0,"Sin turtno ing",VLOOKUP(I1123,Ingreso!K:P,6,0)),IF(F1123&gt;0.25,IF(F1123&lt;0.311805555555556,"Turno A",IF(F1123&gt;0.3125,IF(F1123&lt;0.354166666666667,"Turno C",IF(F1123&gt;0.583333333333333,IF(F1123&lt;0.625,"Turno B",IF(F1123&gt;0.625694444444444,IF(F1123&lt;0.8125,"Turno A",IF(F1123&gt;0.875,IF(F1123&lt;0.936805555555556,"Turno C",IF(F1123&gt;0.9375,IF(F1123&lt;0.979166666666667,"Turno B",""),"")),"")),"")),"")),"")),""))</f>
        <v>Sin turtno ing</v>
      </c>
      <c r="L1123" s="91" t="e">
        <f t="shared" si="17"/>
        <v>#N/A</v>
      </c>
    </row>
    <row r="1124" spans="1:12" s="40" customFormat="1">
      <c r="A1124">
        <v>12500119</v>
      </c>
      <c r="B1124" t="s">
        <v>975</v>
      </c>
      <c r="C1124" t="s">
        <v>974</v>
      </c>
      <c r="D1124" t="s">
        <v>706</v>
      </c>
      <c r="E1124" t="s">
        <v>1437</v>
      </c>
      <c r="F1124" s="78">
        <v>0.80200231481481488</v>
      </c>
      <c r="G1124" t="s">
        <v>1406</v>
      </c>
      <c r="H1124" t="s">
        <v>1336</v>
      </c>
      <c r="I1124" s="88" t="str">
        <f>VLOOKUP(A1124,Base!A:B,2,0)</f>
        <v>12.500.119-K</v>
      </c>
      <c r="J1124" s="99" t="str">
        <f>VLOOKUP(A1124,Base!A:F,6,0)</f>
        <v>FREDDY  SANCHEZ  TORRES</v>
      </c>
      <c r="K1124" s="89" t="str">
        <f>IFERROR(IF(VLOOKUP(I1124,Ingreso!K:P,6,0)=0,"Sin turtno ing",VLOOKUP(I1124,Ingreso!K:P,6,0)),IF(F1124&gt;0.25,IF(F1124&lt;0.311805555555556,"Turno A",IF(F1124&gt;0.3125,IF(F1124&lt;0.354166666666667,"Turno C",IF(F1124&gt;0.583333333333333,IF(F1124&lt;0.625,"Turno B",IF(F1124&gt;0.625694444444444,IF(F1124&lt;0.8125,"Turno A",IF(F1124&gt;0.875,IF(F1124&lt;0.936805555555556,"Turno C",IF(F1124&gt;0.9375,IF(F1124&lt;0.979166666666667,"Turno B",""),"")),"")),"")),"")),"")),""))</f>
        <v>Sin turtno ing</v>
      </c>
      <c r="L1124" s="91" t="e">
        <f t="shared" si="17"/>
        <v>#N/A</v>
      </c>
    </row>
    <row r="1125" spans="1:12" s="40" customFormat="1">
      <c r="A1125">
        <v>12500119</v>
      </c>
      <c r="B1125" t="s">
        <v>975</v>
      </c>
      <c r="C1125" t="s">
        <v>974</v>
      </c>
      <c r="D1125" t="s">
        <v>706</v>
      </c>
      <c r="E1125" t="s">
        <v>1437</v>
      </c>
      <c r="F1125" s="78">
        <v>0.34107638888888886</v>
      </c>
      <c r="G1125" t="s">
        <v>1405</v>
      </c>
      <c r="H1125" t="s">
        <v>1335</v>
      </c>
      <c r="I1125" s="88" t="str">
        <f>VLOOKUP(A1125,Base!A:B,2,0)</f>
        <v>12.500.119-K</v>
      </c>
      <c r="J1125" s="99" t="str">
        <f>VLOOKUP(A1125,Base!A:F,6,0)</f>
        <v>FREDDY  SANCHEZ  TORRES</v>
      </c>
      <c r="K1125" s="89" t="str">
        <f>IFERROR(IF(VLOOKUP(I1125,Ingreso!K:P,6,0)=0,"Sin turtno ing",VLOOKUP(I1125,Ingreso!K:P,6,0)),IF(F1125&gt;0.25,IF(F1125&lt;0.311805555555556,"Turno A",IF(F1125&gt;0.3125,IF(F1125&lt;0.354166666666667,"Turno C",IF(F1125&gt;0.583333333333333,IF(F1125&lt;0.625,"Turno B",IF(F1125&gt;0.625694444444444,IF(F1125&lt;0.8125,"Turno A",IF(F1125&gt;0.875,IF(F1125&lt;0.936805555555556,"Turno C",IF(F1125&gt;0.9375,IF(F1125&lt;0.979166666666667,"Turno B",""),"")),"")),"")),"")),"")),""))</f>
        <v>Sin turtno ing</v>
      </c>
      <c r="L1125" s="91" t="e">
        <f t="shared" si="17"/>
        <v>#N/A</v>
      </c>
    </row>
    <row r="1126" spans="1:12" s="40" customFormat="1">
      <c r="A1126">
        <v>12500119</v>
      </c>
      <c r="B1126" t="s">
        <v>975</v>
      </c>
      <c r="C1126" t="s">
        <v>974</v>
      </c>
      <c r="D1126" t="s">
        <v>706</v>
      </c>
      <c r="E1126" t="s">
        <v>1438</v>
      </c>
      <c r="F1126" s="78">
        <v>0.73372685185185194</v>
      </c>
      <c r="G1126" t="s">
        <v>1406</v>
      </c>
      <c r="H1126" t="s">
        <v>1336</v>
      </c>
      <c r="I1126" s="88" t="str">
        <f>VLOOKUP(A1126,Base!A:B,2,0)</f>
        <v>12.500.119-K</v>
      </c>
      <c r="J1126" s="99" t="str">
        <f>VLOOKUP(A1126,Base!A:F,6,0)</f>
        <v>FREDDY  SANCHEZ  TORRES</v>
      </c>
      <c r="K1126" s="89" t="str">
        <f>IFERROR(IF(VLOOKUP(I1126,Ingreso!K:P,6,0)=0,"Sin turtno ing",VLOOKUP(I1126,Ingreso!K:P,6,0)),IF(F1126&gt;0.25,IF(F1126&lt;0.311805555555556,"Turno A",IF(F1126&gt;0.3125,IF(F1126&lt;0.354166666666667,"Turno C",IF(F1126&gt;0.583333333333333,IF(F1126&lt;0.625,"Turno B",IF(F1126&gt;0.625694444444444,IF(F1126&lt;0.8125,"Turno A",IF(F1126&gt;0.875,IF(F1126&lt;0.936805555555556,"Turno C",IF(F1126&gt;0.9375,IF(F1126&lt;0.979166666666667,"Turno B",""),"")),"")),"")),"")),"")),""))</f>
        <v>Sin turtno ing</v>
      </c>
      <c r="L1126" s="91" t="e">
        <f t="shared" si="17"/>
        <v>#N/A</v>
      </c>
    </row>
    <row r="1127" spans="1:12" s="40" customFormat="1">
      <c r="A1127">
        <v>12500119</v>
      </c>
      <c r="B1127" t="s">
        <v>975</v>
      </c>
      <c r="C1127" t="s">
        <v>974</v>
      </c>
      <c r="D1127" t="s">
        <v>706</v>
      </c>
      <c r="E1127" t="s">
        <v>1438</v>
      </c>
      <c r="F1127" s="78">
        <v>0.35164351851851849</v>
      </c>
      <c r="G1127" t="s">
        <v>1405</v>
      </c>
      <c r="H1127" t="s">
        <v>1335</v>
      </c>
      <c r="I1127" s="88" t="str">
        <f>VLOOKUP(A1127,Base!A:B,2,0)</f>
        <v>12.500.119-K</v>
      </c>
      <c r="J1127" s="99" t="str">
        <f>VLOOKUP(A1127,Base!A:F,6,0)</f>
        <v>FREDDY  SANCHEZ  TORRES</v>
      </c>
      <c r="K1127" s="89" t="str">
        <f>IFERROR(IF(VLOOKUP(I1127,Ingreso!K:P,6,0)=0,"Sin turtno ing",VLOOKUP(I1127,Ingreso!K:P,6,0)),IF(F1127&gt;0.25,IF(F1127&lt;0.311805555555556,"Turno A",IF(F1127&gt;0.3125,IF(F1127&lt;0.354166666666667,"Turno C",IF(F1127&gt;0.583333333333333,IF(F1127&lt;0.625,"Turno B",IF(F1127&gt;0.625694444444444,IF(F1127&lt;0.8125,"Turno A",IF(F1127&gt;0.875,IF(F1127&lt;0.936805555555556,"Turno C",IF(F1127&gt;0.9375,IF(F1127&lt;0.979166666666667,"Turno B",""),"")),"")),"")),"")),"")),""))</f>
        <v>Sin turtno ing</v>
      </c>
      <c r="L1127" s="91" t="e">
        <f t="shared" si="17"/>
        <v>#N/A</v>
      </c>
    </row>
    <row r="1128" spans="1:12" s="40" customFormat="1">
      <c r="A1128">
        <v>12500119</v>
      </c>
      <c r="B1128" t="s">
        <v>975</v>
      </c>
      <c r="C1128" t="s">
        <v>974</v>
      </c>
      <c r="D1128" t="s">
        <v>706</v>
      </c>
      <c r="E1128" t="s">
        <v>1439</v>
      </c>
      <c r="F1128" s="78">
        <v>0.83127314814814823</v>
      </c>
      <c r="G1128" t="s">
        <v>1406</v>
      </c>
      <c r="H1128" t="s">
        <v>1336</v>
      </c>
      <c r="I1128" s="88" t="str">
        <f>VLOOKUP(A1128,Base!A:B,2,0)</f>
        <v>12.500.119-K</v>
      </c>
      <c r="J1128" s="99" t="str">
        <f>VLOOKUP(A1128,Base!A:F,6,0)</f>
        <v>FREDDY  SANCHEZ  TORRES</v>
      </c>
      <c r="K1128" s="89" t="str">
        <f>IFERROR(IF(VLOOKUP(I1128,Ingreso!K:P,6,0)=0,"Sin turtno ing",VLOOKUP(I1128,Ingreso!K:P,6,0)),IF(F1128&gt;0.25,IF(F1128&lt;0.311805555555556,"Turno A",IF(F1128&gt;0.3125,IF(F1128&lt;0.354166666666667,"Turno C",IF(F1128&gt;0.583333333333333,IF(F1128&lt;0.625,"Turno B",IF(F1128&gt;0.625694444444444,IF(F1128&lt;0.8125,"Turno A",IF(F1128&gt;0.875,IF(F1128&lt;0.936805555555556,"Turno C",IF(F1128&gt;0.9375,IF(F1128&lt;0.979166666666667,"Turno B",""),"")),"")),"")),"")),"")),""))</f>
        <v>Sin turtno ing</v>
      </c>
      <c r="L1128" s="91" t="e">
        <f t="shared" si="17"/>
        <v>#N/A</v>
      </c>
    </row>
    <row r="1129" spans="1:12" s="40" customFormat="1">
      <c r="A1129">
        <v>12500119</v>
      </c>
      <c r="B1129" t="s">
        <v>975</v>
      </c>
      <c r="C1129" t="s">
        <v>974</v>
      </c>
      <c r="D1129" t="s">
        <v>706</v>
      </c>
      <c r="E1129" t="s">
        <v>1439</v>
      </c>
      <c r="F1129" s="78">
        <v>0.34900462962962964</v>
      </c>
      <c r="G1129" t="s">
        <v>1405</v>
      </c>
      <c r="H1129" t="s">
        <v>1335</v>
      </c>
      <c r="I1129" s="88" t="str">
        <f>VLOOKUP(A1129,Base!A:B,2,0)</f>
        <v>12.500.119-K</v>
      </c>
      <c r="J1129" s="99" t="str">
        <f>VLOOKUP(A1129,Base!A:F,6,0)</f>
        <v>FREDDY  SANCHEZ  TORRES</v>
      </c>
      <c r="K1129" s="89" t="str">
        <f>IFERROR(IF(VLOOKUP(I1129,Ingreso!K:P,6,0)=0,"Sin turtno ing",VLOOKUP(I1129,Ingreso!K:P,6,0)),IF(F1129&gt;0.25,IF(F1129&lt;0.311805555555556,"Turno A",IF(F1129&gt;0.3125,IF(F1129&lt;0.354166666666667,"Turno C",IF(F1129&gt;0.583333333333333,IF(F1129&lt;0.625,"Turno B",IF(F1129&gt;0.625694444444444,IF(F1129&lt;0.8125,"Turno A",IF(F1129&gt;0.875,IF(F1129&lt;0.936805555555556,"Turno C",IF(F1129&gt;0.9375,IF(F1129&lt;0.979166666666667,"Turno B",""),"")),"")),"")),"")),"")),""))</f>
        <v>Sin turtno ing</v>
      </c>
      <c r="L1129" s="91" t="e">
        <f t="shared" si="17"/>
        <v>#N/A</v>
      </c>
    </row>
    <row r="1130" spans="1:12" s="40" customFormat="1">
      <c r="A1130">
        <v>12501307</v>
      </c>
      <c r="B1130" t="s">
        <v>116</v>
      </c>
      <c r="C1130" t="s">
        <v>114</v>
      </c>
      <c r="D1130" t="s">
        <v>115</v>
      </c>
      <c r="E1130" t="s">
        <v>1440</v>
      </c>
      <c r="F1130" s="78">
        <v>0.9509143518518518</v>
      </c>
      <c r="G1130" t="s">
        <v>1406</v>
      </c>
      <c r="H1130" t="s">
        <v>1336</v>
      </c>
      <c r="I1130" s="88" t="str">
        <f>VLOOKUP(A1130,Base!A:B,2,0)</f>
        <v>12.501.307-4</v>
      </c>
      <c r="J1130" s="99" t="str">
        <f>VLOOKUP(A1130,Base!A:F,6,0)</f>
        <v>MARCELO ANTONIO  ARAYA  FUENTES</v>
      </c>
      <c r="K1130" s="89" t="str">
        <f>IFERROR(IF(VLOOKUP(I1130,Ingreso!K:P,6,0)=0,"Sin turtno ing",VLOOKUP(I1130,Ingreso!K:P,6,0)),IF(F1130&gt;0.25,IF(F1130&lt;0.311805555555556,"Turno A",IF(F1130&gt;0.3125,IF(F1130&lt;0.354166666666667,"Turno C",IF(F1130&gt;0.583333333333333,IF(F1130&lt;0.625,"Turno B",IF(F1130&gt;0.625694444444444,IF(F1130&lt;0.8125,"Turno A",IF(F1130&gt;0.875,IF(F1130&lt;0.936805555555556,"Turno C",IF(F1130&gt;0.9375,IF(F1130&lt;0.979166666666667,"Turno B",""),"")),"")),"")),"")),"")),""))</f>
        <v>Turno B</v>
      </c>
      <c r="L1130" s="91">
        <f t="shared" si="17"/>
        <v>0.3125</v>
      </c>
    </row>
    <row r="1131" spans="1:12" s="40" customFormat="1">
      <c r="A1131">
        <v>12501307</v>
      </c>
      <c r="B1131" t="s">
        <v>116</v>
      </c>
      <c r="C1131" t="s">
        <v>114</v>
      </c>
      <c r="D1131" t="s">
        <v>115</v>
      </c>
      <c r="E1131" t="s">
        <v>1440</v>
      </c>
      <c r="F1131" s="78">
        <v>0.60760416666666661</v>
      </c>
      <c r="G1131" t="s">
        <v>1405</v>
      </c>
      <c r="H1131" t="s">
        <v>1335</v>
      </c>
      <c r="I1131" s="88" t="str">
        <f>VLOOKUP(A1131,Base!A:B,2,0)</f>
        <v>12.501.307-4</v>
      </c>
      <c r="J1131" s="99" t="str">
        <f>VLOOKUP(A1131,Base!A:F,6,0)</f>
        <v>MARCELO ANTONIO  ARAYA  FUENTES</v>
      </c>
      <c r="K1131" s="89" t="str">
        <f>IFERROR(IF(VLOOKUP(I1131,Ingreso!K:P,6,0)=0,"Sin turtno ing",VLOOKUP(I1131,Ingreso!K:P,6,0)),IF(F1131&gt;0.25,IF(F1131&lt;0.311805555555556,"Turno A",IF(F1131&gt;0.3125,IF(F1131&lt;0.354166666666667,"Turno C",IF(F1131&gt;0.583333333333333,IF(F1131&lt;0.625,"Turno B",IF(F1131&gt;0.625694444444444,IF(F1131&lt;0.8125,"Turno A",IF(F1131&gt;0.875,IF(F1131&lt;0.936805555555556,"Turno C",IF(F1131&gt;0.9375,IF(F1131&lt;0.979166666666667,"Turno B",""),"")),"")),"")),"")),"")),""))</f>
        <v>Turno B</v>
      </c>
      <c r="L1131" s="91">
        <f t="shared" si="17"/>
        <v>0.3125</v>
      </c>
    </row>
    <row r="1132" spans="1:12" s="40" customFormat="1">
      <c r="A1132">
        <v>12501307</v>
      </c>
      <c r="B1132" t="s">
        <v>116</v>
      </c>
      <c r="C1132" t="s">
        <v>114</v>
      </c>
      <c r="D1132" t="s">
        <v>115</v>
      </c>
      <c r="E1132" t="s">
        <v>1437</v>
      </c>
      <c r="F1132" s="78">
        <v>0.95005787037037026</v>
      </c>
      <c r="G1132" t="s">
        <v>1406</v>
      </c>
      <c r="H1132" t="s">
        <v>1336</v>
      </c>
      <c r="I1132" s="88" t="str">
        <f>VLOOKUP(A1132,Base!A:B,2,0)</f>
        <v>12.501.307-4</v>
      </c>
      <c r="J1132" s="99" t="str">
        <f>VLOOKUP(A1132,Base!A:F,6,0)</f>
        <v>MARCELO ANTONIO  ARAYA  FUENTES</v>
      </c>
      <c r="K1132" s="89" t="str">
        <f>IFERROR(IF(VLOOKUP(I1132,Ingreso!K:P,6,0)=0,"Sin turtno ing",VLOOKUP(I1132,Ingreso!K:P,6,0)),IF(F1132&gt;0.25,IF(F1132&lt;0.311805555555556,"Turno A",IF(F1132&gt;0.3125,IF(F1132&lt;0.354166666666667,"Turno C",IF(F1132&gt;0.583333333333333,IF(F1132&lt;0.625,"Turno B",IF(F1132&gt;0.625694444444444,IF(F1132&lt;0.8125,"Turno A",IF(F1132&gt;0.875,IF(F1132&lt;0.936805555555556,"Turno C",IF(F1132&gt;0.9375,IF(F1132&lt;0.979166666666667,"Turno B",""),"")),"")),"")),"")),"")),""))</f>
        <v>Turno B</v>
      </c>
      <c r="L1132" s="91">
        <f t="shared" si="17"/>
        <v>0.3125</v>
      </c>
    </row>
    <row r="1133" spans="1:12" s="40" customFormat="1">
      <c r="A1133">
        <v>12501307</v>
      </c>
      <c r="B1133" t="s">
        <v>116</v>
      </c>
      <c r="C1133" t="s">
        <v>114</v>
      </c>
      <c r="D1133" t="s">
        <v>115</v>
      </c>
      <c r="E1133" t="s">
        <v>1437</v>
      </c>
      <c r="F1133" s="78">
        <v>0.60662037037037042</v>
      </c>
      <c r="G1133" t="s">
        <v>1405</v>
      </c>
      <c r="H1133" t="s">
        <v>1335</v>
      </c>
      <c r="I1133" s="88" t="str">
        <f>VLOOKUP(A1133,Base!A:B,2,0)</f>
        <v>12.501.307-4</v>
      </c>
      <c r="J1133" s="99" t="str">
        <f>VLOOKUP(A1133,Base!A:F,6,0)</f>
        <v>MARCELO ANTONIO  ARAYA  FUENTES</v>
      </c>
      <c r="K1133" s="89" t="str">
        <f>IFERROR(IF(VLOOKUP(I1133,Ingreso!K:P,6,0)=0,"Sin turtno ing",VLOOKUP(I1133,Ingreso!K:P,6,0)),IF(F1133&gt;0.25,IF(F1133&lt;0.311805555555556,"Turno A",IF(F1133&gt;0.3125,IF(F1133&lt;0.354166666666667,"Turno C",IF(F1133&gt;0.583333333333333,IF(F1133&lt;0.625,"Turno B",IF(F1133&gt;0.625694444444444,IF(F1133&lt;0.8125,"Turno A",IF(F1133&gt;0.875,IF(F1133&lt;0.936805555555556,"Turno C",IF(F1133&gt;0.9375,IF(F1133&lt;0.979166666666667,"Turno B",""),"")),"")),"")),"")),"")),""))</f>
        <v>Turno B</v>
      </c>
      <c r="L1133" s="91">
        <f t="shared" si="17"/>
        <v>0.3125</v>
      </c>
    </row>
    <row r="1134" spans="1:12" s="40" customFormat="1">
      <c r="A1134">
        <v>12501307</v>
      </c>
      <c r="B1134" t="s">
        <v>116</v>
      </c>
      <c r="C1134" t="s">
        <v>114</v>
      </c>
      <c r="D1134" t="s">
        <v>115</v>
      </c>
      <c r="E1134" t="s">
        <v>1438</v>
      </c>
      <c r="F1134" s="78">
        <v>0.95056712962962964</v>
      </c>
      <c r="G1134" t="s">
        <v>1406</v>
      </c>
      <c r="H1134" t="s">
        <v>1336</v>
      </c>
      <c r="I1134" s="88" t="str">
        <f>VLOOKUP(A1134,Base!A:B,2,0)</f>
        <v>12.501.307-4</v>
      </c>
      <c r="J1134" s="99" t="str">
        <f>VLOOKUP(A1134,Base!A:F,6,0)</f>
        <v>MARCELO ANTONIO  ARAYA  FUENTES</v>
      </c>
      <c r="K1134" s="89" t="str">
        <f>IFERROR(IF(VLOOKUP(I1134,Ingreso!K:P,6,0)=0,"Sin turtno ing",VLOOKUP(I1134,Ingreso!K:P,6,0)),IF(F1134&gt;0.25,IF(F1134&lt;0.311805555555556,"Turno A",IF(F1134&gt;0.3125,IF(F1134&lt;0.354166666666667,"Turno C",IF(F1134&gt;0.583333333333333,IF(F1134&lt;0.625,"Turno B",IF(F1134&gt;0.625694444444444,IF(F1134&lt;0.8125,"Turno A",IF(F1134&gt;0.875,IF(F1134&lt;0.936805555555556,"Turno C",IF(F1134&gt;0.9375,IF(F1134&lt;0.979166666666667,"Turno B",""),"")),"")),"")),"")),"")),""))</f>
        <v>Turno B</v>
      </c>
      <c r="L1134" s="91">
        <f t="shared" si="17"/>
        <v>0.3125</v>
      </c>
    </row>
    <row r="1135" spans="1:12" s="40" customFormat="1">
      <c r="A1135">
        <v>12501307</v>
      </c>
      <c r="B1135" t="s">
        <v>116</v>
      </c>
      <c r="C1135" t="s">
        <v>114</v>
      </c>
      <c r="D1135" t="s">
        <v>115</v>
      </c>
      <c r="E1135" t="s">
        <v>1438</v>
      </c>
      <c r="F1135" s="78">
        <v>0.60901620370370368</v>
      </c>
      <c r="G1135" t="s">
        <v>1405</v>
      </c>
      <c r="H1135" t="s">
        <v>1335</v>
      </c>
      <c r="I1135" s="88" t="str">
        <f>VLOOKUP(A1135,Base!A:B,2,0)</f>
        <v>12.501.307-4</v>
      </c>
      <c r="J1135" s="99" t="str">
        <f>VLOOKUP(A1135,Base!A:F,6,0)</f>
        <v>MARCELO ANTONIO  ARAYA  FUENTES</v>
      </c>
      <c r="K1135" s="89" t="str">
        <f>IFERROR(IF(VLOOKUP(I1135,Ingreso!K:P,6,0)=0,"Sin turtno ing",VLOOKUP(I1135,Ingreso!K:P,6,0)),IF(F1135&gt;0.25,IF(F1135&lt;0.311805555555556,"Turno A",IF(F1135&gt;0.3125,IF(F1135&lt;0.354166666666667,"Turno C",IF(F1135&gt;0.583333333333333,IF(F1135&lt;0.625,"Turno B",IF(F1135&gt;0.625694444444444,IF(F1135&lt;0.8125,"Turno A",IF(F1135&gt;0.875,IF(F1135&lt;0.936805555555556,"Turno C",IF(F1135&gt;0.9375,IF(F1135&lt;0.979166666666667,"Turno B",""),"")),"")),"")),"")),"")),""))</f>
        <v>Turno B</v>
      </c>
      <c r="L1135" s="91">
        <f t="shared" si="17"/>
        <v>0.3125</v>
      </c>
    </row>
    <row r="1136" spans="1:12" s="40" customFormat="1">
      <c r="A1136">
        <v>12501307</v>
      </c>
      <c r="B1136" t="s">
        <v>116</v>
      </c>
      <c r="C1136" t="s">
        <v>114</v>
      </c>
      <c r="D1136" t="s">
        <v>115</v>
      </c>
      <c r="E1136" t="s">
        <v>1439</v>
      </c>
      <c r="F1136" s="78">
        <v>0.95232638888888888</v>
      </c>
      <c r="G1136" t="s">
        <v>1406</v>
      </c>
      <c r="H1136" t="s">
        <v>1336</v>
      </c>
      <c r="I1136" s="88" t="str">
        <f>VLOOKUP(A1136,Base!A:B,2,0)</f>
        <v>12.501.307-4</v>
      </c>
      <c r="J1136" s="99" t="str">
        <f>VLOOKUP(A1136,Base!A:F,6,0)</f>
        <v>MARCELO ANTONIO  ARAYA  FUENTES</v>
      </c>
      <c r="K1136" s="89" t="str">
        <f>IFERROR(IF(VLOOKUP(I1136,Ingreso!K:P,6,0)=0,"Sin turtno ing",VLOOKUP(I1136,Ingreso!K:P,6,0)),IF(F1136&gt;0.25,IF(F1136&lt;0.311805555555556,"Turno A",IF(F1136&gt;0.3125,IF(F1136&lt;0.354166666666667,"Turno C",IF(F1136&gt;0.583333333333333,IF(F1136&lt;0.625,"Turno B",IF(F1136&gt;0.625694444444444,IF(F1136&lt;0.8125,"Turno A",IF(F1136&gt;0.875,IF(F1136&lt;0.936805555555556,"Turno C",IF(F1136&gt;0.9375,IF(F1136&lt;0.979166666666667,"Turno B",""),"")),"")),"")),"")),"")),""))</f>
        <v>Turno B</v>
      </c>
      <c r="L1136" s="91">
        <f t="shared" si="17"/>
        <v>0.3125</v>
      </c>
    </row>
    <row r="1137" spans="1:12" s="40" customFormat="1">
      <c r="A1137">
        <v>12501307</v>
      </c>
      <c r="B1137" t="s">
        <v>116</v>
      </c>
      <c r="C1137" t="s">
        <v>114</v>
      </c>
      <c r="D1137" t="s">
        <v>115</v>
      </c>
      <c r="E1137" t="s">
        <v>1439</v>
      </c>
      <c r="F1137" s="78">
        <v>0.6083101851851852</v>
      </c>
      <c r="G1137" t="s">
        <v>1405</v>
      </c>
      <c r="H1137" t="s">
        <v>1335</v>
      </c>
      <c r="I1137" s="88" t="str">
        <f>VLOOKUP(A1137,Base!A:B,2,0)</f>
        <v>12.501.307-4</v>
      </c>
      <c r="J1137" s="99" t="str">
        <f>VLOOKUP(A1137,Base!A:F,6,0)</f>
        <v>MARCELO ANTONIO  ARAYA  FUENTES</v>
      </c>
      <c r="K1137" s="89" t="str">
        <f>IFERROR(IF(VLOOKUP(I1137,Ingreso!K:P,6,0)=0,"Sin turtno ing",VLOOKUP(I1137,Ingreso!K:P,6,0)),IF(F1137&gt;0.25,IF(F1137&lt;0.311805555555556,"Turno A",IF(F1137&gt;0.3125,IF(F1137&lt;0.354166666666667,"Turno C",IF(F1137&gt;0.583333333333333,IF(F1137&lt;0.625,"Turno B",IF(F1137&gt;0.625694444444444,IF(F1137&lt;0.8125,"Turno A",IF(F1137&gt;0.875,IF(F1137&lt;0.936805555555556,"Turno C",IF(F1137&gt;0.9375,IF(F1137&lt;0.979166666666667,"Turno B",""),"")),"")),"")),"")),"")),""))</f>
        <v>Turno B</v>
      </c>
      <c r="L1137" s="91">
        <f t="shared" si="17"/>
        <v>0.3125</v>
      </c>
    </row>
    <row r="1138" spans="1:12" s="40" customFormat="1">
      <c r="A1138">
        <v>12504270</v>
      </c>
      <c r="B1138" t="s">
        <v>529</v>
      </c>
      <c r="C1138" t="s">
        <v>527</v>
      </c>
      <c r="D1138" t="s">
        <v>528</v>
      </c>
      <c r="E1138" t="s">
        <v>1440</v>
      </c>
      <c r="F1138" s="78">
        <v>0.63945601851851852</v>
      </c>
      <c r="G1138" t="s">
        <v>1406</v>
      </c>
      <c r="H1138" t="s">
        <v>1336</v>
      </c>
      <c r="I1138" s="88" t="str">
        <f>VLOOKUP(A1138,Base!A:B,2,0)</f>
        <v>12.504.270-8</v>
      </c>
      <c r="J1138" s="99" t="str">
        <f>VLOOKUP(A1138,Base!A:F,6,0)</f>
        <v>ROSEMARY  LAGOS  RUBIO</v>
      </c>
      <c r="K1138" s="89" t="str">
        <f>IFERROR(IF(VLOOKUP(I1138,Ingreso!K:P,6,0)=0,"Sin turtno ing",VLOOKUP(I1138,Ingreso!K:P,6,0)),IF(F1138&gt;0.25,IF(F1138&lt;0.311805555555556,"Turno A",IF(F1138&gt;0.3125,IF(F1138&lt;0.354166666666667,"Turno C",IF(F1138&gt;0.583333333333333,IF(F1138&lt;0.625,"Turno B",IF(F1138&gt;0.625694444444444,IF(F1138&lt;0.8125,"Turno A",IF(F1138&gt;0.875,IF(F1138&lt;0.936805555555556,"Turno C",IF(F1138&gt;0.9375,IF(F1138&lt;0.979166666666667,"Turno B",""),"")),"")),"")),"")),"")),""))</f>
        <v>Turno A</v>
      </c>
      <c r="L1138" s="91">
        <f t="shared" si="17"/>
        <v>0.3125</v>
      </c>
    </row>
    <row r="1139" spans="1:12" s="40" customFormat="1">
      <c r="A1139">
        <v>12504270</v>
      </c>
      <c r="B1139" t="s">
        <v>529</v>
      </c>
      <c r="C1139" t="s">
        <v>527</v>
      </c>
      <c r="D1139" t="s">
        <v>528</v>
      </c>
      <c r="E1139" t="s">
        <v>1440</v>
      </c>
      <c r="F1139" s="78">
        <v>0.33949074074074076</v>
      </c>
      <c r="G1139" t="s">
        <v>1405</v>
      </c>
      <c r="H1139" t="s">
        <v>1335</v>
      </c>
      <c r="I1139" s="88" t="str">
        <f>VLOOKUP(A1139,Base!A:B,2,0)</f>
        <v>12.504.270-8</v>
      </c>
      <c r="J1139" s="99" t="str">
        <f>VLOOKUP(A1139,Base!A:F,6,0)</f>
        <v>ROSEMARY  LAGOS  RUBIO</v>
      </c>
      <c r="K1139" s="89" t="str">
        <f>IFERROR(IF(VLOOKUP(I1139,Ingreso!K:P,6,0)=0,"Sin turtno ing",VLOOKUP(I1139,Ingreso!K:P,6,0)),IF(F1139&gt;0.25,IF(F1139&lt;0.311805555555556,"Turno A",IF(F1139&gt;0.3125,IF(F1139&lt;0.354166666666667,"Turno C",IF(F1139&gt;0.583333333333333,IF(F1139&lt;0.625,"Turno B",IF(F1139&gt;0.625694444444444,IF(F1139&lt;0.8125,"Turno A",IF(F1139&gt;0.875,IF(F1139&lt;0.936805555555556,"Turno C",IF(F1139&gt;0.9375,IF(F1139&lt;0.979166666666667,"Turno B",""),"")),"")),"")),"")),"")),""))</f>
        <v>Turno C</v>
      </c>
      <c r="L1139" s="91">
        <f t="shared" si="17"/>
        <v>0.375</v>
      </c>
    </row>
    <row r="1140" spans="1:12" s="40" customFormat="1">
      <c r="A1140">
        <v>12504270</v>
      </c>
      <c r="B1140" t="s">
        <v>529</v>
      </c>
      <c r="C1140" t="s">
        <v>527</v>
      </c>
      <c r="D1140" t="s">
        <v>528</v>
      </c>
      <c r="E1140" t="s">
        <v>1441</v>
      </c>
      <c r="F1140" s="78">
        <v>0.63430555555555557</v>
      </c>
      <c r="G1140" t="s">
        <v>1406</v>
      </c>
      <c r="H1140" t="s">
        <v>1336</v>
      </c>
      <c r="I1140" s="88" t="str">
        <f>VLOOKUP(A1140,Base!A:B,2,0)</f>
        <v>12.504.270-8</v>
      </c>
      <c r="J1140" s="99" t="str">
        <f>VLOOKUP(A1140,Base!A:F,6,0)</f>
        <v>ROSEMARY  LAGOS  RUBIO</v>
      </c>
      <c r="K1140" s="89" t="str">
        <f>IFERROR(IF(VLOOKUP(I1140,Ingreso!K:P,6,0)=0,"Sin turtno ing",VLOOKUP(I1140,Ingreso!K:P,6,0)),IF(F1140&gt;0.25,IF(F1140&lt;0.311805555555556,"Turno A",IF(F1140&gt;0.3125,IF(F1140&lt;0.354166666666667,"Turno C",IF(F1140&gt;0.583333333333333,IF(F1140&lt;0.625,"Turno B",IF(F1140&gt;0.625694444444444,IF(F1140&lt;0.8125,"Turno A",IF(F1140&gt;0.875,IF(F1140&lt;0.936805555555556,"Turno C",IF(F1140&gt;0.9375,IF(F1140&lt;0.979166666666667,"Turno B",""),"")),"")),"")),"")),"")),""))</f>
        <v>Turno A</v>
      </c>
      <c r="L1140" s="91">
        <f t="shared" si="17"/>
        <v>0.3125</v>
      </c>
    </row>
    <row r="1141" spans="1:12" s="40" customFormat="1">
      <c r="A1141">
        <v>12504270</v>
      </c>
      <c r="B1141" t="s">
        <v>529</v>
      </c>
      <c r="C1141" t="s">
        <v>527</v>
      </c>
      <c r="D1141" t="s">
        <v>528</v>
      </c>
      <c r="E1141" t="s">
        <v>1441</v>
      </c>
      <c r="F1141" s="78">
        <v>0.29472222222222222</v>
      </c>
      <c r="G1141" t="s">
        <v>1405</v>
      </c>
      <c r="H1141" t="s">
        <v>1335</v>
      </c>
      <c r="I1141" s="88" t="str">
        <f>VLOOKUP(A1141,Base!A:B,2,0)</f>
        <v>12.504.270-8</v>
      </c>
      <c r="J1141" s="99" t="str">
        <f>VLOOKUP(A1141,Base!A:F,6,0)</f>
        <v>ROSEMARY  LAGOS  RUBIO</v>
      </c>
      <c r="K1141" s="89" t="str">
        <f>IFERROR(IF(VLOOKUP(I1141,Ingreso!K:P,6,0)=0,"Sin turtno ing",VLOOKUP(I1141,Ingreso!K:P,6,0)),IF(F1141&gt;0.25,IF(F1141&lt;0.311805555555556,"Turno A",IF(F1141&gt;0.3125,IF(F1141&lt;0.354166666666667,"Turno C",IF(F1141&gt;0.583333333333333,IF(F1141&lt;0.625,"Turno B",IF(F1141&gt;0.625694444444444,IF(F1141&lt;0.8125,"Turno A",IF(F1141&gt;0.875,IF(F1141&lt;0.936805555555556,"Turno C",IF(F1141&gt;0.9375,IF(F1141&lt;0.979166666666667,"Turno B",""),"")),"")),"")),"")),"")),""))</f>
        <v>Turno A</v>
      </c>
      <c r="L1141" s="91">
        <f t="shared" si="17"/>
        <v>0.3125</v>
      </c>
    </row>
    <row r="1142" spans="1:12" s="40" customFormat="1">
      <c r="A1142">
        <v>12504270</v>
      </c>
      <c r="B1142" t="s">
        <v>529</v>
      </c>
      <c r="C1142" t="s">
        <v>527</v>
      </c>
      <c r="D1142" t="s">
        <v>528</v>
      </c>
      <c r="E1142" t="s">
        <v>1437</v>
      </c>
      <c r="F1142" s="78">
        <v>0.63586805555555559</v>
      </c>
      <c r="G1142" t="s">
        <v>1406</v>
      </c>
      <c r="H1142" t="s">
        <v>1336</v>
      </c>
      <c r="I1142" s="88" t="str">
        <f>VLOOKUP(A1142,Base!A:B,2,0)</f>
        <v>12.504.270-8</v>
      </c>
      <c r="J1142" s="99" t="str">
        <f>VLOOKUP(A1142,Base!A:F,6,0)</f>
        <v>ROSEMARY  LAGOS  RUBIO</v>
      </c>
      <c r="K1142" s="89" t="str">
        <f>IFERROR(IF(VLOOKUP(I1142,Ingreso!K:P,6,0)=0,"Sin turtno ing",VLOOKUP(I1142,Ingreso!K:P,6,0)),IF(F1142&gt;0.25,IF(F1142&lt;0.311805555555556,"Turno A",IF(F1142&gt;0.3125,IF(F1142&lt;0.354166666666667,"Turno C",IF(F1142&gt;0.583333333333333,IF(F1142&lt;0.625,"Turno B",IF(F1142&gt;0.625694444444444,IF(F1142&lt;0.8125,"Turno A",IF(F1142&gt;0.875,IF(F1142&lt;0.936805555555556,"Turno C",IF(F1142&gt;0.9375,IF(F1142&lt;0.979166666666667,"Turno B",""),"")),"")),"")),"")),"")),""))</f>
        <v>Turno A</v>
      </c>
      <c r="L1142" s="91">
        <f t="shared" si="17"/>
        <v>0.3125</v>
      </c>
    </row>
    <row r="1143" spans="1:12" s="40" customFormat="1">
      <c r="A1143">
        <v>12504270</v>
      </c>
      <c r="B1143" t="s">
        <v>529</v>
      </c>
      <c r="C1143" t="s">
        <v>527</v>
      </c>
      <c r="D1143" t="s">
        <v>528</v>
      </c>
      <c r="E1143" t="s">
        <v>1437</v>
      </c>
      <c r="F1143" s="78">
        <v>0.29439814814814813</v>
      </c>
      <c r="G1143" t="s">
        <v>1405</v>
      </c>
      <c r="H1143" t="s">
        <v>1335</v>
      </c>
      <c r="I1143" s="88" t="str">
        <f>VLOOKUP(A1143,Base!A:B,2,0)</f>
        <v>12.504.270-8</v>
      </c>
      <c r="J1143" s="99" t="str">
        <f>VLOOKUP(A1143,Base!A:F,6,0)</f>
        <v>ROSEMARY  LAGOS  RUBIO</v>
      </c>
      <c r="K1143" s="89" t="str">
        <f>IFERROR(IF(VLOOKUP(I1143,Ingreso!K:P,6,0)=0,"Sin turtno ing",VLOOKUP(I1143,Ingreso!K:P,6,0)),IF(F1143&gt;0.25,IF(F1143&lt;0.311805555555556,"Turno A",IF(F1143&gt;0.3125,IF(F1143&lt;0.354166666666667,"Turno C",IF(F1143&gt;0.583333333333333,IF(F1143&lt;0.625,"Turno B",IF(F1143&gt;0.625694444444444,IF(F1143&lt;0.8125,"Turno A",IF(F1143&gt;0.875,IF(F1143&lt;0.936805555555556,"Turno C",IF(F1143&gt;0.9375,IF(F1143&lt;0.979166666666667,"Turno B",""),"")),"")),"")),"")),"")),""))</f>
        <v>Turno A</v>
      </c>
      <c r="L1143" s="91">
        <f t="shared" si="17"/>
        <v>0.3125</v>
      </c>
    </row>
    <row r="1144" spans="1:12" s="40" customFormat="1">
      <c r="A1144">
        <v>12504270</v>
      </c>
      <c r="B1144" t="s">
        <v>529</v>
      </c>
      <c r="C1144" t="s">
        <v>527</v>
      </c>
      <c r="D1144" t="s">
        <v>528</v>
      </c>
      <c r="E1144" t="s">
        <v>1438</v>
      </c>
      <c r="F1144" s="78">
        <v>0.63326388888888896</v>
      </c>
      <c r="G1144" t="s">
        <v>1406</v>
      </c>
      <c r="H1144" t="s">
        <v>1336</v>
      </c>
      <c r="I1144" s="88" t="str">
        <f>VLOOKUP(A1144,Base!A:B,2,0)</f>
        <v>12.504.270-8</v>
      </c>
      <c r="J1144" s="99" t="str">
        <f>VLOOKUP(A1144,Base!A:F,6,0)</f>
        <v>ROSEMARY  LAGOS  RUBIO</v>
      </c>
      <c r="K1144" s="89" t="str">
        <f>IFERROR(IF(VLOOKUP(I1144,Ingreso!K:P,6,0)=0,"Sin turtno ing",VLOOKUP(I1144,Ingreso!K:P,6,0)),IF(F1144&gt;0.25,IF(F1144&lt;0.311805555555556,"Turno A",IF(F1144&gt;0.3125,IF(F1144&lt;0.354166666666667,"Turno C",IF(F1144&gt;0.583333333333333,IF(F1144&lt;0.625,"Turno B",IF(F1144&gt;0.625694444444444,IF(F1144&lt;0.8125,"Turno A",IF(F1144&gt;0.875,IF(F1144&lt;0.936805555555556,"Turno C",IF(F1144&gt;0.9375,IF(F1144&lt;0.979166666666667,"Turno B",""),"")),"")),"")),"")),"")),""))</f>
        <v>Turno A</v>
      </c>
      <c r="L1144" s="91">
        <f t="shared" si="17"/>
        <v>0.3125</v>
      </c>
    </row>
    <row r="1145" spans="1:12" s="40" customFormat="1">
      <c r="A1145">
        <v>12504270</v>
      </c>
      <c r="B1145" t="s">
        <v>529</v>
      </c>
      <c r="C1145" t="s">
        <v>527</v>
      </c>
      <c r="D1145" t="s">
        <v>528</v>
      </c>
      <c r="E1145" t="s">
        <v>1438</v>
      </c>
      <c r="F1145" s="78">
        <v>0.30077546296296298</v>
      </c>
      <c r="G1145" t="s">
        <v>1405</v>
      </c>
      <c r="H1145" t="s">
        <v>1335</v>
      </c>
      <c r="I1145" s="88" t="str">
        <f>VLOOKUP(A1145,Base!A:B,2,0)</f>
        <v>12.504.270-8</v>
      </c>
      <c r="J1145" s="99" t="str">
        <f>VLOOKUP(A1145,Base!A:F,6,0)</f>
        <v>ROSEMARY  LAGOS  RUBIO</v>
      </c>
      <c r="K1145" s="89" t="str">
        <f>IFERROR(IF(VLOOKUP(I1145,Ingreso!K:P,6,0)=0,"Sin turtno ing",VLOOKUP(I1145,Ingreso!K:P,6,0)),IF(F1145&gt;0.25,IF(F1145&lt;0.311805555555556,"Turno A",IF(F1145&gt;0.3125,IF(F1145&lt;0.354166666666667,"Turno C",IF(F1145&gt;0.583333333333333,IF(F1145&lt;0.625,"Turno B",IF(F1145&gt;0.625694444444444,IF(F1145&lt;0.8125,"Turno A",IF(F1145&gt;0.875,IF(F1145&lt;0.936805555555556,"Turno C",IF(F1145&gt;0.9375,IF(F1145&lt;0.979166666666667,"Turno B",""),"")),"")),"")),"")),"")),""))</f>
        <v>Turno A</v>
      </c>
      <c r="L1145" s="91">
        <f t="shared" si="17"/>
        <v>0.3125</v>
      </c>
    </row>
    <row r="1146" spans="1:12" s="40" customFormat="1">
      <c r="A1146">
        <v>12647009</v>
      </c>
      <c r="B1146" t="s">
        <v>951</v>
      </c>
      <c r="C1146" t="s">
        <v>791</v>
      </c>
      <c r="D1146" t="s">
        <v>950</v>
      </c>
      <c r="E1146" t="s">
        <v>1407</v>
      </c>
      <c r="F1146" s="78">
        <v>0</v>
      </c>
      <c r="G1146"/>
      <c r="H1146"/>
      <c r="I1146" s="88" t="str">
        <f>VLOOKUP(A1146,Base!A:B,2,0)</f>
        <v>12.647.009-6</v>
      </c>
      <c r="J1146" s="99" t="str">
        <f>VLOOKUP(A1146,Base!A:F,6,0)</f>
        <v>PAULO  SALAZAR  FREYHOFER</v>
      </c>
      <c r="K1146" s="89" t="str">
        <f>IFERROR(IF(VLOOKUP(I1146,Ingreso!K:P,6,0)=0,"Sin turtno ing",VLOOKUP(I1146,Ingreso!K:P,6,0)),IF(F1146&gt;0.25,IF(F1146&lt;0.311805555555556,"Turno A",IF(F1146&gt;0.3125,IF(F1146&lt;0.354166666666667,"Turno C",IF(F1146&gt;0.583333333333333,IF(F1146&lt;0.625,"Turno B",IF(F1146&gt;0.625694444444444,IF(F1146&lt;0.8125,"Turno A",IF(F1146&gt;0.875,IF(F1146&lt;0.936805555555556,"Turno C",IF(F1146&gt;0.9375,IF(F1146&lt;0.979166666666667,"Turno B",""),"")),"")),"")),"")),"")),""))</f>
        <v>Sin turtno ing</v>
      </c>
      <c r="L1146" s="91" t="e">
        <f t="shared" si="17"/>
        <v>#N/A</v>
      </c>
    </row>
    <row r="1147" spans="1:12" s="40" customFormat="1">
      <c r="A1147">
        <v>12674806</v>
      </c>
      <c r="B1147" t="s">
        <v>198</v>
      </c>
      <c r="C1147" t="s">
        <v>196</v>
      </c>
      <c r="D1147" t="s">
        <v>197</v>
      </c>
      <c r="E1147" t="s">
        <v>1407</v>
      </c>
      <c r="F1147" s="78">
        <v>0</v>
      </c>
      <c r="G1147"/>
      <c r="H1147"/>
      <c r="I1147" s="88" t="str">
        <f>VLOOKUP(A1147,Base!A:B,2,0)</f>
        <v>12.674.806-K</v>
      </c>
      <c r="J1147" s="99" t="str">
        <f>VLOOKUP(A1147,Base!A:F,6,0)</f>
        <v>MARCO  CARDENAS  ULLOA</v>
      </c>
      <c r="K1147" s="89" t="str">
        <f>IFERROR(IF(VLOOKUP(I1147,Ingreso!K:P,6,0)=0,"Sin turtno ing",VLOOKUP(I1147,Ingreso!K:P,6,0)),IF(F1147&gt;0.25,IF(F1147&lt;0.311805555555556,"Turno A",IF(F1147&gt;0.3125,IF(F1147&lt;0.354166666666667,"Turno C",IF(F1147&gt;0.583333333333333,IF(F1147&lt;0.625,"Turno B",IF(F1147&gt;0.625694444444444,IF(F1147&lt;0.8125,"Turno A",IF(F1147&gt;0.875,IF(F1147&lt;0.936805555555556,"Turno C",IF(F1147&gt;0.9375,IF(F1147&lt;0.979166666666667,"Turno B",""),"")),"")),"")),"")),"")),""))</f>
        <v/>
      </c>
      <c r="L1147" s="91" t="e">
        <f t="shared" si="17"/>
        <v>#N/A</v>
      </c>
    </row>
    <row r="1148" spans="1:12" s="40" customFormat="1">
      <c r="A1148">
        <v>12677439</v>
      </c>
      <c r="B1148" t="s">
        <v>34</v>
      </c>
      <c r="C1148" t="s">
        <v>32</v>
      </c>
      <c r="D1148" t="s">
        <v>33</v>
      </c>
      <c r="E1148" t="s">
        <v>1440</v>
      </c>
      <c r="F1148" s="78">
        <v>0.94460648148148152</v>
      </c>
      <c r="G1148" t="s">
        <v>1406</v>
      </c>
      <c r="H1148" t="s">
        <v>1336</v>
      </c>
      <c r="I1148" s="88" t="str">
        <f>VLOOKUP(A1148,Base!A:B,2,0)</f>
        <v>12.677.439-7</v>
      </c>
      <c r="J1148" s="99" t="str">
        <f>VLOOKUP(A1148,Base!A:F,6,0)</f>
        <v>ANDRES RAUL  AEDO  MUÑOZ</v>
      </c>
      <c r="K1148" s="89" t="str">
        <f>IFERROR(IF(VLOOKUP(I1148,Ingreso!K:P,6,0)=0,"Sin turtno ing",VLOOKUP(I1148,Ingreso!K:P,6,0)),IF(F1148&gt;0.25,IF(F1148&lt;0.311805555555556,"Turno A",IF(F1148&gt;0.3125,IF(F1148&lt;0.354166666666667,"Turno C",IF(F1148&gt;0.583333333333333,IF(F1148&lt;0.625,"Turno B",IF(F1148&gt;0.625694444444444,IF(F1148&lt;0.8125,"Turno A",IF(F1148&gt;0.875,IF(F1148&lt;0.936805555555556,"Turno C",IF(F1148&gt;0.9375,IF(F1148&lt;0.979166666666667,"Turno B",""),"")),"")),"")),"")),"")),""))</f>
        <v>Turno B</v>
      </c>
      <c r="L1148" s="91">
        <f t="shared" si="17"/>
        <v>0.3125</v>
      </c>
    </row>
    <row r="1149" spans="1:12" s="40" customFormat="1">
      <c r="A1149">
        <v>12677439</v>
      </c>
      <c r="B1149" t="s">
        <v>34</v>
      </c>
      <c r="C1149" t="s">
        <v>32</v>
      </c>
      <c r="D1149" t="s">
        <v>33</v>
      </c>
      <c r="E1149" t="s">
        <v>1440</v>
      </c>
      <c r="F1149" s="78">
        <v>0.60712962962962969</v>
      </c>
      <c r="G1149" t="s">
        <v>1405</v>
      </c>
      <c r="H1149" t="s">
        <v>1335</v>
      </c>
      <c r="I1149" s="88" t="str">
        <f>VLOOKUP(A1149,Base!A:B,2,0)</f>
        <v>12.677.439-7</v>
      </c>
      <c r="J1149" s="99" t="str">
        <f>VLOOKUP(A1149,Base!A:F,6,0)</f>
        <v>ANDRES RAUL  AEDO  MUÑOZ</v>
      </c>
      <c r="K1149" s="89" t="str">
        <f>IFERROR(IF(VLOOKUP(I1149,Ingreso!K:P,6,0)=0,"Sin turtno ing",VLOOKUP(I1149,Ingreso!K:P,6,0)),IF(F1149&gt;0.25,IF(F1149&lt;0.311805555555556,"Turno A",IF(F1149&gt;0.3125,IF(F1149&lt;0.354166666666667,"Turno C",IF(F1149&gt;0.583333333333333,IF(F1149&lt;0.625,"Turno B",IF(F1149&gt;0.625694444444444,IF(F1149&lt;0.8125,"Turno A",IF(F1149&gt;0.875,IF(F1149&lt;0.936805555555556,"Turno C",IF(F1149&gt;0.9375,IF(F1149&lt;0.979166666666667,"Turno B",""),"")),"")),"")),"")),"")),""))</f>
        <v>Turno B</v>
      </c>
      <c r="L1149" s="91">
        <f t="shared" si="17"/>
        <v>0.3125</v>
      </c>
    </row>
    <row r="1150" spans="1:12" s="40" customFormat="1">
      <c r="A1150">
        <v>12677439</v>
      </c>
      <c r="B1150" t="s">
        <v>34</v>
      </c>
      <c r="C1150" t="s">
        <v>32</v>
      </c>
      <c r="D1150" t="s">
        <v>33</v>
      </c>
      <c r="E1150" t="s">
        <v>1441</v>
      </c>
      <c r="F1150" s="78">
        <v>0.94482638888888892</v>
      </c>
      <c r="G1150" t="s">
        <v>1406</v>
      </c>
      <c r="H1150" t="s">
        <v>1336</v>
      </c>
      <c r="I1150" s="88" t="str">
        <f>VLOOKUP(A1150,Base!A:B,2,0)</f>
        <v>12.677.439-7</v>
      </c>
      <c r="J1150" s="99" t="str">
        <f>VLOOKUP(A1150,Base!A:F,6,0)</f>
        <v>ANDRES RAUL  AEDO  MUÑOZ</v>
      </c>
      <c r="K1150" s="89" t="str">
        <f>IFERROR(IF(VLOOKUP(I1150,Ingreso!K:P,6,0)=0,"Sin turtno ing",VLOOKUP(I1150,Ingreso!K:P,6,0)),IF(F1150&gt;0.25,IF(F1150&lt;0.311805555555556,"Turno A",IF(F1150&gt;0.3125,IF(F1150&lt;0.354166666666667,"Turno C",IF(F1150&gt;0.583333333333333,IF(F1150&lt;0.625,"Turno B",IF(F1150&gt;0.625694444444444,IF(F1150&lt;0.8125,"Turno A",IF(F1150&gt;0.875,IF(F1150&lt;0.936805555555556,"Turno C",IF(F1150&gt;0.9375,IF(F1150&lt;0.979166666666667,"Turno B",""),"")),"")),"")),"")),"")),""))</f>
        <v>Turno B</v>
      </c>
      <c r="L1150" s="91">
        <f t="shared" si="17"/>
        <v>0.3125</v>
      </c>
    </row>
    <row r="1151" spans="1:12" s="40" customFormat="1">
      <c r="A1151">
        <v>12677439</v>
      </c>
      <c r="B1151" t="s">
        <v>34</v>
      </c>
      <c r="C1151" t="s">
        <v>32</v>
      </c>
      <c r="D1151" t="s">
        <v>33</v>
      </c>
      <c r="E1151" t="s">
        <v>1441</v>
      </c>
      <c r="F1151" s="78">
        <v>0.61090277777777779</v>
      </c>
      <c r="G1151" t="s">
        <v>1405</v>
      </c>
      <c r="H1151" t="s">
        <v>1335</v>
      </c>
      <c r="I1151" s="88" t="str">
        <f>VLOOKUP(A1151,Base!A:B,2,0)</f>
        <v>12.677.439-7</v>
      </c>
      <c r="J1151" s="99" t="str">
        <f>VLOOKUP(A1151,Base!A:F,6,0)</f>
        <v>ANDRES RAUL  AEDO  MUÑOZ</v>
      </c>
      <c r="K1151" s="89" t="str">
        <f>IFERROR(IF(VLOOKUP(I1151,Ingreso!K:P,6,0)=0,"Sin turtno ing",VLOOKUP(I1151,Ingreso!K:P,6,0)),IF(F1151&gt;0.25,IF(F1151&lt;0.311805555555556,"Turno A",IF(F1151&gt;0.3125,IF(F1151&lt;0.354166666666667,"Turno C",IF(F1151&gt;0.583333333333333,IF(F1151&lt;0.625,"Turno B",IF(F1151&gt;0.625694444444444,IF(F1151&lt;0.8125,"Turno A",IF(F1151&gt;0.875,IF(F1151&lt;0.936805555555556,"Turno C",IF(F1151&gt;0.9375,IF(F1151&lt;0.979166666666667,"Turno B",""),"")),"")),"")),"")),"")),""))</f>
        <v>Turno B</v>
      </c>
      <c r="L1151" s="91">
        <f t="shared" si="17"/>
        <v>0.3125</v>
      </c>
    </row>
    <row r="1152" spans="1:12" s="40" customFormat="1">
      <c r="A1152">
        <v>12677439</v>
      </c>
      <c r="B1152" t="s">
        <v>34</v>
      </c>
      <c r="C1152" t="s">
        <v>32</v>
      </c>
      <c r="D1152" t="s">
        <v>33</v>
      </c>
      <c r="E1152" t="s">
        <v>1437</v>
      </c>
      <c r="F1152" s="78">
        <v>0.94395833333333334</v>
      </c>
      <c r="G1152" t="s">
        <v>1406</v>
      </c>
      <c r="H1152" t="s">
        <v>1336</v>
      </c>
      <c r="I1152" s="88" t="str">
        <f>VLOOKUP(A1152,Base!A:B,2,0)</f>
        <v>12.677.439-7</v>
      </c>
      <c r="J1152" s="99" t="str">
        <f>VLOOKUP(A1152,Base!A:F,6,0)</f>
        <v>ANDRES RAUL  AEDO  MUÑOZ</v>
      </c>
      <c r="K1152" s="89" t="str">
        <f>IFERROR(IF(VLOOKUP(I1152,Ingreso!K:P,6,0)=0,"Sin turtno ing",VLOOKUP(I1152,Ingreso!K:P,6,0)),IF(F1152&gt;0.25,IF(F1152&lt;0.311805555555556,"Turno A",IF(F1152&gt;0.3125,IF(F1152&lt;0.354166666666667,"Turno C",IF(F1152&gt;0.583333333333333,IF(F1152&lt;0.625,"Turno B",IF(F1152&gt;0.625694444444444,IF(F1152&lt;0.8125,"Turno A",IF(F1152&gt;0.875,IF(F1152&lt;0.936805555555556,"Turno C",IF(F1152&gt;0.9375,IF(F1152&lt;0.979166666666667,"Turno B",""),"")),"")),"")),"")),"")),""))</f>
        <v>Turno B</v>
      </c>
      <c r="L1152" s="91">
        <f t="shared" si="17"/>
        <v>0.3125</v>
      </c>
    </row>
    <row r="1153" spans="1:12" s="40" customFormat="1">
      <c r="A1153">
        <v>12677439</v>
      </c>
      <c r="B1153" t="s">
        <v>34</v>
      </c>
      <c r="C1153" t="s">
        <v>32</v>
      </c>
      <c r="D1153" t="s">
        <v>33</v>
      </c>
      <c r="E1153" t="s">
        <v>1437</v>
      </c>
      <c r="F1153" s="78">
        <v>0.60873842592592597</v>
      </c>
      <c r="G1153" t="s">
        <v>1405</v>
      </c>
      <c r="H1153" t="s">
        <v>1335</v>
      </c>
      <c r="I1153" s="88" t="str">
        <f>VLOOKUP(A1153,Base!A:B,2,0)</f>
        <v>12.677.439-7</v>
      </c>
      <c r="J1153" s="99" t="str">
        <f>VLOOKUP(A1153,Base!A:F,6,0)</f>
        <v>ANDRES RAUL  AEDO  MUÑOZ</v>
      </c>
      <c r="K1153" s="89" t="str">
        <f>IFERROR(IF(VLOOKUP(I1153,Ingreso!K:P,6,0)=0,"Sin turtno ing",VLOOKUP(I1153,Ingreso!K:P,6,0)),IF(F1153&gt;0.25,IF(F1153&lt;0.311805555555556,"Turno A",IF(F1153&gt;0.3125,IF(F1153&lt;0.354166666666667,"Turno C",IF(F1153&gt;0.583333333333333,IF(F1153&lt;0.625,"Turno B",IF(F1153&gt;0.625694444444444,IF(F1153&lt;0.8125,"Turno A",IF(F1153&gt;0.875,IF(F1153&lt;0.936805555555556,"Turno C",IF(F1153&gt;0.9375,IF(F1153&lt;0.979166666666667,"Turno B",""),"")),"")),"")),"")),"")),""))</f>
        <v>Turno B</v>
      </c>
      <c r="L1153" s="91">
        <f t="shared" si="17"/>
        <v>0.3125</v>
      </c>
    </row>
    <row r="1154" spans="1:12" s="40" customFormat="1">
      <c r="A1154">
        <v>12677439</v>
      </c>
      <c r="B1154" t="s">
        <v>34</v>
      </c>
      <c r="C1154" t="s">
        <v>32</v>
      </c>
      <c r="D1154" t="s">
        <v>33</v>
      </c>
      <c r="E1154" t="s">
        <v>1438</v>
      </c>
      <c r="F1154" s="78">
        <v>0.94251157407407404</v>
      </c>
      <c r="G1154" t="s">
        <v>1406</v>
      </c>
      <c r="H1154" t="s">
        <v>1336</v>
      </c>
      <c r="I1154" s="88" t="str">
        <f>VLOOKUP(A1154,Base!A:B,2,0)</f>
        <v>12.677.439-7</v>
      </c>
      <c r="J1154" s="99" t="str">
        <f>VLOOKUP(A1154,Base!A:F,6,0)</f>
        <v>ANDRES RAUL  AEDO  MUÑOZ</v>
      </c>
      <c r="K1154" s="89" t="str">
        <f>IFERROR(IF(VLOOKUP(I1154,Ingreso!K:P,6,0)=0,"Sin turtno ing",VLOOKUP(I1154,Ingreso!K:P,6,0)),IF(F1154&gt;0.25,IF(F1154&lt;0.311805555555556,"Turno A",IF(F1154&gt;0.3125,IF(F1154&lt;0.354166666666667,"Turno C",IF(F1154&gt;0.583333333333333,IF(F1154&lt;0.625,"Turno B",IF(F1154&gt;0.625694444444444,IF(F1154&lt;0.8125,"Turno A",IF(F1154&gt;0.875,IF(F1154&lt;0.936805555555556,"Turno C",IF(F1154&gt;0.9375,IF(F1154&lt;0.979166666666667,"Turno B",""),"")),"")),"")),"")),"")),""))</f>
        <v>Turno B</v>
      </c>
      <c r="L1154" s="91">
        <f t="shared" si="17"/>
        <v>0.3125</v>
      </c>
    </row>
    <row r="1155" spans="1:12" s="40" customFormat="1">
      <c r="A1155">
        <v>12677439</v>
      </c>
      <c r="B1155" t="s">
        <v>34</v>
      </c>
      <c r="C1155" t="s">
        <v>32</v>
      </c>
      <c r="D1155" t="s">
        <v>33</v>
      </c>
      <c r="E1155" t="s">
        <v>1438</v>
      </c>
      <c r="F1155" s="78">
        <v>0.60815972222222225</v>
      </c>
      <c r="G1155" t="s">
        <v>1405</v>
      </c>
      <c r="H1155" t="s">
        <v>1335</v>
      </c>
      <c r="I1155" s="88" t="str">
        <f>VLOOKUP(A1155,Base!A:B,2,0)</f>
        <v>12.677.439-7</v>
      </c>
      <c r="J1155" s="99" t="str">
        <f>VLOOKUP(A1155,Base!A:F,6,0)</f>
        <v>ANDRES RAUL  AEDO  MUÑOZ</v>
      </c>
      <c r="K1155" s="89" t="str">
        <f>IFERROR(IF(VLOOKUP(I1155,Ingreso!K:P,6,0)=0,"Sin turtno ing",VLOOKUP(I1155,Ingreso!K:P,6,0)),IF(F1155&gt;0.25,IF(F1155&lt;0.311805555555556,"Turno A",IF(F1155&gt;0.3125,IF(F1155&lt;0.354166666666667,"Turno C",IF(F1155&gt;0.583333333333333,IF(F1155&lt;0.625,"Turno B",IF(F1155&gt;0.625694444444444,IF(F1155&lt;0.8125,"Turno A",IF(F1155&gt;0.875,IF(F1155&lt;0.936805555555556,"Turno C",IF(F1155&gt;0.9375,IF(F1155&lt;0.979166666666667,"Turno B",""),"")),"")),"")),"")),"")),""))</f>
        <v>Turno B</v>
      </c>
      <c r="L1155" s="91">
        <f t="shared" ref="L1155:L1218" si="18">VLOOKUP(K1155,$S$3:$T$7,2,0)</f>
        <v>0.3125</v>
      </c>
    </row>
    <row r="1156" spans="1:12" s="40" customFormat="1">
      <c r="A1156">
        <v>12677439</v>
      </c>
      <c r="B1156" t="s">
        <v>34</v>
      </c>
      <c r="C1156" t="s">
        <v>32</v>
      </c>
      <c r="D1156" t="s">
        <v>33</v>
      </c>
      <c r="E1156" t="s">
        <v>1439</v>
      </c>
      <c r="F1156" s="78">
        <v>0.94158564814814805</v>
      </c>
      <c r="G1156" t="s">
        <v>1406</v>
      </c>
      <c r="H1156" t="s">
        <v>1336</v>
      </c>
      <c r="I1156" s="88" t="str">
        <f>VLOOKUP(A1156,Base!A:B,2,0)</f>
        <v>12.677.439-7</v>
      </c>
      <c r="J1156" s="99" t="str">
        <f>VLOOKUP(A1156,Base!A:F,6,0)</f>
        <v>ANDRES RAUL  AEDO  MUÑOZ</v>
      </c>
      <c r="K1156" s="89" t="str">
        <f>IFERROR(IF(VLOOKUP(I1156,Ingreso!K:P,6,0)=0,"Sin turtno ing",VLOOKUP(I1156,Ingreso!K:P,6,0)),IF(F1156&gt;0.25,IF(F1156&lt;0.311805555555556,"Turno A",IF(F1156&gt;0.3125,IF(F1156&lt;0.354166666666667,"Turno C",IF(F1156&gt;0.583333333333333,IF(F1156&lt;0.625,"Turno B",IF(F1156&gt;0.625694444444444,IF(F1156&lt;0.8125,"Turno A",IF(F1156&gt;0.875,IF(F1156&lt;0.936805555555556,"Turno C",IF(F1156&gt;0.9375,IF(F1156&lt;0.979166666666667,"Turno B",""),"")),"")),"")),"")),"")),""))</f>
        <v>Turno B</v>
      </c>
      <c r="L1156" s="91">
        <f t="shared" si="18"/>
        <v>0.3125</v>
      </c>
    </row>
    <row r="1157" spans="1:12" s="40" customFormat="1">
      <c r="A1157">
        <v>12677439</v>
      </c>
      <c r="B1157" t="s">
        <v>34</v>
      </c>
      <c r="C1157" t="s">
        <v>32</v>
      </c>
      <c r="D1157" t="s">
        <v>33</v>
      </c>
      <c r="E1157" t="s">
        <v>1439</v>
      </c>
      <c r="F1157" s="78">
        <v>0.61208333333333331</v>
      </c>
      <c r="G1157" t="s">
        <v>1405</v>
      </c>
      <c r="H1157" t="s">
        <v>1335</v>
      </c>
      <c r="I1157" s="88" t="str">
        <f>VLOOKUP(A1157,Base!A:B,2,0)</f>
        <v>12.677.439-7</v>
      </c>
      <c r="J1157" s="99" t="str">
        <f>VLOOKUP(A1157,Base!A:F,6,0)</f>
        <v>ANDRES RAUL  AEDO  MUÑOZ</v>
      </c>
      <c r="K1157" s="89" t="str">
        <f>IFERROR(IF(VLOOKUP(I1157,Ingreso!K:P,6,0)=0,"Sin turtno ing",VLOOKUP(I1157,Ingreso!K:P,6,0)),IF(F1157&gt;0.25,IF(F1157&lt;0.311805555555556,"Turno A",IF(F1157&gt;0.3125,IF(F1157&lt;0.354166666666667,"Turno C",IF(F1157&gt;0.583333333333333,IF(F1157&lt;0.625,"Turno B",IF(F1157&gt;0.625694444444444,IF(F1157&lt;0.8125,"Turno A",IF(F1157&gt;0.875,IF(F1157&lt;0.936805555555556,"Turno C",IF(F1157&gt;0.9375,IF(F1157&lt;0.979166666666667,"Turno B",""),"")),"")),"")),"")),"")),""))</f>
        <v>Turno B</v>
      </c>
      <c r="L1157" s="91">
        <f t="shared" si="18"/>
        <v>0.3125</v>
      </c>
    </row>
    <row r="1158" spans="1:12" s="40" customFormat="1">
      <c r="A1158">
        <v>12688280</v>
      </c>
      <c r="B1158" t="s">
        <v>903</v>
      </c>
      <c r="C1158" t="s">
        <v>700</v>
      </c>
      <c r="D1158" t="s">
        <v>61</v>
      </c>
      <c r="E1158" t="s">
        <v>1407</v>
      </c>
      <c r="F1158" s="78">
        <v>0</v>
      </c>
      <c r="G1158"/>
      <c r="H1158"/>
      <c r="I1158" s="88" t="str">
        <f>VLOOKUP(A1158,Base!A:B,2,0)</f>
        <v>12.688.280-7</v>
      </c>
      <c r="J1158" s="99" t="str">
        <f>VLOOKUP(A1158,Base!A:F,6,0)</f>
        <v>VERONICA ANDREA  RIVERA  VARGAS</v>
      </c>
      <c r="K1158" s="89" t="str">
        <f>IFERROR(IF(VLOOKUP(I1158,Ingreso!K:P,6,0)=0,"Sin turtno ing",VLOOKUP(I1158,Ingreso!K:P,6,0)),IF(F1158&gt;0.25,IF(F1158&lt;0.311805555555556,"Turno A",IF(F1158&gt;0.3125,IF(F1158&lt;0.354166666666667,"Turno C",IF(F1158&gt;0.583333333333333,IF(F1158&lt;0.625,"Turno B",IF(F1158&gt;0.625694444444444,IF(F1158&lt;0.8125,"Turno A",IF(F1158&gt;0.875,IF(F1158&lt;0.936805555555556,"Turno C",IF(F1158&gt;0.9375,IF(F1158&lt;0.979166666666667,"Turno B",""),"")),"")),"")),"")),"")),""))</f>
        <v/>
      </c>
      <c r="L1158" s="91" t="e">
        <f t="shared" si="18"/>
        <v>#N/A</v>
      </c>
    </row>
    <row r="1159" spans="1:12" s="40" customFormat="1">
      <c r="A1159">
        <v>12690098</v>
      </c>
      <c r="B1159" t="s">
        <v>640</v>
      </c>
      <c r="C1159" t="s">
        <v>634</v>
      </c>
      <c r="D1159" t="s">
        <v>639</v>
      </c>
      <c r="E1159" t="s">
        <v>1440</v>
      </c>
      <c r="F1159" s="78">
        <v>0.32817129629629632</v>
      </c>
      <c r="G1159" t="s">
        <v>1406</v>
      </c>
      <c r="H1159" t="s">
        <v>1336</v>
      </c>
      <c r="I1159" s="88" t="str">
        <f>VLOOKUP(A1159,Base!A:B,2,0)</f>
        <v>12.690.098-8</v>
      </c>
      <c r="J1159" s="99" t="str">
        <f>VLOOKUP(A1159,Base!A:F,6,0)</f>
        <v>RODRIGO  MORALES  OLGUIN</v>
      </c>
      <c r="K1159" s="89" t="str">
        <f>IFERROR(IF(VLOOKUP(I1159,Ingreso!K:P,6,0)=0,"Sin turtno ing",VLOOKUP(I1159,Ingreso!K:P,6,0)),IF(F1159&gt;0.25,IF(F1159&lt;0.311805555555556,"Turno A",IF(F1159&gt;0.3125,IF(F1159&lt;0.354166666666667,"Turno C",IF(F1159&gt;0.583333333333333,IF(F1159&lt;0.625,"Turno B",IF(F1159&gt;0.625694444444444,IF(F1159&lt;0.8125,"Turno A",IF(F1159&gt;0.875,IF(F1159&lt;0.936805555555556,"Turno C",IF(F1159&gt;0.9375,IF(F1159&lt;0.979166666666667,"Turno B",""),"")),"")),"")),"")),"")),""))</f>
        <v>Turno C</v>
      </c>
      <c r="L1159" s="91">
        <f t="shared" si="18"/>
        <v>0.375</v>
      </c>
    </row>
    <row r="1160" spans="1:12" s="40" customFormat="1">
      <c r="A1160">
        <v>12690098</v>
      </c>
      <c r="B1160" t="s">
        <v>640</v>
      </c>
      <c r="C1160" t="s">
        <v>634</v>
      </c>
      <c r="D1160" t="s">
        <v>639</v>
      </c>
      <c r="E1160" t="s">
        <v>1440</v>
      </c>
      <c r="F1160" s="78">
        <v>0.80901620370370375</v>
      </c>
      <c r="G1160" t="s">
        <v>1405</v>
      </c>
      <c r="H1160" t="s">
        <v>1335</v>
      </c>
      <c r="I1160" s="88" t="str">
        <f>VLOOKUP(A1160,Base!A:B,2,0)</f>
        <v>12.690.098-8</v>
      </c>
      <c r="J1160" s="99" t="str">
        <f>VLOOKUP(A1160,Base!A:F,6,0)</f>
        <v>RODRIGO  MORALES  OLGUIN</v>
      </c>
      <c r="K1160" s="89" t="str">
        <f>IFERROR(IF(VLOOKUP(I1160,Ingreso!K:P,6,0)=0,"Sin turtno ing",VLOOKUP(I1160,Ingreso!K:P,6,0)),IF(F1160&gt;0.25,IF(F1160&lt;0.311805555555556,"Turno A",IF(F1160&gt;0.3125,IF(F1160&lt;0.354166666666667,"Turno C",IF(F1160&gt;0.583333333333333,IF(F1160&lt;0.625,"Turno B",IF(F1160&gt;0.625694444444444,IF(F1160&lt;0.8125,"Turno A",IF(F1160&gt;0.875,IF(F1160&lt;0.936805555555556,"Turno C",IF(F1160&gt;0.9375,IF(F1160&lt;0.979166666666667,"Turno B",""),"")),"")),"")),"")),"")),""))</f>
        <v>Turno A</v>
      </c>
      <c r="L1160" s="91">
        <f t="shared" si="18"/>
        <v>0.3125</v>
      </c>
    </row>
    <row r="1161" spans="1:12" s="40" customFormat="1">
      <c r="A1161">
        <v>12690098</v>
      </c>
      <c r="B1161" t="s">
        <v>640</v>
      </c>
      <c r="C1161" t="s">
        <v>634</v>
      </c>
      <c r="D1161" t="s">
        <v>639</v>
      </c>
      <c r="E1161" t="s">
        <v>1441</v>
      </c>
      <c r="F1161" s="78">
        <v>0.32950231481481479</v>
      </c>
      <c r="G1161" t="s">
        <v>1406</v>
      </c>
      <c r="H1161" t="s">
        <v>1336</v>
      </c>
      <c r="I1161" s="88" t="str">
        <f>VLOOKUP(A1161,Base!A:B,2,0)</f>
        <v>12.690.098-8</v>
      </c>
      <c r="J1161" s="99" t="str">
        <f>VLOOKUP(A1161,Base!A:F,6,0)</f>
        <v>RODRIGO  MORALES  OLGUIN</v>
      </c>
      <c r="K1161" s="89" t="str">
        <f>IFERROR(IF(VLOOKUP(I1161,Ingreso!K:P,6,0)=0,"Sin turtno ing",VLOOKUP(I1161,Ingreso!K:P,6,0)),IF(F1161&gt;0.25,IF(F1161&lt;0.311805555555556,"Turno A",IF(F1161&gt;0.3125,IF(F1161&lt;0.354166666666667,"Turno C",IF(F1161&gt;0.583333333333333,IF(F1161&lt;0.625,"Turno B",IF(F1161&gt;0.625694444444444,IF(F1161&lt;0.8125,"Turno A",IF(F1161&gt;0.875,IF(F1161&lt;0.936805555555556,"Turno C",IF(F1161&gt;0.9375,IF(F1161&lt;0.979166666666667,"Turno B",""),"")),"")),"")),"")),"")),""))</f>
        <v>Turno C</v>
      </c>
      <c r="L1161" s="91">
        <f t="shared" si="18"/>
        <v>0.375</v>
      </c>
    </row>
    <row r="1162" spans="1:12" s="40" customFormat="1">
      <c r="A1162">
        <v>12690098</v>
      </c>
      <c r="B1162" t="s">
        <v>640</v>
      </c>
      <c r="C1162" t="s">
        <v>634</v>
      </c>
      <c r="D1162" t="s">
        <v>639</v>
      </c>
      <c r="E1162" t="s">
        <v>1437</v>
      </c>
      <c r="F1162" s="78">
        <v>0.9515162037037036</v>
      </c>
      <c r="G1162" t="s">
        <v>1406</v>
      </c>
      <c r="H1162" t="s">
        <v>1336</v>
      </c>
      <c r="I1162" s="88" t="str">
        <f>VLOOKUP(A1162,Base!A:B,2,0)</f>
        <v>12.690.098-8</v>
      </c>
      <c r="J1162" s="99" t="str">
        <f>VLOOKUP(A1162,Base!A:F,6,0)</f>
        <v>RODRIGO  MORALES  OLGUIN</v>
      </c>
      <c r="K1162" s="89" t="str">
        <f>IFERROR(IF(VLOOKUP(I1162,Ingreso!K:P,6,0)=0,"Sin turtno ing",VLOOKUP(I1162,Ingreso!K:P,6,0)),IF(F1162&gt;0.25,IF(F1162&lt;0.311805555555556,"Turno A",IF(F1162&gt;0.3125,IF(F1162&lt;0.354166666666667,"Turno C",IF(F1162&gt;0.583333333333333,IF(F1162&lt;0.625,"Turno B",IF(F1162&gt;0.625694444444444,IF(F1162&lt;0.8125,"Turno A",IF(F1162&gt;0.875,IF(F1162&lt;0.936805555555556,"Turno C",IF(F1162&gt;0.9375,IF(F1162&lt;0.979166666666667,"Turno B",""),"")),"")),"")),"")),"")),""))</f>
        <v>Turno B</v>
      </c>
      <c r="L1162" s="91">
        <f t="shared" si="18"/>
        <v>0.3125</v>
      </c>
    </row>
    <row r="1163" spans="1:12" s="40" customFormat="1">
      <c r="A1163">
        <v>12690098</v>
      </c>
      <c r="B1163" t="s">
        <v>640</v>
      </c>
      <c r="C1163" t="s">
        <v>634</v>
      </c>
      <c r="D1163" t="s">
        <v>639</v>
      </c>
      <c r="E1163" t="s">
        <v>1437</v>
      </c>
      <c r="F1163" s="78">
        <v>0.5305671296296296</v>
      </c>
      <c r="G1163" t="s">
        <v>1405</v>
      </c>
      <c r="H1163" t="s">
        <v>1335</v>
      </c>
      <c r="I1163" s="88" t="str">
        <f>VLOOKUP(A1163,Base!A:B,2,0)</f>
        <v>12.690.098-8</v>
      </c>
      <c r="J1163" s="99" t="str">
        <f>VLOOKUP(A1163,Base!A:F,6,0)</f>
        <v>RODRIGO  MORALES  OLGUIN</v>
      </c>
      <c r="K1163" s="89" t="str">
        <f>IFERROR(IF(VLOOKUP(I1163,Ingreso!K:P,6,0)=0,"Sin turtno ing",VLOOKUP(I1163,Ingreso!K:P,6,0)),IF(F1163&gt;0.25,IF(F1163&lt;0.311805555555556,"Turno A",IF(F1163&gt;0.3125,IF(F1163&lt;0.354166666666667,"Turno C",IF(F1163&gt;0.583333333333333,IF(F1163&lt;0.625,"Turno B",IF(F1163&gt;0.625694444444444,IF(F1163&lt;0.8125,"Turno A",IF(F1163&gt;0.875,IF(F1163&lt;0.936805555555556,"Turno C",IF(F1163&gt;0.9375,IF(F1163&lt;0.979166666666667,"Turno B",""),"")),"")),"")),"")),"")),""))</f>
        <v/>
      </c>
      <c r="L1163" s="91" t="e">
        <f t="shared" si="18"/>
        <v>#N/A</v>
      </c>
    </row>
    <row r="1164" spans="1:12" s="40" customFormat="1">
      <c r="A1164">
        <v>12690098</v>
      </c>
      <c r="B1164" t="s">
        <v>640</v>
      </c>
      <c r="C1164" t="s">
        <v>634</v>
      </c>
      <c r="D1164" t="s">
        <v>639</v>
      </c>
      <c r="E1164" t="s">
        <v>1438</v>
      </c>
      <c r="F1164" s="78">
        <v>0.95157407407407402</v>
      </c>
      <c r="G1164" t="s">
        <v>1406</v>
      </c>
      <c r="H1164" t="s">
        <v>1336</v>
      </c>
      <c r="I1164" s="88" t="str">
        <f>VLOOKUP(A1164,Base!A:B,2,0)</f>
        <v>12.690.098-8</v>
      </c>
      <c r="J1164" s="99" t="str">
        <f>VLOOKUP(A1164,Base!A:F,6,0)</f>
        <v>RODRIGO  MORALES  OLGUIN</v>
      </c>
      <c r="K1164" s="89" t="str">
        <f>IFERROR(IF(VLOOKUP(I1164,Ingreso!K:P,6,0)=0,"Sin turtno ing",VLOOKUP(I1164,Ingreso!K:P,6,0)),IF(F1164&gt;0.25,IF(F1164&lt;0.311805555555556,"Turno A",IF(F1164&gt;0.3125,IF(F1164&lt;0.354166666666667,"Turno C",IF(F1164&gt;0.583333333333333,IF(F1164&lt;0.625,"Turno B",IF(F1164&gt;0.625694444444444,IF(F1164&lt;0.8125,"Turno A",IF(F1164&gt;0.875,IF(F1164&lt;0.936805555555556,"Turno C",IF(F1164&gt;0.9375,IF(F1164&lt;0.979166666666667,"Turno B",""),"")),"")),"")),"")),"")),""))</f>
        <v>Turno B</v>
      </c>
      <c r="L1164" s="91">
        <f t="shared" si="18"/>
        <v>0.3125</v>
      </c>
    </row>
    <row r="1165" spans="1:12" s="40" customFormat="1">
      <c r="A1165">
        <v>12690098</v>
      </c>
      <c r="B1165" t="s">
        <v>640</v>
      </c>
      <c r="C1165" t="s">
        <v>634</v>
      </c>
      <c r="D1165" t="s">
        <v>639</v>
      </c>
      <c r="E1165" t="s">
        <v>1438</v>
      </c>
      <c r="F1165" s="78">
        <v>0.53281250000000002</v>
      </c>
      <c r="G1165" t="s">
        <v>1405</v>
      </c>
      <c r="H1165" t="s">
        <v>1335</v>
      </c>
      <c r="I1165" s="88" t="str">
        <f>VLOOKUP(A1165,Base!A:B,2,0)</f>
        <v>12.690.098-8</v>
      </c>
      <c r="J1165" s="99" t="str">
        <f>VLOOKUP(A1165,Base!A:F,6,0)</f>
        <v>RODRIGO  MORALES  OLGUIN</v>
      </c>
      <c r="K1165" s="89" t="str">
        <f>IFERROR(IF(VLOOKUP(I1165,Ingreso!K:P,6,0)=0,"Sin turtno ing",VLOOKUP(I1165,Ingreso!K:P,6,0)),IF(F1165&gt;0.25,IF(F1165&lt;0.311805555555556,"Turno A",IF(F1165&gt;0.3125,IF(F1165&lt;0.354166666666667,"Turno C",IF(F1165&gt;0.583333333333333,IF(F1165&lt;0.625,"Turno B",IF(F1165&gt;0.625694444444444,IF(F1165&lt;0.8125,"Turno A",IF(F1165&gt;0.875,IF(F1165&lt;0.936805555555556,"Turno C",IF(F1165&gt;0.9375,IF(F1165&lt;0.979166666666667,"Turno B",""),"")),"")),"")),"")),"")),""))</f>
        <v/>
      </c>
      <c r="L1165" s="91" t="e">
        <f t="shared" si="18"/>
        <v>#N/A</v>
      </c>
    </row>
    <row r="1166" spans="1:12" s="40" customFormat="1">
      <c r="A1166">
        <v>12690098</v>
      </c>
      <c r="B1166" t="s">
        <v>640</v>
      </c>
      <c r="C1166" t="s">
        <v>634</v>
      </c>
      <c r="D1166" t="s">
        <v>639</v>
      </c>
      <c r="E1166" t="s">
        <v>1439</v>
      </c>
      <c r="F1166" s="78">
        <v>0.79703703703703699</v>
      </c>
      <c r="G1166" t="s">
        <v>1405</v>
      </c>
      <c r="H1166" t="s">
        <v>1335</v>
      </c>
      <c r="I1166" s="88" t="str">
        <f>VLOOKUP(A1166,Base!A:B,2,0)</f>
        <v>12.690.098-8</v>
      </c>
      <c r="J1166" s="99" t="str">
        <f>VLOOKUP(A1166,Base!A:F,6,0)</f>
        <v>RODRIGO  MORALES  OLGUIN</v>
      </c>
      <c r="K1166" s="89" t="str">
        <f>IFERROR(IF(VLOOKUP(I1166,Ingreso!K:P,6,0)=0,"Sin turtno ing",VLOOKUP(I1166,Ingreso!K:P,6,0)),IF(F1166&gt;0.25,IF(F1166&lt;0.311805555555556,"Turno A",IF(F1166&gt;0.3125,IF(F1166&lt;0.354166666666667,"Turno C",IF(F1166&gt;0.583333333333333,IF(F1166&lt;0.625,"Turno B",IF(F1166&gt;0.625694444444444,IF(F1166&lt;0.8125,"Turno A",IF(F1166&gt;0.875,IF(F1166&lt;0.936805555555556,"Turno C",IF(F1166&gt;0.9375,IF(F1166&lt;0.979166666666667,"Turno B",""),"")),"")),"")),"")),"")),""))</f>
        <v>Turno A</v>
      </c>
      <c r="L1166" s="91">
        <f t="shared" si="18"/>
        <v>0.3125</v>
      </c>
    </row>
    <row r="1167" spans="1:12" s="40" customFormat="1">
      <c r="A1167">
        <v>12719073</v>
      </c>
      <c r="B1167" t="s">
        <v>1414</v>
      </c>
      <c r="C1167" t="s">
        <v>1102</v>
      </c>
      <c r="D1167" t="s">
        <v>884</v>
      </c>
      <c r="E1167" t="s">
        <v>1407</v>
      </c>
      <c r="F1167" s="78">
        <v>0</v>
      </c>
      <c r="G1167"/>
      <c r="H1167"/>
      <c r="I1167" s="88" t="str">
        <f>VLOOKUP(A1167,Base!A:B,2,0)</f>
        <v>12719073-9</v>
      </c>
      <c r="J1167" s="99" t="str">
        <f>VLOOKUP(A1167,Base!A:F,6,0)</f>
        <v>ALEX  EYZAGUIRRE  LARA</v>
      </c>
      <c r="K1167" s="89" t="str">
        <f>IFERROR(IF(VLOOKUP(I1167,Ingreso!K:P,6,0)=0,"Sin turtno ing",VLOOKUP(I1167,Ingreso!K:P,6,0)),IF(F1167&gt;0.25,IF(F1167&lt;0.311805555555556,"Turno A",IF(F1167&gt;0.3125,IF(F1167&lt;0.354166666666667,"Turno C",IF(F1167&gt;0.583333333333333,IF(F1167&lt;0.625,"Turno B",IF(F1167&gt;0.625694444444444,IF(F1167&lt;0.8125,"Turno A",IF(F1167&gt;0.875,IF(F1167&lt;0.936805555555556,"Turno C",IF(F1167&gt;0.9375,IF(F1167&lt;0.979166666666667,"Turno B",""),"")),"")),"")),"")),"")),""))</f>
        <v/>
      </c>
      <c r="L1167" s="91" t="e">
        <f t="shared" si="18"/>
        <v>#N/A</v>
      </c>
    </row>
    <row r="1168" spans="1:12" s="40" customFormat="1">
      <c r="A1168">
        <v>12740284</v>
      </c>
      <c r="B1168" t="s">
        <v>581</v>
      </c>
      <c r="C1168" t="s">
        <v>579</v>
      </c>
      <c r="D1168" t="s">
        <v>580</v>
      </c>
      <c r="E1168" t="s">
        <v>1440</v>
      </c>
      <c r="F1168" s="78">
        <v>0.32842592592592595</v>
      </c>
      <c r="G1168" t="s">
        <v>1406</v>
      </c>
      <c r="H1168" t="s">
        <v>1336</v>
      </c>
      <c r="I1168" s="88" t="str">
        <f>VLOOKUP(A1168,Base!A:B,2,0)</f>
        <v>12.740.284-1</v>
      </c>
      <c r="J1168" s="99" t="str">
        <f>VLOOKUP(A1168,Base!A:F,6,0)</f>
        <v>JUAN CARLOS  MARCHANT  RAMIREZ</v>
      </c>
      <c r="K1168" s="89" t="str">
        <f>IFERROR(IF(VLOOKUP(I1168,Ingreso!K:P,6,0)=0,"Sin turtno ing",VLOOKUP(I1168,Ingreso!K:P,6,0)),IF(F1168&gt;0.25,IF(F1168&lt;0.311805555555556,"Turno A",IF(F1168&gt;0.3125,IF(F1168&lt;0.354166666666667,"Turno C",IF(F1168&gt;0.583333333333333,IF(F1168&lt;0.625,"Turno B",IF(F1168&gt;0.625694444444444,IF(F1168&lt;0.8125,"Turno A",IF(F1168&gt;0.875,IF(F1168&lt;0.936805555555556,"Turno C",IF(F1168&gt;0.9375,IF(F1168&lt;0.979166666666667,"Turno B",""),"")),"")),"")),"")),"")),""))</f>
        <v>Turno C</v>
      </c>
      <c r="L1168" s="91">
        <f t="shared" si="18"/>
        <v>0.375</v>
      </c>
    </row>
    <row r="1169" spans="1:12" s="40" customFormat="1">
      <c r="A1169">
        <v>12740284</v>
      </c>
      <c r="B1169" t="s">
        <v>581</v>
      </c>
      <c r="C1169" t="s">
        <v>579</v>
      </c>
      <c r="D1169" t="s">
        <v>580</v>
      </c>
      <c r="E1169" t="s">
        <v>1440</v>
      </c>
      <c r="F1169" s="78">
        <v>0.92031249999999998</v>
      </c>
      <c r="G1169" t="s">
        <v>1405</v>
      </c>
      <c r="H1169" t="s">
        <v>1335</v>
      </c>
      <c r="I1169" s="88" t="str">
        <f>VLOOKUP(A1169,Base!A:B,2,0)</f>
        <v>12.740.284-1</v>
      </c>
      <c r="J1169" s="99" t="str">
        <f>VLOOKUP(A1169,Base!A:F,6,0)</f>
        <v>JUAN CARLOS  MARCHANT  RAMIREZ</v>
      </c>
      <c r="K1169" s="89" t="str">
        <f>IFERROR(IF(VLOOKUP(I1169,Ingreso!K:P,6,0)=0,"Sin turtno ing",VLOOKUP(I1169,Ingreso!K:P,6,0)),IF(F1169&gt;0.25,IF(F1169&lt;0.311805555555556,"Turno A",IF(F1169&gt;0.3125,IF(F1169&lt;0.354166666666667,"Turno C",IF(F1169&gt;0.583333333333333,IF(F1169&lt;0.625,"Turno B",IF(F1169&gt;0.625694444444444,IF(F1169&lt;0.8125,"Turno A",IF(F1169&gt;0.875,IF(F1169&lt;0.936805555555556,"Turno C",IF(F1169&gt;0.9375,IF(F1169&lt;0.979166666666667,"Turno B",""),"")),"")),"")),"")),"")),""))</f>
        <v>Turno C</v>
      </c>
      <c r="L1169" s="91">
        <f t="shared" si="18"/>
        <v>0.375</v>
      </c>
    </row>
    <row r="1170" spans="1:12" s="40" customFormat="1">
      <c r="A1170">
        <v>12740284</v>
      </c>
      <c r="B1170" t="s">
        <v>581</v>
      </c>
      <c r="C1170" t="s">
        <v>579</v>
      </c>
      <c r="D1170" t="s">
        <v>580</v>
      </c>
      <c r="E1170" t="s">
        <v>1441</v>
      </c>
      <c r="F1170" s="78">
        <v>0.33206018518518515</v>
      </c>
      <c r="G1170" t="s">
        <v>1406</v>
      </c>
      <c r="H1170" t="s">
        <v>1336</v>
      </c>
      <c r="I1170" s="88" t="str">
        <f>VLOOKUP(A1170,Base!A:B,2,0)</f>
        <v>12.740.284-1</v>
      </c>
      <c r="J1170" s="99" t="str">
        <f>VLOOKUP(A1170,Base!A:F,6,0)</f>
        <v>JUAN CARLOS  MARCHANT  RAMIREZ</v>
      </c>
      <c r="K1170" s="89" t="str">
        <f>IFERROR(IF(VLOOKUP(I1170,Ingreso!K:P,6,0)=0,"Sin turtno ing",VLOOKUP(I1170,Ingreso!K:P,6,0)),IF(F1170&gt;0.25,IF(F1170&lt;0.311805555555556,"Turno A",IF(F1170&gt;0.3125,IF(F1170&lt;0.354166666666667,"Turno C",IF(F1170&gt;0.583333333333333,IF(F1170&lt;0.625,"Turno B",IF(F1170&gt;0.625694444444444,IF(F1170&lt;0.8125,"Turno A",IF(F1170&gt;0.875,IF(F1170&lt;0.936805555555556,"Turno C",IF(F1170&gt;0.9375,IF(F1170&lt;0.979166666666667,"Turno B",""),"")),"")),"")),"")),"")),""))</f>
        <v>Turno C</v>
      </c>
      <c r="L1170" s="91">
        <f t="shared" si="18"/>
        <v>0.375</v>
      </c>
    </row>
    <row r="1171" spans="1:12" s="40" customFormat="1">
      <c r="A1171">
        <v>12740284</v>
      </c>
      <c r="B1171" t="s">
        <v>581</v>
      </c>
      <c r="C1171" t="s">
        <v>579</v>
      </c>
      <c r="D1171" t="s">
        <v>580</v>
      </c>
      <c r="E1171" t="s">
        <v>1437</v>
      </c>
      <c r="F1171" s="78">
        <v>0.91858796296296286</v>
      </c>
      <c r="G1171" t="s">
        <v>1405</v>
      </c>
      <c r="H1171" t="s">
        <v>1335</v>
      </c>
      <c r="I1171" s="88" t="str">
        <f>VLOOKUP(A1171,Base!A:B,2,0)</f>
        <v>12.740.284-1</v>
      </c>
      <c r="J1171" s="99" t="str">
        <f>VLOOKUP(A1171,Base!A:F,6,0)</f>
        <v>JUAN CARLOS  MARCHANT  RAMIREZ</v>
      </c>
      <c r="K1171" s="89" t="str">
        <f>IFERROR(IF(VLOOKUP(I1171,Ingreso!K:P,6,0)=0,"Sin turtno ing",VLOOKUP(I1171,Ingreso!K:P,6,0)),IF(F1171&gt;0.25,IF(F1171&lt;0.311805555555556,"Turno A",IF(F1171&gt;0.3125,IF(F1171&lt;0.354166666666667,"Turno C",IF(F1171&gt;0.583333333333333,IF(F1171&lt;0.625,"Turno B",IF(F1171&gt;0.625694444444444,IF(F1171&lt;0.8125,"Turno A",IF(F1171&gt;0.875,IF(F1171&lt;0.936805555555556,"Turno C",IF(F1171&gt;0.9375,IF(F1171&lt;0.979166666666667,"Turno B",""),"")),"")),"")),"")),"")),""))</f>
        <v>Turno C</v>
      </c>
      <c r="L1171" s="91">
        <f t="shared" si="18"/>
        <v>0.375</v>
      </c>
    </row>
    <row r="1172" spans="1:12" s="40" customFormat="1">
      <c r="A1172">
        <v>12740284</v>
      </c>
      <c r="B1172" t="s">
        <v>581</v>
      </c>
      <c r="C1172" t="s">
        <v>579</v>
      </c>
      <c r="D1172" t="s">
        <v>580</v>
      </c>
      <c r="E1172" t="s">
        <v>1438</v>
      </c>
      <c r="F1172" s="78">
        <v>0.32616898148148149</v>
      </c>
      <c r="G1172" t="s">
        <v>1406</v>
      </c>
      <c r="H1172" t="s">
        <v>1336</v>
      </c>
      <c r="I1172" s="88" t="str">
        <f>VLOOKUP(A1172,Base!A:B,2,0)</f>
        <v>12.740.284-1</v>
      </c>
      <c r="J1172" s="99" t="str">
        <f>VLOOKUP(A1172,Base!A:F,6,0)</f>
        <v>JUAN CARLOS  MARCHANT  RAMIREZ</v>
      </c>
      <c r="K1172" s="89" t="str">
        <f>IFERROR(IF(VLOOKUP(I1172,Ingreso!K:P,6,0)=0,"Sin turtno ing",VLOOKUP(I1172,Ingreso!K:P,6,0)),IF(F1172&gt;0.25,IF(F1172&lt;0.311805555555556,"Turno A",IF(F1172&gt;0.3125,IF(F1172&lt;0.354166666666667,"Turno C",IF(F1172&gt;0.583333333333333,IF(F1172&lt;0.625,"Turno B",IF(F1172&gt;0.625694444444444,IF(F1172&lt;0.8125,"Turno A",IF(F1172&gt;0.875,IF(F1172&lt;0.936805555555556,"Turno C",IF(F1172&gt;0.9375,IF(F1172&lt;0.979166666666667,"Turno B",""),"")),"")),"")),"")),"")),""))</f>
        <v>Turno C</v>
      </c>
      <c r="L1172" s="91">
        <f t="shared" si="18"/>
        <v>0.375</v>
      </c>
    </row>
    <row r="1173" spans="1:12" s="40" customFormat="1">
      <c r="A1173">
        <v>12740284</v>
      </c>
      <c r="B1173" t="s">
        <v>581</v>
      </c>
      <c r="C1173" t="s">
        <v>579</v>
      </c>
      <c r="D1173" t="s">
        <v>580</v>
      </c>
      <c r="E1173" t="s">
        <v>1439</v>
      </c>
      <c r="F1173" s="78">
        <v>0.91809027777777785</v>
      </c>
      <c r="G1173" t="s">
        <v>1405</v>
      </c>
      <c r="H1173" t="s">
        <v>1335</v>
      </c>
      <c r="I1173" s="88" t="str">
        <f>VLOOKUP(A1173,Base!A:B,2,0)</f>
        <v>12.740.284-1</v>
      </c>
      <c r="J1173" s="99" t="str">
        <f>VLOOKUP(A1173,Base!A:F,6,0)</f>
        <v>JUAN CARLOS  MARCHANT  RAMIREZ</v>
      </c>
      <c r="K1173" s="89" t="str">
        <f>IFERROR(IF(VLOOKUP(I1173,Ingreso!K:P,6,0)=0,"Sin turtno ing",VLOOKUP(I1173,Ingreso!K:P,6,0)),IF(F1173&gt;0.25,IF(F1173&lt;0.311805555555556,"Turno A",IF(F1173&gt;0.3125,IF(F1173&lt;0.354166666666667,"Turno C",IF(F1173&gt;0.583333333333333,IF(F1173&lt;0.625,"Turno B",IF(F1173&gt;0.625694444444444,IF(F1173&lt;0.8125,"Turno A",IF(F1173&gt;0.875,IF(F1173&lt;0.936805555555556,"Turno C",IF(F1173&gt;0.9375,IF(F1173&lt;0.979166666666667,"Turno B",""),"")),"")),"")),"")),"")),""))</f>
        <v>Turno C</v>
      </c>
      <c r="L1173" s="91">
        <f t="shared" si="18"/>
        <v>0.375</v>
      </c>
    </row>
    <row r="1174" spans="1:12" s="40" customFormat="1">
      <c r="A1174">
        <v>12828475</v>
      </c>
      <c r="B1174" t="s">
        <v>693</v>
      </c>
      <c r="C1174" t="s">
        <v>687</v>
      </c>
      <c r="D1174" t="s">
        <v>179</v>
      </c>
      <c r="E1174" t="s">
        <v>1440</v>
      </c>
      <c r="F1174" s="78">
        <v>0.35667824074074073</v>
      </c>
      <c r="G1174" t="s">
        <v>1405</v>
      </c>
      <c r="H1174" t="s">
        <v>1335</v>
      </c>
      <c r="I1174" s="88" t="str">
        <f>VLOOKUP(A1174,Base!A:B,2,0)</f>
        <v>12.828.475-3</v>
      </c>
      <c r="J1174" s="99" t="str">
        <f>VLOOKUP(A1174,Base!A:F,6,0)</f>
        <v>ELSON GONZALO  NARVAI  DIAZ</v>
      </c>
      <c r="K1174" s="89" t="str">
        <f>IFERROR(IF(VLOOKUP(I1174,Ingreso!K:P,6,0)=0,"Sin turtno ing",VLOOKUP(I1174,Ingreso!K:P,6,0)),IF(F1174&gt;0.25,IF(F1174&lt;0.311805555555556,"Turno A",IF(F1174&gt;0.3125,IF(F1174&lt;0.354166666666667,"Turno C",IF(F1174&gt;0.583333333333333,IF(F1174&lt;0.625,"Turno B",IF(F1174&gt;0.625694444444444,IF(F1174&lt;0.8125,"Turno A",IF(F1174&gt;0.875,IF(F1174&lt;0.936805555555556,"Turno C",IF(F1174&gt;0.9375,IF(F1174&lt;0.979166666666667,"Turno B",""),"")),"")),"")),"")),"")),""))</f>
        <v>Sin turtno ing</v>
      </c>
      <c r="L1174" s="91" t="e">
        <f t="shared" si="18"/>
        <v>#N/A</v>
      </c>
    </row>
    <row r="1175" spans="1:12" s="40" customFormat="1">
      <c r="A1175">
        <v>12828475</v>
      </c>
      <c r="B1175" t="s">
        <v>693</v>
      </c>
      <c r="C1175" t="s">
        <v>687</v>
      </c>
      <c r="D1175" t="s">
        <v>179</v>
      </c>
      <c r="E1175" t="s">
        <v>1441</v>
      </c>
      <c r="F1175" s="78">
        <v>0.62266203703703704</v>
      </c>
      <c r="G1175" t="s">
        <v>1406</v>
      </c>
      <c r="H1175" t="s">
        <v>1336</v>
      </c>
      <c r="I1175" s="88" t="str">
        <f>VLOOKUP(A1175,Base!A:B,2,0)</f>
        <v>12.828.475-3</v>
      </c>
      <c r="J1175" s="99" t="str">
        <f>VLOOKUP(A1175,Base!A:F,6,0)</f>
        <v>ELSON GONZALO  NARVAI  DIAZ</v>
      </c>
      <c r="K1175" s="89" t="str">
        <f>IFERROR(IF(VLOOKUP(I1175,Ingreso!K:P,6,0)=0,"Sin turtno ing",VLOOKUP(I1175,Ingreso!K:P,6,0)),IF(F1175&gt;0.25,IF(F1175&lt;0.311805555555556,"Turno A",IF(F1175&gt;0.3125,IF(F1175&lt;0.354166666666667,"Turno C",IF(F1175&gt;0.583333333333333,IF(F1175&lt;0.625,"Turno B",IF(F1175&gt;0.625694444444444,IF(F1175&lt;0.8125,"Turno A",IF(F1175&gt;0.875,IF(F1175&lt;0.936805555555556,"Turno C",IF(F1175&gt;0.9375,IF(F1175&lt;0.979166666666667,"Turno B",""),"")),"")),"")),"")),"")),""))</f>
        <v>Sin turtno ing</v>
      </c>
      <c r="L1175" s="91" t="e">
        <f t="shared" si="18"/>
        <v>#N/A</v>
      </c>
    </row>
    <row r="1176" spans="1:12" s="40" customFormat="1">
      <c r="A1176">
        <v>12828475</v>
      </c>
      <c r="B1176" t="s">
        <v>693</v>
      </c>
      <c r="C1176" t="s">
        <v>687</v>
      </c>
      <c r="D1176" t="s">
        <v>179</v>
      </c>
      <c r="E1176" t="s">
        <v>1441</v>
      </c>
      <c r="F1176" s="78">
        <v>0.37611111111111112</v>
      </c>
      <c r="G1176" t="s">
        <v>1405</v>
      </c>
      <c r="H1176" t="s">
        <v>1335</v>
      </c>
      <c r="I1176" s="88" t="str">
        <f>VLOOKUP(A1176,Base!A:B,2,0)</f>
        <v>12.828.475-3</v>
      </c>
      <c r="J1176" s="99" t="str">
        <f>VLOOKUP(A1176,Base!A:F,6,0)</f>
        <v>ELSON GONZALO  NARVAI  DIAZ</v>
      </c>
      <c r="K1176" s="89" t="str">
        <f>IFERROR(IF(VLOOKUP(I1176,Ingreso!K:P,6,0)=0,"Sin turtno ing",VLOOKUP(I1176,Ingreso!K:P,6,0)),IF(F1176&gt;0.25,IF(F1176&lt;0.311805555555556,"Turno A",IF(F1176&gt;0.3125,IF(F1176&lt;0.354166666666667,"Turno C",IF(F1176&gt;0.583333333333333,IF(F1176&lt;0.625,"Turno B",IF(F1176&gt;0.625694444444444,IF(F1176&lt;0.8125,"Turno A",IF(F1176&gt;0.875,IF(F1176&lt;0.936805555555556,"Turno C",IF(F1176&gt;0.9375,IF(F1176&lt;0.979166666666667,"Turno B",""),"")),"")),"")),"")),"")),""))</f>
        <v>Sin turtno ing</v>
      </c>
      <c r="L1176" s="91" t="e">
        <f t="shared" si="18"/>
        <v>#N/A</v>
      </c>
    </row>
    <row r="1177" spans="1:12" s="40" customFormat="1">
      <c r="A1177">
        <v>12828475</v>
      </c>
      <c r="B1177" t="s">
        <v>693</v>
      </c>
      <c r="C1177" t="s">
        <v>687</v>
      </c>
      <c r="D1177" t="s">
        <v>179</v>
      </c>
      <c r="E1177" t="s">
        <v>1438</v>
      </c>
      <c r="F1177" s="78">
        <v>0.73100694444444436</v>
      </c>
      <c r="G1177" t="s">
        <v>1406</v>
      </c>
      <c r="H1177" t="s">
        <v>1336</v>
      </c>
      <c r="I1177" s="88" t="str">
        <f>VLOOKUP(A1177,Base!A:B,2,0)</f>
        <v>12.828.475-3</v>
      </c>
      <c r="J1177" s="99" t="str">
        <f>VLOOKUP(A1177,Base!A:F,6,0)</f>
        <v>ELSON GONZALO  NARVAI  DIAZ</v>
      </c>
      <c r="K1177" s="89" t="str">
        <f>IFERROR(IF(VLOOKUP(I1177,Ingreso!K:P,6,0)=0,"Sin turtno ing",VLOOKUP(I1177,Ingreso!K:P,6,0)),IF(F1177&gt;0.25,IF(F1177&lt;0.311805555555556,"Turno A",IF(F1177&gt;0.3125,IF(F1177&lt;0.354166666666667,"Turno C",IF(F1177&gt;0.583333333333333,IF(F1177&lt;0.625,"Turno B",IF(F1177&gt;0.625694444444444,IF(F1177&lt;0.8125,"Turno A",IF(F1177&gt;0.875,IF(F1177&lt;0.936805555555556,"Turno C",IF(F1177&gt;0.9375,IF(F1177&lt;0.979166666666667,"Turno B",""),"")),"")),"")),"")),"")),""))</f>
        <v>Sin turtno ing</v>
      </c>
      <c r="L1177" s="91" t="e">
        <f t="shared" si="18"/>
        <v>#N/A</v>
      </c>
    </row>
    <row r="1178" spans="1:12" s="40" customFormat="1">
      <c r="A1178">
        <v>12828475</v>
      </c>
      <c r="B1178" t="s">
        <v>693</v>
      </c>
      <c r="C1178" t="s">
        <v>687</v>
      </c>
      <c r="D1178" t="s">
        <v>179</v>
      </c>
      <c r="E1178" t="s">
        <v>1438</v>
      </c>
      <c r="F1178" s="78">
        <v>0.29017361111111112</v>
      </c>
      <c r="G1178" t="s">
        <v>1405</v>
      </c>
      <c r="H1178" t="s">
        <v>1335</v>
      </c>
      <c r="I1178" s="88" t="str">
        <f>VLOOKUP(A1178,Base!A:B,2,0)</f>
        <v>12.828.475-3</v>
      </c>
      <c r="J1178" s="99" t="str">
        <f>VLOOKUP(A1178,Base!A:F,6,0)</f>
        <v>ELSON GONZALO  NARVAI  DIAZ</v>
      </c>
      <c r="K1178" s="89" t="str">
        <f>IFERROR(IF(VLOOKUP(I1178,Ingreso!K:P,6,0)=0,"Sin turtno ing",VLOOKUP(I1178,Ingreso!K:P,6,0)),IF(F1178&gt;0.25,IF(F1178&lt;0.311805555555556,"Turno A",IF(F1178&gt;0.3125,IF(F1178&lt;0.354166666666667,"Turno C",IF(F1178&gt;0.583333333333333,IF(F1178&lt;0.625,"Turno B",IF(F1178&gt;0.625694444444444,IF(F1178&lt;0.8125,"Turno A",IF(F1178&gt;0.875,IF(F1178&lt;0.936805555555556,"Turno C",IF(F1178&gt;0.9375,IF(F1178&lt;0.979166666666667,"Turno B",""),"")),"")),"")),"")),"")),""))</f>
        <v>Sin turtno ing</v>
      </c>
      <c r="L1178" s="91" t="e">
        <f t="shared" si="18"/>
        <v>#N/A</v>
      </c>
    </row>
    <row r="1179" spans="1:12" s="40" customFormat="1">
      <c r="A1179">
        <v>12828475</v>
      </c>
      <c r="B1179" t="s">
        <v>693</v>
      </c>
      <c r="C1179" t="s">
        <v>687</v>
      </c>
      <c r="D1179" t="s">
        <v>179</v>
      </c>
      <c r="E1179" t="s">
        <v>1439</v>
      </c>
      <c r="F1179" s="78">
        <v>0.72202546296296299</v>
      </c>
      <c r="G1179" t="s">
        <v>1406</v>
      </c>
      <c r="H1179" t="s">
        <v>1336</v>
      </c>
      <c r="I1179" s="88" t="str">
        <f>VLOOKUP(A1179,Base!A:B,2,0)</f>
        <v>12.828.475-3</v>
      </c>
      <c r="J1179" s="99" t="str">
        <f>VLOOKUP(A1179,Base!A:F,6,0)</f>
        <v>ELSON GONZALO  NARVAI  DIAZ</v>
      </c>
      <c r="K1179" s="89" t="str">
        <f>IFERROR(IF(VLOOKUP(I1179,Ingreso!K:P,6,0)=0,"Sin turtno ing",VLOOKUP(I1179,Ingreso!K:P,6,0)),IF(F1179&gt;0.25,IF(F1179&lt;0.311805555555556,"Turno A",IF(F1179&gt;0.3125,IF(F1179&lt;0.354166666666667,"Turno C",IF(F1179&gt;0.583333333333333,IF(F1179&lt;0.625,"Turno B",IF(F1179&gt;0.625694444444444,IF(F1179&lt;0.8125,"Turno A",IF(F1179&gt;0.875,IF(F1179&lt;0.936805555555556,"Turno C",IF(F1179&gt;0.9375,IF(F1179&lt;0.979166666666667,"Turno B",""),"")),"")),"")),"")),"")),""))</f>
        <v>Sin turtno ing</v>
      </c>
      <c r="L1179" s="91" t="e">
        <f t="shared" si="18"/>
        <v>#N/A</v>
      </c>
    </row>
    <row r="1180" spans="1:12" s="40" customFormat="1">
      <c r="A1180">
        <v>12828475</v>
      </c>
      <c r="B1180" t="s">
        <v>693</v>
      </c>
      <c r="C1180" t="s">
        <v>687</v>
      </c>
      <c r="D1180" t="s">
        <v>179</v>
      </c>
      <c r="E1180" t="s">
        <v>1439</v>
      </c>
      <c r="F1180" s="78">
        <v>0.28879629629629627</v>
      </c>
      <c r="G1180" t="s">
        <v>1405</v>
      </c>
      <c r="H1180" t="s">
        <v>1335</v>
      </c>
      <c r="I1180" s="88" t="str">
        <f>VLOOKUP(A1180,Base!A:B,2,0)</f>
        <v>12.828.475-3</v>
      </c>
      <c r="J1180" s="99" t="str">
        <f>VLOOKUP(A1180,Base!A:F,6,0)</f>
        <v>ELSON GONZALO  NARVAI  DIAZ</v>
      </c>
      <c r="K1180" s="89" t="str">
        <f>IFERROR(IF(VLOOKUP(I1180,Ingreso!K:P,6,0)=0,"Sin turtno ing",VLOOKUP(I1180,Ingreso!K:P,6,0)),IF(F1180&gt;0.25,IF(F1180&lt;0.311805555555556,"Turno A",IF(F1180&gt;0.3125,IF(F1180&lt;0.354166666666667,"Turno C",IF(F1180&gt;0.583333333333333,IF(F1180&lt;0.625,"Turno B",IF(F1180&gt;0.625694444444444,IF(F1180&lt;0.8125,"Turno A",IF(F1180&gt;0.875,IF(F1180&lt;0.936805555555556,"Turno C",IF(F1180&gt;0.9375,IF(F1180&lt;0.979166666666667,"Turno B",""),"")),"")),"")),"")),"")),""))</f>
        <v>Sin turtno ing</v>
      </c>
      <c r="L1180" s="91" t="e">
        <f t="shared" si="18"/>
        <v>#N/A</v>
      </c>
    </row>
    <row r="1181" spans="1:12" s="40" customFormat="1">
      <c r="A1181">
        <v>12896000</v>
      </c>
      <c r="B1181" t="s">
        <v>1011</v>
      </c>
      <c r="C1181" t="s">
        <v>889</v>
      </c>
      <c r="D1181" t="s">
        <v>1010</v>
      </c>
      <c r="E1181" t="s">
        <v>1440</v>
      </c>
      <c r="F1181" s="78">
        <v>0.3283564814814815</v>
      </c>
      <c r="G1181" t="s">
        <v>1406</v>
      </c>
      <c r="H1181" t="s">
        <v>1336</v>
      </c>
      <c r="I1181" s="88" t="str">
        <f>VLOOKUP(A1181,Base!A:B,2,0)</f>
        <v>12.896.000-7</v>
      </c>
      <c r="J1181" s="99" t="str">
        <f>VLOOKUP(A1181,Base!A:F,6,0)</f>
        <v>IGNACIO ANDRES  SERRANO  VEGA</v>
      </c>
      <c r="K1181" s="89" t="str">
        <f>IFERROR(IF(VLOOKUP(I1181,Ingreso!K:P,6,0)=0,"Sin turtno ing",VLOOKUP(I1181,Ingreso!K:P,6,0)),IF(F1181&gt;0.25,IF(F1181&lt;0.311805555555556,"Turno A",IF(F1181&gt;0.3125,IF(F1181&lt;0.354166666666667,"Turno C",IF(F1181&gt;0.583333333333333,IF(F1181&lt;0.625,"Turno B",IF(F1181&gt;0.625694444444444,IF(F1181&lt;0.8125,"Turno A",IF(F1181&gt;0.875,IF(F1181&lt;0.936805555555556,"Turno C",IF(F1181&gt;0.9375,IF(F1181&lt;0.979166666666667,"Turno B",""),"")),"")),"")),"")),"")),""))</f>
        <v>Turno C</v>
      </c>
      <c r="L1181" s="91">
        <f t="shared" si="18"/>
        <v>0.375</v>
      </c>
    </row>
    <row r="1182" spans="1:12" s="40" customFormat="1">
      <c r="A1182">
        <v>12896000</v>
      </c>
      <c r="B1182" t="s">
        <v>1011</v>
      </c>
      <c r="C1182" t="s">
        <v>889</v>
      </c>
      <c r="D1182" t="s">
        <v>1010</v>
      </c>
      <c r="E1182" t="s">
        <v>1440</v>
      </c>
      <c r="F1182" s="78">
        <v>0.81292824074074066</v>
      </c>
      <c r="G1182" t="s">
        <v>1405</v>
      </c>
      <c r="H1182" t="s">
        <v>1335</v>
      </c>
      <c r="I1182" s="88" t="str">
        <f>VLOOKUP(A1182,Base!A:B,2,0)</f>
        <v>12.896.000-7</v>
      </c>
      <c r="J1182" s="99" t="str">
        <f>VLOOKUP(A1182,Base!A:F,6,0)</f>
        <v>IGNACIO ANDRES  SERRANO  VEGA</v>
      </c>
      <c r="K1182" s="89" t="str">
        <f>IFERROR(IF(VLOOKUP(I1182,Ingreso!K:P,6,0)=0,"Sin turtno ing",VLOOKUP(I1182,Ingreso!K:P,6,0)),IF(F1182&gt;0.25,IF(F1182&lt;0.311805555555556,"Turno A",IF(F1182&gt;0.3125,IF(F1182&lt;0.354166666666667,"Turno C",IF(F1182&gt;0.583333333333333,IF(F1182&lt;0.625,"Turno B",IF(F1182&gt;0.625694444444444,IF(F1182&lt;0.8125,"Turno A",IF(F1182&gt;0.875,IF(F1182&lt;0.936805555555556,"Turno C",IF(F1182&gt;0.9375,IF(F1182&lt;0.979166666666667,"Turno B",""),"")),"")),"")),"")),"")),""))</f>
        <v/>
      </c>
      <c r="L1182" s="91" t="e">
        <f t="shared" si="18"/>
        <v>#N/A</v>
      </c>
    </row>
    <row r="1183" spans="1:12" s="40" customFormat="1">
      <c r="A1183">
        <v>12896000</v>
      </c>
      <c r="B1183" t="s">
        <v>1011</v>
      </c>
      <c r="C1183" t="s">
        <v>889</v>
      </c>
      <c r="D1183" t="s">
        <v>1010</v>
      </c>
      <c r="E1183" t="s">
        <v>1441</v>
      </c>
      <c r="F1183" s="78">
        <v>0.32956018518518521</v>
      </c>
      <c r="G1183" t="s">
        <v>1406</v>
      </c>
      <c r="H1183" t="s">
        <v>1336</v>
      </c>
      <c r="I1183" s="88" t="str">
        <f>VLOOKUP(A1183,Base!A:B,2,0)</f>
        <v>12.896.000-7</v>
      </c>
      <c r="J1183" s="99" t="str">
        <f>VLOOKUP(A1183,Base!A:F,6,0)</f>
        <v>IGNACIO ANDRES  SERRANO  VEGA</v>
      </c>
      <c r="K1183" s="89" t="str">
        <f>IFERROR(IF(VLOOKUP(I1183,Ingreso!K:P,6,0)=0,"Sin turtno ing",VLOOKUP(I1183,Ingreso!K:P,6,0)),IF(F1183&gt;0.25,IF(F1183&lt;0.311805555555556,"Turno A",IF(F1183&gt;0.3125,IF(F1183&lt;0.354166666666667,"Turno C",IF(F1183&gt;0.583333333333333,IF(F1183&lt;0.625,"Turno B",IF(F1183&gt;0.625694444444444,IF(F1183&lt;0.8125,"Turno A",IF(F1183&gt;0.875,IF(F1183&lt;0.936805555555556,"Turno C",IF(F1183&gt;0.9375,IF(F1183&lt;0.979166666666667,"Turno B",""),"")),"")),"")),"")),"")),""))</f>
        <v>Turno C</v>
      </c>
      <c r="L1183" s="91">
        <f t="shared" si="18"/>
        <v>0.375</v>
      </c>
    </row>
    <row r="1184" spans="1:12" s="40" customFormat="1">
      <c r="A1184">
        <v>12896000</v>
      </c>
      <c r="B1184" t="s">
        <v>1011</v>
      </c>
      <c r="C1184" t="s">
        <v>889</v>
      </c>
      <c r="D1184" t="s">
        <v>1010</v>
      </c>
      <c r="E1184" t="s">
        <v>1437</v>
      </c>
      <c r="F1184" s="78">
        <v>0.80635416666666659</v>
      </c>
      <c r="G1184" t="s">
        <v>1405</v>
      </c>
      <c r="H1184" t="s">
        <v>1335</v>
      </c>
      <c r="I1184" s="88" t="str">
        <f>VLOOKUP(A1184,Base!A:B,2,0)</f>
        <v>12.896.000-7</v>
      </c>
      <c r="J1184" s="99" t="str">
        <f>VLOOKUP(A1184,Base!A:F,6,0)</f>
        <v>IGNACIO ANDRES  SERRANO  VEGA</v>
      </c>
      <c r="K1184" s="89" t="str">
        <f>IFERROR(IF(VLOOKUP(I1184,Ingreso!K:P,6,0)=0,"Sin turtno ing",VLOOKUP(I1184,Ingreso!K:P,6,0)),IF(F1184&gt;0.25,IF(F1184&lt;0.311805555555556,"Turno A",IF(F1184&gt;0.3125,IF(F1184&lt;0.354166666666667,"Turno C",IF(F1184&gt;0.583333333333333,IF(F1184&lt;0.625,"Turno B",IF(F1184&gt;0.625694444444444,IF(F1184&lt;0.8125,"Turno A",IF(F1184&gt;0.875,IF(F1184&lt;0.936805555555556,"Turno C",IF(F1184&gt;0.9375,IF(F1184&lt;0.979166666666667,"Turno B",""),"")),"")),"")),"")),"")),""))</f>
        <v>Turno A</v>
      </c>
      <c r="L1184" s="91">
        <f t="shared" si="18"/>
        <v>0.3125</v>
      </c>
    </row>
    <row r="1185" spans="1:12" s="40" customFormat="1">
      <c r="A1185">
        <v>12896000</v>
      </c>
      <c r="B1185" t="s">
        <v>1011</v>
      </c>
      <c r="C1185" t="s">
        <v>889</v>
      </c>
      <c r="D1185" t="s">
        <v>1010</v>
      </c>
      <c r="E1185" t="s">
        <v>1438</v>
      </c>
      <c r="F1185" s="78">
        <v>0.3266087962962963</v>
      </c>
      <c r="G1185" t="s">
        <v>1406</v>
      </c>
      <c r="H1185" t="s">
        <v>1336</v>
      </c>
      <c r="I1185" s="88" t="str">
        <f>VLOOKUP(A1185,Base!A:B,2,0)</f>
        <v>12.896.000-7</v>
      </c>
      <c r="J1185" s="99" t="str">
        <f>VLOOKUP(A1185,Base!A:F,6,0)</f>
        <v>IGNACIO ANDRES  SERRANO  VEGA</v>
      </c>
      <c r="K1185" s="89" t="str">
        <f>IFERROR(IF(VLOOKUP(I1185,Ingreso!K:P,6,0)=0,"Sin turtno ing",VLOOKUP(I1185,Ingreso!K:P,6,0)),IF(F1185&gt;0.25,IF(F1185&lt;0.311805555555556,"Turno A",IF(F1185&gt;0.3125,IF(F1185&lt;0.354166666666667,"Turno C",IF(F1185&gt;0.583333333333333,IF(F1185&lt;0.625,"Turno B",IF(F1185&gt;0.625694444444444,IF(F1185&lt;0.8125,"Turno A",IF(F1185&gt;0.875,IF(F1185&lt;0.936805555555556,"Turno C",IF(F1185&gt;0.9375,IF(F1185&lt;0.979166666666667,"Turno B",""),"")),"")),"")),"")),"")),""))</f>
        <v>Turno C</v>
      </c>
      <c r="L1185" s="91">
        <f t="shared" si="18"/>
        <v>0.375</v>
      </c>
    </row>
    <row r="1186" spans="1:12" s="40" customFormat="1">
      <c r="A1186">
        <v>12896000</v>
      </c>
      <c r="B1186" t="s">
        <v>1011</v>
      </c>
      <c r="C1186" t="s">
        <v>889</v>
      </c>
      <c r="D1186" t="s">
        <v>1010</v>
      </c>
      <c r="E1186" t="s">
        <v>1438</v>
      </c>
      <c r="F1186" s="78">
        <v>0.8027777777777777</v>
      </c>
      <c r="G1186" t="s">
        <v>1405</v>
      </c>
      <c r="H1186" t="s">
        <v>1335</v>
      </c>
      <c r="I1186" s="88" t="str">
        <f>VLOOKUP(A1186,Base!A:B,2,0)</f>
        <v>12.896.000-7</v>
      </c>
      <c r="J1186" s="99" t="str">
        <f>VLOOKUP(A1186,Base!A:F,6,0)</f>
        <v>IGNACIO ANDRES  SERRANO  VEGA</v>
      </c>
      <c r="K1186" s="89" t="str">
        <f>IFERROR(IF(VLOOKUP(I1186,Ingreso!K:P,6,0)=0,"Sin turtno ing",VLOOKUP(I1186,Ingreso!K:P,6,0)),IF(F1186&gt;0.25,IF(F1186&lt;0.311805555555556,"Turno A",IF(F1186&gt;0.3125,IF(F1186&lt;0.354166666666667,"Turno C",IF(F1186&gt;0.583333333333333,IF(F1186&lt;0.625,"Turno B",IF(F1186&gt;0.625694444444444,IF(F1186&lt;0.8125,"Turno A",IF(F1186&gt;0.875,IF(F1186&lt;0.936805555555556,"Turno C",IF(F1186&gt;0.9375,IF(F1186&lt;0.979166666666667,"Turno B",""),"")),"")),"")),"")),"")),""))</f>
        <v>Turno A</v>
      </c>
      <c r="L1186" s="91">
        <f t="shared" si="18"/>
        <v>0.3125</v>
      </c>
    </row>
    <row r="1187" spans="1:12" s="40" customFormat="1">
      <c r="A1187">
        <v>12896000</v>
      </c>
      <c r="B1187" t="s">
        <v>1011</v>
      </c>
      <c r="C1187" t="s">
        <v>889</v>
      </c>
      <c r="D1187" t="s">
        <v>1010</v>
      </c>
      <c r="E1187" t="s">
        <v>1439</v>
      </c>
      <c r="F1187" s="78">
        <v>0.32581018518518517</v>
      </c>
      <c r="G1187" t="s">
        <v>1406</v>
      </c>
      <c r="H1187" t="s">
        <v>1336</v>
      </c>
      <c r="I1187" s="88" t="str">
        <f>VLOOKUP(A1187,Base!A:B,2,0)</f>
        <v>12.896.000-7</v>
      </c>
      <c r="J1187" s="99" t="str">
        <f>VLOOKUP(A1187,Base!A:F,6,0)</f>
        <v>IGNACIO ANDRES  SERRANO  VEGA</v>
      </c>
      <c r="K1187" s="89" t="str">
        <f>IFERROR(IF(VLOOKUP(I1187,Ingreso!K:P,6,0)=0,"Sin turtno ing",VLOOKUP(I1187,Ingreso!K:P,6,0)),IF(F1187&gt;0.25,IF(F1187&lt;0.311805555555556,"Turno A",IF(F1187&gt;0.3125,IF(F1187&lt;0.354166666666667,"Turno C",IF(F1187&gt;0.583333333333333,IF(F1187&lt;0.625,"Turno B",IF(F1187&gt;0.625694444444444,IF(F1187&lt;0.8125,"Turno A",IF(F1187&gt;0.875,IF(F1187&lt;0.936805555555556,"Turno C",IF(F1187&gt;0.9375,IF(F1187&lt;0.979166666666667,"Turno B",""),"")),"")),"")),"")),"")),""))</f>
        <v>Turno C</v>
      </c>
      <c r="L1187" s="91">
        <f t="shared" si="18"/>
        <v>0.375</v>
      </c>
    </row>
    <row r="1188" spans="1:12" s="40" customFormat="1">
      <c r="A1188">
        <v>12896000</v>
      </c>
      <c r="B1188" t="s">
        <v>1011</v>
      </c>
      <c r="C1188" t="s">
        <v>889</v>
      </c>
      <c r="D1188" t="s">
        <v>1010</v>
      </c>
      <c r="E1188" t="s">
        <v>1439</v>
      </c>
      <c r="F1188" s="78">
        <v>0.79841435185185183</v>
      </c>
      <c r="G1188" t="s">
        <v>1405</v>
      </c>
      <c r="H1188" t="s">
        <v>1335</v>
      </c>
      <c r="I1188" s="88" t="str">
        <f>VLOOKUP(A1188,Base!A:B,2,0)</f>
        <v>12.896.000-7</v>
      </c>
      <c r="J1188" s="99" t="str">
        <f>VLOOKUP(A1188,Base!A:F,6,0)</f>
        <v>IGNACIO ANDRES  SERRANO  VEGA</v>
      </c>
      <c r="K1188" s="89" t="str">
        <f>IFERROR(IF(VLOOKUP(I1188,Ingreso!K:P,6,0)=0,"Sin turtno ing",VLOOKUP(I1188,Ingreso!K:P,6,0)),IF(F1188&gt;0.25,IF(F1188&lt;0.311805555555556,"Turno A",IF(F1188&gt;0.3125,IF(F1188&lt;0.354166666666667,"Turno C",IF(F1188&gt;0.583333333333333,IF(F1188&lt;0.625,"Turno B",IF(F1188&gt;0.625694444444444,IF(F1188&lt;0.8125,"Turno A",IF(F1188&gt;0.875,IF(F1188&lt;0.936805555555556,"Turno C",IF(F1188&gt;0.9375,IF(F1188&lt;0.979166666666667,"Turno B",""),"")),"")),"")),"")),"")),""))</f>
        <v>Turno A</v>
      </c>
      <c r="L1188" s="91">
        <f t="shared" si="18"/>
        <v>0.3125</v>
      </c>
    </row>
    <row r="1189" spans="1:12" s="40" customFormat="1">
      <c r="A1189">
        <v>12896236</v>
      </c>
      <c r="B1189" t="s">
        <v>1415</v>
      </c>
      <c r="C1189" t="s">
        <v>1416</v>
      </c>
      <c r="D1189" t="s">
        <v>33</v>
      </c>
      <c r="E1189" t="s">
        <v>1407</v>
      </c>
      <c r="F1189" s="78">
        <v>0</v>
      </c>
      <c r="G1189"/>
      <c r="H1189"/>
      <c r="I1189" s="88" t="str">
        <f>VLOOKUP(A1189,Base!A:B,2,0)</f>
        <v>12.896.236-0</v>
      </c>
      <c r="J1189" s="99" t="str">
        <f>VLOOKUP(A1189,Base!A:F,6,0)</f>
        <v>GABRIEL   CANDIA   MUÑOZ</v>
      </c>
      <c r="K1189" s="89" t="str">
        <f>IFERROR(IF(VLOOKUP(I1189,Ingreso!K:P,6,0)=0,"Sin turtno ing",VLOOKUP(I1189,Ingreso!K:P,6,0)),IF(F1189&gt;0.25,IF(F1189&lt;0.311805555555556,"Turno A",IF(F1189&gt;0.3125,IF(F1189&lt;0.354166666666667,"Turno C",IF(F1189&gt;0.583333333333333,IF(F1189&lt;0.625,"Turno B",IF(F1189&gt;0.625694444444444,IF(F1189&lt;0.8125,"Turno A",IF(F1189&gt;0.875,IF(F1189&lt;0.936805555555556,"Turno C",IF(F1189&gt;0.9375,IF(F1189&lt;0.979166666666667,"Turno B",""),"")),"")),"")),"")),"")),""))</f>
        <v/>
      </c>
      <c r="L1189" s="91" t="e">
        <f t="shared" si="18"/>
        <v>#N/A</v>
      </c>
    </row>
    <row r="1190" spans="1:12" s="40" customFormat="1">
      <c r="A1190">
        <v>12896866</v>
      </c>
      <c r="B1190" t="s">
        <v>1015</v>
      </c>
      <c r="C1190" t="s">
        <v>352</v>
      </c>
      <c r="D1190" t="s">
        <v>352</v>
      </c>
      <c r="E1190" t="s">
        <v>1440</v>
      </c>
      <c r="F1190" s="78">
        <v>0.9506944444444444</v>
      </c>
      <c r="G1190" t="s">
        <v>1406</v>
      </c>
      <c r="H1190" t="s">
        <v>1336</v>
      </c>
      <c r="I1190" s="88" t="str">
        <f>VLOOKUP(A1190,Base!A:B,2,0)</f>
        <v>12.896.866-0</v>
      </c>
      <c r="J1190" s="99" t="str">
        <f>VLOOKUP(A1190,Base!A:F,6,0)</f>
        <v>EDDIE LUIS  SOTO  SOTO</v>
      </c>
      <c r="K1190" s="89" t="str">
        <f>IFERROR(IF(VLOOKUP(I1190,Ingreso!K:P,6,0)=0,"Sin turtno ing",VLOOKUP(I1190,Ingreso!K:P,6,0)),IF(F1190&gt;0.25,IF(F1190&lt;0.311805555555556,"Turno A",IF(F1190&gt;0.3125,IF(F1190&lt;0.354166666666667,"Turno C",IF(F1190&gt;0.583333333333333,IF(F1190&lt;0.625,"Turno B",IF(F1190&gt;0.625694444444444,IF(F1190&lt;0.8125,"Turno A",IF(F1190&gt;0.875,IF(F1190&lt;0.936805555555556,"Turno C",IF(F1190&gt;0.9375,IF(F1190&lt;0.979166666666667,"Turno B",""),"")),"")),"")),"")),"")),""))</f>
        <v>Turno B</v>
      </c>
      <c r="L1190" s="91">
        <f t="shared" si="18"/>
        <v>0.3125</v>
      </c>
    </row>
    <row r="1191" spans="1:12" s="40" customFormat="1">
      <c r="A1191">
        <v>12896866</v>
      </c>
      <c r="B1191" t="s">
        <v>1015</v>
      </c>
      <c r="C1191" t="s">
        <v>352</v>
      </c>
      <c r="D1191" t="s">
        <v>352</v>
      </c>
      <c r="E1191" t="s">
        <v>1440</v>
      </c>
      <c r="F1191" s="78">
        <v>0.60908564814814814</v>
      </c>
      <c r="G1191" t="s">
        <v>1405</v>
      </c>
      <c r="H1191" t="s">
        <v>1335</v>
      </c>
      <c r="I1191" s="88" t="str">
        <f>VLOOKUP(A1191,Base!A:B,2,0)</f>
        <v>12.896.866-0</v>
      </c>
      <c r="J1191" s="99" t="str">
        <f>VLOOKUP(A1191,Base!A:F,6,0)</f>
        <v>EDDIE LUIS  SOTO  SOTO</v>
      </c>
      <c r="K1191" s="89" t="str">
        <f>IFERROR(IF(VLOOKUP(I1191,Ingreso!K:P,6,0)=0,"Sin turtno ing",VLOOKUP(I1191,Ingreso!K:P,6,0)),IF(F1191&gt;0.25,IF(F1191&lt;0.311805555555556,"Turno A",IF(F1191&gt;0.3125,IF(F1191&lt;0.354166666666667,"Turno C",IF(F1191&gt;0.583333333333333,IF(F1191&lt;0.625,"Turno B",IF(F1191&gt;0.625694444444444,IF(F1191&lt;0.8125,"Turno A",IF(F1191&gt;0.875,IF(F1191&lt;0.936805555555556,"Turno C",IF(F1191&gt;0.9375,IF(F1191&lt;0.979166666666667,"Turno B",""),"")),"")),"")),"")),"")),""))</f>
        <v>Turno B</v>
      </c>
      <c r="L1191" s="91">
        <f t="shared" si="18"/>
        <v>0.3125</v>
      </c>
    </row>
    <row r="1192" spans="1:12" s="40" customFormat="1">
      <c r="A1192">
        <v>12896866</v>
      </c>
      <c r="B1192" t="s">
        <v>1015</v>
      </c>
      <c r="C1192" t="s">
        <v>352</v>
      </c>
      <c r="D1192" t="s">
        <v>352</v>
      </c>
      <c r="E1192" t="s">
        <v>1441</v>
      </c>
      <c r="F1192" s="78">
        <v>0.94937499999999997</v>
      </c>
      <c r="G1192" t="s">
        <v>1406</v>
      </c>
      <c r="H1192" t="s">
        <v>1336</v>
      </c>
      <c r="I1192" s="88" t="str">
        <f>VLOOKUP(A1192,Base!A:B,2,0)</f>
        <v>12.896.866-0</v>
      </c>
      <c r="J1192" s="99" t="str">
        <f>VLOOKUP(A1192,Base!A:F,6,0)</f>
        <v>EDDIE LUIS  SOTO  SOTO</v>
      </c>
      <c r="K1192" s="89" t="str">
        <f>IFERROR(IF(VLOOKUP(I1192,Ingreso!K:P,6,0)=0,"Sin turtno ing",VLOOKUP(I1192,Ingreso!K:P,6,0)),IF(F1192&gt;0.25,IF(F1192&lt;0.311805555555556,"Turno A",IF(F1192&gt;0.3125,IF(F1192&lt;0.354166666666667,"Turno C",IF(F1192&gt;0.583333333333333,IF(F1192&lt;0.625,"Turno B",IF(F1192&gt;0.625694444444444,IF(F1192&lt;0.8125,"Turno A",IF(F1192&gt;0.875,IF(F1192&lt;0.936805555555556,"Turno C",IF(F1192&gt;0.9375,IF(F1192&lt;0.979166666666667,"Turno B",""),"")),"")),"")),"")),"")),""))</f>
        <v>Turno B</v>
      </c>
      <c r="L1192" s="91">
        <f t="shared" si="18"/>
        <v>0.3125</v>
      </c>
    </row>
    <row r="1193" spans="1:12" s="40" customFormat="1">
      <c r="A1193">
        <v>12896866</v>
      </c>
      <c r="B1193" t="s">
        <v>1015</v>
      </c>
      <c r="C1193" t="s">
        <v>352</v>
      </c>
      <c r="D1193" t="s">
        <v>352</v>
      </c>
      <c r="E1193" t="s">
        <v>1441</v>
      </c>
      <c r="F1193" s="78">
        <v>0.60944444444444446</v>
      </c>
      <c r="G1193" t="s">
        <v>1405</v>
      </c>
      <c r="H1193" t="s">
        <v>1335</v>
      </c>
      <c r="I1193" s="88" t="str">
        <f>VLOOKUP(A1193,Base!A:B,2,0)</f>
        <v>12.896.866-0</v>
      </c>
      <c r="J1193" s="99" t="str">
        <f>VLOOKUP(A1193,Base!A:F,6,0)</f>
        <v>EDDIE LUIS  SOTO  SOTO</v>
      </c>
      <c r="K1193" s="89" t="str">
        <f>IFERROR(IF(VLOOKUP(I1193,Ingreso!K:P,6,0)=0,"Sin turtno ing",VLOOKUP(I1193,Ingreso!K:P,6,0)),IF(F1193&gt;0.25,IF(F1193&lt;0.311805555555556,"Turno A",IF(F1193&gt;0.3125,IF(F1193&lt;0.354166666666667,"Turno C",IF(F1193&gt;0.583333333333333,IF(F1193&lt;0.625,"Turno B",IF(F1193&gt;0.625694444444444,IF(F1193&lt;0.8125,"Turno A",IF(F1193&gt;0.875,IF(F1193&lt;0.936805555555556,"Turno C",IF(F1193&gt;0.9375,IF(F1193&lt;0.979166666666667,"Turno B",""),"")),"")),"")),"")),"")),""))</f>
        <v>Turno B</v>
      </c>
      <c r="L1193" s="91">
        <f t="shared" si="18"/>
        <v>0.3125</v>
      </c>
    </row>
    <row r="1194" spans="1:12" s="40" customFormat="1">
      <c r="A1194">
        <v>12896866</v>
      </c>
      <c r="B1194" t="s">
        <v>1015</v>
      </c>
      <c r="C1194" t="s">
        <v>352</v>
      </c>
      <c r="D1194" t="s">
        <v>352</v>
      </c>
      <c r="E1194" t="s">
        <v>1437</v>
      </c>
      <c r="F1194" s="78">
        <v>0.94800925925925927</v>
      </c>
      <c r="G1194" t="s">
        <v>1406</v>
      </c>
      <c r="H1194" t="s">
        <v>1336</v>
      </c>
      <c r="I1194" s="88" t="str">
        <f>VLOOKUP(A1194,Base!A:B,2,0)</f>
        <v>12.896.866-0</v>
      </c>
      <c r="J1194" s="99" t="str">
        <f>VLOOKUP(A1194,Base!A:F,6,0)</f>
        <v>EDDIE LUIS  SOTO  SOTO</v>
      </c>
      <c r="K1194" s="89" t="str">
        <f>IFERROR(IF(VLOOKUP(I1194,Ingreso!K:P,6,0)=0,"Sin turtno ing",VLOOKUP(I1194,Ingreso!K:P,6,0)),IF(F1194&gt;0.25,IF(F1194&lt;0.311805555555556,"Turno A",IF(F1194&gt;0.3125,IF(F1194&lt;0.354166666666667,"Turno C",IF(F1194&gt;0.583333333333333,IF(F1194&lt;0.625,"Turno B",IF(F1194&gt;0.625694444444444,IF(F1194&lt;0.8125,"Turno A",IF(F1194&gt;0.875,IF(F1194&lt;0.936805555555556,"Turno C",IF(F1194&gt;0.9375,IF(F1194&lt;0.979166666666667,"Turno B",""),"")),"")),"")),"")),"")),""))</f>
        <v>Turno B</v>
      </c>
      <c r="L1194" s="91">
        <f t="shared" si="18"/>
        <v>0.3125</v>
      </c>
    </row>
    <row r="1195" spans="1:12" s="40" customFormat="1">
      <c r="A1195">
        <v>12896866</v>
      </c>
      <c r="B1195" t="s">
        <v>1015</v>
      </c>
      <c r="C1195" t="s">
        <v>352</v>
      </c>
      <c r="D1195" t="s">
        <v>352</v>
      </c>
      <c r="E1195" t="s">
        <v>1437</v>
      </c>
      <c r="F1195" s="78">
        <v>0.60688657407407409</v>
      </c>
      <c r="G1195" t="s">
        <v>1405</v>
      </c>
      <c r="H1195" t="s">
        <v>1335</v>
      </c>
      <c r="I1195" s="88" t="str">
        <f>VLOOKUP(A1195,Base!A:B,2,0)</f>
        <v>12.896.866-0</v>
      </c>
      <c r="J1195" s="99" t="str">
        <f>VLOOKUP(A1195,Base!A:F,6,0)</f>
        <v>EDDIE LUIS  SOTO  SOTO</v>
      </c>
      <c r="K1195" s="89" t="str">
        <f>IFERROR(IF(VLOOKUP(I1195,Ingreso!K:P,6,0)=0,"Sin turtno ing",VLOOKUP(I1195,Ingreso!K:P,6,0)),IF(F1195&gt;0.25,IF(F1195&lt;0.311805555555556,"Turno A",IF(F1195&gt;0.3125,IF(F1195&lt;0.354166666666667,"Turno C",IF(F1195&gt;0.583333333333333,IF(F1195&lt;0.625,"Turno B",IF(F1195&gt;0.625694444444444,IF(F1195&lt;0.8125,"Turno A",IF(F1195&gt;0.875,IF(F1195&lt;0.936805555555556,"Turno C",IF(F1195&gt;0.9375,IF(F1195&lt;0.979166666666667,"Turno B",""),"")),"")),"")),"")),"")),""))</f>
        <v>Turno B</v>
      </c>
      <c r="L1195" s="91">
        <f t="shared" si="18"/>
        <v>0.3125</v>
      </c>
    </row>
    <row r="1196" spans="1:12" s="40" customFormat="1">
      <c r="A1196">
        <v>12896866</v>
      </c>
      <c r="B1196" t="s">
        <v>1015</v>
      </c>
      <c r="C1196" t="s">
        <v>352</v>
      </c>
      <c r="D1196" t="s">
        <v>352</v>
      </c>
      <c r="E1196" t="s">
        <v>1438</v>
      </c>
      <c r="F1196" s="78">
        <v>0.95126157407407408</v>
      </c>
      <c r="G1196" t="s">
        <v>1406</v>
      </c>
      <c r="H1196" t="s">
        <v>1336</v>
      </c>
      <c r="I1196" s="88" t="str">
        <f>VLOOKUP(A1196,Base!A:B,2,0)</f>
        <v>12.896.866-0</v>
      </c>
      <c r="J1196" s="99" t="str">
        <f>VLOOKUP(A1196,Base!A:F,6,0)</f>
        <v>EDDIE LUIS  SOTO  SOTO</v>
      </c>
      <c r="K1196" s="89" t="str">
        <f>IFERROR(IF(VLOOKUP(I1196,Ingreso!K:P,6,0)=0,"Sin turtno ing",VLOOKUP(I1196,Ingreso!K:P,6,0)),IF(F1196&gt;0.25,IF(F1196&lt;0.311805555555556,"Turno A",IF(F1196&gt;0.3125,IF(F1196&lt;0.354166666666667,"Turno C",IF(F1196&gt;0.583333333333333,IF(F1196&lt;0.625,"Turno B",IF(F1196&gt;0.625694444444444,IF(F1196&lt;0.8125,"Turno A",IF(F1196&gt;0.875,IF(F1196&lt;0.936805555555556,"Turno C",IF(F1196&gt;0.9375,IF(F1196&lt;0.979166666666667,"Turno B",""),"")),"")),"")),"")),"")),""))</f>
        <v>Turno B</v>
      </c>
      <c r="L1196" s="91">
        <f t="shared" si="18"/>
        <v>0.3125</v>
      </c>
    </row>
    <row r="1197" spans="1:12" s="40" customFormat="1">
      <c r="A1197">
        <v>12896866</v>
      </c>
      <c r="B1197" t="s">
        <v>1015</v>
      </c>
      <c r="C1197" t="s">
        <v>352</v>
      </c>
      <c r="D1197" t="s">
        <v>352</v>
      </c>
      <c r="E1197" t="s">
        <v>1438</v>
      </c>
      <c r="F1197" s="78">
        <v>0.60957175925925922</v>
      </c>
      <c r="G1197" t="s">
        <v>1405</v>
      </c>
      <c r="H1197" t="s">
        <v>1335</v>
      </c>
      <c r="I1197" s="88" t="str">
        <f>VLOOKUP(A1197,Base!A:B,2,0)</f>
        <v>12.896.866-0</v>
      </c>
      <c r="J1197" s="99" t="str">
        <f>VLOOKUP(A1197,Base!A:F,6,0)</f>
        <v>EDDIE LUIS  SOTO  SOTO</v>
      </c>
      <c r="K1197" s="89" t="str">
        <f>IFERROR(IF(VLOOKUP(I1197,Ingreso!K:P,6,0)=0,"Sin turtno ing",VLOOKUP(I1197,Ingreso!K:P,6,0)),IF(F1197&gt;0.25,IF(F1197&lt;0.311805555555556,"Turno A",IF(F1197&gt;0.3125,IF(F1197&lt;0.354166666666667,"Turno C",IF(F1197&gt;0.583333333333333,IF(F1197&lt;0.625,"Turno B",IF(F1197&gt;0.625694444444444,IF(F1197&lt;0.8125,"Turno A",IF(F1197&gt;0.875,IF(F1197&lt;0.936805555555556,"Turno C",IF(F1197&gt;0.9375,IF(F1197&lt;0.979166666666667,"Turno B",""),"")),"")),"")),"")),"")),""))</f>
        <v>Turno B</v>
      </c>
      <c r="L1197" s="91">
        <f t="shared" si="18"/>
        <v>0.3125</v>
      </c>
    </row>
    <row r="1198" spans="1:12" s="40" customFormat="1">
      <c r="A1198">
        <v>12896866</v>
      </c>
      <c r="B1198" t="s">
        <v>1015</v>
      </c>
      <c r="C1198" t="s">
        <v>352</v>
      </c>
      <c r="D1198" t="s">
        <v>352</v>
      </c>
      <c r="E1198" t="s">
        <v>1439</v>
      </c>
      <c r="F1198" s="78">
        <v>0.95053240740740741</v>
      </c>
      <c r="G1198" t="s">
        <v>1406</v>
      </c>
      <c r="H1198" t="s">
        <v>1336</v>
      </c>
      <c r="I1198" s="88" t="str">
        <f>VLOOKUP(A1198,Base!A:B,2,0)</f>
        <v>12.896.866-0</v>
      </c>
      <c r="J1198" s="99" t="str">
        <f>VLOOKUP(A1198,Base!A:F,6,0)</f>
        <v>EDDIE LUIS  SOTO  SOTO</v>
      </c>
      <c r="K1198" s="89" t="str">
        <f>IFERROR(IF(VLOOKUP(I1198,Ingreso!K:P,6,0)=0,"Sin turtno ing",VLOOKUP(I1198,Ingreso!K:P,6,0)),IF(F1198&gt;0.25,IF(F1198&lt;0.311805555555556,"Turno A",IF(F1198&gt;0.3125,IF(F1198&lt;0.354166666666667,"Turno C",IF(F1198&gt;0.583333333333333,IF(F1198&lt;0.625,"Turno B",IF(F1198&gt;0.625694444444444,IF(F1198&lt;0.8125,"Turno A",IF(F1198&gt;0.875,IF(F1198&lt;0.936805555555556,"Turno C",IF(F1198&gt;0.9375,IF(F1198&lt;0.979166666666667,"Turno B",""),"")),"")),"")),"")),"")),""))</f>
        <v>Turno B</v>
      </c>
      <c r="L1198" s="91">
        <f t="shared" si="18"/>
        <v>0.3125</v>
      </c>
    </row>
    <row r="1199" spans="1:12" s="40" customFormat="1">
      <c r="A1199">
        <v>12896866</v>
      </c>
      <c r="B1199" t="s">
        <v>1015</v>
      </c>
      <c r="C1199" t="s">
        <v>352</v>
      </c>
      <c r="D1199" t="s">
        <v>352</v>
      </c>
      <c r="E1199" t="s">
        <v>1439</v>
      </c>
      <c r="F1199" s="78">
        <v>0.60846064814814815</v>
      </c>
      <c r="G1199" t="s">
        <v>1405</v>
      </c>
      <c r="H1199" t="s">
        <v>1335</v>
      </c>
      <c r="I1199" s="88" t="str">
        <f>VLOOKUP(A1199,Base!A:B,2,0)</f>
        <v>12.896.866-0</v>
      </c>
      <c r="J1199" s="99" t="str">
        <f>VLOOKUP(A1199,Base!A:F,6,0)</f>
        <v>EDDIE LUIS  SOTO  SOTO</v>
      </c>
      <c r="K1199" s="89" t="str">
        <f>IFERROR(IF(VLOOKUP(I1199,Ingreso!K:P,6,0)=0,"Sin turtno ing",VLOOKUP(I1199,Ingreso!K:P,6,0)),IF(F1199&gt;0.25,IF(F1199&lt;0.311805555555556,"Turno A",IF(F1199&gt;0.3125,IF(F1199&lt;0.354166666666667,"Turno C",IF(F1199&gt;0.583333333333333,IF(F1199&lt;0.625,"Turno B",IF(F1199&gt;0.625694444444444,IF(F1199&lt;0.8125,"Turno A",IF(F1199&gt;0.875,IF(F1199&lt;0.936805555555556,"Turno C",IF(F1199&gt;0.9375,IF(F1199&lt;0.979166666666667,"Turno B",""),"")),"")),"")),"")),"")),""))</f>
        <v>Turno B</v>
      </c>
      <c r="L1199" s="91">
        <f t="shared" si="18"/>
        <v>0.3125</v>
      </c>
    </row>
    <row r="1200" spans="1:12" s="40" customFormat="1">
      <c r="A1200">
        <v>12897839</v>
      </c>
      <c r="B1200" t="s">
        <v>144</v>
      </c>
      <c r="C1200" t="s">
        <v>142</v>
      </c>
      <c r="D1200" t="s">
        <v>143</v>
      </c>
      <c r="E1200" t="s">
        <v>1440</v>
      </c>
      <c r="F1200" s="78">
        <v>0.94984953703703701</v>
      </c>
      <c r="G1200" t="s">
        <v>1406</v>
      </c>
      <c r="H1200" t="s">
        <v>1336</v>
      </c>
      <c r="I1200" s="88" t="str">
        <f>VLOOKUP(A1200,Base!A:B,2,0)</f>
        <v>12.897.839-9</v>
      </c>
      <c r="J1200" s="99" t="str">
        <f>VLOOKUP(A1200,Base!A:F,6,0)</f>
        <v>SOLEDAD ALEJANDRA  BECERRA  QUEZADA</v>
      </c>
      <c r="K1200" s="89" t="str">
        <f>IFERROR(IF(VLOOKUP(I1200,Ingreso!K:P,6,0)=0,"Sin turtno ing",VLOOKUP(I1200,Ingreso!K:P,6,0)),IF(F1200&gt;0.25,IF(F1200&lt;0.311805555555556,"Turno A",IF(F1200&gt;0.3125,IF(F1200&lt;0.354166666666667,"Turno C",IF(F1200&gt;0.583333333333333,IF(F1200&lt;0.625,"Turno B",IF(F1200&gt;0.625694444444444,IF(F1200&lt;0.8125,"Turno A",IF(F1200&gt;0.875,IF(F1200&lt;0.936805555555556,"Turno C",IF(F1200&gt;0.9375,IF(F1200&lt;0.979166666666667,"Turno B",""),"")),"")),"")),"")),"")),""))</f>
        <v>Turno B</v>
      </c>
      <c r="L1200" s="91">
        <f t="shared" si="18"/>
        <v>0.3125</v>
      </c>
    </row>
    <row r="1201" spans="1:12" s="40" customFormat="1">
      <c r="A1201">
        <v>12897839</v>
      </c>
      <c r="B1201" t="s">
        <v>144</v>
      </c>
      <c r="C1201" t="s">
        <v>142</v>
      </c>
      <c r="D1201" t="s">
        <v>143</v>
      </c>
      <c r="E1201" t="s">
        <v>1440</v>
      </c>
      <c r="F1201" s="78">
        <v>0.61012731481481486</v>
      </c>
      <c r="G1201" t="s">
        <v>1405</v>
      </c>
      <c r="H1201" t="s">
        <v>1335</v>
      </c>
      <c r="I1201" s="88" t="str">
        <f>VLOOKUP(A1201,Base!A:B,2,0)</f>
        <v>12.897.839-9</v>
      </c>
      <c r="J1201" s="99" t="str">
        <f>VLOOKUP(A1201,Base!A:F,6,0)</f>
        <v>SOLEDAD ALEJANDRA  BECERRA  QUEZADA</v>
      </c>
      <c r="K1201" s="89" t="str">
        <f>IFERROR(IF(VLOOKUP(I1201,Ingreso!K:P,6,0)=0,"Sin turtno ing",VLOOKUP(I1201,Ingreso!K:P,6,0)),IF(F1201&gt;0.25,IF(F1201&lt;0.311805555555556,"Turno A",IF(F1201&gt;0.3125,IF(F1201&lt;0.354166666666667,"Turno C",IF(F1201&gt;0.583333333333333,IF(F1201&lt;0.625,"Turno B",IF(F1201&gt;0.625694444444444,IF(F1201&lt;0.8125,"Turno A",IF(F1201&gt;0.875,IF(F1201&lt;0.936805555555556,"Turno C",IF(F1201&gt;0.9375,IF(F1201&lt;0.979166666666667,"Turno B",""),"")),"")),"")),"")),"")),""))</f>
        <v>Turno B</v>
      </c>
      <c r="L1201" s="91">
        <f t="shared" si="18"/>
        <v>0.3125</v>
      </c>
    </row>
    <row r="1202" spans="1:12" s="40" customFormat="1">
      <c r="A1202">
        <v>12897839</v>
      </c>
      <c r="B1202" t="s">
        <v>144</v>
      </c>
      <c r="C1202" t="s">
        <v>142</v>
      </c>
      <c r="D1202" t="s">
        <v>143</v>
      </c>
      <c r="E1202" t="s">
        <v>1441</v>
      </c>
      <c r="F1202" s="78">
        <v>0.95241898148148152</v>
      </c>
      <c r="G1202" t="s">
        <v>1406</v>
      </c>
      <c r="H1202" t="s">
        <v>1336</v>
      </c>
      <c r="I1202" s="88" t="str">
        <f>VLOOKUP(A1202,Base!A:B,2,0)</f>
        <v>12.897.839-9</v>
      </c>
      <c r="J1202" s="99" t="str">
        <f>VLOOKUP(A1202,Base!A:F,6,0)</f>
        <v>SOLEDAD ALEJANDRA  BECERRA  QUEZADA</v>
      </c>
      <c r="K1202" s="89" t="str">
        <f>IFERROR(IF(VLOOKUP(I1202,Ingreso!K:P,6,0)=0,"Sin turtno ing",VLOOKUP(I1202,Ingreso!K:P,6,0)),IF(F1202&gt;0.25,IF(F1202&lt;0.311805555555556,"Turno A",IF(F1202&gt;0.3125,IF(F1202&lt;0.354166666666667,"Turno C",IF(F1202&gt;0.583333333333333,IF(F1202&lt;0.625,"Turno B",IF(F1202&gt;0.625694444444444,IF(F1202&lt;0.8125,"Turno A",IF(F1202&gt;0.875,IF(F1202&lt;0.936805555555556,"Turno C",IF(F1202&gt;0.9375,IF(F1202&lt;0.979166666666667,"Turno B",""),"")),"")),"")),"")),"")),""))</f>
        <v>Turno B</v>
      </c>
      <c r="L1202" s="91">
        <f t="shared" si="18"/>
        <v>0.3125</v>
      </c>
    </row>
    <row r="1203" spans="1:12" s="40" customFormat="1">
      <c r="A1203">
        <v>12897839</v>
      </c>
      <c r="B1203" t="s">
        <v>144</v>
      </c>
      <c r="C1203" t="s">
        <v>142</v>
      </c>
      <c r="D1203" t="s">
        <v>143</v>
      </c>
      <c r="E1203" t="s">
        <v>1441</v>
      </c>
      <c r="F1203" s="78">
        <v>0.60697916666666674</v>
      </c>
      <c r="G1203" t="s">
        <v>1405</v>
      </c>
      <c r="H1203" t="s">
        <v>1335</v>
      </c>
      <c r="I1203" s="88" t="str">
        <f>VLOOKUP(A1203,Base!A:B,2,0)</f>
        <v>12.897.839-9</v>
      </c>
      <c r="J1203" s="99" t="str">
        <f>VLOOKUP(A1203,Base!A:F,6,0)</f>
        <v>SOLEDAD ALEJANDRA  BECERRA  QUEZADA</v>
      </c>
      <c r="K1203" s="89" t="str">
        <f>IFERROR(IF(VLOOKUP(I1203,Ingreso!K:P,6,0)=0,"Sin turtno ing",VLOOKUP(I1203,Ingreso!K:P,6,0)),IF(F1203&gt;0.25,IF(F1203&lt;0.311805555555556,"Turno A",IF(F1203&gt;0.3125,IF(F1203&lt;0.354166666666667,"Turno C",IF(F1203&gt;0.583333333333333,IF(F1203&lt;0.625,"Turno B",IF(F1203&gt;0.625694444444444,IF(F1203&lt;0.8125,"Turno A",IF(F1203&gt;0.875,IF(F1203&lt;0.936805555555556,"Turno C",IF(F1203&gt;0.9375,IF(F1203&lt;0.979166666666667,"Turno B",""),"")),"")),"")),"")),"")),""))</f>
        <v>Turno B</v>
      </c>
      <c r="L1203" s="91">
        <f t="shared" si="18"/>
        <v>0.3125</v>
      </c>
    </row>
    <row r="1204" spans="1:12" s="40" customFormat="1">
      <c r="A1204">
        <v>12897839</v>
      </c>
      <c r="B1204" t="s">
        <v>144</v>
      </c>
      <c r="C1204" t="s">
        <v>142</v>
      </c>
      <c r="D1204" t="s">
        <v>143</v>
      </c>
      <c r="E1204" t="s">
        <v>1437</v>
      </c>
      <c r="F1204" s="78">
        <v>0.95140046296296299</v>
      </c>
      <c r="G1204" t="s">
        <v>1406</v>
      </c>
      <c r="H1204" t="s">
        <v>1336</v>
      </c>
      <c r="I1204" s="88" t="str">
        <f>VLOOKUP(A1204,Base!A:B,2,0)</f>
        <v>12.897.839-9</v>
      </c>
      <c r="J1204" s="99" t="str">
        <f>VLOOKUP(A1204,Base!A:F,6,0)</f>
        <v>SOLEDAD ALEJANDRA  BECERRA  QUEZADA</v>
      </c>
      <c r="K1204" s="89" t="str">
        <f>IFERROR(IF(VLOOKUP(I1204,Ingreso!K:P,6,0)=0,"Sin turtno ing",VLOOKUP(I1204,Ingreso!K:P,6,0)),IF(F1204&gt;0.25,IF(F1204&lt;0.311805555555556,"Turno A",IF(F1204&gt;0.3125,IF(F1204&lt;0.354166666666667,"Turno C",IF(F1204&gt;0.583333333333333,IF(F1204&lt;0.625,"Turno B",IF(F1204&gt;0.625694444444444,IF(F1204&lt;0.8125,"Turno A",IF(F1204&gt;0.875,IF(F1204&lt;0.936805555555556,"Turno C",IF(F1204&gt;0.9375,IF(F1204&lt;0.979166666666667,"Turno B",""),"")),"")),"")),"")),"")),""))</f>
        <v>Turno B</v>
      </c>
      <c r="L1204" s="91">
        <f t="shared" si="18"/>
        <v>0.3125</v>
      </c>
    </row>
    <row r="1205" spans="1:12" s="40" customFormat="1">
      <c r="A1205">
        <v>12897839</v>
      </c>
      <c r="B1205" t="s">
        <v>144</v>
      </c>
      <c r="C1205" t="s">
        <v>142</v>
      </c>
      <c r="D1205" t="s">
        <v>143</v>
      </c>
      <c r="E1205" t="s">
        <v>1437</v>
      </c>
      <c r="F1205" s="78">
        <v>0.60484953703703703</v>
      </c>
      <c r="G1205" t="s">
        <v>1405</v>
      </c>
      <c r="H1205" t="s">
        <v>1335</v>
      </c>
      <c r="I1205" s="88" t="str">
        <f>VLOOKUP(A1205,Base!A:B,2,0)</f>
        <v>12.897.839-9</v>
      </c>
      <c r="J1205" s="99" t="str">
        <f>VLOOKUP(A1205,Base!A:F,6,0)</f>
        <v>SOLEDAD ALEJANDRA  BECERRA  QUEZADA</v>
      </c>
      <c r="K1205" s="89" t="str">
        <f>IFERROR(IF(VLOOKUP(I1205,Ingreso!K:P,6,0)=0,"Sin turtno ing",VLOOKUP(I1205,Ingreso!K:P,6,0)),IF(F1205&gt;0.25,IF(F1205&lt;0.311805555555556,"Turno A",IF(F1205&gt;0.3125,IF(F1205&lt;0.354166666666667,"Turno C",IF(F1205&gt;0.583333333333333,IF(F1205&lt;0.625,"Turno B",IF(F1205&gt;0.625694444444444,IF(F1205&lt;0.8125,"Turno A",IF(F1205&gt;0.875,IF(F1205&lt;0.936805555555556,"Turno C",IF(F1205&gt;0.9375,IF(F1205&lt;0.979166666666667,"Turno B",""),"")),"")),"")),"")),"")),""))</f>
        <v>Turno B</v>
      </c>
      <c r="L1205" s="91">
        <f t="shared" si="18"/>
        <v>0.3125</v>
      </c>
    </row>
    <row r="1206" spans="1:12" s="40" customFormat="1">
      <c r="A1206">
        <v>12897839</v>
      </c>
      <c r="B1206" t="s">
        <v>144</v>
      </c>
      <c r="C1206" t="s">
        <v>142</v>
      </c>
      <c r="D1206" t="s">
        <v>143</v>
      </c>
      <c r="E1206" t="s">
        <v>1438</v>
      </c>
      <c r="F1206" s="78">
        <v>0.95035879629629638</v>
      </c>
      <c r="G1206" t="s">
        <v>1406</v>
      </c>
      <c r="H1206" t="s">
        <v>1336</v>
      </c>
      <c r="I1206" s="88" t="str">
        <f>VLOOKUP(A1206,Base!A:B,2,0)</f>
        <v>12.897.839-9</v>
      </c>
      <c r="J1206" s="99" t="str">
        <f>VLOOKUP(A1206,Base!A:F,6,0)</f>
        <v>SOLEDAD ALEJANDRA  BECERRA  QUEZADA</v>
      </c>
      <c r="K1206" s="89" t="str">
        <f>IFERROR(IF(VLOOKUP(I1206,Ingreso!K:P,6,0)=0,"Sin turtno ing",VLOOKUP(I1206,Ingreso!K:P,6,0)),IF(F1206&gt;0.25,IF(F1206&lt;0.311805555555556,"Turno A",IF(F1206&gt;0.3125,IF(F1206&lt;0.354166666666667,"Turno C",IF(F1206&gt;0.583333333333333,IF(F1206&lt;0.625,"Turno B",IF(F1206&gt;0.625694444444444,IF(F1206&lt;0.8125,"Turno A",IF(F1206&gt;0.875,IF(F1206&lt;0.936805555555556,"Turno C",IF(F1206&gt;0.9375,IF(F1206&lt;0.979166666666667,"Turno B",""),"")),"")),"")),"")),"")),""))</f>
        <v>Turno B</v>
      </c>
      <c r="L1206" s="91">
        <f t="shared" si="18"/>
        <v>0.3125</v>
      </c>
    </row>
    <row r="1207" spans="1:12" s="40" customFormat="1">
      <c r="A1207">
        <v>12897839</v>
      </c>
      <c r="B1207" t="s">
        <v>144</v>
      </c>
      <c r="C1207" t="s">
        <v>142</v>
      </c>
      <c r="D1207" t="s">
        <v>143</v>
      </c>
      <c r="E1207" t="s">
        <v>1438</v>
      </c>
      <c r="F1207" s="78">
        <v>0.60370370370370374</v>
      </c>
      <c r="G1207" t="s">
        <v>1405</v>
      </c>
      <c r="H1207" t="s">
        <v>1335</v>
      </c>
      <c r="I1207" s="88" t="str">
        <f>VLOOKUP(A1207,Base!A:B,2,0)</f>
        <v>12.897.839-9</v>
      </c>
      <c r="J1207" s="99" t="str">
        <f>VLOOKUP(A1207,Base!A:F,6,0)</f>
        <v>SOLEDAD ALEJANDRA  BECERRA  QUEZADA</v>
      </c>
      <c r="K1207" s="89" t="str">
        <f>IFERROR(IF(VLOOKUP(I1207,Ingreso!K:P,6,0)=0,"Sin turtno ing",VLOOKUP(I1207,Ingreso!K:P,6,0)),IF(F1207&gt;0.25,IF(F1207&lt;0.311805555555556,"Turno A",IF(F1207&gt;0.3125,IF(F1207&lt;0.354166666666667,"Turno C",IF(F1207&gt;0.583333333333333,IF(F1207&lt;0.625,"Turno B",IF(F1207&gt;0.625694444444444,IF(F1207&lt;0.8125,"Turno A",IF(F1207&gt;0.875,IF(F1207&lt;0.936805555555556,"Turno C",IF(F1207&gt;0.9375,IF(F1207&lt;0.979166666666667,"Turno B",""),"")),"")),"")),"")),"")),""))</f>
        <v>Turno B</v>
      </c>
      <c r="L1207" s="91">
        <f t="shared" si="18"/>
        <v>0.3125</v>
      </c>
    </row>
    <row r="1208" spans="1:12" s="40" customFormat="1">
      <c r="A1208">
        <v>12897839</v>
      </c>
      <c r="B1208" t="s">
        <v>144</v>
      </c>
      <c r="C1208" t="s">
        <v>142</v>
      </c>
      <c r="D1208" t="s">
        <v>143</v>
      </c>
      <c r="E1208" t="s">
        <v>1439</v>
      </c>
      <c r="F1208" s="78">
        <v>0.95188657407407407</v>
      </c>
      <c r="G1208" t="s">
        <v>1406</v>
      </c>
      <c r="H1208" t="s">
        <v>1336</v>
      </c>
      <c r="I1208" s="88" t="str">
        <f>VLOOKUP(A1208,Base!A:B,2,0)</f>
        <v>12.897.839-9</v>
      </c>
      <c r="J1208" s="99" t="str">
        <f>VLOOKUP(A1208,Base!A:F,6,0)</f>
        <v>SOLEDAD ALEJANDRA  BECERRA  QUEZADA</v>
      </c>
      <c r="K1208" s="89" t="str">
        <f>IFERROR(IF(VLOOKUP(I1208,Ingreso!K:P,6,0)=0,"Sin turtno ing",VLOOKUP(I1208,Ingreso!K:P,6,0)),IF(F1208&gt;0.25,IF(F1208&lt;0.311805555555556,"Turno A",IF(F1208&gt;0.3125,IF(F1208&lt;0.354166666666667,"Turno C",IF(F1208&gt;0.583333333333333,IF(F1208&lt;0.625,"Turno B",IF(F1208&gt;0.625694444444444,IF(F1208&lt;0.8125,"Turno A",IF(F1208&gt;0.875,IF(F1208&lt;0.936805555555556,"Turno C",IF(F1208&gt;0.9375,IF(F1208&lt;0.979166666666667,"Turno B",""),"")),"")),"")),"")),"")),""))</f>
        <v>Turno B</v>
      </c>
      <c r="L1208" s="91">
        <f t="shared" si="18"/>
        <v>0.3125</v>
      </c>
    </row>
    <row r="1209" spans="1:12" s="40" customFormat="1">
      <c r="A1209">
        <v>12897839</v>
      </c>
      <c r="B1209" t="s">
        <v>144</v>
      </c>
      <c r="C1209" t="s">
        <v>142</v>
      </c>
      <c r="D1209" t="s">
        <v>143</v>
      </c>
      <c r="E1209" t="s">
        <v>1439</v>
      </c>
      <c r="F1209" s="78">
        <v>0.60962962962962963</v>
      </c>
      <c r="G1209" t="s">
        <v>1405</v>
      </c>
      <c r="H1209" t="s">
        <v>1335</v>
      </c>
      <c r="I1209" s="88" t="str">
        <f>VLOOKUP(A1209,Base!A:B,2,0)</f>
        <v>12.897.839-9</v>
      </c>
      <c r="J1209" s="99" t="str">
        <f>VLOOKUP(A1209,Base!A:F,6,0)</f>
        <v>SOLEDAD ALEJANDRA  BECERRA  QUEZADA</v>
      </c>
      <c r="K1209" s="89" t="str">
        <f>IFERROR(IF(VLOOKUP(I1209,Ingreso!K:P,6,0)=0,"Sin turtno ing",VLOOKUP(I1209,Ingreso!K:P,6,0)),IF(F1209&gt;0.25,IF(F1209&lt;0.311805555555556,"Turno A",IF(F1209&gt;0.3125,IF(F1209&lt;0.354166666666667,"Turno C",IF(F1209&gt;0.583333333333333,IF(F1209&lt;0.625,"Turno B",IF(F1209&gt;0.625694444444444,IF(F1209&lt;0.8125,"Turno A",IF(F1209&gt;0.875,IF(F1209&lt;0.936805555555556,"Turno C",IF(F1209&gt;0.9375,IF(F1209&lt;0.979166666666667,"Turno B",""),"")),"")),"")),"")),"")),""))</f>
        <v>Turno B</v>
      </c>
      <c r="L1209" s="91">
        <f t="shared" si="18"/>
        <v>0.3125</v>
      </c>
    </row>
    <row r="1210" spans="1:12" s="40" customFormat="1">
      <c r="A1210">
        <v>12898844</v>
      </c>
      <c r="B1210" t="s">
        <v>760</v>
      </c>
      <c r="C1210" t="s">
        <v>126</v>
      </c>
      <c r="D1210" t="s">
        <v>759</v>
      </c>
      <c r="E1210" t="s">
        <v>1440</v>
      </c>
      <c r="F1210" s="78">
        <v>0.7775347222222222</v>
      </c>
      <c r="G1210" t="s">
        <v>1406</v>
      </c>
      <c r="H1210" t="s">
        <v>1336</v>
      </c>
      <c r="I1210" s="88" t="str">
        <f>VLOOKUP(A1210,Base!A:B,2,0)</f>
        <v>12.898.844-0</v>
      </c>
      <c r="J1210" s="99" t="str">
        <f>VLOOKUP(A1210,Base!A:F,6,0)</f>
        <v>DANIEL H.  PALMA  CLARO</v>
      </c>
      <c r="K1210" s="89" t="str">
        <f>IFERROR(IF(VLOOKUP(I1210,Ingreso!K:P,6,0)=0,"Sin turtno ing",VLOOKUP(I1210,Ingreso!K:P,6,0)),IF(F1210&gt;0.25,IF(F1210&lt;0.311805555555556,"Turno A",IF(F1210&gt;0.3125,IF(F1210&lt;0.354166666666667,"Turno C",IF(F1210&gt;0.583333333333333,IF(F1210&lt;0.625,"Turno B",IF(F1210&gt;0.625694444444444,IF(F1210&lt;0.8125,"Turno A",IF(F1210&gt;0.875,IF(F1210&lt;0.936805555555556,"Turno C",IF(F1210&gt;0.9375,IF(F1210&lt;0.979166666666667,"Turno B",""),"")),"")),"")),"")),"")),""))</f>
        <v>Turno A</v>
      </c>
      <c r="L1210" s="91">
        <f t="shared" si="18"/>
        <v>0.3125</v>
      </c>
    </row>
    <row r="1211" spans="1:12" s="40" customFormat="1">
      <c r="A1211">
        <v>12898844</v>
      </c>
      <c r="B1211" t="s">
        <v>760</v>
      </c>
      <c r="C1211" t="s">
        <v>126</v>
      </c>
      <c r="D1211" t="s">
        <v>759</v>
      </c>
      <c r="E1211" t="s">
        <v>1440</v>
      </c>
      <c r="F1211" s="78">
        <v>0.31238425925925922</v>
      </c>
      <c r="G1211" t="s">
        <v>1405</v>
      </c>
      <c r="H1211" t="s">
        <v>1335</v>
      </c>
      <c r="I1211" s="88" t="str">
        <f>VLOOKUP(A1211,Base!A:B,2,0)</f>
        <v>12.898.844-0</v>
      </c>
      <c r="J1211" s="99" t="str">
        <f>VLOOKUP(A1211,Base!A:F,6,0)</f>
        <v>DANIEL H.  PALMA  CLARO</v>
      </c>
      <c r="K1211" s="89" t="str">
        <f>IFERROR(IF(VLOOKUP(I1211,Ingreso!K:P,6,0)=0,"Sin turtno ing",VLOOKUP(I1211,Ingreso!K:P,6,0)),IF(F1211&gt;0.25,IF(F1211&lt;0.311805555555556,"Turno A",IF(F1211&gt;0.3125,IF(F1211&lt;0.354166666666667,"Turno C",IF(F1211&gt;0.583333333333333,IF(F1211&lt;0.625,"Turno B",IF(F1211&gt;0.625694444444444,IF(F1211&lt;0.8125,"Turno A",IF(F1211&gt;0.875,IF(F1211&lt;0.936805555555556,"Turno C",IF(F1211&gt;0.9375,IF(F1211&lt;0.979166666666667,"Turno B",""),"")),"")),"")),"")),"")),""))</f>
        <v>Turno A</v>
      </c>
      <c r="L1211" s="91">
        <f t="shared" si="18"/>
        <v>0.3125</v>
      </c>
    </row>
    <row r="1212" spans="1:12" s="40" customFormat="1">
      <c r="A1212">
        <v>12898844</v>
      </c>
      <c r="B1212" t="s">
        <v>760</v>
      </c>
      <c r="C1212" t="s">
        <v>126</v>
      </c>
      <c r="D1212" t="s">
        <v>759</v>
      </c>
      <c r="E1212" t="s">
        <v>1441</v>
      </c>
      <c r="F1212" s="78">
        <v>0.93693287037037043</v>
      </c>
      <c r="G1212" t="s">
        <v>1406</v>
      </c>
      <c r="H1212" t="s">
        <v>1336</v>
      </c>
      <c r="I1212" s="88" t="str">
        <f>VLOOKUP(A1212,Base!A:B,2,0)</f>
        <v>12.898.844-0</v>
      </c>
      <c r="J1212" s="99" t="str">
        <f>VLOOKUP(A1212,Base!A:F,6,0)</f>
        <v>DANIEL H.  PALMA  CLARO</v>
      </c>
      <c r="K1212" s="89" t="str">
        <f>IFERROR(IF(VLOOKUP(I1212,Ingreso!K:P,6,0)=0,"Sin turtno ing",VLOOKUP(I1212,Ingreso!K:P,6,0)),IF(F1212&gt;0.25,IF(F1212&lt;0.311805555555556,"Turno A",IF(F1212&gt;0.3125,IF(F1212&lt;0.354166666666667,"Turno C",IF(F1212&gt;0.583333333333333,IF(F1212&lt;0.625,"Turno B",IF(F1212&gt;0.625694444444444,IF(F1212&lt;0.8125,"Turno A",IF(F1212&gt;0.875,IF(F1212&lt;0.936805555555556,"Turno C",IF(F1212&gt;0.9375,IF(F1212&lt;0.979166666666667,"Turno B",""),"")),"")),"")),"")),"")),""))</f>
        <v>Turno A</v>
      </c>
      <c r="L1212" s="91">
        <f t="shared" si="18"/>
        <v>0.3125</v>
      </c>
    </row>
    <row r="1213" spans="1:12" s="40" customFormat="1">
      <c r="A1213">
        <v>12898844</v>
      </c>
      <c r="B1213" t="s">
        <v>760</v>
      </c>
      <c r="C1213" t="s">
        <v>126</v>
      </c>
      <c r="D1213" t="s">
        <v>759</v>
      </c>
      <c r="E1213" t="s">
        <v>1441</v>
      </c>
      <c r="F1213" s="78">
        <v>0.62601851851851853</v>
      </c>
      <c r="G1213" t="s">
        <v>1405</v>
      </c>
      <c r="H1213" t="s">
        <v>1335</v>
      </c>
      <c r="I1213" s="88" t="str">
        <f>VLOOKUP(A1213,Base!A:B,2,0)</f>
        <v>12.898.844-0</v>
      </c>
      <c r="J1213" s="99" t="str">
        <f>VLOOKUP(A1213,Base!A:F,6,0)</f>
        <v>DANIEL H.  PALMA  CLARO</v>
      </c>
      <c r="K1213" s="89" t="str">
        <f>IFERROR(IF(VLOOKUP(I1213,Ingreso!K:P,6,0)=0,"Sin turtno ing",VLOOKUP(I1213,Ingreso!K:P,6,0)),IF(F1213&gt;0.25,IF(F1213&lt;0.311805555555556,"Turno A",IF(F1213&gt;0.3125,IF(F1213&lt;0.354166666666667,"Turno C",IF(F1213&gt;0.583333333333333,IF(F1213&lt;0.625,"Turno B",IF(F1213&gt;0.625694444444444,IF(F1213&lt;0.8125,"Turno A",IF(F1213&gt;0.875,IF(F1213&lt;0.936805555555556,"Turno C",IF(F1213&gt;0.9375,IF(F1213&lt;0.979166666666667,"Turno B",""),"")),"")),"")),"")),"")),""))</f>
        <v>Turno A</v>
      </c>
      <c r="L1213" s="91">
        <f t="shared" si="18"/>
        <v>0.3125</v>
      </c>
    </row>
    <row r="1214" spans="1:12" s="40" customFormat="1">
      <c r="A1214">
        <v>12898844</v>
      </c>
      <c r="B1214" t="s">
        <v>760</v>
      </c>
      <c r="C1214" t="s">
        <v>126</v>
      </c>
      <c r="D1214" t="s">
        <v>759</v>
      </c>
      <c r="E1214" t="s">
        <v>1436</v>
      </c>
      <c r="F1214" s="78">
        <v>0.99694444444444441</v>
      </c>
      <c r="G1214" t="s">
        <v>1405</v>
      </c>
      <c r="H1214" t="s">
        <v>1335</v>
      </c>
      <c r="I1214" s="88" t="str">
        <f>VLOOKUP(A1214,Base!A:B,2,0)</f>
        <v>12.898.844-0</v>
      </c>
      <c r="J1214" s="99" t="str">
        <f>VLOOKUP(A1214,Base!A:F,6,0)</f>
        <v>DANIEL H.  PALMA  CLARO</v>
      </c>
      <c r="K1214" s="89" t="str">
        <f>IFERROR(IF(VLOOKUP(I1214,Ingreso!K:P,6,0)=0,"Sin turtno ing",VLOOKUP(I1214,Ingreso!K:P,6,0)),IF(F1214&gt;0.25,IF(F1214&lt;0.311805555555556,"Turno A",IF(F1214&gt;0.3125,IF(F1214&lt;0.354166666666667,"Turno C",IF(F1214&gt;0.583333333333333,IF(F1214&lt;0.625,"Turno B",IF(F1214&gt;0.625694444444444,IF(F1214&lt;0.8125,"Turno A",IF(F1214&gt;0.875,IF(F1214&lt;0.936805555555556,"Turno C",IF(F1214&gt;0.9375,IF(F1214&lt;0.979166666666667,"Turno B",""),"")),"")),"")),"")),"")),""))</f>
        <v>Turno A</v>
      </c>
      <c r="L1214" s="91">
        <f t="shared" si="18"/>
        <v>0.3125</v>
      </c>
    </row>
    <row r="1215" spans="1:12" s="40" customFormat="1">
      <c r="A1215">
        <v>12898844</v>
      </c>
      <c r="B1215" t="s">
        <v>760</v>
      </c>
      <c r="C1215" t="s">
        <v>126</v>
      </c>
      <c r="D1215" t="s">
        <v>759</v>
      </c>
      <c r="E1215" t="s">
        <v>1437</v>
      </c>
      <c r="F1215" s="78">
        <v>0.32591435185185186</v>
      </c>
      <c r="G1215" t="s">
        <v>1406</v>
      </c>
      <c r="H1215" t="s">
        <v>1336</v>
      </c>
      <c r="I1215" s="88" t="str">
        <f>VLOOKUP(A1215,Base!A:B,2,0)</f>
        <v>12.898.844-0</v>
      </c>
      <c r="J1215" s="99" t="str">
        <f>VLOOKUP(A1215,Base!A:F,6,0)</f>
        <v>DANIEL H.  PALMA  CLARO</v>
      </c>
      <c r="K1215" s="89" t="str">
        <f>IFERROR(IF(VLOOKUP(I1215,Ingreso!K:P,6,0)=0,"Sin turtno ing",VLOOKUP(I1215,Ingreso!K:P,6,0)),IF(F1215&gt;0.25,IF(F1215&lt;0.311805555555556,"Turno A",IF(F1215&gt;0.3125,IF(F1215&lt;0.354166666666667,"Turno C",IF(F1215&gt;0.583333333333333,IF(F1215&lt;0.625,"Turno B",IF(F1215&gt;0.625694444444444,IF(F1215&lt;0.8125,"Turno A",IF(F1215&gt;0.875,IF(F1215&lt;0.936805555555556,"Turno C",IF(F1215&gt;0.9375,IF(F1215&lt;0.979166666666667,"Turno B",""),"")),"")),"")),"")),"")),""))</f>
        <v>Turno A</v>
      </c>
      <c r="L1215" s="91">
        <f t="shared" si="18"/>
        <v>0.3125</v>
      </c>
    </row>
    <row r="1216" spans="1:12" s="40" customFormat="1">
      <c r="A1216">
        <v>12898844</v>
      </c>
      <c r="B1216" t="s">
        <v>760</v>
      </c>
      <c r="C1216" t="s">
        <v>126</v>
      </c>
      <c r="D1216" t="s">
        <v>759</v>
      </c>
      <c r="E1216" t="s">
        <v>1438</v>
      </c>
      <c r="F1216" s="78">
        <v>0.77866898148148145</v>
      </c>
      <c r="G1216" t="s">
        <v>1406</v>
      </c>
      <c r="H1216" t="s">
        <v>1336</v>
      </c>
      <c r="I1216" s="88" t="str">
        <f>VLOOKUP(A1216,Base!A:B,2,0)</f>
        <v>12.898.844-0</v>
      </c>
      <c r="J1216" s="99" t="str">
        <f>VLOOKUP(A1216,Base!A:F,6,0)</f>
        <v>DANIEL H.  PALMA  CLARO</v>
      </c>
      <c r="K1216" s="89" t="str">
        <f>IFERROR(IF(VLOOKUP(I1216,Ingreso!K:P,6,0)=0,"Sin turtno ing",VLOOKUP(I1216,Ingreso!K:P,6,0)),IF(F1216&gt;0.25,IF(F1216&lt;0.311805555555556,"Turno A",IF(F1216&gt;0.3125,IF(F1216&lt;0.354166666666667,"Turno C",IF(F1216&gt;0.583333333333333,IF(F1216&lt;0.625,"Turno B",IF(F1216&gt;0.625694444444444,IF(F1216&lt;0.8125,"Turno A",IF(F1216&gt;0.875,IF(F1216&lt;0.936805555555556,"Turno C",IF(F1216&gt;0.9375,IF(F1216&lt;0.979166666666667,"Turno B",""),"")),"")),"")),"")),"")),""))</f>
        <v>Turno A</v>
      </c>
      <c r="L1216" s="91">
        <f t="shared" si="18"/>
        <v>0.3125</v>
      </c>
    </row>
    <row r="1217" spans="1:12" s="40" customFormat="1">
      <c r="A1217">
        <v>12898844</v>
      </c>
      <c r="B1217" t="s">
        <v>760</v>
      </c>
      <c r="C1217" t="s">
        <v>126</v>
      </c>
      <c r="D1217" t="s">
        <v>759</v>
      </c>
      <c r="E1217" t="s">
        <v>1438</v>
      </c>
      <c r="F1217" s="78">
        <v>0.31321759259259258</v>
      </c>
      <c r="G1217" t="s">
        <v>1405</v>
      </c>
      <c r="H1217" t="s">
        <v>1335</v>
      </c>
      <c r="I1217" s="88" t="str">
        <f>VLOOKUP(A1217,Base!A:B,2,0)</f>
        <v>12.898.844-0</v>
      </c>
      <c r="J1217" s="99" t="str">
        <f>VLOOKUP(A1217,Base!A:F,6,0)</f>
        <v>DANIEL H.  PALMA  CLARO</v>
      </c>
      <c r="K1217" s="89" t="str">
        <f>IFERROR(IF(VLOOKUP(I1217,Ingreso!K:P,6,0)=0,"Sin turtno ing",VLOOKUP(I1217,Ingreso!K:P,6,0)),IF(F1217&gt;0.25,IF(F1217&lt;0.311805555555556,"Turno A",IF(F1217&gt;0.3125,IF(F1217&lt;0.354166666666667,"Turno C",IF(F1217&gt;0.583333333333333,IF(F1217&lt;0.625,"Turno B",IF(F1217&gt;0.625694444444444,IF(F1217&lt;0.8125,"Turno A",IF(F1217&gt;0.875,IF(F1217&lt;0.936805555555556,"Turno C",IF(F1217&gt;0.9375,IF(F1217&lt;0.979166666666667,"Turno B",""),"")),"")),"")),"")),"")),""))</f>
        <v>Turno A</v>
      </c>
      <c r="L1217" s="91">
        <f t="shared" si="18"/>
        <v>0.3125</v>
      </c>
    </row>
    <row r="1218" spans="1:12" s="40" customFormat="1">
      <c r="A1218">
        <v>12898844</v>
      </c>
      <c r="B1218" t="s">
        <v>760</v>
      </c>
      <c r="C1218" t="s">
        <v>126</v>
      </c>
      <c r="D1218" t="s">
        <v>759</v>
      </c>
      <c r="E1218" t="s">
        <v>1439</v>
      </c>
      <c r="F1218" s="78">
        <v>0.71400462962962974</v>
      </c>
      <c r="G1218" t="s">
        <v>1406</v>
      </c>
      <c r="H1218" t="s">
        <v>1336</v>
      </c>
      <c r="I1218" s="88" t="str">
        <f>VLOOKUP(A1218,Base!A:B,2,0)</f>
        <v>12.898.844-0</v>
      </c>
      <c r="J1218" s="99" t="str">
        <f>VLOOKUP(A1218,Base!A:F,6,0)</f>
        <v>DANIEL H.  PALMA  CLARO</v>
      </c>
      <c r="K1218" s="89" t="str">
        <f>IFERROR(IF(VLOOKUP(I1218,Ingreso!K:P,6,0)=0,"Sin turtno ing",VLOOKUP(I1218,Ingreso!K:P,6,0)),IF(F1218&gt;0.25,IF(F1218&lt;0.311805555555556,"Turno A",IF(F1218&gt;0.3125,IF(F1218&lt;0.354166666666667,"Turno C",IF(F1218&gt;0.583333333333333,IF(F1218&lt;0.625,"Turno B",IF(F1218&gt;0.625694444444444,IF(F1218&lt;0.8125,"Turno A",IF(F1218&gt;0.875,IF(F1218&lt;0.936805555555556,"Turno C",IF(F1218&gt;0.9375,IF(F1218&lt;0.979166666666667,"Turno B",""),"")),"")),"")),"")),"")),""))</f>
        <v>Turno A</v>
      </c>
      <c r="L1218" s="91">
        <f t="shared" si="18"/>
        <v>0.3125</v>
      </c>
    </row>
    <row r="1219" spans="1:12" s="40" customFormat="1">
      <c r="A1219">
        <v>12898844</v>
      </c>
      <c r="B1219" t="s">
        <v>760</v>
      </c>
      <c r="C1219" t="s">
        <v>126</v>
      </c>
      <c r="D1219" t="s">
        <v>759</v>
      </c>
      <c r="E1219" t="s">
        <v>1439</v>
      </c>
      <c r="F1219" s="78">
        <v>0.31494212962962964</v>
      </c>
      <c r="G1219" t="s">
        <v>1405</v>
      </c>
      <c r="H1219" t="s">
        <v>1335</v>
      </c>
      <c r="I1219" s="88" t="str">
        <f>VLOOKUP(A1219,Base!A:B,2,0)</f>
        <v>12.898.844-0</v>
      </c>
      <c r="J1219" s="99" t="str">
        <f>VLOOKUP(A1219,Base!A:F,6,0)</f>
        <v>DANIEL H.  PALMA  CLARO</v>
      </c>
      <c r="K1219" s="89" t="str">
        <f>IFERROR(IF(VLOOKUP(I1219,Ingreso!K:P,6,0)=0,"Sin turtno ing",VLOOKUP(I1219,Ingreso!K:P,6,0)),IF(F1219&gt;0.25,IF(F1219&lt;0.311805555555556,"Turno A",IF(F1219&gt;0.3125,IF(F1219&lt;0.354166666666667,"Turno C",IF(F1219&gt;0.583333333333333,IF(F1219&lt;0.625,"Turno B",IF(F1219&gt;0.625694444444444,IF(F1219&lt;0.8125,"Turno A",IF(F1219&gt;0.875,IF(F1219&lt;0.936805555555556,"Turno C",IF(F1219&gt;0.9375,IF(F1219&lt;0.979166666666667,"Turno B",""),"")),"")),"")),"")),"")),""))</f>
        <v>Turno A</v>
      </c>
      <c r="L1219" s="91">
        <f t="shared" ref="L1219:L1282" si="19">VLOOKUP(K1219,$S$3:$T$7,2,0)</f>
        <v>0.3125</v>
      </c>
    </row>
    <row r="1220" spans="1:12" s="40" customFormat="1">
      <c r="A1220">
        <v>12934132</v>
      </c>
      <c r="B1220" t="s">
        <v>707</v>
      </c>
      <c r="C1220" t="s">
        <v>705</v>
      </c>
      <c r="D1220" t="s">
        <v>706</v>
      </c>
      <c r="E1220" t="s">
        <v>1440</v>
      </c>
      <c r="F1220" s="78">
        <v>0.48033564814814816</v>
      </c>
      <c r="G1220" t="s">
        <v>1406</v>
      </c>
      <c r="H1220" t="s">
        <v>1336</v>
      </c>
      <c r="I1220" s="88" t="str">
        <f>VLOOKUP(A1220,Base!A:B,2,0)</f>
        <v>12.934.132-7</v>
      </c>
      <c r="J1220" s="99" t="str">
        <f>VLOOKUP(A1220,Base!A:F,6,0)</f>
        <v>VICTOR IVAN  NITOR  TORRES</v>
      </c>
      <c r="K1220" s="89" t="str">
        <f>IFERROR(IF(VLOOKUP(I1220,Ingreso!K:P,6,0)=0,"Sin turtno ing",VLOOKUP(I1220,Ingreso!K:P,6,0)),IF(F1220&gt;0.25,IF(F1220&lt;0.311805555555556,"Turno A",IF(F1220&gt;0.3125,IF(F1220&lt;0.354166666666667,"Turno C",IF(F1220&gt;0.583333333333333,IF(F1220&lt;0.625,"Turno B",IF(F1220&gt;0.625694444444444,IF(F1220&lt;0.8125,"Turno A",IF(F1220&gt;0.875,IF(F1220&lt;0.936805555555556,"Turno C",IF(F1220&gt;0.9375,IF(F1220&lt;0.979166666666667,"Turno B",""),"")),"")),"")),"")),"")),""))</f>
        <v/>
      </c>
      <c r="L1220" s="91" t="e">
        <f t="shared" si="19"/>
        <v>#N/A</v>
      </c>
    </row>
    <row r="1221" spans="1:12" s="40" customFormat="1">
      <c r="A1221">
        <v>12934132</v>
      </c>
      <c r="B1221" t="s">
        <v>707</v>
      </c>
      <c r="C1221" t="s">
        <v>705</v>
      </c>
      <c r="D1221" t="s">
        <v>706</v>
      </c>
      <c r="E1221" t="s">
        <v>1440</v>
      </c>
      <c r="F1221" s="78">
        <v>0.91960648148148139</v>
      </c>
      <c r="G1221" t="s">
        <v>1405</v>
      </c>
      <c r="H1221" t="s">
        <v>1335</v>
      </c>
      <c r="I1221" s="88" t="str">
        <f>VLOOKUP(A1221,Base!A:B,2,0)</f>
        <v>12.934.132-7</v>
      </c>
      <c r="J1221" s="99" t="str">
        <f>VLOOKUP(A1221,Base!A:F,6,0)</f>
        <v>VICTOR IVAN  NITOR  TORRES</v>
      </c>
      <c r="K1221" s="89" t="str">
        <f>IFERROR(IF(VLOOKUP(I1221,Ingreso!K:P,6,0)=0,"Sin turtno ing",VLOOKUP(I1221,Ingreso!K:P,6,0)),IF(F1221&gt;0.25,IF(F1221&lt;0.311805555555556,"Turno A",IF(F1221&gt;0.3125,IF(F1221&lt;0.354166666666667,"Turno C",IF(F1221&gt;0.583333333333333,IF(F1221&lt;0.625,"Turno B",IF(F1221&gt;0.625694444444444,IF(F1221&lt;0.8125,"Turno A",IF(F1221&gt;0.875,IF(F1221&lt;0.936805555555556,"Turno C",IF(F1221&gt;0.9375,IF(F1221&lt;0.979166666666667,"Turno B",""),"")),"")),"")),"")),"")),""))</f>
        <v>Turno C</v>
      </c>
      <c r="L1221" s="91">
        <f t="shared" si="19"/>
        <v>0.375</v>
      </c>
    </row>
    <row r="1222" spans="1:12" s="40" customFormat="1">
      <c r="A1222">
        <v>12934132</v>
      </c>
      <c r="B1222" t="s">
        <v>707</v>
      </c>
      <c r="C1222" t="s">
        <v>705</v>
      </c>
      <c r="D1222" t="s">
        <v>706</v>
      </c>
      <c r="E1222" t="s">
        <v>1441</v>
      </c>
      <c r="F1222" s="78">
        <v>0.46129629629629632</v>
      </c>
      <c r="G1222" t="s">
        <v>1406</v>
      </c>
      <c r="H1222" t="s">
        <v>1336</v>
      </c>
      <c r="I1222" s="88" t="str">
        <f>VLOOKUP(A1222,Base!A:B,2,0)</f>
        <v>12.934.132-7</v>
      </c>
      <c r="J1222" s="99" t="str">
        <f>VLOOKUP(A1222,Base!A:F,6,0)</f>
        <v>VICTOR IVAN  NITOR  TORRES</v>
      </c>
      <c r="K1222" s="89" t="str">
        <f>IFERROR(IF(VLOOKUP(I1222,Ingreso!K:P,6,0)=0,"Sin turtno ing",VLOOKUP(I1222,Ingreso!K:P,6,0)),IF(F1222&gt;0.25,IF(F1222&lt;0.311805555555556,"Turno A",IF(F1222&gt;0.3125,IF(F1222&lt;0.354166666666667,"Turno C",IF(F1222&gt;0.583333333333333,IF(F1222&lt;0.625,"Turno B",IF(F1222&gt;0.625694444444444,IF(F1222&lt;0.8125,"Turno A",IF(F1222&gt;0.875,IF(F1222&lt;0.936805555555556,"Turno C",IF(F1222&gt;0.9375,IF(F1222&lt;0.979166666666667,"Turno B",""),"")),"")),"")),"")),"")),""))</f>
        <v/>
      </c>
      <c r="L1222" s="91" t="e">
        <f t="shared" si="19"/>
        <v>#N/A</v>
      </c>
    </row>
    <row r="1223" spans="1:12" s="40" customFormat="1">
      <c r="A1223">
        <v>12934132</v>
      </c>
      <c r="B1223" t="s">
        <v>707</v>
      </c>
      <c r="C1223" t="s">
        <v>705</v>
      </c>
      <c r="D1223" t="s">
        <v>706</v>
      </c>
      <c r="E1223" t="s">
        <v>1437</v>
      </c>
      <c r="F1223" s="78">
        <v>0.91915509259259265</v>
      </c>
      <c r="G1223" t="s">
        <v>1405</v>
      </c>
      <c r="H1223" t="s">
        <v>1335</v>
      </c>
      <c r="I1223" s="88" t="str">
        <f>VLOOKUP(A1223,Base!A:B,2,0)</f>
        <v>12.934.132-7</v>
      </c>
      <c r="J1223" s="99" t="str">
        <f>VLOOKUP(A1223,Base!A:F,6,0)</f>
        <v>VICTOR IVAN  NITOR  TORRES</v>
      </c>
      <c r="K1223" s="89" t="str">
        <f>IFERROR(IF(VLOOKUP(I1223,Ingreso!K:P,6,0)=0,"Sin turtno ing",VLOOKUP(I1223,Ingreso!K:P,6,0)),IF(F1223&gt;0.25,IF(F1223&lt;0.311805555555556,"Turno A",IF(F1223&gt;0.3125,IF(F1223&lt;0.354166666666667,"Turno C",IF(F1223&gt;0.583333333333333,IF(F1223&lt;0.625,"Turno B",IF(F1223&gt;0.625694444444444,IF(F1223&lt;0.8125,"Turno A",IF(F1223&gt;0.875,IF(F1223&lt;0.936805555555556,"Turno C",IF(F1223&gt;0.9375,IF(F1223&lt;0.979166666666667,"Turno B",""),"")),"")),"")),"")),"")),""))</f>
        <v>Turno C</v>
      </c>
      <c r="L1223" s="91">
        <f t="shared" si="19"/>
        <v>0.375</v>
      </c>
    </row>
    <row r="1224" spans="1:12" s="40" customFormat="1">
      <c r="A1224">
        <v>12934132</v>
      </c>
      <c r="B1224" t="s">
        <v>707</v>
      </c>
      <c r="C1224" t="s">
        <v>705</v>
      </c>
      <c r="D1224" t="s">
        <v>706</v>
      </c>
      <c r="E1224" t="s">
        <v>1438</v>
      </c>
      <c r="F1224" s="78">
        <v>0.36616898148148147</v>
      </c>
      <c r="G1224" t="s">
        <v>1406</v>
      </c>
      <c r="H1224" t="s">
        <v>1336</v>
      </c>
      <c r="I1224" s="88" t="str">
        <f>VLOOKUP(A1224,Base!A:B,2,0)</f>
        <v>12.934.132-7</v>
      </c>
      <c r="J1224" s="99" t="str">
        <f>VLOOKUP(A1224,Base!A:F,6,0)</f>
        <v>VICTOR IVAN  NITOR  TORRES</v>
      </c>
      <c r="K1224" s="89" t="str">
        <f>IFERROR(IF(VLOOKUP(I1224,Ingreso!K:P,6,0)=0,"Sin turtno ing",VLOOKUP(I1224,Ingreso!K:P,6,0)),IF(F1224&gt;0.25,IF(F1224&lt;0.311805555555556,"Turno A",IF(F1224&gt;0.3125,IF(F1224&lt;0.354166666666667,"Turno C",IF(F1224&gt;0.583333333333333,IF(F1224&lt;0.625,"Turno B",IF(F1224&gt;0.625694444444444,IF(F1224&lt;0.8125,"Turno A",IF(F1224&gt;0.875,IF(F1224&lt;0.936805555555556,"Turno C",IF(F1224&gt;0.9375,IF(F1224&lt;0.979166666666667,"Turno B",""),"")),"")),"")),"")),"")),""))</f>
        <v/>
      </c>
      <c r="L1224" s="91" t="e">
        <f t="shared" si="19"/>
        <v>#N/A</v>
      </c>
    </row>
    <row r="1225" spans="1:12" s="40" customFormat="1">
      <c r="A1225">
        <v>12934132</v>
      </c>
      <c r="B1225" t="s">
        <v>707</v>
      </c>
      <c r="C1225" t="s">
        <v>705</v>
      </c>
      <c r="D1225" t="s">
        <v>706</v>
      </c>
      <c r="E1225" t="s">
        <v>1439</v>
      </c>
      <c r="F1225" s="78">
        <v>0.93054398148148154</v>
      </c>
      <c r="G1225" t="s">
        <v>1405</v>
      </c>
      <c r="H1225" t="s">
        <v>1335</v>
      </c>
      <c r="I1225" s="88" t="str">
        <f>VLOOKUP(A1225,Base!A:B,2,0)</f>
        <v>12.934.132-7</v>
      </c>
      <c r="J1225" s="99" t="str">
        <f>VLOOKUP(A1225,Base!A:F,6,0)</f>
        <v>VICTOR IVAN  NITOR  TORRES</v>
      </c>
      <c r="K1225" s="89" t="str">
        <f>IFERROR(IF(VLOOKUP(I1225,Ingreso!K:P,6,0)=0,"Sin turtno ing",VLOOKUP(I1225,Ingreso!K:P,6,0)),IF(F1225&gt;0.25,IF(F1225&lt;0.311805555555556,"Turno A",IF(F1225&gt;0.3125,IF(F1225&lt;0.354166666666667,"Turno C",IF(F1225&gt;0.583333333333333,IF(F1225&lt;0.625,"Turno B",IF(F1225&gt;0.625694444444444,IF(F1225&lt;0.8125,"Turno A",IF(F1225&gt;0.875,IF(F1225&lt;0.936805555555556,"Turno C",IF(F1225&gt;0.9375,IF(F1225&lt;0.979166666666667,"Turno B",""),"")),"")),"")),"")),"")),""))</f>
        <v>Turno C</v>
      </c>
      <c r="L1225" s="91">
        <f t="shared" si="19"/>
        <v>0.375</v>
      </c>
    </row>
    <row r="1226" spans="1:12" s="40" customFormat="1">
      <c r="A1226">
        <v>13045231</v>
      </c>
      <c r="B1226" t="s">
        <v>1098</v>
      </c>
      <c r="C1226" t="s">
        <v>90</v>
      </c>
      <c r="D1226" t="s">
        <v>48</v>
      </c>
      <c r="E1226" t="s">
        <v>1440</v>
      </c>
      <c r="F1226" s="78">
        <v>0.94665509259259262</v>
      </c>
      <c r="G1226" t="s">
        <v>1406</v>
      </c>
      <c r="H1226" t="s">
        <v>1336</v>
      </c>
      <c r="I1226" s="88" t="str">
        <f>VLOOKUP(A1226,Base!A:B,2,0)</f>
        <v>13.045.231-0</v>
      </c>
      <c r="J1226" s="99" t="str">
        <f>VLOOKUP(A1226,Base!A:F,6,0)</f>
        <v>FELIPE  ARANCIBIA  SILVA</v>
      </c>
      <c r="K1226" s="89" t="str">
        <f>IFERROR(IF(VLOOKUP(I1226,Ingreso!K:P,6,0)=0,"Sin turtno ing",VLOOKUP(I1226,Ingreso!K:P,6,0)),IF(F1226&gt;0.25,IF(F1226&lt;0.311805555555556,"Turno A",IF(F1226&gt;0.3125,IF(F1226&lt;0.354166666666667,"Turno C",IF(F1226&gt;0.583333333333333,IF(F1226&lt;0.625,"Turno B",IF(F1226&gt;0.625694444444444,IF(F1226&lt;0.8125,"Turno A",IF(F1226&gt;0.875,IF(F1226&lt;0.936805555555556,"Turno C",IF(F1226&gt;0.9375,IF(F1226&lt;0.979166666666667,"Turno B",""),"")),"")),"")),"")),"")),""))</f>
        <v>Turno C</v>
      </c>
      <c r="L1226" s="91">
        <f t="shared" si="19"/>
        <v>0.375</v>
      </c>
    </row>
    <row r="1227" spans="1:12" s="40" customFormat="1">
      <c r="A1227">
        <v>13045231</v>
      </c>
      <c r="B1227" t="s">
        <v>1098</v>
      </c>
      <c r="C1227" t="s">
        <v>90</v>
      </c>
      <c r="D1227" t="s">
        <v>48</v>
      </c>
      <c r="E1227" t="s">
        <v>1440</v>
      </c>
      <c r="F1227" s="78">
        <v>0.4975</v>
      </c>
      <c r="G1227" t="s">
        <v>1405</v>
      </c>
      <c r="H1227" t="s">
        <v>1335</v>
      </c>
      <c r="I1227" s="88" t="str">
        <f>VLOOKUP(A1227,Base!A:B,2,0)</f>
        <v>13.045.231-0</v>
      </c>
      <c r="J1227" s="99" t="str">
        <f>VLOOKUP(A1227,Base!A:F,6,0)</f>
        <v>FELIPE  ARANCIBIA  SILVA</v>
      </c>
      <c r="K1227" s="89" t="str">
        <f>IFERROR(IF(VLOOKUP(I1227,Ingreso!K:P,6,0)=0,"Sin turtno ing",VLOOKUP(I1227,Ingreso!K:P,6,0)),IF(F1227&gt;0.25,IF(F1227&lt;0.311805555555556,"Turno A",IF(F1227&gt;0.3125,IF(F1227&lt;0.354166666666667,"Turno C",IF(F1227&gt;0.583333333333333,IF(F1227&lt;0.625,"Turno B",IF(F1227&gt;0.625694444444444,IF(F1227&lt;0.8125,"Turno A",IF(F1227&gt;0.875,IF(F1227&lt;0.936805555555556,"Turno C",IF(F1227&gt;0.9375,IF(F1227&lt;0.979166666666667,"Turno B",""),"")),"")),"")),"")),"")),""))</f>
        <v>Turno C</v>
      </c>
      <c r="L1227" s="91">
        <f t="shared" si="19"/>
        <v>0.375</v>
      </c>
    </row>
    <row r="1228" spans="1:12" s="40" customFormat="1">
      <c r="A1228">
        <v>13045231</v>
      </c>
      <c r="B1228" t="s">
        <v>1098</v>
      </c>
      <c r="C1228" t="s">
        <v>90</v>
      </c>
      <c r="D1228" t="s">
        <v>48</v>
      </c>
      <c r="E1228" t="s">
        <v>1441</v>
      </c>
      <c r="F1228" s="78">
        <v>0.9512152777777777</v>
      </c>
      <c r="G1228" t="s">
        <v>1406</v>
      </c>
      <c r="H1228" t="s">
        <v>1336</v>
      </c>
      <c r="I1228" s="88" t="str">
        <f>VLOOKUP(A1228,Base!A:B,2,0)</f>
        <v>13.045.231-0</v>
      </c>
      <c r="J1228" s="99" t="str">
        <f>VLOOKUP(A1228,Base!A:F,6,0)</f>
        <v>FELIPE  ARANCIBIA  SILVA</v>
      </c>
      <c r="K1228" s="89" t="str">
        <f>IFERROR(IF(VLOOKUP(I1228,Ingreso!K:P,6,0)=0,"Sin turtno ing",VLOOKUP(I1228,Ingreso!K:P,6,0)),IF(F1228&gt;0.25,IF(F1228&lt;0.311805555555556,"Turno A",IF(F1228&gt;0.3125,IF(F1228&lt;0.354166666666667,"Turno C",IF(F1228&gt;0.583333333333333,IF(F1228&lt;0.625,"Turno B",IF(F1228&gt;0.625694444444444,IF(F1228&lt;0.8125,"Turno A",IF(F1228&gt;0.875,IF(F1228&lt;0.936805555555556,"Turno C",IF(F1228&gt;0.9375,IF(F1228&lt;0.979166666666667,"Turno B",""),"")),"")),"")),"")),"")),""))</f>
        <v>Turno C</v>
      </c>
      <c r="L1228" s="91">
        <f t="shared" si="19"/>
        <v>0.375</v>
      </c>
    </row>
    <row r="1229" spans="1:12" s="40" customFormat="1">
      <c r="A1229">
        <v>13045231</v>
      </c>
      <c r="B1229" t="s">
        <v>1098</v>
      </c>
      <c r="C1229" t="s">
        <v>90</v>
      </c>
      <c r="D1229" t="s">
        <v>48</v>
      </c>
      <c r="E1229" t="s">
        <v>1441</v>
      </c>
      <c r="F1229" s="78">
        <v>0.50449074074074074</v>
      </c>
      <c r="G1229" t="s">
        <v>1405</v>
      </c>
      <c r="H1229" t="s">
        <v>1335</v>
      </c>
      <c r="I1229" s="88" t="str">
        <f>VLOOKUP(A1229,Base!A:B,2,0)</f>
        <v>13.045.231-0</v>
      </c>
      <c r="J1229" s="99" t="str">
        <f>VLOOKUP(A1229,Base!A:F,6,0)</f>
        <v>FELIPE  ARANCIBIA  SILVA</v>
      </c>
      <c r="K1229" s="89" t="str">
        <f>IFERROR(IF(VLOOKUP(I1229,Ingreso!K:P,6,0)=0,"Sin turtno ing",VLOOKUP(I1229,Ingreso!K:P,6,0)),IF(F1229&gt;0.25,IF(F1229&lt;0.311805555555556,"Turno A",IF(F1229&gt;0.3125,IF(F1229&lt;0.354166666666667,"Turno C",IF(F1229&gt;0.583333333333333,IF(F1229&lt;0.625,"Turno B",IF(F1229&gt;0.625694444444444,IF(F1229&lt;0.8125,"Turno A",IF(F1229&gt;0.875,IF(F1229&lt;0.936805555555556,"Turno C",IF(F1229&gt;0.9375,IF(F1229&lt;0.979166666666667,"Turno B",""),"")),"")),"")),"")),"")),""))</f>
        <v>Turno C</v>
      </c>
      <c r="L1229" s="91">
        <f t="shared" si="19"/>
        <v>0.375</v>
      </c>
    </row>
    <row r="1230" spans="1:12" s="40" customFormat="1">
      <c r="A1230">
        <v>13045231</v>
      </c>
      <c r="B1230" t="s">
        <v>1098</v>
      </c>
      <c r="C1230" t="s">
        <v>90</v>
      </c>
      <c r="D1230" t="s">
        <v>48</v>
      </c>
      <c r="E1230" t="s">
        <v>1437</v>
      </c>
      <c r="F1230" s="78">
        <v>0.94626157407407396</v>
      </c>
      <c r="G1230" t="s">
        <v>1406</v>
      </c>
      <c r="H1230" t="s">
        <v>1336</v>
      </c>
      <c r="I1230" s="88" t="str">
        <f>VLOOKUP(A1230,Base!A:B,2,0)</f>
        <v>13.045.231-0</v>
      </c>
      <c r="J1230" s="99" t="str">
        <f>VLOOKUP(A1230,Base!A:F,6,0)</f>
        <v>FELIPE  ARANCIBIA  SILVA</v>
      </c>
      <c r="K1230" s="89" t="str">
        <f>IFERROR(IF(VLOOKUP(I1230,Ingreso!K:P,6,0)=0,"Sin turtno ing",VLOOKUP(I1230,Ingreso!K:P,6,0)),IF(F1230&gt;0.25,IF(F1230&lt;0.311805555555556,"Turno A",IF(F1230&gt;0.3125,IF(F1230&lt;0.354166666666667,"Turno C",IF(F1230&gt;0.583333333333333,IF(F1230&lt;0.625,"Turno B",IF(F1230&gt;0.625694444444444,IF(F1230&lt;0.8125,"Turno A",IF(F1230&gt;0.875,IF(F1230&lt;0.936805555555556,"Turno C",IF(F1230&gt;0.9375,IF(F1230&lt;0.979166666666667,"Turno B",""),"")),"")),"")),"")),"")),""))</f>
        <v>Turno C</v>
      </c>
      <c r="L1230" s="91">
        <f t="shared" si="19"/>
        <v>0.375</v>
      </c>
    </row>
    <row r="1231" spans="1:12" s="40" customFormat="1">
      <c r="A1231">
        <v>13045231</v>
      </c>
      <c r="B1231" t="s">
        <v>1098</v>
      </c>
      <c r="C1231" t="s">
        <v>90</v>
      </c>
      <c r="D1231" t="s">
        <v>48</v>
      </c>
      <c r="E1231" t="s">
        <v>1437</v>
      </c>
      <c r="F1231" s="78">
        <v>0.50442129629629628</v>
      </c>
      <c r="G1231" t="s">
        <v>1405</v>
      </c>
      <c r="H1231" t="s">
        <v>1335</v>
      </c>
      <c r="I1231" s="88" t="str">
        <f>VLOOKUP(A1231,Base!A:B,2,0)</f>
        <v>13.045.231-0</v>
      </c>
      <c r="J1231" s="99" t="str">
        <f>VLOOKUP(A1231,Base!A:F,6,0)</f>
        <v>FELIPE  ARANCIBIA  SILVA</v>
      </c>
      <c r="K1231" s="89" t="str">
        <f>IFERROR(IF(VLOOKUP(I1231,Ingreso!K:P,6,0)=0,"Sin turtno ing",VLOOKUP(I1231,Ingreso!K:P,6,0)),IF(F1231&gt;0.25,IF(F1231&lt;0.311805555555556,"Turno A",IF(F1231&gt;0.3125,IF(F1231&lt;0.354166666666667,"Turno C",IF(F1231&gt;0.583333333333333,IF(F1231&lt;0.625,"Turno B",IF(F1231&gt;0.625694444444444,IF(F1231&lt;0.8125,"Turno A",IF(F1231&gt;0.875,IF(F1231&lt;0.936805555555556,"Turno C",IF(F1231&gt;0.9375,IF(F1231&lt;0.979166666666667,"Turno B",""),"")),"")),"")),"")),"")),""))</f>
        <v>Turno C</v>
      </c>
      <c r="L1231" s="91">
        <f t="shared" si="19"/>
        <v>0.375</v>
      </c>
    </row>
    <row r="1232" spans="1:12" s="40" customFormat="1">
      <c r="A1232">
        <v>13045231</v>
      </c>
      <c r="B1232" t="s">
        <v>1098</v>
      </c>
      <c r="C1232" t="s">
        <v>90</v>
      </c>
      <c r="D1232" t="s">
        <v>48</v>
      </c>
      <c r="E1232" t="s">
        <v>1438</v>
      </c>
      <c r="F1232" s="78">
        <v>0.94796296296296301</v>
      </c>
      <c r="G1232" t="s">
        <v>1406</v>
      </c>
      <c r="H1232" t="s">
        <v>1336</v>
      </c>
      <c r="I1232" s="88" t="str">
        <f>VLOOKUP(A1232,Base!A:B,2,0)</f>
        <v>13.045.231-0</v>
      </c>
      <c r="J1232" s="99" t="str">
        <f>VLOOKUP(A1232,Base!A:F,6,0)</f>
        <v>FELIPE  ARANCIBIA  SILVA</v>
      </c>
      <c r="K1232" s="89" t="str">
        <f>IFERROR(IF(VLOOKUP(I1232,Ingreso!K:P,6,0)=0,"Sin turtno ing",VLOOKUP(I1232,Ingreso!K:P,6,0)),IF(F1232&gt;0.25,IF(F1232&lt;0.311805555555556,"Turno A",IF(F1232&gt;0.3125,IF(F1232&lt;0.354166666666667,"Turno C",IF(F1232&gt;0.583333333333333,IF(F1232&lt;0.625,"Turno B",IF(F1232&gt;0.625694444444444,IF(F1232&lt;0.8125,"Turno A",IF(F1232&gt;0.875,IF(F1232&lt;0.936805555555556,"Turno C",IF(F1232&gt;0.9375,IF(F1232&lt;0.979166666666667,"Turno B",""),"")),"")),"")),"")),"")),""))</f>
        <v>Turno C</v>
      </c>
      <c r="L1232" s="91">
        <f t="shared" si="19"/>
        <v>0.375</v>
      </c>
    </row>
    <row r="1233" spans="1:12" s="40" customFormat="1">
      <c r="A1233">
        <v>13045231</v>
      </c>
      <c r="B1233" t="s">
        <v>1098</v>
      </c>
      <c r="C1233" t="s">
        <v>90</v>
      </c>
      <c r="D1233" t="s">
        <v>48</v>
      </c>
      <c r="E1233" t="s">
        <v>1438</v>
      </c>
      <c r="F1233" s="78">
        <v>0.50398148148148147</v>
      </c>
      <c r="G1233" t="s">
        <v>1405</v>
      </c>
      <c r="H1233" t="s">
        <v>1335</v>
      </c>
      <c r="I1233" s="88" t="str">
        <f>VLOOKUP(A1233,Base!A:B,2,0)</f>
        <v>13.045.231-0</v>
      </c>
      <c r="J1233" s="99" t="str">
        <f>VLOOKUP(A1233,Base!A:F,6,0)</f>
        <v>FELIPE  ARANCIBIA  SILVA</v>
      </c>
      <c r="K1233" s="89" t="str">
        <f>IFERROR(IF(VLOOKUP(I1233,Ingreso!K:P,6,0)=0,"Sin turtno ing",VLOOKUP(I1233,Ingreso!K:P,6,0)),IF(F1233&gt;0.25,IF(F1233&lt;0.311805555555556,"Turno A",IF(F1233&gt;0.3125,IF(F1233&lt;0.354166666666667,"Turno C",IF(F1233&gt;0.583333333333333,IF(F1233&lt;0.625,"Turno B",IF(F1233&gt;0.625694444444444,IF(F1233&lt;0.8125,"Turno A",IF(F1233&gt;0.875,IF(F1233&lt;0.936805555555556,"Turno C",IF(F1233&gt;0.9375,IF(F1233&lt;0.979166666666667,"Turno B",""),"")),"")),"")),"")),"")),""))</f>
        <v>Turno C</v>
      </c>
      <c r="L1233" s="91">
        <f t="shared" si="19"/>
        <v>0.375</v>
      </c>
    </row>
    <row r="1234" spans="1:12" s="40" customFormat="1">
      <c r="A1234">
        <v>13045231</v>
      </c>
      <c r="B1234" t="s">
        <v>1098</v>
      </c>
      <c r="C1234" t="s">
        <v>90</v>
      </c>
      <c r="D1234" t="s">
        <v>48</v>
      </c>
      <c r="E1234" t="s">
        <v>1439</v>
      </c>
      <c r="F1234" s="78">
        <v>0.95084490740740746</v>
      </c>
      <c r="G1234" t="s">
        <v>1406</v>
      </c>
      <c r="H1234" t="s">
        <v>1336</v>
      </c>
      <c r="I1234" s="88" t="str">
        <f>VLOOKUP(A1234,Base!A:B,2,0)</f>
        <v>13.045.231-0</v>
      </c>
      <c r="J1234" s="99" t="str">
        <f>VLOOKUP(A1234,Base!A:F,6,0)</f>
        <v>FELIPE  ARANCIBIA  SILVA</v>
      </c>
      <c r="K1234" s="89" t="str">
        <f>IFERROR(IF(VLOOKUP(I1234,Ingreso!K:P,6,0)=0,"Sin turtno ing",VLOOKUP(I1234,Ingreso!K:P,6,0)),IF(F1234&gt;0.25,IF(F1234&lt;0.311805555555556,"Turno A",IF(F1234&gt;0.3125,IF(F1234&lt;0.354166666666667,"Turno C",IF(F1234&gt;0.583333333333333,IF(F1234&lt;0.625,"Turno B",IF(F1234&gt;0.625694444444444,IF(F1234&lt;0.8125,"Turno A",IF(F1234&gt;0.875,IF(F1234&lt;0.936805555555556,"Turno C",IF(F1234&gt;0.9375,IF(F1234&lt;0.979166666666667,"Turno B",""),"")),"")),"")),"")),"")),""))</f>
        <v>Turno C</v>
      </c>
      <c r="L1234" s="91">
        <f t="shared" si="19"/>
        <v>0.375</v>
      </c>
    </row>
    <row r="1235" spans="1:12" s="40" customFormat="1">
      <c r="A1235">
        <v>13045231</v>
      </c>
      <c r="B1235" t="s">
        <v>1098</v>
      </c>
      <c r="C1235" t="s">
        <v>90</v>
      </c>
      <c r="D1235" t="s">
        <v>48</v>
      </c>
      <c r="E1235" t="s">
        <v>1439</v>
      </c>
      <c r="F1235" s="78">
        <v>0.51244212962962965</v>
      </c>
      <c r="G1235" t="s">
        <v>1405</v>
      </c>
      <c r="H1235" t="s">
        <v>1335</v>
      </c>
      <c r="I1235" s="88" t="str">
        <f>VLOOKUP(A1235,Base!A:B,2,0)</f>
        <v>13.045.231-0</v>
      </c>
      <c r="J1235" s="99" t="str">
        <f>VLOOKUP(A1235,Base!A:F,6,0)</f>
        <v>FELIPE  ARANCIBIA  SILVA</v>
      </c>
      <c r="K1235" s="89" t="str">
        <f>IFERROR(IF(VLOOKUP(I1235,Ingreso!K:P,6,0)=0,"Sin turtno ing",VLOOKUP(I1235,Ingreso!K:P,6,0)),IF(F1235&gt;0.25,IF(F1235&lt;0.311805555555556,"Turno A",IF(F1235&gt;0.3125,IF(F1235&lt;0.354166666666667,"Turno C",IF(F1235&gt;0.583333333333333,IF(F1235&lt;0.625,"Turno B",IF(F1235&gt;0.625694444444444,IF(F1235&lt;0.8125,"Turno A",IF(F1235&gt;0.875,IF(F1235&lt;0.936805555555556,"Turno C",IF(F1235&gt;0.9375,IF(F1235&lt;0.979166666666667,"Turno B",""),"")),"")),"")),"")),"")),""))</f>
        <v>Turno C</v>
      </c>
      <c r="L1235" s="91">
        <f t="shared" si="19"/>
        <v>0.375</v>
      </c>
    </row>
    <row r="1236" spans="1:12" s="40" customFormat="1">
      <c r="A1236">
        <v>13077995</v>
      </c>
      <c r="B1236" t="s">
        <v>601</v>
      </c>
      <c r="C1236" t="s">
        <v>25</v>
      </c>
      <c r="D1236" t="s">
        <v>600</v>
      </c>
      <c r="E1236" t="s">
        <v>1440</v>
      </c>
      <c r="F1236" s="78">
        <v>0.32502314814814814</v>
      </c>
      <c r="G1236" t="s">
        <v>1406</v>
      </c>
      <c r="H1236" t="s">
        <v>1336</v>
      </c>
      <c r="I1236" s="88" t="str">
        <f>VLOOKUP(A1236,Base!A:B,2,0)</f>
        <v>13.077.995-6</v>
      </c>
      <c r="J1236" s="99" t="str">
        <f>VLOOKUP(A1236,Base!A:F,6,0)</f>
        <v>FRANCISCO ANTONIO  MARTINEZ  OSSES</v>
      </c>
      <c r="K1236" s="89" t="str">
        <f>IFERROR(IF(VLOOKUP(I1236,Ingreso!K:P,6,0)=0,"Sin turtno ing",VLOOKUP(I1236,Ingreso!K:P,6,0)),IF(F1236&gt;0.25,IF(F1236&lt;0.311805555555556,"Turno A",IF(F1236&gt;0.3125,IF(F1236&lt;0.354166666666667,"Turno C",IF(F1236&gt;0.583333333333333,IF(F1236&lt;0.625,"Turno B",IF(F1236&gt;0.625694444444444,IF(F1236&lt;0.8125,"Turno A",IF(F1236&gt;0.875,IF(F1236&lt;0.936805555555556,"Turno C",IF(F1236&gt;0.9375,IF(F1236&lt;0.979166666666667,"Turno B",""),"")),"")),"")),"")),"")),""))</f>
        <v>Turno C</v>
      </c>
      <c r="L1236" s="91">
        <f t="shared" si="19"/>
        <v>0.375</v>
      </c>
    </row>
    <row r="1237" spans="1:12" s="40" customFormat="1">
      <c r="A1237">
        <v>13077995</v>
      </c>
      <c r="B1237" t="s">
        <v>601</v>
      </c>
      <c r="C1237" t="s">
        <v>25</v>
      </c>
      <c r="D1237" t="s">
        <v>600</v>
      </c>
      <c r="E1237" t="s">
        <v>1440</v>
      </c>
      <c r="F1237" s="78">
        <v>0.91922453703703699</v>
      </c>
      <c r="G1237" t="s">
        <v>1405</v>
      </c>
      <c r="H1237" t="s">
        <v>1335</v>
      </c>
      <c r="I1237" s="88" t="str">
        <f>VLOOKUP(A1237,Base!A:B,2,0)</f>
        <v>13.077.995-6</v>
      </c>
      <c r="J1237" s="99" t="str">
        <f>VLOOKUP(A1237,Base!A:F,6,0)</f>
        <v>FRANCISCO ANTONIO  MARTINEZ  OSSES</v>
      </c>
      <c r="K1237" s="89" t="str">
        <f>IFERROR(IF(VLOOKUP(I1237,Ingreso!K:P,6,0)=0,"Sin turtno ing",VLOOKUP(I1237,Ingreso!K:P,6,0)),IF(F1237&gt;0.25,IF(F1237&lt;0.311805555555556,"Turno A",IF(F1237&gt;0.3125,IF(F1237&lt;0.354166666666667,"Turno C",IF(F1237&gt;0.583333333333333,IF(F1237&lt;0.625,"Turno B",IF(F1237&gt;0.625694444444444,IF(F1237&lt;0.8125,"Turno A",IF(F1237&gt;0.875,IF(F1237&lt;0.936805555555556,"Turno C",IF(F1237&gt;0.9375,IF(F1237&lt;0.979166666666667,"Turno B",""),"")),"")),"")),"")),"")),""))</f>
        <v>Turno C</v>
      </c>
      <c r="L1237" s="91">
        <f t="shared" si="19"/>
        <v>0.375</v>
      </c>
    </row>
    <row r="1238" spans="1:12" s="40" customFormat="1">
      <c r="A1238">
        <v>13077995</v>
      </c>
      <c r="B1238" t="s">
        <v>601</v>
      </c>
      <c r="C1238" t="s">
        <v>25</v>
      </c>
      <c r="D1238" t="s">
        <v>600</v>
      </c>
      <c r="E1238" t="s">
        <v>1441</v>
      </c>
      <c r="F1238" s="78">
        <v>0.32781250000000001</v>
      </c>
      <c r="G1238" t="s">
        <v>1406</v>
      </c>
      <c r="H1238" t="s">
        <v>1336</v>
      </c>
      <c r="I1238" s="88" t="str">
        <f>VLOOKUP(A1238,Base!A:B,2,0)</f>
        <v>13.077.995-6</v>
      </c>
      <c r="J1238" s="99" t="str">
        <f>VLOOKUP(A1238,Base!A:F,6,0)</f>
        <v>FRANCISCO ANTONIO  MARTINEZ  OSSES</v>
      </c>
      <c r="K1238" s="89" t="str">
        <f>IFERROR(IF(VLOOKUP(I1238,Ingreso!K:P,6,0)=0,"Sin turtno ing",VLOOKUP(I1238,Ingreso!K:P,6,0)),IF(F1238&gt;0.25,IF(F1238&lt;0.311805555555556,"Turno A",IF(F1238&gt;0.3125,IF(F1238&lt;0.354166666666667,"Turno C",IF(F1238&gt;0.583333333333333,IF(F1238&lt;0.625,"Turno B",IF(F1238&gt;0.625694444444444,IF(F1238&lt;0.8125,"Turno A",IF(F1238&gt;0.875,IF(F1238&lt;0.936805555555556,"Turno C",IF(F1238&gt;0.9375,IF(F1238&lt;0.979166666666667,"Turno B",""),"")),"")),"")),"")),"")),""))</f>
        <v>Turno C</v>
      </c>
      <c r="L1238" s="91">
        <f t="shared" si="19"/>
        <v>0.375</v>
      </c>
    </row>
    <row r="1239" spans="1:12" s="40" customFormat="1">
      <c r="A1239">
        <v>13077995</v>
      </c>
      <c r="B1239" t="s">
        <v>601</v>
      </c>
      <c r="C1239" t="s">
        <v>25</v>
      </c>
      <c r="D1239" t="s">
        <v>600</v>
      </c>
      <c r="E1239" t="s">
        <v>1437</v>
      </c>
      <c r="F1239" s="78">
        <v>0.91912037037037031</v>
      </c>
      <c r="G1239" t="s">
        <v>1405</v>
      </c>
      <c r="H1239" t="s">
        <v>1335</v>
      </c>
      <c r="I1239" s="88" t="str">
        <f>VLOOKUP(A1239,Base!A:B,2,0)</f>
        <v>13.077.995-6</v>
      </c>
      <c r="J1239" s="99" t="str">
        <f>VLOOKUP(A1239,Base!A:F,6,0)</f>
        <v>FRANCISCO ANTONIO  MARTINEZ  OSSES</v>
      </c>
      <c r="K1239" s="89" t="str">
        <f>IFERROR(IF(VLOOKUP(I1239,Ingreso!K:P,6,0)=0,"Sin turtno ing",VLOOKUP(I1239,Ingreso!K:P,6,0)),IF(F1239&gt;0.25,IF(F1239&lt;0.311805555555556,"Turno A",IF(F1239&gt;0.3125,IF(F1239&lt;0.354166666666667,"Turno C",IF(F1239&gt;0.583333333333333,IF(F1239&lt;0.625,"Turno B",IF(F1239&gt;0.625694444444444,IF(F1239&lt;0.8125,"Turno A",IF(F1239&gt;0.875,IF(F1239&lt;0.936805555555556,"Turno C",IF(F1239&gt;0.9375,IF(F1239&lt;0.979166666666667,"Turno B",""),"")),"")),"")),"")),"")),""))</f>
        <v>Turno C</v>
      </c>
      <c r="L1239" s="91">
        <f t="shared" si="19"/>
        <v>0.375</v>
      </c>
    </row>
    <row r="1240" spans="1:12" s="40" customFormat="1">
      <c r="A1240">
        <v>13077995</v>
      </c>
      <c r="B1240" t="s">
        <v>601</v>
      </c>
      <c r="C1240" t="s">
        <v>25</v>
      </c>
      <c r="D1240" t="s">
        <v>600</v>
      </c>
      <c r="E1240" t="s">
        <v>1438</v>
      </c>
      <c r="F1240" s="78">
        <v>0.32368055555555558</v>
      </c>
      <c r="G1240" t="s">
        <v>1406</v>
      </c>
      <c r="H1240" t="s">
        <v>1336</v>
      </c>
      <c r="I1240" s="88" t="str">
        <f>VLOOKUP(A1240,Base!A:B,2,0)</f>
        <v>13.077.995-6</v>
      </c>
      <c r="J1240" s="99" t="str">
        <f>VLOOKUP(A1240,Base!A:F,6,0)</f>
        <v>FRANCISCO ANTONIO  MARTINEZ  OSSES</v>
      </c>
      <c r="K1240" s="89" t="str">
        <f>IFERROR(IF(VLOOKUP(I1240,Ingreso!K:P,6,0)=0,"Sin turtno ing",VLOOKUP(I1240,Ingreso!K:P,6,0)),IF(F1240&gt;0.25,IF(F1240&lt;0.311805555555556,"Turno A",IF(F1240&gt;0.3125,IF(F1240&lt;0.354166666666667,"Turno C",IF(F1240&gt;0.583333333333333,IF(F1240&lt;0.625,"Turno B",IF(F1240&gt;0.625694444444444,IF(F1240&lt;0.8125,"Turno A",IF(F1240&gt;0.875,IF(F1240&lt;0.936805555555556,"Turno C",IF(F1240&gt;0.9375,IF(F1240&lt;0.979166666666667,"Turno B",""),"")),"")),"")),"")),"")),""))</f>
        <v>Turno C</v>
      </c>
      <c r="L1240" s="91">
        <f t="shared" si="19"/>
        <v>0.375</v>
      </c>
    </row>
    <row r="1241" spans="1:12" s="40" customFormat="1">
      <c r="A1241">
        <v>13077995</v>
      </c>
      <c r="B1241" t="s">
        <v>601</v>
      </c>
      <c r="C1241" t="s">
        <v>25</v>
      </c>
      <c r="D1241" t="s">
        <v>600</v>
      </c>
      <c r="E1241" t="s">
        <v>1438</v>
      </c>
      <c r="F1241" s="78">
        <v>0.91960648148148139</v>
      </c>
      <c r="G1241" t="s">
        <v>1405</v>
      </c>
      <c r="H1241" t="s">
        <v>1335</v>
      </c>
      <c r="I1241" s="88" t="str">
        <f>VLOOKUP(A1241,Base!A:B,2,0)</f>
        <v>13.077.995-6</v>
      </c>
      <c r="J1241" s="99" t="str">
        <f>VLOOKUP(A1241,Base!A:F,6,0)</f>
        <v>FRANCISCO ANTONIO  MARTINEZ  OSSES</v>
      </c>
      <c r="K1241" s="89" t="str">
        <f>IFERROR(IF(VLOOKUP(I1241,Ingreso!K:P,6,0)=0,"Sin turtno ing",VLOOKUP(I1241,Ingreso!K:P,6,0)),IF(F1241&gt;0.25,IF(F1241&lt;0.311805555555556,"Turno A",IF(F1241&gt;0.3125,IF(F1241&lt;0.354166666666667,"Turno C",IF(F1241&gt;0.583333333333333,IF(F1241&lt;0.625,"Turno B",IF(F1241&gt;0.625694444444444,IF(F1241&lt;0.8125,"Turno A",IF(F1241&gt;0.875,IF(F1241&lt;0.936805555555556,"Turno C",IF(F1241&gt;0.9375,IF(F1241&lt;0.979166666666667,"Turno B",""),"")),"")),"")),"")),"")),""))</f>
        <v>Turno C</v>
      </c>
      <c r="L1241" s="91">
        <f t="shared" si="19"/>
        <v>0.375</v>
      </c>
    </row>
    <row r="1242" spans="1:12" s="40" customFormat="1">
      <c r="A1242">
        <v>13077995</v>
      </c>
      <c r="B1242" t="s">
        <v>601</v>
      </c>
      <c r="C1242" t="s">
        <v>25</v>
      </c>
      <c r="D1242" t="s">
        <v>600</v>
      </c>
      <c r="E1242" t="s">
        <v>1439</v>
      </c>
      <c r="F1242" s="78">
        <v>0.326087962962963</v>
      </c>
      <c r="G1242" t="s">
        <v>1406</v>
      </c>
      <c r="H1242" t="s">
        <v>1336</v>
      </c>
      <c r="I1242" s="88" t="str">
        <f>VLOOKUP(A1242,Base!A:B,2,0)</f>
        <v>13.077.995-6</v>
      </c>
      <c r="J1242" s="99" t="str">
        <f>VLOOKUP(A1242,Base!A:F,6,0)</f>
        <v>FRANCISCO ANTONIO  MARTINEZ  OSSES</v>
      </c>
      <c r="K1242" s="89" t="str">
        <f>IFERROR(IF(VLOOKUP(I1242,Ingreso!K:P,6,0)=0,"Sin turtno ing",VLOOKUP(I1242,Ingreso!K:P,6,0)),IF(F1242&gt;0.25,IF(F1242&lt;0.311805555555556,"Turno A",IF(F1242&gt;0.3125,IF(F1242&lt;0.354166666666667,"Turno C",IF(F1242&gt;0.583333333333333,IF(F1242&lt;0.625,"Turno B",IF(F1242&gt;0.625694444444444,IF(F1242&lt;0.8125,"Turno A",IF(F1242&gt;0.875,IF(F1242&lt;0.936805555555556,"Turno C",IF(F1242&gt;0.9375,IF(F1242&lt;0.979166666666667,"Turno B",""),"")),"")),"")),"")),"")),""))</f>
        <v>Turno C</v>
      </c>
      <c r="L1242" s="91">
        <f t="shared" si="19"/>
        <v>0.375</v>
      </c>
    </row>
    <row r="1243" spans="1:12" s="40" customFormat="1">
      <c r="A1243">
        <v>13077995</v>
      </c>
      <c r="B1243" t="s">
        <v>601</v>
      </c>
      <c r="C1243" t="s">
        <v>25</v>
      </c>
      <c r="D1243" t="s">
        <v>600</v>
      </c>
      <c r="E1243" t="s">
        <v>1439</v>
      </c>
      <c r="F1243" s="78">
        <v>0.91872685185185177</v>
      </c>
      <c r="G1243" t="s">
        <v>1405</v>
      </c>
      <c r="H1243" t="s">
        <v>1335</v>
      </c>
      <c r="I1243" s="88" t="str">
        <f>VLOOKUP(A1243,Base!A:B,2,0)</f>
        <v>13.077.995-6</v>
      </c>
      <c r="J1243" s="99" t="str">
        <f>VLOOKUP(A1243,Base!A:F,6,0)</f>
        <v>FRANCISCO ANTONIO  MARTINEZ  OSSES</v>
      </c>
      <c r="K1243" s="89" t="str">
        <f>IFERROR(IF(VLOOKUP(I1243,Ingreso!K:P,6,0)=0,"Sin turtno ing",VLOOKUP(I1243,Ingreso!K:P,6,0)),IF(F1243&gt;0.25,IF(F1243&lt;0.311805555555556,"Turno A",IF(F1243&gt;0.3125,IF(F1243&lt;0.354166666666667,"Turno C",IF(F1243&gt;0.583333333333333,IF(F1243&lt;0.625,"Turno B",IF(F1243&gt;0.625694444444444,IF(F1243&lt;0.8125,"Turno A",IF(F1243&gt;0.875,IF(F1243&lt;0.936805555555556,"Turno C",IF(F1243&gt;0.9375,IF(F1243&lt;0.979166666666667,"Turno B",""),"")),"")),"")),"")),"")),""))</f>
        <v>Turno C</v>
      </c>
      <c r="L1243" s="91">
        <f t="shared" si="19"/>
        <v>0.375</v>
      </c>
    </row>
    <row r="1244" spans="1:12" s="40" customFormat="1">
      <c r="A1244">
        <v>13079999</v>
      </c>
      <c r="B1244" t="s">
        <v>1006</v>
      </c>
      <c r="C1244" t="s">
        <v>754</v>
      </c>
      <c r="D1244" t="s">
        <v>1005</v>
      </c>
      <c r="E1244" t="s">
        <v>1407</v>
      </c>
      <c r="F1244" s="78">
        <v>0</v>
      </c>
      <c r="G1244"/>
      <c r="H1244"/>
      <c r="I1244" s="88" t="str">
        <f>VLOOKUP(A1244,Base!A:B,2,0)</f>
        <v>13.079.999-K</v>
      </c>
      <c r="J1244" s="99" t="str">
        <f>VLOOKUP(A1244,Base!A:F,6,0)</f>
        <v>MAGALY ANDREA  SEPULVEDA  ARAVENA</v>
      </c>
      <c r="K1244" s="89" t="str">
        <f>IFERROR(IF(VLOOKUP(I1244,Ingreso!K:P,6,0)=0,"Sin turtno ing",VLOOKUP(I1244,Ingreso!K:P,6,0)),IF(F1244&gt;0.25,IF(F1244&lt;0.311805555555556,"Turno A",IF(F1244&gt;0.3125,IF(F1244&lt;0.354166666666667,"Turno C",IF(F1244&gt;0.583333333333333,IF(F1244&lt;0.625,"Turno B",IF(F1244&gt;0.625694444444444,IF(F1244&lt;0.8125,"Turno A",IF(F1244&gt;0.875,IF(F1244&lt;0.936805555555556,"Turno C",IF(F1244&gt;0.9375,IF(F1244&lt;0.979166666666667,"Turno B",""),"")),"")),"")),"")),"")),""))</f>
        <v/>
      </c>
      <c r="L1244" s="91" t="e">
        <f t="shared" si="19"/>
        <v>#N/A</v>
      </c>
    </row>
    <row r="1245" spans="1:12" s="40" customFormat="1">
      <c r="A1245">
        <v>13100464</v>
      </c>
      <c r="B1245" t="s">
        <v>430</v>
      </c>
      <c r="C1245" t="s">
        <v>419</v>
      </c>
      <c r="D1245" t="s">
        <v>429</v>
      </c>
      <c r="E1245" t="s">
        <v>1440</v>
      </c>
      <c r="F1245" s="78">
        <v>0.9515393518518519</v>
      </c>
      <c r="G1245" t="s">
        <v>1406</v>
      </c>
      <c r="H1245" t="s">
        <v>1336</v>
      </c>
      <c r="I1245" s="88" t="str">
        <f>VLOOKUP(A1245,Base!A:B,2,0)</f>
        <v>13.100.464-8</v>
      </c>
      <c r="J1245" s="99" t="str">
        <f>VLOOKUP(A1245,Base!A:F,6,0)</f>
        <v>JOSE A.  GALLARDO  OYARCE</v>
      </c>
      <c r="K1245" s="89" t="str">
        <f>IFERROR(IF(VLOOKUP(I1245,Ingreso!K:P,6,0)=0,"Sin turtno ing",VLOOKUP(I1245,Ingreso!K:P,6,0)),IF(F1245&gt;0.25,IF(F1245&lt;0.311805555555556,"Turno A",IF(F1245&gt;0.3125,IF(F1245&lt;0.354166666666667,"Turno C",IF(F1245&gt;0.583333333333333,IF(F1245&lt;0.625,"Turno B",IF(F1245&gt;0.625694444444444,IF(F1245&lt;0.8125,"Turno A",IF(F1245&gt;0.875,IF(F1245&lt;0.936805555555556,"Turno C",IF(F1245&gt;0.9375,IF(F1245&lt;0.979166666666667,"Turno B",""),"")),"")),"")),"")),"")),""))</f>
        <v>Turno B</v>
      </c>
      <c r="L1245" s="91">
        <f t="shared" si="19"/>
        <v>0.3125</v>
      </c>
    </row>
    <row r="1246" spans="1:12" s="40" customFormat="1">
      <c r="A1246">
        <v>13100464</v>
      </c>
      <c r="B1246" t="s">
        <v>430</v>
      </c>
      <c r="C1246" t="s">
        <v>419</v>
      </c>
      <c r="D1246" t="s">
        <v>429</v>
      </c>
      <c r="E1246" t="s">
        <v>1440</v>
      </c>
      <c r="F1246" s="78">
        <v>0.60836805555555562</v>
      </c>
      <c r="G1246" t="s">
        <v>1405</v>
      </c>
      <c r="H1246" t="s">
        <v>1335</v>
      </c>
      <c r="I1246" s="88" t="str">
        <f>VLOOKUP(A1246,Base!A:B,2,0)</f>
        <v>13.100.464-8</v>
      </c>
      <c r="J1246" s="99" t="str">
        <f>VLOOKUP(A1246,Base!A:F,6,0)</f>
        <v>JOSE A.  GALLARDO  OYARCE</v>
      </c>
      <c r="K1246" s="89" t="str">
        <f>IFERROR(IF(VLOOKUP(I1246,Ingreso!K:P,6,0)=0,"Sin turtno ing",VLOOKUP(I1246,Ingreso!K:P,6,0)),IF(F1246&gt;0.25,IF(F1246&lt;0.311805555555556,"Turno A",IF(F1246&gt;0.3125,IF(F1246&lt;0.354166666666667,"Turno C",IF(F1246&gt;0.583333333333333,IF(F1246&lt;0.625,"Turno B",IF(F1246&gt;0.625694444444444,IF(F1246&lt;0.8125,"Turno A",IF(F1246&gt;0.875,IF(F1246&lt;0.936805555555556,"Turno C",IF(F1246&gt;0.9375,IF(F1246&lt;0.979166666666667,"Turno B",""),"")),"")),"")),"")),"")),""))</f>
        <v>Turno B</v>
      </c>
      <c r="L1246" s="91">
        <f t="shared" si="19"/>
        <v>0.3125</v>
      </c>
    </row>
    <row r="1247" spans="1:12" s="40" customFormat="1">
      <c r="A1247">
        <v>13100464</v>
      </c>
      <c r="B1247" t="s">
        <v>430</v>
      </c>
      <c r="C1247" t="s">
        <v>419</v>
      </c>
      <c r="D1247" t="s">
        <v>429</v>
      </c>
      <c r="E1247" t="s">
        <v>1441</v>
      </c>
      <c r="F1247" s="78">
        <v>0.95349537037037047</v>
      </c>
      <c r="G1247" t="s">
        <v>1406</v>
      </c>
      <c r="H1247" t="s">
        <v>1336</v>
      </c>
      <c r="I1247" s="88" t="str">
        <f>VLOOKUP(A1247,Base!A:B,2,0)</f>
        <v>13.100.464-8</v>
      </c>
      <c r="J1247" s="99" t="str">
        <f>VLOOKUP(A1247,Base!A:F,6,0)</f>
        <v>JOSE A.  GALLARDO  OYARCE</v>
      </c>
      <c r="K1247" s="89" t="str">
        <f>IFERROR(IF(VLOOKUP(I1247,Ingreso!K:P,6,0)=0,"Sin turtno ing",VLOOKUP(I1247,Ingreso!K:P,6,0)),IF(F1247&gt;0.25,IF(F1247&lt;0.311805555555556,"Turno A",IF(F1247&gt;0.3125,IF(F1247&lt;0.354166666666667,"Turno C",IF(F1247&gt;0.583333333333333,IF(F1247&lt;0.625,"Turno B",IF(F1247&gt;0.625694444444444,IF(F1247&lt;0.8125,"Turno A",IF(F1247&gt;0.875,IF(F1247&lt;0.936805555555556,"Turno C",IF(F1247&gt;0.9375,IF(F1247&lt;0.979166666666667,"Turno B",""),"")),"")),"")),"")),"")),""))</f>
        <v>Turno B</v>
      </c>
      <c r="L1247" s="91">
        <f t="shared" si="19"/>
        <v>0.3125</v>
      </c>
    </row>
    <row r="1248" spans="1:12" s="40" customFormat="1">
      <c r="A1248">
        <v>13100464</v>
      </c>
      <c r="B1248" t="s">
        <v>430</v>
      </c>
      <c r="C1248" t="s">
        <v>419</v>
      </c>
      <c r="D1248" t="s">
        <v>429</v>
      </c>
      <c r="E1248" t="s">
        <v>1441</v>
      </c>
      <c r="F1248" s="78">
        <v>0.61237268518518517</v>
      </c>
      <c r="G1248" t="s">
        <v>1405</v>
      </c>
      <c r="H1248" t="s">
        <v>1335</v>
      </c>
      <c r="I1248" s="88" t="str">
        <f>VLOOKUP(A1248,Base!A:B,2,0)</f>
        <v>13.100.464-8</v>
      </c>
      <c r="J1248" s="99" t="str">
        <f>VLOOKUP(A1248,Base!A:F,6,0)</f>
        <v>JOSE A.  GALLARDO  OYARCE</v>
      </c>
      <c r="K1248" s="89" t="str">
        <f>IFERROR(IF(VLOOKUP(I1248,Ingreso!K:P,6,0)=0,"Sin turtno ing",VLOOKUP(I1248,Ingreso!K:P,6,0)),IF(F1248&gt;0.25,IF(F1248&lt;0.311805555555556,"Turno A",IF(F1248&gt;0.3125,IF(F1248&lt;0.354166666666667,"Turno C",IF(F1248&gt;0.583333333333333,IF(F1248&lt;0.625,"Turno B",IF(F1248&gt;0.625694444444444,IF(F1248&lt;0.8125,"Turno A",IF(F1248&gt;0.875,IF(F1248&lt;0.936805555555556,"Turno C",IF(F1248&gt;0.9375,IF(F1248&lt;0.979166666666667,"Turno B",""),"")),"")),"")),"")),"")),""))</f>
        <v>Turno B</v>
      </c>
      <c r="L1248" s="91">
        <f t="shared" si="19"/>
        <v>0.3125</v>
      </c>
    </row>
    <row r="1249" spans="1:12" s="40" customFormat="1">
      <c r="A1249">
        <v>13100464</v>
      </c>
      <c r="B1249" t="s">
        <v>430</v>
      </c>
      <c r="C1249" t="s">
        <v>419</v>
      </c>
      <c r="D1249" t="s">
        <v>429</v>
      </c>
      <c r="E1249" t="s">
        <v>1437</v>
      </c>
      <c r="F1249" s="78">
        <v>0.95162037037037039</v>
      </c>
      <c r="G1249" t="s">
        <v>1406</v>
      </c>
      <c r="H1249" t="s">
        <v>1336</v>
      </c>
      <c r="I1249" s="88" t="str">
        <f>VLOOKUP(A1249,Base!A:B,2,0)</f>
        <v>13.100.464-8</v>
      </c>
      <c r="J1249" s="99" t="str">
        <f>VLOOKUP(A1249,Base!A:F,6,0)</f>
        <v>JOSE A.  GALLARDO  OYARCE</v>
      </c>
      <c r="K1249" s="89" t="str">
        <f>IFERROR(IF(VLOOKUP(I1249,Ingreso!K:P,6,0)=0,"Sin turtno ing",VLOOKUP(I1249,Ingreso!K:P,6,0)),IF(F1249&gt;0.25,IF(F1249&lt;0.311805555555556,"Turno A",IF(F1249&gt;0.3125,IF(F1249&lt;0.354166666666667,"Turno C",IF(F1249&gt;0.583333333333333,IF(F1249&lt;0.625,"Turno B",IF(F1249&gt;0.625694444444444,IF(F1249&lt;0.8125,"Turno A",IF(F1249&gt;0.875,IF(F1249&lt;0.936805555555556,"Turno C",IF(F1249&gt;0.9375,IF(F1249&lt;0.979166666666667,"Turno B",""),"")),"")),"")),"")),"")),""))</f>
        <v>Turno B</v>
      </c>
      <c r="L1249" s="91">
        <f t="shared" si="19"/>
        <v>0.3125</v>
      </c>
    </row>
    <row r="1250" spans="1:12" s="40" customFormat="1">
      <c r="A1250">
        <v>13100464</v>
      </c>
      <c r="B1250" t="s">
        <v>430</v>
      </c>
      <c r="C1250" t="s">
        <v>419</v>
      </c>
      <c r="D1250" t="s">
        <v>429</v>
      </c>
      <c r="E1250" t="s">
        <v>1437</v>
      </c>
      <c r="F1250" s="78">
        <v>0.60561342592592593</v>
      </c>
      <c r="G1250" t="s">
        <v>1405</v>
      </c>
      <c r="H1250" t="s">
        <v>1335</v>
      </c>
      <c r="I1250" s="88" t="str">
        <f>VLOOKUP(A1250,Base!A:B,2,0)</f>
        <v>13.100.464-8</v>
      </c>
      <c r="J1250" s="99" t="str">
        <f>VLOOKUP(A1250,Base!A:F,6,0)</f>
        <v>JOSE A.  GALLARDO  OYARCE</v>
      </c>
      <c r="K1250" s="89" t="str">
        <f>IFERROR(IF(VLOOKUP(I1250,Ingreso!K:P,6,0)=0,"Sin turtno ing",VLOOKUP(I1250,Ingreso!K:P,6,0)),IF(F1250&gt;0.25,IF(F1250&lt;0.311805555555556,"Turno A",IF(F1250&gt;0.3125,IF(F1250&lt;0.354166666666667,"Turno C",IF(F1250&gt;0.583333333333333,IF(F1250&lt;0.625,"Turno B",IF(F1250&gt;0.625694444444444,IF(F1250&lt;0.8125,"Turno A",IF(F1250&gt;0.875,IF(F1250&lt;0.936805555555556,"Turno C",IF(F1250&gt;0.9375,IF(F1250&lt;0.979166666666667,"Turno B",""),"")),"")),"")),"")),"")),""))</f>
        <v>Turno B</v>
      </c>
      <c r="L1250" s="91">
        <f t="shared" si="19"/>
        <v>0.3125</v>
      </c>
    </row>
    <row r="1251" spans="1:12" s="40" customFormat="1">
      <c r="A1251">
        <v>13100464</v>
      </c>
      <c r="B1251" t="s">
        <v>430</v>
      </c>
      <c r="C1251" t="s">
        <v>419</v>
      </c>
      <c r="D1251" t="s">
        <v>429</v>
      </c>
      <c r="E1251" t="s">
        <v>1438</v>
      </c>
      <c r="F1251" s="78">
        <v>0.95150462962962967</v>
      </c>
      <c r="G1251" t="s">
        <v>1406</v>
      </c>
      <c r="H1251" t="s">
        <v>1336</v>
      </c>
      <c r="I1251" s="88" t="str">
        <f>VLOOKUP(A1251,Base!A:B,2,0)</f>
        <v>13.100.464-8</v>
      </c>
      <c r="J1251" s="99" t="str">
        <f>VLOOKUP(A1251,Base!A:F,6,0)</f>
        <v>JOSE A.  GALLARDO  OYARCE</v>
      </c>
      <c r="K1251" s="89" t="str">
        <f>IFERROR(IF(VLOOKUP(I1251,Ingreso!K:P,6,0)=0,"Sin turtno ing",VLOOKUP(I1251,Ingreso!K:P,6,0)),IF(F1251&gt;0.25,IF(F1251&lt;0.311805555555556,"Turno A",IF(F1251&gt;0.3125,IF(F1251&lt;0.354166666666667,"Turno C",IF(F1251&gt;0.583333333333333,IF(F1251&lt;0.625,"Turno B",IF(F1251&gt;0.625694444444444,IF(F1251&lt;0.8125,"Turno A",IF(F1251&gt;0.875,IF(F1251&lt;0.936805555555556,"Turno C",IF(F1251&gt;0.9375,IF(F1251&lt;0.979166666666667,"Turno B",""),"")),"")),"")),"")),"")),""))</f>
        <v>Turno B</v>
      </c>
      <c r="L1251" s="91">
        <f t="shared" si="19"/>
        <v>0.3125</v>
      </c>
    </row>
    <row r="1252" spans="1:12" s="40" customFormat="1">
      <c r="A1252">
        <v>13100464</v>
      </c>
      <c r="B1252" t="s">
        <v>430</v>
      </c>
      <c r="C1252" t="s">
        <v>419</v>
      </c>
      <c r="D1252" t="s">
        <v>429</v>
      </c>
      <c r="E1252" t="s">
        <v>1438</v>
      </c>
      <c r="F1252" s="78">
        <v>0.60658564814814808</v>
      </c>
      <c r="G1252" t="s">
        <v>1405</v>
      </c>
      <c r="H1252" t="s">
        <v>1335</v>
      </c>
      <c r="I1252" s="88" t="str">
        <f>VLOOKUP(A1252,Base!A:B,2,0)</f>
        <v>13.100.464-8</v>
      </c>
      <c r="J1252" s="99" t="str">
        <f>VLOOKUP(A1252,Base!A:F,6,0)</f>
        <v>JOSE A.  GALLARDO  OYARCE</v>
      </c>
      <c r="K1252" s="89" t="str">
        <f>IFERROR(IF(VLOOKUP(I1252,Ingreso!K:P,6,0)=0,"Sin turtno ing",VLOOKUP(I1252,Ingreso!K:P,6,0)),IF(F1252&gt;0.25,IF(F1252&lt;0.311805555555556,"Turno A",IF(F1252&gt;0.3125,IF(F1252&lt;0.354166666666667,"Turno C",IF(F1252&gt;0.583333333333333,IF(F1252&lt;0.625,"Turno B",IF(F1252&gt;0.625694444444444,IF(F1252&lt;0.8125,"Turno A",IF(F1252&gt;0.875,IF(F1252&lt;0.936805555555556,"Turno C",IF(F1252&gt;0.9375,IF(F1252&lt;0.979166666666667,"Turno B",""),"")),"")),"")),"")),"")),""))</f>
        <v>Turno B</v>
      </c>
      <c r="L1252" s="91">
        <f t="shared" si="19"/>
        <v>0.3125</v>
      </c>
    </row>
    <row r="1253" spans="1:12" s="40" customFormat="1">
      <c r="A1253">
        <v>13100464</v>
      </c>
      <c r="B1253" t="s">
        <v>430</v>
      </c>
      <c r="C1253" t="s">
        <v>419</v>
      </c>
      <c r="D1253" t="s">
        <v>429</v>
      </c>
      <c r="E1253" t="s">
        <v>1439</v>
      </c>
      <c r="F1253" s="78">
        <v>0.95179398148148142</v>
      </c>
      <c r="G1253" t="s">
        <v>1406</v>
      </c>
      <c r="H1253" t="s">
        <v>1336</v>
      </c>
      <c r="I1253" s="88" t="str">
        <f>VLOOKUP(A1253,Base!A:B,2,0)</f>
        <v>13.100.464-8</v>
      </c>
      <c r="J1253" s="99" t="str">
        <f>VLOOKUP(A1253,Base!A:F,6,0)</f>
        <v>JOSE A.  GALLARDO  OYARCE</v>
      </c>
      <c r="K1253" s="89" t="str">
        <f>IFERROR(IF(VLOOKUP(I1253,Ingreso!K:P,6,0)=0,"Sin turtno ing",VLOOKUP(I1253,Ingreso!K:P,6,0)),IF(F1253&gt;0.25,IF(F1253&lt;0.311805555555556,"Turno A",IF(F1253&gt;0.3125,IF(F1253&lt;0.354166666666667,"Turno C",IF(F1253&gt;0.583333333333333,IF(F1253&lt;0.625,"Turno B",IF(F1253&gt;0.625694444444444,IF(F1253&lt;0.8125,"Turno A",IF(F1253&gt;0.875,IF(F1253&lt;0.936805555555556,"Turno C",IF(F1253&gt;0.9375,IF(F1253&lt;0.979166666666667,"Turno B",""),"")),"")),"")),"")),"")),""))</f>
        <v>Turno B</v>
      </c>
      <c r="L1253" s="91">
        <f t="shared" si="19"/>
        <v>0.3125</v>
      </c>
    </row>
    <row r="1254" spans="1:12" s="40" customFormat="1">
      <c r="A1254">
        <v>13100464</v>
      </c>
      <c r="B1254" t="s">
        <v>430</v>
      </c>
      <c r="C1254" t="s">
        <v>419</v>
      </c>
      <c r="D1254" t="s">
        <v>429</v>
      </c>
      <c r="E1254" t="s">
        <v>1439</v>
      </c>
      <c r="F1254" s="78">
        <v>0.60751157407407408</v>
      </c>
      <c r="G1254" t="s">
        <v>1405</v>
      </c>
      <c r="H1254" t="s">
        <v>1335</v>
      </c>
      <c r="I1254" s="88" t="str">
        <f>VLOOKUP(A1254,Base!A:B,2,0)</f>
        <v>13.100.464-8</v>
      </c>
      <c r="J1254" s="99" t="str">
        <f>VLOOKUP(A1254,Base!A:F,6,0)</f>
        <v>JOSE A.  GALLARDO  OYARCE</v>
      </c>
      <c r="K1254" s="89" t="str">
        <f>IFERROR(IF(VLOOKUP(I1254,Ingreso!K:P,6,0)=0,"Sin turtno ing",VLOOKUP(I1254,Ingreso!K:P,6,0)),IF(F1254&gt;0.25,IF(F1254&lt;0.311805555555556,"Turno A",IF(F1254&gt;0.3125,IF(F1254&lt;0.354166666666667,"Turno C",IF(F1254&gt;0.583333333333333,IF(F1254&lt;0.625,"Turno B",IF(F1254&gt;0.625694444444444,IF(F1254&lt;0.8125,"Turno A",IF(F1254&gt;0.875,IF(F1254&lt;0.936805555555556,"Turno C",IF(F1254&gt;0.9375,IF(F1254&lt;0.979166666666667,"Turno B",""),"")),"")),"")),"")),"")),""))</f>
        <v>Turno B</v>
      </c>
      <c r="L1254" s="91">
        <f t="shared" si="19"/>
        <v>0.3125</v>
      </c>
    </row>
    <row r="1255" spans="1:12" s="40" customFormat="1">
      <c r="A1255">
        <v>13236100</v>
      </c>
      <c r="B1255" t="s">
        <v>165</v>
      </c>
      <c r="C1255" t="s">
        <v>164</v>
      </c>
      <c r="D1255" t="s">
        <v>83</v>
      </c>
      <c r="E1255" t="s">
        <v>1440</v>
      </c>
      <c r="F1255" s="78">
        <v>0.77863425925925922</v>
      </c>
      <c r="G1255" t="s">
        <v>1406</v>
      </c>
      <c r="H1255" t="s">
        <v>1336</v>
      </c>
      <c r="I1255" s="88" t="str">
        <f>VLOOKUP(A1255,Base!A:B,2,0)</f>
        <v>13.236.100-2</v>
      </c>
      <c r="J1255" s="99" t="str">
        <f>VLOOKUP(A1255,Base!A:F,6,0)</f>
        <v>MARCO ANTONIO  BUSTAMANTE  GONZALEZ</v>
      </c>
      <c r="K1255" s="89" t="str">
        <f>IFERROR(IF(VLOOKUP(I1255,Ingreso!K:P,6,0)=0,"Sin turtno ing",VLOOKUP(I1255,Ingreso!K:P,6,0)),IF(F1255&gt;0.25,IF(F1255&lt;0.311805555555556,"Turno A",IF(F1255&gt;0.3125,IF(F1255&lt;0.354166666666667,"Turno C",IF(F1255&gt;0.583333333333333,IF(F1255&lt;0.625,"Turno B",IF(F1255&gt;0.625694444444444,IF(F1255&lt;0.8125,"Turno A",IF(F1255&gt;0.875,IF(F1255&lt;0.936805555555556,"Turno C",IF(F1255&gt;0.9375,IF(F1255&lt;0.979166666666667,"Turno B",""),"")),"")),"")),"")),"")),""))</f>
        <v>Sin turtno ing</v>
      </c>
      <c r="L1255" s="91" t="e">
        <f t="shared" si="19"/>
        <v>#N/A</v>
      </c>
    </row>
    <row r="1256" spans="1:12" s="40" customFormat="1">
      <c r="A1256">
        <v>13236100</v>
      </c>
      <c r="B1256" t="s">
        <v>165</v>
      </c>
      <c r="C1256" t="s">
        <v>164</v>
      </c>
      <c r="D1256" t="s">
        <v>83</v>
      </c>
      <c r="E1256" t="s">
        <v>1440</v>
      </c>
      <c r="F1256" s="78">
        <v>0.36342592592592587</v>
      </c>
      <c r="G1256" t="s">
        <v>1405</v>
      </c>
      <c r="H1256" t="s">
        <v>1335</v>
      </c>
      <c r="I1256" s="88" t="str">
        <f>VLOOKUP(A1256,Base!A:B,2,0)</f>
        <v>13.236.100-2</v>
      </c>
      <c r="J1256" s="99" t="str">
        <f>VLOOKUP(A1256,Base!A:F,6,0)</f>
        <v>MARCO ANTONIO  BUSTAMANTE  GONZALEZ</v>
      </c>
      <c r="K1256" s="89" t="str">
        <f>IFERROR(IF(VLOOKUP(I1256,Ingreso!K:P,6,0)=0,"Sin turtno ing",VLOOKUP(I1256,Ingreso!K:P,6,0)),IF(F1256&gt;0.25,IF(F1256&lt;0.311805555555556,"Turno A",IF(F1256&gt;0.3125,IF(F1256&lt;0.354166666666667,"Turno C",IF(F1256&gt;0.583333333333333,IF(F1256&lt;0.625,"Turno B",IF(F1256&gt;0.625694444444444,IF(F1256&lt;0.8125,"Turno A",IF(F1256&gt;0.875,IF(F1256&lt;0.936805555555556,"Turno C",IF(F1256&gt;0.9375,IF(F1256&lt;0.979166666666667,"Turno B",""),"")),"")),"")),"")),"")),""))</f>
        <v>Sin turtno ing</v>
      </c>
      <c r="L1256" s="91" t="e">
        <f t="shared" si="19"/>
        <v>#N/A</v>
      </c>
    </row>
    <row r="1257" spans="1:12" s="40" customFormat="1">
      <c r="A1257">
        <v>13236100</v>
      </c>
      <c r="B1257" t="s">
        <v>165</v>
      </c>
      <c r="C1257" t="s">
        <v>164</v>
      </c>
      <c r="D1257" t="s">
        <v>83</v>
      </c>
      <c r="E1257" t="s">
        <v>1437</v>
      </c>
      <c r="F1257" s="78">
        <v>0.7638194444444445</v>
      </c>
      <c r="G1257" t="s">
        <v>1406</v>
      </c>
      <c r="H1257" t="s">
        <v>1336</v>
      </c>
      <c r="I1257" s="88" t="str">
        <f>VLOOKUP(A1257,Base!A:B,2,0)</f>
        <v>13.236.100-2</v>
      </c>
      <c r="J1257" s="99" t="str">
        <f>VLOOKUP(A1257,Base!A:F,6,0)</f>
        <v>MARCO ANTONIO  BUSTAMANTE  GONZALEZ</v>
      </c>
      <c r="K1257" s="89" t="str">
        <f>IFERROR(IF(VLOOKUP(I1257,Ingreso!K:P,6,0)=0,"Sin turtno ing",VLOOKUP(I1257,Ingreso!K:P,6,0)),IF(F1257&gt;0.25,IF(F1257&lt;0.311805555555556,"Turno A",IF(F1257&gt;0.3125,IF(F1257&lt;0.354166666666667,"Turno C",IF(F1257&gt;0.583333333333333,IF(F1257&lt;0.625,"Turno B",IF(F1257&gt;0.625694444444444,IF(F1257&lt;0.8125,"Turno A",IF(F1257&gt;0.875,IF(F1257&lt;0.936805555555556,"Turno C",IF(F1257&gt;0.9375,IF(F1257&lt;0.979166666666667,"Turno B",""),"")),"")),"")),"")),"")),""))</f>
        <v>Sin turtno ing</v>
      </c>
      <c r="L1257" s="91" t="e">
        <f t="shared" si="19"/>
        <v>#N/A</v>
      </c>
    </row>
    <row r="1258" spans="1:12" s="40" customFormat="1">
      <c r="A1258">
        <v>13236100</v>
      </c>
      <c r="B1258" t="s">
        <v>165</v>
      </c>
      <c r="C1258" t="s">
        <v>164</v>
      </c>
      <c r="D1258" t="s">
        <v>83</v>
      </c>
      <c r="E1258" t="s">
        <v>1437</v>
      </c>
      <c r="F1258" s="78">
        <v>0.36070601851851852</v>
      </c>
      <c r="G1258" t="s">
        <v>1405</v>
      </c>
      <c r="H1258" t="s">
        <v>1335</v>
      </c>
      <c r="I1258" s="88" t="str">
        <f>VLOOKUP(A1258,Base!A:B,2,0)</f>
        <v>13.236.100-2</v>
      </c>
      <c r="J1258" s="99" t="str">
        <f>VLOOKUP(A1258,Base!A:F,6,0)</f>
        <v>MARCO ANTONIO  BUSTAMANTE  GONZALEZ</v>
      </c>
      <c r="K1258" s="89" t="str">
        <f>IFERROR(IF(VLOOKUP(I1258,Ingreso!K:P,6,0)=0,"Sin turtno ing",VLOOKUP(I1258,Ingreso!K:P,6,0)),IF(F1258&gt;0.25,IF(F1258&lt;0.311805555555556,"Turno A",IF(F1258&gt;0.3125,IF(F1258&lt;0.354166666666667,"Turno C",IF(F1258&gt;0.583333333333333,IF(F1258&lt;0.625,"Turno B",IF(F1258&gt;0.625694444444444,IF(F1258&lt;0.8125,"Turno A",IF(F1258&gt;0.875,IF(F1258&lt;0.936805555555556,"Turno C",IF(F1258&gt;0.9375,IF(F1258&lt;0.979166666666667,"Turno B",""),"")),"")),"")),"")),"")),""))</f>
        <v>Sin turtno ing</v>
      </c>
      <c r="L1258" s="91" t="e">
        <f t="shared" si="19"/>
        <v>#N/A</v>
      </c>
    </row>
    <row r="1259" spans="1:12" s="40" customFormat="1">
      <c r="A1259">
        <v>13236100</v>
      </c>
      <c r="B1259" t="s">
        <v>165</v>
      </c>
      <c r="C1259" t="s">
        <v>164</v>
      </c>
      <c r="D1259" t="s">
        <v>83</v>
      </c>
      <c r="E1259" t="s">
        <v>1438</v>
      </c>
      <c r="F1259" s="78">
        <v>0.74678240740740742</v>
      </c>
      <c r="G1259" t="s">
        <v>1406</v>
      </c>
      <c r="H1259" t="s">
        <v>1336</v>
      </c>
      <c r="I1259" s="88" t="str">
        <f>VLOOKUP(A1259,Base!A:B,2,0)</f>
        <v>13.236.100-2</v>
      </c>
      <c r="J1259" s="99" t="str">
        <f>VLOOKUP(A1259,Base!A:F,6,0)</f>
        <v>MARCO ANTONIO  BUSTAMANTE  GONZALEZ</v>
      </c>
      <c r="K1259" s="89" t="str">
        <f>IFERROR(IF(VLOOKUP(I1259,Ingreso!K:P,6,0)=0,"Sin turtno ing",VLOOKUP(I1259,Ingreso!K:P,6,0)),IF(F1259&gt;0.25,IF(F1259&lt;0.311805555555556,"Turno A",IF(F1259&gt;0.3125,IF(F1259&lt;0.354166666666667,"Turno C",IF(F1259&gt;0.583333333333333,IF(F1259&lt;0.625,"Turno B",IF(F1259&gt;0.625694444444444,IF(F1259&lt;0.8125,"Turno A",IF(F1259&gt;0.875,IF(F1259&lt;0.936805555555556,"Turno C",IF(F1259&gt;0.9375,IF(F1259&lt;0.979166666666667,"Turno B",""),"")),"")),"")),"")),"")),""))</f>
        <v>Sin turtno ing</v>
      </c>
      <c r="L1259" s="91" t="e">
        <f t="shared" si="19"/>
        <v>#N/A</v>
      </c>
    </row>
    <row r="1260" spans="1:12" s="40" customFormat="1">
      <c r="A1260">
        <v>13236100</v>
      </c>
      <c r="B1260" t="s">
        <v>165</v>
      </c>
      <c r="C1260" t="s">
        <v>164</v>
      </c>
      <c r="D1260" t="s">
        <v>83</v>
      </c>
      <c r="E1260" t="s">
        <v>1438</v>
      </c>
      <c r="F1260" s="78">
        <v>0.53236111111111117</v>
      </c>
      <c r="G1260" t="s">
        <v>1405</v>
      </c>
      <c r="H1260" t="s">
        <v>1335</v>
      </c>
      <c r="I1260" s="88" t="str">
        <f>VLOOKUP(A1260,Base!A:B,2,0)</f>
        <v>13.236.100-2</v>
      </c>
      <c r="J1260" s="99" t="str">
        <f>VLOOKUP(A1260,Base!A:F,6,0)</f>
        <v>MARCO ANTONIO  BUSTAMANTE  GONZALEZ</v>
      </c>
      <c r="K1260" s="89" t="str">
        <f>IFERROR(IF(VLOOKUP(I1260,Ingreso!K:P,6,0)=0,"Sin turtno ing",VLOOKUP(I1260,Ingreso!K:P,6,0)),IF(F1260&gt;0.25,IF(F1260&lt;0.311805555555556,"Turno A",IF(F1260&gt;0.3125,IF(F1260&lt;0.354166666666667,"Turno C",IF(F1260&gt;0.583333333333333,IF(F1260&lt;0.625,"Turno B",IF(F1260&gt;0.625694444444444,IF(F1260&lt;0.8125,"Turno A",IF(F1260&gt;0.875,IF(F1260&lt;0.936805555555556,"Turno C",IF(F1260&gt;0.9375,IF(F1260&lt;0.979166666666667,"Turno B",""),"")),"")),"")),"")),"")),""))</f>
        <v>Sin turtno ing</v>
      </c>
      <c r="L1260" s="91" t="e">
        <f t="shared" si="19"/>
        <v>#N/A</v>
      </c>
    </row>
    <row r="1261" spans="1:12" s="40" customFormat="1">
      <c r="A1261">
        <v>13236100</v>
      </c>
      <c r="B1261" t="s">
        <v>165</v>
      </c>
      <c r="C1261" t="s">
        <v>164</v>
      </c>
      <c r="D1261" t="s">
        <v>83</v>
      </c>
      <c r="E1261" t="s">
        <v>1439</v>
      </c>
      <c r="F1261" s="78">
        <v>0.81327546296296294</v>
      </c>
      <c r="G1261" t="s">
        <v>1406</v>
      </c>
      <c r="H1261" t="s">
        <v>1336</v>
      </c>
      <c r="I1261" s="88" t="str">
        <f>VLOOKUP(A1261,Base!A:B,2,0)</f>
        <v>13.236.100-2</v>
      </c>
      <c r="J1261" s="99" t="str">
        <f>VLOOKUP(A1261,Base!A:F,6,0)</f>
        <v>MARCO ANTONIO  BUSTAMANTE  GONZALEZ</v>
      </c>
      <c r="K1261" s="89" t="str">
        <f>IFERROR(IF(VLOOKUP(I1261,Ingreso!K:P,6,0)=0,"Sin turtno ing",VLOOKUP(I1261,Ingreso!K:P,6,0)),IF(F1261&gt;0.25,IF(F1261&lt;0.311805555555556,"Turno A",IF(F1261&gt;0.3125,IF(F1261&lt;0.354166666666667,"Turno C",IF(F1261&gt;0.583333333333333,IF(F1261&lt;0.625,"Turno B",IF(F1261&gt;0.625694444444444,IF(F1261&lt;0.8125,"Turno A",IF(F1261&gt;0.875,IF(F1261&lt;0.936805555555556,"Turno C",IF(F1261&gt;0.9375,IF(F1261&lt;0.979166666666667,"Turno B",""),"")),"")),"")),"")),"")),""))</f>
        <v>Sin turtno ing</v>
      </c>
      <c r="L1261" s="91" t="e">
        <f t="shared" si="19"/>
        <v>#N/A</v>
      </c>
    </row>
    <row r="1262" spans="1:12" s="40" customFormat="1">
      <c r="A1262">
        <v>13236100</v>
      </c>
      <c r="B1262" t="s">
        <v>165</v>
      </c>
      <c r="C1262" t="s">
        <v>164</v>
      </c>
      <c r="D1262" t="s">
        <v>83</v>
      </c>
      <c r="E1262" t="s">
        <v>1439</v>
      </c>
      <c r="F1262" s="78">
        <v>0.37059027777777781</v>
      </c>
      <c r="G1262" t="s">
        <v>1405</v>
      </c>
      <c r="H1262" t="s">
        <v>1335</v>
      </c>
      <c r="I1262" s="88" t="str">
        <f>VLOOKUP(A1262,Base!A:B,2,0)</f>
        <v>13.236.100-2</v>
      </c>
      <c r="J1262" s="99" t="str">
        <f>VLOOKUP(A1262,Base!A:F,6,0)</f>
        <v>MARCO ANTONIO  BUSTAMANTE  GONZALEZ</v>
      </c>
      <c r="K1262" s="89" t="str">
        <f>IFERROR(IF(VLOOKUP(I1262,Ingreso!K:P,6,0)=0,"Sin turtno ing",VLOOKUP(I1262,Ingreso!K:P,6,0)),IF(F1262&gt;0.25,IF(F1262&lt;0.311805555555556,"Turno A",IF(F1262&gt;0.3125,IF(F1262&lt;0.354166666666667,"Turno C",IF(F1262&gt;0.583333333333333,IF(F1262&lt;0.625,"Turno B",IF(F1262&gt;0.625694444444444,IF(F1262&lt;0.8125,"Turno A",IF(F1262&gt;0.875,IF(F1262&lt;0.936805555555556,"Turno C",IF(F1262&gt;0.9375,IF(F1262&lt;0.979166666666667,"Turno B",""),"")),"")),"")),"")),"")),""))</f>
        <v>Sin turtno ing</v>
      </c>
      <c r="L1262" s="91" t="e">
        <f t="shared" si="19"/>
        <v>#N/A</v>
      </c>
    </row>
    <row r="1263" spans="1:12" s="40" customFormat="1">
      <c r="A1263">
        <v>13284475</v>
      </c>
      <c r="B1263" t="s">
        <v>1202</v>
      </c>
      <c r="C1263" t="s">
        <v>732</v>
      </c>
      <c r="D1263" t="s">
        <v>424</v>
      </c>
      <c r="E1263" t="s">
        <v>1440</v>
      </c>
      <c r="F1263" s="78">
        <v>0.63589120370370367</v>
      </c>
      <c r="G1263" t="s">
        <v>1406</v>
      </c>
      <c r="H1263" t="s">
        <v>1336</v>
      </c>
      <c r="I1263" s="88" t="str">
        <f>VLOOKUP(A1263,Base!A:B,2,0)</f>
        <v>13.284.475-5</v>
      </c>
      <c r="J1263" s="99" t="str">
        <f>VLOOKUP(A1263,Base!A:F,6,0)</f>
        <v>ESTEBAN  OSORIO  LUCERO</v>
      </c>
      <c r="K1263" s="89" t="str">
        <f>IFERROR(IF(VLOOKUP(I1263,Ingreso!K:P,6,0)=0,"Sin turtno ing",VLOOKUP(I1263,Ingreso!K:P,6,0)),IF(F1263&gt;0.25,IF(F1263&lt;0.311805555555556,"Turno A",IF(F1263&gt;0.3125,IF(F1263&lt;0.354166666666667,"Turno C",IF(F1263&gt;0.583333333333333,IF(F1263&lt;0.625,"Turno B",IF(F1263&gt;0.625694444444444,IF(F1263&lt;0.8125,"Turno A",IF(F1263&gt;0.875,IF(F1263&lt;0.936805555555556,"Turno C",IF(F1263&gt;0.9375,IF(F1263&lt;0.979166666666667,"Turno B",""),"")),"")),"")),"")),"")),""))</f>
        <v>Turno A</v>
      </c>
      <c r="L1263" s="91">
        <f t="shared" si="19"/>
        <v>0.3125</v>
      </c>
    </row>
    <row r="1264" spans="1:12" s="40" customFormat="1">
      <c r="A1264">
        <v>13284475</v>
      </c>
      <c r="B1264" t="s">
        <v>1202</v>
      </c>
      <c r="C1264" t="s">
        <v>732</v>
      </c>
      <c r="D1264" t="s">
        <v>424</v>
      </c>
      <c r="E1264" t="s">
        <v>1440</v>
      </c>
      <c r="F1264" s="78">
        <v>0.29988425925925927</v>
      </c>
      <c r="G1264" t="s">
        <v>1405</v>
      </c>
      <c r="H1264" t="s">
        <v>1335</v>
      </c>
      <c r="I1264" s="88" t="str">
        <f>VLOOKUP(A1264,Base!A:B,2,0)</f>
        <v>13.284.475-5</v>
      </c>
      <c r="J1264" s="99" t="str">
        <f>VLOOKUP(A1264,Base!A:F,6,0)</f>
        <v>ESTEBAN  OSORIO  LUCERO</v>
      </c>
      <c r="K1264" s="89" t="str">
        <f>IFERROR(IF(VLOOKUP(I1264,Ingreso!K:P,6,0)=0,"Sin turtno ing",VLOOKUP(I1264,Ingreso!K:P,6,0)),IF(F1264&gt;0.25,IF(F1264&lt;0.311805555555556,"Turno A",IF(F1264&gt;0.3125,IF(F1264&lt;0.354166666666667,"Turno C",IF(F1264&gt;0.583333333333333,IF(F1264&lt;0.625,"Turno B",IF(F1264&gt;0.625694444444444,IF(F1264&lt;0.8125,"Turno A",IF(F1264&gt;0.875,IF(F1264&lt;0.936805555555556,"Turno C",IF(F1264&gt;0.9375,IF(F1264&lt;0.979166666666667,"Turno B",""),"")),"")),"")),"")),"")),""))</f>
        <v>Turno A</v>
      </c>
      <c r="L1264" s="91">
        <f t="shared" si="19"/>
        <v>0.3125</v>
      </c>
    </row>
    <row r="1265" spans="1:12" s="40" customFormat="1">
      <c r="A1265">
        <v>13284475</v>
      </c>
      <c r="B1265" t="s">
        <v>1202</v>
      </c>
      <c r="C1265" t="s">
        <v>732</v>
      </c>
      <c r="D1265" t="s">
        <v>424</v>
      </c>
      <c r="E1265" t="s">
        <v>1441</v>
      </c>
      <c r="F1265" s="78">
        <v>0.63468749999999996</v>
      </c>
      <c r="G1265" t="s">
        <v>1406</v>
      </c>
      <c r="H1265" t="s">
        <v>1336</v>
      </c>
      <c r="I1265" s="88" t="str">
        <f>VLOOKUP(A1265,Base!A:B,2,0)</f>
        <v>13.284.475-5</v>
      </c>
      <c r="J1265" s="99" t="str">
        <f>VLOOKUP(A1265,Base!A:F,6,0)</f>
        <v>ESTEBAN  OSORIO  LUCERO</v>
      </c>
      <c r="K1265" s="89" t="str">
        <f>IFERROR(IF(VLOOKUP(I1265,Ingreso!K:P,6,0)=0,"Sin turtno ing",VLOOKUP(I1265,Ingreso!K:P,6,0)),IF(F1265&gt;0.25,IF(F1265&lt;0.311805555555556,"Turno A",IF(F1265&gt;0.3125,IF(F1265&lt;0.354166666666667,"Turno C",IF(F1265&gt;0.583333333333333,IF(F1265&lt;0.625,"Turno B",IF(F1265&gt;0.625694444444444,IF(F1265&lt;0.8125,"Turno A",IF(F1265&gt;0.875,IF(F1265&lt;0.936805555555556,"Turno C",IF(F1265&gt;0.9375,IF(F1265&lt;0.979166666666667,"Turno B",""),"")),"")),"")),"")),"")),""))</f>
        <v>Turno A</v>
      </c>
      <c r="L1265" s="91">
        <f t="shared" si="19"/>
        <v>0.3125</v>
      </c>
    </row>
    <row r="1266" spans="1:12" s="40" customFormat="1">
      <c r="A1266">
        <v>13284475</v>
      </c>
      <c r="B1266" t="s">
        <v>1202</v>
      </c>
      <c r="C1266" t="s">
        <v>732</v>
      </c>
      <c r="D1266" t="s">
        <v>424</v>
      </c>
      <c r="E1266" t="s">
        <v>1441</v>
      </c>
      <c r="F1266" s="78">
        <v>0.29395833333333332</v>
      </c>
      <c r="G1266" t="s">
        <v>1405</v>
      </c>
      <c r="H1266" t="s">
        <v>1335</v>
      </c>
      <c r="I1266" s="88" t="str">
        <f>VLOOKUP(A1266,Base!A:B,2,0)</f>
        <v>13.284.475-5</v>
      </c>
      <c r="J1266" s="99" t="str">
        <f>VLOOKUP(A1266,Base!A:F,6,0)</f>
        <v>ESTEBAN  OSORIO  LUCERO</v>
      </c>
      <c r="K1266" s="89" t="str">
        <f>IFERROR(IF(VLOOKUP(I1266,Ingreso!K:P,6,0)=0,"Sin turtno ing",VLOOKUP(I1266,Ingreso!K:P,6,0)),IF(F1266&gt;0.25,IF(F1266&lt;0.311805555555556,"Turno A",IF(F1266&gt;0.3125,IF(F1266&lt;0.354166666666667,"Turno C",IF(F1266&gt;0.583333333333333,IF(F1266&lt;0.625,"Turno B",IF(F1266&gt;0.625694444444444,IF(F1266&lt;0.8125,"Turno A",IF(F1266&gt;0.875,IF(F1266&lt;0.936805555555556,"Turno C",IF(F1266&gt;0.9375,IF(F1266&lt;0.979166666666667,"Turno B",""),"")),"")),"")),"")),"")),""))</f>
        <v>Turno A</v>
      </c>
      <c r="L1266" s="91">
        <f t="shared" si="19"/>
        <v>0.3125</v>
      </c>
    </row>
    <row r="1267" spans="1:12" s="40" customFormat="1">
      <c r="A1267">
        <v>13284475</v>
      </c>
      <c r="B1267" t="s">
        <v>1202</v>
      </c>
      <c r="C1267" t="s">
        <v>732</v>
      </c>
      <c r="D1267" t="s">
        <v>424</v>
      </c>
      <c r="E1267" t="s">
        <v>1442</v>
      </c>
      <c r="F1267" s="78">
        <v>0.9981712962962962</v>
      </c>
      <c r="G1267" t="s">
        <v>1405</v>
      </c>
      <c r="H1267" t="s">
        <v>1335</v>
      </c>
      <c r="I1267" s="88" t="str">
        <f>VLOOKUP(A1267,Base!A:B,2,0)</f>
        <v>13.284.475-5</v>
      </c>
      <c r="J1267" s="99" t="str">
        <f>VLOOKUP(A1267,Base!A:F,6,0)</f>
        <v>ESTEBAN  OSORIO  LUCERO</v>
      </c>
      <c r="K1267" s="89" t="str">
        <f>IFERROR(IF(VLOOKUP(I1267,Ingreso!K:P,6,0)=0,"Sin turtno ing",VLOOKUP(I1267,Ingreso!K:P,6,0)),IF(F1267&gt;0.25,IF(F1267&lt;0.311805555555556,"Turno A",IF(F1267&gt;0.3125,IF(F1267&lt;0.354166666666667,"Turno C",IF(F1267&gt;0.583333333333333,IF(F1267&lt;0.625,"Turno B",IF(F1267&gt;0.625694444444444,IF(F1267&lt;0.8125,"Turno A",IF(F1267&gt;0.875,IF(F1267&lt;0.936805555555556,"Turno C",IF(F1267&gt;0.9375,IF(F1267&lt;0.979166666666667,"Turno B",""),"")),"")),"")),"")),"")),""))</f>
        <v/>
      </c>
      <c r="L1267" s="91" t="e">
        <f t="shared" si="19"/>
        <v>#N/A</v>
      </c>
    </row>
    <row r="1268" spans="1:12" s="40" customFormat="1">
      <c r="A1268">
        <v>13284475</v>
      </c>
      <c r="B1268" t="s">
        <v>1202</v>
      </c>
      <c r="C1268" t="s">
        <v>732</v>
      </c>
      <c r="D1268" t="s">
        <v>424</v>
      </c>
      <c r="E1268" t="s">
        <v>1437</v>
      </c>
      <c r="F1268" s="78">
        <v>0.638738425925926</v>
      </c>
      <c r="G1268" t="s">
        <v>1406</v>
      </c>
      <c r="H1268" t="s">
        <v>1336</v>
      </c>
      <c r="I1268" s="88" t="str">
        <f>VLOOKUP(A1268,Base!A:B,2,0)</f>
        <v>13.284.475-5</v>
      </c>
      <c r="J1268" s="99" t="str">
        <f>VLOOKUP(A1268,Base!A:F,6,0)</f>
        <v>ESTEBAN  OSORIO  LUCERO</v>
      </c>
      <c r="K1268" s="89" t="str">
        <f>IFERROR(IF(VLOOKUP(I1268,Ingreso!K:P,6,0)=0,"Sin turtno ing",VLOOKUP(I1268,Ingreso!K:P,6,0)),IF(F1268&gt;0.25,IF(F1268&lt;0.311805555555556,"Turno A",IF(F1268&gt;0.3125,IF(F1268&lt;0.354166666666667,"Turno C",IF(F1268&gt;0.583333333333333,IF(F1268&lt;0.625,"Turno B",IF(F1268&gt;0.625694444444444,IF(F1268&lt;0.8125,"Turno A",IF(F1268&gt;0.875,IF(F1268&lt;0.936805555555556,"Turno C",IF(F1268&gt;0.9375,IF(F1268&lt;0.979166666666667,"Turno B",""),"")),"")),"")),"")),"")),""))</f>
        <v>Turno A</v>
      </c>
      <c r="L1268" s="91">
        <f t="shared" si="19"/>
        <v>0.3125</v>
      </c>
    </row>
    <row r="1269" spans="1:12" s="40" customFormat="1">
      <c r="A1269">
        <v>13284475</v>
      </c>
      <c r="B1269" t="s">
        <v>1202</v>
      </c>
      <c r="C1269" t="s">
        <v>732</v>
      </c>
      <c r="D1269" t="s">
        <v>424</v>
      </c>
      <c r="E1269" t="s">
        <v>1437</v>
      </c>
      <c r="F1269" s="78">
        <v>0.29540509259259257</v>
      </c>
      <c r="G1269" t="s">
        <v>1405</v>
      </c>
      <c r="H1269" t="s">
        <v>1335</v>
      </c>
      <c r="I1269" s="88" t="str">
        <f>VLOOKUP(A1269,Base!A:B,2,0)</f>
        <v>13.284.475-5</v>
      </c>
      <c r="J1269" s="99" t="str">
        <f>VLOOKUP(A1269,Base!A:F,6,0)</f>
        <v>ESTEBAN  OSORIO  LUCERO</v>
      </c>
      <c r="K1269" s="89" t="str">
        <f>IFERROR(IF(VLOOKUP(I1269,Ingreso!K:P,6,0)=0,"Sin turtno ing",VLOOKUP(I1269,Ingreso!K:P,6,0)),IF(F1269&gt;0.25,IF(F1269&lt;0.311805555555556,"Turno A",IF(F1269&gt;0.3125,IF(F1269&lt;0.354166666666667,"Turno C",IF(F1269&gt;0.583333333333333,IF(F1269&lt;0.625,"Turno B",IF(F1269&gt;0.625694444444444,IF(F1269&lt;0.8125,"Turno A",IF(F1269&gt;0.875,IF(F1269&lt;0.936805555555556,"Turno C",IF(F1269&gt;0.9375,IF(F1269&lt;0.979166666666667,"Turno B",""),"")),"")),"")),"")),"")),""))</f>
        <v>Turno A</v>
      </c>
      <c r="L1269" s="91">
        <f t="shared" si="19"/>
        <v>0.3125</v>
      </c>
    </row>
    <row r="1270" spans="1:12" s="40" customFormat="1">
      <c r="A1270">
        <v>13284475</v>
      </c>
      <c r="B1270" t="s">
        <v>1202</v>
      </c>
      <c r="C1270" t="s">
        <v>732</v>
      </c>
      <c r="D1270" t="s">
        <v>424</v>
      </c>
      <c r="E1270" t="s">
        <v>1438</v>
      </c>
      <c r="F1270" s="78">
        <v>0.63</v>
      </c>
      <c r="G1270" t="s">
        <v>1406</v>
      </c>
      <c r="H1270" t="s">
        <v>1336</v>
      </c>
      <c r="I1270" s="88" t="str">
        <f>VLOOKUP(A1270,Base!A:B,2,0)</f>
        <v>13.284.475-5</v>
      </c>
      <c r="J1270" s="99" t="str">
        <f>VLOOKUP(A1270,Base!A:F,6,0)</f>
        <v>ESTEBAN  OSORIO  LUCERO</v>
      </c>
      <c r="K1270" s="89" t="str">
        <f>IFERROR(IF(VLOOKUP(I1270,Ingreso!K:P,6,0)=0,"Sin turtno ing",VLOOKUP(I1270,Ingreso!K:P,6,0)),IF(F1270&gt;0.25,IF(F1270&lt;0.311805555555556,"Turno A",IF(F1270&gt;0.3125,IF(F1270&lt;0.354166666666667,"Turno C",IF(F1270&gt;0.583333333333333,IF(F1270&lt;0.625,"Turno B",IF(F1270&gt;0.625694444444444,IF(F1270&lt;0.8125,"Turno A",IF(F1270&gt;0.875,IF(F1270&lt;0.936805555555556,"Turno C",IF(F1270&gt;0.9375,IF(F1270&lt;0.979166666666667,"Turno B",""),"")),"")),"")),"")),"")),""))</f>
        <v>Turno A</v>
      </c>
      <c r="L1270" s="91">
        <f t="shared" si="19"/>
        <v>0.3125</v>
      </c>
    </row>
    <row r="1271" spans="1:12" s="40" customFormat="1">
      <c r="A1271">
        <v>13284475</v>
      </c>
      <c r="B1271" t="s">
        <v>1202</v>
      </c>
      <c r="C1271" t="s">
        <v>732</v>
      </c>
      <c r="D1271" t="s">
        <v>424</v>
      </c>
      <c r="E1271" t="s">
        <v>1438</v>
      </c>
      <c r="F1271" s="78">
        <v>0.30386574074074074</v>
      </c>
      <c r="G1271" t="s">
        <v>1405</v>
      </c>
      <c r="H1271" t="s">
        <v>1335</v>
      </c>
      <c r="I1271" s="88" t="str">
        <f>VLOOKUP(A1271,Base!A:B,2,0)</f>
        <v>13.284.475-5</v>
      </c>
      <c r="J1271" s="99" t="str">
        <f>VLOOKUP(A1271,Base!A:F,6,0)</f>
        <v>ESTEBAN  OSORIO  LUCERO</v>
      </c>
      <c r="K1271" s="89" t="str">
        <f>IFERROR(IF(VLOOKUP(I1271,Ingreso!K:P,6,0)=0,"Sin turtno ing",VLOOKUP(I1271,Ingreso!K:P,6,0)),IF(F1271&gt;0.25,IF(F1271&lt;0.311805555555556,"Turno A",IF(F1271&gt;0.3125,IF(F1271&lt;0.354166666666667,"Turno C",IF(F1271&gt;0.583333333333333,IF(F1271&lt;0.625,"Turno B",IF(F1271&gt;0.625694444444444,IF(F1271&lt;0.8125,"Turno A",IF(F1271&gt;0.875,IF(F1271&lt;0.936805555555556,"Turno C",IF(F1271&gt;0.9375,IF(F1271&lt;0.979166666666667,"Turno B",""),"")),"")),"")),"")),"")),""))</f>
        <v>Turno A</v>
      </c>
      <c r="L1271" s="91">
        <f t="shared" si="19"/>
        <v>0.3125</v>
      </c>
    </row>
    <row r="1272" spans="1:12" s="40" customFormat="1">
      <c r="A1272">
        <v>13284475</v>
      </c>
      <c r="B1272" t="s">
        <v>1202</v>
      </c>
      <c r="C1272" t="s">
        <v>732</v>
      </c>
      <c r="D1272" t="s">
        <v>424</v>
      </c>
      <c r="E1272" t="s">
        <v>1439</v>
      </c>
      <c r="F1272" s="78">
        <v>0.63403935185185178</v>
      </c>
      <c r="G1272" t="s">
        <v>1406</v>
      </c>
      <c r="H1272" t="s">
        <v>1336</v>
      </c>
      <c r="I1272" s="88" t="str">
        <f>VLOOKUP(A1272,Base!A:B,2,0)</f>
        <v>13.284.475-5</v>
      </c>
      <c r="J1272" s="99" t="str">
        <f>VLOOKUP(A1272,Base!A:F,6,0)</f>
        <v>ESTEBAN  OSORIO  LUCERO</v>
      </c>
      <c r="K1272" s="89" t="str">
        <f>IFERROR(IF(VLOOKUP(I1272,Ingreso!K:P,6,0)=0,"Sin turtno ing",VLOOKUP(I1272,Ingreso!K:P,6,0)),IF(F1272&gt;0.25,IF(F1272&lt;0.311805555555556,"Turno A",IF(F1272&gt;0.3125,IF(F1272&lt;0.354166666666667,"Turno C",IF(F1272&gt;0.583333333333333,IF(F1272&lt;0.625,"Turno B",IF(F1272&gt;0.625694444444444,IF(F1272&lt;0.8125,"Turno A",IF(F1272&gt;0.875,IF(F1272&lt;0.936805555555556,"Turno C",IF(F1272&gt;0.9375,IF(F1272&lt;0.979166666666667,"Turno B",""),"")),"")),"")),"")),"")),""))</f>
        <v>Turno A</v>
      </c>
      <c r="L1272" s="91">
        <f t="shared" si="19"/>
        <v>0.3125</v>
      </c>
    </row>
    <row r="1273" spans="1:12" s="40" customFormat="1">
      <c r="A1273">
        <v>13284475</v>
      </c>
      <c r="B1273" t="s">
        <v>1202</v>
      </c>
      <c r="C1273" t="s">
        <v>732</v>
      </c>
      <c r="D1273" t="s">
        <v>424</v>
      </c>
      <c r="E1273" t="s">
        <v>1439</v>
      </c>
      <c r="F1273" s="78">
        <v>0.31057870370370372</v>
      </c>
      <c r="G1273" t="s">
        <v>1405</v>
      </c>
      <c r="H1273" t="s">
        <v>1335</v>
      </c>
      <c r="I1273" s="88" t="str">
        <f>VLOOKUP(A1273,Base!A:B,2,0)</f>
        <v>13.284.475-5</v>
      </c>
      <c r="J1273" s="99" t="str">
        <f>VLOOKUP(A1273,Base!A:F,6,0)</f>
        <v>ESTEBAN  OSORIO  LUCERO</v>
      </c>
      <c r="K1273" s="89" t="str">
        <f>IFERROR(IF(VLOOKUP(I1273,Ingreso!K:P,6,0)=0,"Sin turtno ing",VLOOKUP(I1273,Ingreso!K:P,6,0)),IF(F1273&gt;0.25,IF(F1273&lt;0.311805555555556,"Turno A",IF(F1273&gt;0.3125,IF(F1273&lt;0.354166666666667,"Turno C",IF(F1273&gt;0.583333333333333,IF(F1273&lt;0.625,"Turno B",IF(F1273&gt;0.625694444444444,IF(F1273&lt;0.8125,"Turno A",IF(F1273&gt;0.875,IF(F1273&lt;0.936805555555556,"Turno C",IF(F1273&gt;0.9375,IF(F1273&lt;0.979166666666667,"Turno B",""),"")),"")),"")),"")),"")),""))</f>
        <v>Turno A</v>
      </c>
      <c r="L1273" s="91">
        <f t="shared" si="19"/>
        <v>0.3125</v>
      </c>
    </row>
    <row r="1274" spans="1:12" s="40" customFormat="1">
      <c r="A1274">
        <v>13284709</v>
      </c>
      <c r="B1274" t="s">
        <v>676</v>
      </c>
      <c r="C1274" t="s">
        <v>33</v>
      </c>
      <c r="D1274" t="s">
        <v>580</v>
      </c>
      <c r="E1274" t="s">
        <v>1440</v>
      </c>
      <c r="F1274" s="78">
        <v>0.59736111111111112</v>
      </c>
      <c r="G1274" t="s">
        <v>1406</v>
      </c>
      <c r="H1274" t="s">
        <v>1336</v>
      </c>
      <c r="I1274" s="88" t="str">
        <f>VLOOKUP(A1274,Base!A:B,2,0)</f>
        <v>13.284.709-6</v>
      </c>
      <c r="J1274" s="99" t="str">
        <f>VLOOKUP(A1274,Base!A:F,6,0)</f>
        <v>KATHERINE ANDREA  MUÑOZ  RAMIREZ</v>
      </c>
      <c r="K1274" s="89" t="str">
        <f>IFERROR(IF(VLOOKUP(I1274,Ingreso!K:P,6,0)=0,"Sin turtno ing",VLOOKUP(I1274,Ingreso!K:P,6,0)),IF(F1274&gt;0.25,IF(F1274&lt;0.311805555555556,"Turno A",IF(F1274&gt;0.3125,IF(F1274&lt;0.354166666666667,"Turno C",IF(F1274&gt;0.583333333333333,IF(F1274&lt;0.625,"Turno B",IF(F1274&gt;0.625694444444444,IF(F1274&lt;0.8125,"Turno A",IF(F1274&gt;0.875,IF(F1274&lt;0.936805555555556,"Turno C",IF(F1274&gt;0.9375,IF(F1274&lt;0.979166666666667,"Turno B",""),"")),"")),"")),"")),"")),""))</f>
        <v>Turno B</v>
      </c>
      <c r="L1274" s="91">
        <f t="shared" si="19"/>
        <v>0.3125</v>
      </c>
    </row>
    <row r="1275" spans="1:12" s="40" customFormat="1">
      <c r="A1275">
        <v>13284709</v>
      </c>
      <c r="B1275" t="s">
        <v>676</v>
      </c>
      <c r="C1275" t="s">
        <v>33</v>
      </c>
      <c r="D1275" t="s">
        <v>580</v>
      </c>
      <c r="E1275" t="s">
        <v>1440</v>
      </c>
      <c r="F1275" s="78">
        <v>0.30766203703703704</v>
      </c>
      <c r="G1275" t="s">
        <v>1405</v>
      </c>
      <c r="H1275" t="s">
        <v>1335</v>
      </c>
      <c r="I1275" s="88" t="str">
        <f>VLOOKUP(A1275,Base!A:B,2,0)</f>
        <v>13.284.709-6</v>
      </c>
      <c r="J1275" s="99" t="str">
        <f>VLOOKUP(A1275,Base!A:F,6,0)</f>
        <v>KATHERINE ANDREA  MUÑOZ  RAMIREZ</v>
      </c>
      <c r="K1275" s="89" t="str">
        <f>IFERROR(IF(VLOOKUP(I1275,Ingreso!K:P,6,0)=0,"Sin turtno ing",VLOOKUP(I1275,Ingreso!K:P,6,0)),IF(F1275&gt;0.25,IF(F1275&lt;0.311805555555556,"Turno A",IF(F1275&gt;0.3125,IF(F1275&lt;0.354166666666667,"Turno C",IF(F1275&gt;0.583333333333333,IF(F1275&lt;0.625,"Turno B",IF(F1275&gt;0.625694444444444,IF(F1275&lt;0.8125,"Turno A",IF(F1275&gt;0.875,IF(F1275&lt;0.936805555555556,"Turno C",IF(F1275&gt;0.9375,IF(F1275&lt;0.979166666666667,"Turno B",""),"")),"")),"")),"")),"")),""))</f>
        <v>Turno A</v>
      </c>
      <c r="L1275" s="91">
        <f t="shared" si="19"/>
        <v>0.3125</v>
      </c>
    </row>
    <row r="1276" spans="1:12" s="40" customFormat="1">
      <c r="A1276">
        <v>13284709</v>
      </c>
      <c r="B1276" t="s">
        <v>676</v>
      </c>
      <c r="C1276" t="s">
        <v>33</v>
      </c>
      <c r="D1276" t="s">
        <v>580</v>
      </c>
      <c r="E1276" t="s">
        <v>1441</v>
      </c>
      <c r="F1276" s="78">
        <v>0.63980324074074069</v>
      </c>
      <c r="G1276" t="s">
        <v>1406</v>
      </c>
      <c r="H1276" t="s">
        <v>1336</v>
      </c>
      <c r="I1276" s="88" t="str">
        <f>VLOOKUP(A1276,Base!A:B,2,0)</f>
        <v>13.284.709-6</v>
      </c>
      <c r="J1276" s="99" t="str">
        <f>VLOOKUP(A1276,Base!A:F,6,0)</f>
        <v>KATHERINE ANDREA  MUÑOZ  RAMIREZ</v>
      </c>
      <c r="K1276" s="89" t="str">
        <f>IFERROR(IF(VLOOKUP(I1276,Ingreso!K:P,6,0)=0,"Sin turtno ing",VLOOKUP(I1276,Ingreso!K:P,6,0)),IF(F1276&gt;0.25,IF(F1276&lt;0.311805555555556,"Turno A",IF(F1276&gt;0.3125,IF(F1276&lt;0.354166666666667,"Turno C",IF(F1276&gt;0.583333333333333,IF(F1276&lt;0.625,"Turno B",IF(F1276&gt;0.625694444444444,IF(F1276&lt;0.8125,"Turno A",IF(F1276&gt;0.875,IF(F1276&lt;0.936805555555556,"Turno C",IF(F1276&gt;0.9375,IF(F1276&lt;0.979166666666667,"Turno B",""),"")),"")),"")),"")),"")),""))</f>
        <v>Turno A</v>
      </c>
      <c r="L1276" s="91">
        <f t="shared" si="19"/>
        <v>0.3125</v>
      </c>
    </row>
    <row r="1277" spans="1:12" s="40" customFormat="1">
      <c r="A1277">
        <v>13284709</v>
      </c>
      <c r="B1277" t="s">
        <v>676</v>
      </c>
      <c r="C1277" t="s">
        <v>33</v>
      </c>
      <c r="D1277" t="s">
        <v>580</v>
      </c>
      <c r="E1277" t="s">
        <v>1441</v>
      </c>
      <c r="F1277" s="78">
        <v>0.30531249999999999</v>
      </c>
      <c r="G1277" t="s">
        <v>1405</v>
      </c>
      <c r="H1277" t="s">
        <v>1335</v>
      </c>
      <c r="I1277" s="88" t="str">
        <f>VLOOKUP(A1277,Base!A:B,2,0)</f>
        <v>13.284.709-6</v>
      </c>
      <c r="J1277" s="99" t="str">
        <f>VLOOKUP(A1277,Base!A:F,6,0)</f>
        <v>KATHERINE ANDREA  MUÑOZ  RAMIREZ</v>
      </c>
      <c r="K1277" s="89" t="str">
        <f>IFERROR(IF(VLOOKUP(I1277,Ingreso!K:P,6,0)=0,"Sin turtno ing",VLOOKUP(I1277,Ingreso!K:P,6,0)),IF(F1277&gt;0.25,IF(F1277&lt;0.311805555555556,"Turno A",IF(F1277&gt;0.3125,IF(F1277&lt;0.354166666666667,"Turno C",IF(F1277&gt;0.583333333333333,IF(F1277&lt;0.625,"Turno B",IF(F1277&gt;0.625694444444444,IF(F1277&lt;0.8125,"Turno A",IF(F1277&gt;0.875,IF(F1277&lt;0.936805555555556,"Turno C",IF(F1277&gt;0.9375,IF(F1277&lt;0.979166666666667,"Turno B",""),"")),"")),"")),"")),"")),""))</f>
        <v>Turno A</v>
      </c>
      <c r="L1277" s="91">
        <f t="shared" si="19"/>
        <v>0.3125</v>
      </c>
    </row>
    <row r="1278" spans="1:12" s="40" customFormat="1">
      <c r="A1278">
        <v>13284709</v>
      </c>
      <c r="B1278" t="s">
        <v>676</v>
      </c>
      <c r="C1278" t="s">
        <v>33</v>
      </c>
      <c r="D1278" t="s">
        <v>580</v>
      </c>
      <c r="E1278" t="s">
        <v>1437</v>
      </c>
      <c r="F1278" s="78">
        <v>0.63910879629629636</v>
      </c>
      <c r="G1278" t="s">
        <v>1406</v>
      </c>
      <c r="H1278" t="s">
        <v>1336</v>
      </c>
      <c r="I1278" s="88" t="str">
        <f>VLOOKUP(A1278,Base!A:B,2,0)</f>
        <v>13.284.709-6</v>
      </c>
      <c r="J1278" s="99" t="str">
        <f>VLOOKUP(A1278,Base!A:F,6,0)</f>
        <v>KATHERINE ANDREA  MUÑOZ  RAMIREZ</v>
      </c>
      <c r="K1278" s="89" t="str">
        <f>IFERROR(IF(VLOOKUP(I1278,Ingreso!K:P,6,0)=0,"Sin turtno ing",VLOOKUP(I1278,Ingreso!K:P,6,0)),IF(F1278&gt;0.25,IF(F1278&lt;0.311805555555556,"Turno A",IF(F1278&gt;0.3125,IF(F1278&lt;0.354166666666667,"Turno C",IF(F1278&gt;0.583333333333333,IF(F1278&lt;0.625,"Turno B",IF(F1278&gt;0.625694444444444,IF(F1278&lt;0.8125,"Turno A",IF(F1278&gt;0.875,IF(F1278&lt;0.936805555555556,"Turno C",IF(F1278&gt;0.9375,IF(F1278&lt;0.979166666666667,"Turno B",""),"")),"")),"")),"")),"")),""))</f>
        <v>Turno A</v>
      </c>
      <c r="L1278" s="91">
        <f t="shared" si="19"/>
        <v>0.3125</v>
      </c>
    </row>
    <row r="1279" spans="1:12" s="40" customFormat="1">
      <c r="A1279">
        <v>13284709</v>
      </c>
      <c r="B1279" t="s">
        <v>676</v>
      </c>
      <c r="C1279" t="s">
        <v>33</v>
      </c>
      <c r="D1279" t="s">
        <v>580</v>
      </c>
      <c r="E1279" t="s">
        <v>1437</v>
      </c>
      <c r="F1279" s="78">
        <v>0.30659722222222224</v>
      </c>
      <c r="G1279" t="s">
        <v>1405</v>
      </c>
      <c r="H1279" t="s">
        <v>1335</v>
      </c>
      <c r="I1279" s="88" t="str">
        <f>VLOOKUP(A1279,Base!A:B,2,0)</f>
        <v>13.284.709-6</v>
      </c>
      <c r="J1279" s="99" t="str">
        <f>VLOOKUP(A1279,Base!A:F,6,0)</f>
        <v>KATHERINE ANDREA  MUÑOZ  RAMIREZ</v>
      </c>
      <c r="K1279" s="89" t="str">
        <f>IFERROR(IF(VLOOKUP(I1279,Ingreso!K:P,6,0)=0,"Sin turtno ing",VLOOKUP(I1279,Ingreso!K:P,6,0)),IF(F1279&gt;0.25,IF(F1279&lt;0.311805555555556,"Turno A",IF(F1279&gt;0.3125,IF(F1279&lt;0.354166666666667,"Turno C",IF(F1279&gt;0.583333333333333,IF(F1279&lt;0.625,"Turno B",IF(F1279&gt;0.625694444444444,IF(F1279&lt;0.8125,"Turno A",IF(F1279&gt;0.875,IF(F1279&lt;0.936805555555556,"Turno C",IF(F1279&gt;0.9375,IF(F1279&lt;0.979166666666667,"Turno B",""),"")),"")),"")),"")),"")),""))</f>
        <v>Turno A</v>
      </c>
      <c r="L1279" s="91">
        <f t="shared" si="19"/>
        <v>0.3125</v>
      </c>
    </row>
    <row r="1280" spans="1:12" s="40" customFormat="1">
      <c r="A1280">
        <v>13284709</v>
      </c>
      <c r="B1280" t="s">
        <v>676</v>
      </c>
      <c r="C1280" t="s">
        <v>33</v>
      </c>
      <c r="D1280" t="s">
        <v>580</v>
      </c>
      <c r="E1280" t="s">
        <v>1438</v>
      </c>
      <c r="F1280" s="78">
        <v>0.63959490740740743</v>
      </c>
      <c r="G1280" t="s">
        <v>1406</v>
      </c>
      <c r="H1280" t="s">
        <v>1336</v>
      </c>
      <c r="I1280" s="88" t="str">
        <f>VLOOKUP(A1280,Base!A:B,2,0)</f>
        <v>13.284.709-6</v>
      </c>
      <c r="J1280" s="99" t="str">
        <f>VLOOKUP(A1280,Base!A:F,6,0)</f>
        <v>KATHERINE ANDREA  MUÑOZ  RAMIREZ</v>
      </c>
      <c r="K1280" s="89" t="str">
        <f>IFERROR(IF(VLOOKUP(I1280,Ingreso!K:P,6,0)=0,"Sin turtno ing",VLOOKUP(I1280,Ingreso!K:P,6,0)),IF(F1280&gt;0.25,IF(F1280&lt;0.311805555555556,"Turno A",IF(F1280&gt;0.3125,IF(F1280&lt;0.354166666666667,"Turno C",IF(F1280&gt;0.583333333333333,IF(F1280&lt;0.625,"Turno B",IF(F1280&gt;0.625694444444444,IF(F1280&lt;0.8125,"Turno A",IF(F1280&gt;0.875,IF(F1280&lt;0.936805555555556,"Turno C",IF(F1280&gt;0.9375,IF(F1280&lt;0.979166666666667,"Turno B",""),"")),"")),"")),"")),"")),""))</f>
        <v>Turno A</v>
      </c>
      <c r="L1280" s="91">
        <f t="shared" si="19"/>
        <v>0.3125</v>
      </c>
    </row>
    <row r="1281" spans="1:12" s="40" customFormat="1">
      <c r="A1281">
        <v>13284709</v>
      </c>
      <c r="B1281" t="s">
        <v>676</v>
      </c>
      <c r="C1281" t="s">
        <v>33</v>
      </c>
      <c r="D1281" t="s">
        <v>580</v>
      </c>
      <c r="E1281" t="s">
        <v>1438</v>
      </c>
      <c r="F1281" s="78">
        <v>0.29956018518518518</v>
      </c>
      <c r="G1281" t="s">
        <v>1405</v>
      </c>
      <c r="H1281" t="s">
        <v>1335</v>
      </c>
      <c r="I1281" s="88" t="str">
        <f>VLOOKUP(A1281,Base!A:B,2,0)</f>
        <v>13.284.709-6</v>
      </c>
      <c r="J1281" s="99" t="str">
        <f>VLOOKUP(A1281,Base!A:F,6,0)</f>
        <v>KATHERINE ANDREA  MUÑOZ  RAMIREZ</v>
      </c>
      <c r="K1281" s="89" t="str">
        <f>IFERROR(IF(VLOOKUP(I1281,Ingreso!K:P,6,0)=0,"Sin turtno ing",VLOOKUP(I1281,Ingreso!K:P,6,0)),IF(F1281&gt;0.25,IF(F1281&lt;0.311805555555556,"Turno A",IF(F1281&gt;0.3125,IF(F1281&lt;0.354166666666667,"Turno C",IF(F1281&gt;0.583333333333333,IF(F1281&lt;0.625,"Turno B",IF(F1281&gt;0.625694444444444,IF(F1281&lt;0.8125,"Turno A",IF(F1281&gt;0.875,IF(F1281&lt;0.936805555555556,"Turno C",IF(F1281&gt;0.9375,IF(F1281&lt;0.979166666666667,"Turno B",""),"")),"")),"")),"")),"")),""))</f>
        <v>Turno A</v>
      </c>
      <c r="L1281" s="91">
        <f t="shared" si="19"/>
        <v>0.3125</v>
      </c>
    </row>
    <row r="1282" spans="1:12" s="40" customFormat="1">
      <c r="A1282">
        <v>13284709</v>
      </c>
      <c r="B1282" t="s">
        <v>676</v>
      </c>
      <c r="C1282" t="s">
        <v>33</v>
      </c>
      <c r="D1282" t="s">
        <v>580</v>
      </c>
      <c r="E1282" t="s">
        <v>1439</v>
      </c>
      <c r="F1282" s="78">
        <v>0.64031249999999995</v>
      </c>
      <c r="G1282" t="s">
        <v>1406</v>
      </c>
      <c r="H1282" t="s">
        <v>1336</v>
      </c>
      <c r="I1282" s="88" t="str">
        <f>VLOOKUP(A1282,Base!A:B,2,0)</f>
        <v>13.284.709-6</v>
      </c>
      <c r="J1282" s="99" t="str">
        <f>VLOOKUP(A1282,Base!A:F,6,0)</f>
        <v>KATHERINE ANDREA  MUÑOZ  RAMIREZ</v>
      </c>
      <c r="K1282" s="89" t="str">
        <f>IFERROR(IF(VLOOKUP(I1282,Ingreso!K:P,6,0)=0,"Sin turtno ing",VLOOKUP(I1282,Ingreso!K:P,6,0)),IF(F1282&gt;0.25,IF(F1282&lt;0.311805555555556,"Turno A",IF(F1282&gt;0.3125,IF(F1282&lt;0.354166666666667,"Turno C",IF(F1282&gt;0.583333333333333,IF(F1282&lt;0.625,"Turno B",IF(F1282&gt;0.625694444444444,IF(F1282&lt;0.8125,"Turno A",IF(F1282&gt;0.875,IF(F1282&lt;0.936805555555556,"Turno C",IF(F1282&gt;0.9375,IF(F1282&lt;0.979166666666667,"Turno B",""),"")),"")),"")),"")),"")),""))</f>
        <v>Turno A</v>
      </c>
      <c r="L1282" s="91">
        <f t="shared" si="19"/>
        <v>0.3125</v>
      </c>
    </row>
    <row r="1283" spans="1:12" s="40" customFormat="1">
      <c r="A1283">
        <v>13284709</v>
      </c>
      <c r="B1283" t="s">
        <v>676</v>
      </c>
      <c r="C1283" t="s">
        <v>33</v>
      </c>
      <c r="D1283" t="s">
        <v>580</v>
      </c>
      <c r="E1283" t="s">
        <v>1439</v>
      </c>
      <c r="F1283" s="78">
        <v>0.30143518518518519</v>
      </c>
      <c r="G1283" t="s">
        <v>1405</v>
      </c>
      <c r="H1283" t="s">
        <v>1335</v>
      </c>
      <c r="I1283" s="88" t="str">
        <f>VLOOKUP(A1283,Base!A:B,2,0)</f>
        <v>13.284.709-6</v>
      </c>
      <c r="J1283" s="99" t="str">
        <f>VLOOKUP(A1283,Base!A:F,6,0)</f>
        <v>KATHERINE ANDREA  MUÑOZ  RAMIREZ</v>
      </c>
      <c r="K1283" s="89" t="str">
        <f>IFERROR(IF(VLOOKUP(I1283,Ingreso!K:P,6,0)=0,"Sin turtno ing",VLOOKUP(I1283,Ingreso!K:P,6,0)),IF(F1283&gt;0.25,IF(F1283&lt;0.311805555555556,"Turno A",IF(F1283&gt;0.3125,IF(F1283&lt;0.354166666666667,"Turno C",IF(F1283&gt;0.583333333333333,IF(F1283&lt;0.625,"Turno B",IF(F1283&gt;0.625694444444444,IF(F1283&lt;0.8125,"Turno A",IF(F1283&gt;0.875,IF(F1283&lt;0.936805555555556,"Turno C",IF(F1283&gt;0.9375,IF(F1283&lt;0.979166666666667,"Turno B",""),"")),"")),"")),"")),"")),""))</f>
        <v>Turno A</v>
      </c>
      <c r="L1283" s="91">
        <f t="shared" ref="L1283:L1346" si="20">VLOOKUP(K1283,$S$3:$T$7,2,0)</f>
        <v>0.3125</v>
      </c>
    </row>
    <row r="1284" spans="1:12" s="40" customFormat="1">
      <c r="A1284">
        <v>13295279</v>
      </c>
      <c r="B1284" t="s">
        <v>1227</v>
      </c>
      <c r="C1284" t="s">
        <v>1225</v>
      </c>
      <c r="D1284" t="s">
        <v>1226</v>
      </c>
      <c r="E1284" t="s">
        <v>1440</v>
      </c>
      <c r="F1284" s="78">
        <v>0.63748842592592592</v>
      </c>
      <c r="G1284" t="s">
        <v>1406</v>
      </c>
      <c r="H1284" t="s">
        <v>1336</v>
      </c>
      <c r="I1284" s="88" t="str">
        <f>VLOOKUP(A1284,Base!A:B,2,0)</f>
        <v>13.295.279-5</v>
      </c>
      <c r="J1284" s="99" t="str">
        <f>VLOOKUP(A1284,Base!A:F,6,0)</f>
        <v>JUAN OSVALDO  TOLEDO  YEVENES</v>
      </c>
      <c r="K1284" s="89" t="str">
        <f>IFERROR(IF(VLOOKUP(I1284,Ingreso!K:P,6,0)=0,"Sin turtno ing",VLOOKUP(I1284,Ingreso!K:P,6,0)),IF(F1284&gt;0.25,IF(F1284&lt;0.311805555555556,"Turno A",IF(F1284&gt;0.3125,IF(F1284&lt;0.354166666666667,"Turno C",IF(F1284&gt;0.583333333333333,IF(F1284&lt;0.625,"Turno B",IF(F1284&gt;0.625694444444444,IF(F1284&lt;0.8125,"Turno A",IF(F1284&gt;0.875,IF(F1284&lt;0.936805555555556,"Turno C",IF(F1284&gt;0.9375,IF(F1284&lt;0.979166666666667,"Turno B",""),"")),"")),"")),"")),"")),""))</f>
        <v>Turno A</v>
      </c>
      <c r="L1284" s="91">
        <f t="shared" si="20"/>
        <v>0.3125</v>
      </c>
    </row>
    <row r="1285" spans="1:12" s="40" customFormat="1">
      <c r="A1285">
        <v>13295279</v>
      </c>
      <c r="B1285" t="s">
        <v>1227</v>
      </c>
      <c r="C1285" t="s">
        <v>1225</v>
      </c>
      <c r="D1285" t="s">
        <v>1226</v>
      </c>
      <c r="E1285" t="s">
        <v>1440</v>
      </c>
      <c r="F1285" s="78">
        <v>0.29666666666666669</v>
      </c>
      <c r="G1285" t="s">
        <v>1405</v>
      </c>
      <c r="H1285" t="s">
        <v>1335</v>
      </c>
      <c r="I1285" s="88" t="str">
        <f>VLOOKUP(A1285,Base!A:B,2,0)</f>
        <v>13.295.279-5</v>
      </c>
      <c r="J1285" s="99" t="str">
        <f>VLOOKUP(A1285,Base!A:F,6,0)</f>
        <v>JUAN OSVALDO  TOLEDO  YEVENES</v>
      </c>
      <c r="K1285" s="89" t="str">
        <f>IFERROR(IF(VLOOKUP(I1285,Ingreso!K:P,6,0)=0,"Sin turtno ing",VLOOKUP(I1285,Ingreso!K:P,6,0)),IF(F1285&gt;0.25,IF(F1285&lt;0.311805555555556,"Turno A",IF(F1285&gt;0.3125,IF(F1285&lt;0.354166666666667,"Turno C",IF(F1285&gt;0.583333333333333,IF(F1285&lt;0.625,"Turno B",IF(F1285&gt;0.625694444444444,IF(F1285&lt;0.8125,"Turno A",IF(F1285&gt;0.875,IF(F1285&lt;0.936805555555556,"Turno C",IF(F1285&gt;0.9375,IF(F1285&lt;0.979166666666667,"Turno B",""),"")),"")),"")),"")),"")),""))</f>
        <v>Turno A</v>
      </c>
      <c r="L1285" s="91">
        <f t="shared" si="20"/>
        <v>0.3125</v>
      </c>
    </row>
    <row r="1286" spans="1:12" s="40" customFormat="1">
      <c r="A1286">
        <v>13295279</v>
      </c>
      <c r="B1286" t="s">
        <v>1227</v>
      </c>
      <c r="C1286" t="s">
        <v>1225</v>
      </c>
      <c r="D1286" t="s">
        <v>1226</v>
      </c>
      <c r="E1286" t="s">
        <v>1441</v>
      </c>
      <c r="F1286" s="78">
        <v>0.64153935185185185</v>
      </c>
      <c r="G1286" t="s">
        <v>1406</v>
      </c>
      <c r="H1286" t="s">
        <v>1336</v>
      </c>
      <c r="I1286" s="88" t="str">
        <f>VLOOKUP(A1286,Base!A:B,2,0)</f>
        <v>13.295.279-5</v>
      </c>
      <c r="J1286" s="99" t="str">
        <f>VLOOKUP(A1286,Base!A:F,6,0)</f>
        <v>JUAN OSVALDO  TOLEDO  YEVENES</v>
      </c>
      <c r="K1286" s="89" t="str">
        <f>IFERROR(IF(VLOOKUP(I1286,Ingreso!K:P,6,0)=0,"Sin turtno ing",VLOOKUP(I1286,Ingreso!K:P,6,0)),IF(F1286&gt;0.25,IF(F1286&lt;0.311805555555556,"Turno A",IF(F1286&gt;0.3125,IF(F1286&lt;0.354166666666667,"Turno C",IF(F1286&gt;0.583333333333333,IF(F1286&lt;0.625,"Turno B",IF(F1286&gt;0.625694444444444,IF(F1286&lt;0.8125,"Turno A",IF(F1286&gt;0.875,IF(F1286&lt;0.936805555555556,"Turno C",IF(F1286&gt;0.9375,IF(F1286&lt;0.979166666666667,"Turno B",""),"")),"")),"")),"")),"")),""))</f>
        <v>Turno A</v>
      </c>
      <c r="L1286" s="91">
        <f t="shared" si="20"/>
        <v>0.3125</v>
      </c>
    </row>
    <row r="1287" spans="1:12" s="40" customFormat="1">
      <c r="A1287">
        <v>13295279</v>
      </c>
      <c r="B1287" t="s">
        <v>1227</v>
      </c>
      <c r="C1287" t="s">
        <v>1225</v>
      </c>
      <c r="D1287" t="s">
        <v>1226</v>
      </c>
      <c r="E1287" t="s">
        <v>1441</v>
      </c>
      <c r="F1287" s="78">
        <v>0.2902777777777778</v>
      </c>
      <c r="G1287" t="s">
        <v>1405</v>
      </c>
      <c r="H1287" t="s">
        <v>1335</v>
      </c>
      <c r="I1287" s="88" t="str">
        <f>VLOOKUP(A1287,Base!A:B,2,0)</f>
        <v>13.295.279-5</v>
      </c>
      <c r="J1287" s="99" t="str">
        <f>VLOOKUP(A1287,Base!A:F,6,0)</f>
        <v>JUAN OSVALDO  TOLEDO  YEVENES</v>
      </c>
      <c r="K1287" s="89" t="str">
        <f>IFERROR(IF(VLOOKUP(I1287,Ingreso!K:P,6,0)=0,"Sin turtno ing",VLOOKUP(I1287,Ingreso!K:P,6,0)),IF(F1287&gt;0.25,IF(F1287&lt;0.311805555555556,"Turno A",IF(F1287&gt;0.3125,IF(F1287&lt;0.354166666666667,"Turno C",IF(F1287&gt;0.583333333333333,IF(F1287&lt;0.625,"Turno B",IF(F1287&gt;0.625694444444444,IF(F1287&lt;0.8125,"Turno A",IF(F1287&gt;0.875,IF(F1287&lt;0.936805555555556,"Turno C",IF(F1287&gt;0.9375,IF(F1287&lt;0.979166666666667,"Turno B",""),"")),"")),"")),"")),"")),""))</f>
        <v>Turno A</v>
      </c>
      <c r="L1287" s="91">
        <f t="shared" si="20"/>
        <v>0.3125</v>
      </c>
    </row>
    <row r="1288" spans="1:12" s="40" customFormat="1">
      <c r="A1288">
        <v>13295279</v>
      </c>
      <c r="B1288" t="s">
        <v>1227</v>
      </c>
      <c r="C1288" t="s">
        <v>1225</v>
      </c>
      <c r="D1288" t="s">
        <v>1226</v>
      </c>
      <c r="E1288" t="s">
        <v>1436</v>
      </c>
      <c r="F1288" s="78">
        <v>0.97768518518518521</v>
      </c>
      <c r="G1288" t="s">
        <v>1405</v>
      </c>
      <c r="H1288" t="s">
        <v>1335</v>
      </c>
      <c r="I1288" s="88" t="str">
        <f>VLOOKUP(A1288,Base!A:B,2,0)</f>
        <v>13.295.279-5</v>
      </c>
      <c r="J1288" s="99" t="str">
        <f>VLOOKUP(A1288,Base!A:F,6,0)</f>
        <v>JUAN OSVALDO  TOLEDO  YEVENES</v>
      </c>
      <c r="K1288" s="89" t="str">
        <f>IFERROR(IF(VLOOKUP(I1288,Ingreso!K:P,6,0)=0,"Sin turtno ing",VLOOKUP(I1288,Ingreso!K:P,6,0)),IF(F1288&gt;0.25,IF(F1288&lt;0.311805555555556,"Turno A",IF(F1288&gt;0.3125,IF(F1288&lt;0.354166666666667,"Turno C",IF(F1288&gt;0.583333333333333,IF(F1288&lt;0.625,"Turno B",IF(F1288&gt;0.625694444444444,IF(F1288&lt;0.8125,"Turno A",IF(F1288&gt;0.875,IF(F1288&lt;0.936805555555556,"Turno C",IF(F1288&gt;0.9375,IF(F1288&lt;0.979166666666667,"Turno B",""),"")),"")),"")),"")),"")),""))</f>
        <v>Turno A</v>
      </c>
      <c r="L1288" s="91">
        <f t="shared" si="20"/>
        <v>0.3125</v>
      </c>
    </row>
    <row r="1289" spans="1:12" s="40" customFormat="1">
      <c r="A1289">
        <v>13295279</v>
      </c>
      <c r="B1289" t="s">
        <v>1227</v>
      </c>
      <c r="C1289" t="s">
        <v>1225</v>
      </c>
      <c r="D1289" t="s">
        <v>1226</v>
      </c>
      <c r="E1289" t="s">
        <v>1437</v>
      </c>
      <c r="F1289" s="78">
        <v>0.34090277777777778</v>
      </c>
      <c r="G1289" t="s">
        <v>1406</v>
      </c>
      <c r="H1289" t="s">
        <v>1336</v>
      </c>
      <c r="I1289" s="88" t="str">
        <f>VLOOKUP(A1289,Base!A:B,2,0)</f>
        <v>13.295.279-5</v>
      </c>
      <c r="J1289" s="99" t="str">
        <f>VLOOKUP(A1289,Base!A:F,6,0)</f>
        <v>JUAN OSVALDO  TOLEDO  YEVENES</v>
      </c>
      <c r="K1289" s="89" t="str">
        <f>IFERROR(IF(VLOOKUP(I1289,Ingreso!K:P,6,0)=0,"Sin turtno ing",VLOOKUP(I1289,Ingreso!K:P,6,0)),IF(F1289&gt;0.25,IF(F1289&lt;0.311805555555556,"Turno A",IF(F1289&gt;0.3125,IF(F1289&lt;0.354166666666667,"Turno C",IF(F1289&gt;0.583333333333333,IF(F1289&lt;0.625,"Turno B",IF(F1289&gt;0.625694444444444,IF(F1289&lt;0.8125,"Turno A",IF(F1289&gt;0.875,IF(F1289&lt;0.936805555555556,"Turno C",IF(F1289&gt;0.9375,IF(F1289&lt;0.979166666666667,"Turno B",""),"")),"")),"")),"")),"")),""))</f>
        <v>Turno A</v>
      </c>
      <c r="L1289" s="91">
        <f t="shared" si="20"/>
        <v>0.3125</v>
      </c>
    </row>
    <row r="1290" spans="1:12" s="40" customFormat="1">
      <c r="A1290">
        <v>13295279</v>
      </c>
      <c r="B1290" t="s">
        <v>1227</v>
      </c>
      <c r="C1290" t="s">
        <v>1225</v>
      </c>
      <c r="D1290" t="s">
        <v>1226</v>
      </c>
      <c r="E1290" t="s">
        <v>1438</v>
      </c>
      <c r="F1290" s="78">
        <v>0.63987268518518514</v>
      </c>
      <c r="G1290" t="s">
        <v>1406</v>
      </c>
      <c r="H1290" t="s">
        <v>1336</v>
      </c>
      <c r="I1290" s="88" t="str">
        <f>VLOOKUP(A1290,Base!A:B,2,0)</f>
        <v>13.295.279-5</v>
      </c>
      <c r="J1290" s="99" t="str">
        <f>VLOOKUP(A1290,Base!A:F,6,0)</f>
        <v>JUAN OSVALDO  TOLEDO  YEVENES</v>
      </c>
      <c r="K1290" s="89" t="str">
        <f>IFERROR(IF(VLOOKUP(I1290,Ingreso!K:P,6,0)=0,"Sin turtno ing",VLOOKUP(I1290,Ingreso!K:P,6,0)),IF(F1290&gt;0.25,IF(F1290&lt;0.311805555555556,"Turno A",IF(F1290&gt;0.3125,IF(F1290&lt;0.354166666666667,"Turno C",IF(F1290&gt;0.583333333333333,IF(F1290&lt;0.625,"Turno B",IF(F1290&gt;0.625694444444444,IF(F1290&lt;0.8125,"Turno A",IF(F1290&gt;0.875,IF(F1290&lt;0.936805555555556,"Turno C",IF(F1290&gt;0.9375,IF(F1290&lt;0.979166666666667,"Turno B",""),"")),"")),"")),"")),"")),""))</f>
        <v>Turno A</v>
      </c>
      <c r="L1290" s="91">
        <f t="shared" si="20"/>
        <v>0.3125</v>
      </c>
    </row>
    <row r="1291" spans="1:12" s="40" customFormat="1">
      <c r="A1291">
        <v>13295279</v>
      </c>
      <c r="B1291" t="s">
        <v>1227</v>
      </c>
      <c r="C1291" t="s">
        <v>1225</v>
      </c>
      <c r="D1291" t="s">
        <v>1226</v>
      </c>
      <c r="E1291" t="s">
        <v>1438</v>
      </c>
      <c r="F1291" s="78">
        <v>0.30278935185185185</v>
      </c>
      <c r="G1291" t="s">
        <v>1405</v>
      </c>
      <c r="H1291" t="s">
        <v>1335</v>
      </c>
      <c r="I1291" s="88" t="str">
        <f>VLOOKUP(A1291,Base!A:B,2,0)</f>
        <v>13.295.279-5</v>
      </c>
      <c r="J1291" s="99" t="str">
        <f>VLOOKUP(A1291,Base!A:F,6,0)</f>
        <v>JUAN OSVALDO  TOLEDO  YEVENES</v>
      </c>
      <c r="K1291" s="89" t="str">
        <f>IFERROR(IF(VLOOKUP(I1291,Ingreso!K:P,6,0)=0,"Sin turtno ing",VLOOKUP(I1291,Ingreso!K:P,6,0)),IF(F1291&gt;0.25,IF(F1291&lt;0.311805555555556,"Turno A",IF(F1291&gt;0.3125,IF(F1291&lt;0.354166666666667,"Turno C",IF(F1291&gt;0.583333333333333,IF(F1291&lt;0.625,"Turno B",IF(F1291&gt;0.625694444444444,IF(F1291&lt;0.8125,"Turno A",IF(F1291&gt;0.875,IF(F1291&lt;0.936805555555556,"Turno C",IF(F1291&gt;0.9375,IF(F1291&lt;0.979166666666667,"Turno B",""),"")),"")),"")),"")),"")),""))</f>
        <v>Turno A</v>
      </c>
      <c r="L1291" s="91">
        <f t="shared" si="20"/>
        <v>0.3125</v>
      </c>
    </row>
    <row r="1292" spans="1:12" s="40" customFormat="1">
      <c r="A1292">
        <v>13295279</v>
      </c>
      <c r="B1292" t="s">
        <v>1227</v>
      </c>
      <c r="C1292" t="s">
        <v>1225</v>
      </c>
      <c r="D1292" t="s">
        <v>1226</v>
      </c>
      <c r="E1292" t="s">
        <v>1439</v>
      </c>
      <c r="F1292" s="78">
        <v>0.6399421296296296</v>
      </c>
      <c r="G1292" t="s">
        <v>1406</v>
      </c>
      <c r="H1292" t="s">
        <v>1336</v>
      </c>
      <c r="I1292" s="88" t="str">
        <f>VLOOKUP(A1292,Base!A:B,2,0)</f>
        <v>13.295.279-5</v>
      </c>
      <c r="J1292" s="99" t="str">
        <f>VLOOKUP(A1292,Base!A:F,6,0)</f>
        <v>JUAN OSVALDO  TOLEDO  YEVENES</v>
      </c>
      <c r="K1292" s="89" t="str">
        <f>IFERROR(IF(VLOOKUP(I1292,Ingreso!K:P,6,0)=0,"Sin turtno ing",VLOOKUP(I1292,Ingreso!K:P,6,0)),IF(F1292&gt;0.25,IF(F1292&lt;0.311805555555556,"Turno A",IF(F1292&gt;0.3125,IF(F1292&lt;0.354166666666667,"Turno C",IF(F1292&gt;0.583333333333333,IF(F1292&lt;0.625,"Turno B",IF(F1292&gt;0.625694444444444,IF(F1292&lt;0.8125,"Turno A",IF(F1292&gt;0.875,IF(F1292&lt;0.936805555555556,"Turno C",IF(F1292&gt;0.9375,IF(F1292&lt;0.979166666666667,"Turno B",""),"")),"")),"")),"")),"")),""))</f>
        <v>Turno A</v>
      </c>
      <c r="L1292" s="91">
        <f t="shared" si="20"/>
        <v>0.3125</v>
      </c>
    </row>
    <row r="1293" spans="1:12" s="40" customFormat="1">
      <c r="A1293">
        <v>13295279</v>
      </c>
      <c r="B1293" t="s">
        <v>1227</v>
      </c>
      <c r="C1293" t="s">
        <v>1225</v>
      </c>
      <c r="D1293" t="s">
        <v>1226</v>
      </c>
      <c r="E1293" t="s">
        <v>1439</v>
      </c>
      <c r="F1293" s="78">
        <v>0.30359953703703707</v>
      </c>
      <c r="G1293" t="s">
        <v>1405</v>
      </c>
      <c r="H1293" t="s">
        <v>1335</v>
      </c>
      <c r="I1293" s="88" t="str">
        <f>VLOOKUP(A1293,Base!A:B,2,0)</f>
        <v>13.295.279-5</v>
      </c>
      <c r="J1293" s="99" t="str">
        <f>VLOOKUP(A1293,Base!A:F,6,0)</f>
        <v>JUAN OSVALDO  TOLEDO  YEVENES</v>
      </c>
      <c r="K1293" s="89" t="str">
        <f>IFERROR(IF(VLOOKUP(I1293,Ingreso!K:P,6,0)=0,"Sin turtno ing",VLOOKUP(I1293,Ingreso!K:P,6,0)),IF(F1293&gt;0.25,IF(F1293&lt;0.311805555555556,"Turno A",IF(F1293&gt;0.3125,IF(F1293&lt;0.354166666666667,"Turno C",IF(F1293&gt;0.583333333333333,IF(F1293&lt;0.625,"Turno B",IF(F1293&gt;0.625694444444444,IF(F1293&lt;0.8125,"Turno A",IF(F1293&gt;0.875,IF(F1293&lt;0.936805555555556,"Turno C",IF(F1293&gt;0.9375,IF(F1293&lt;0.979166666666667,"Turno B",""),"")),"")),"")),"")),"")),""))</f>
        <v>Turno A</v>
      </c>
      <c r="L1293" s="91">
        <f t="shared" si="20"/>
        <v>0.3125</v>
      </c>
    </row>
    <row r="1294" spans="1:12" s="40" customFormat="1">
      <c r="A1294">
        <v>13297988</v>
      </c>
      <c r="B1294" t="s">
        <v>138</v>
      </c>
      <c r="C1294" t="s">
        <v>327</v>
      </c>
      <c r="D1294" t="s">
        <v>824</v>
      </c>
      <c r="E1294" t="s">
        <v>1440</v>
      </c>
      <c r="F1294" s="78">
        <v>0.32515046296296296</v>
      </c>
      <c r="G1294" t="s">
        <v>1406</v>
      </c>
      <c r="H1294" t="s">
        <v>1336</v>
      </c>
      <c r="I1294" s="88" t="str">
        <f>VLOOKUP(A1294,Base!A:B,2,0)</f>
        <v>13.297.988-K</v>
      </c>
      <c r="J1294" s="99" t="str">
        <f>VLOOKUP(A1294,Base!A:F,6,0)</f>
        <v>JORGE  POBLETE  RIVEROS</v>
      </c>
      <c r="K1294" s="89" t="str">
        <f>IFERROR(IF(VLOOKUP(I1294,Ingreso!K:P,6,0)=0,"Sin turtno ing",VLOOKUP(I1294,Ingreso!K:P,6,0)),IF(F1294&gt;0.25,IF(F1294&lt;0.311805555555556,"Turno A",IF(F1294&gt;0.3125,IF(F1294&lt;0.354166666666667,"Turno C",IF(F1294&gt;0.583333333333333,IF(F1294&lt;0.625,"Turno B",IF(F1294&gt;0.625694444444444,IF(F1294&lt;0.8125,"Turno A",IF(F1294&gt;0.875,IF(F1294&lt;0.936805555555556,"Turno C",IF(F1294&gt;0.9375,IF(F1294&lt;0.979166666666667,"Turno B",""),"")),"")),"")),"")),"")),""))</f>
        <v>Turno C</v>
      </c>
      <c r="L1294" s="91">
        <f t="shared" si="20"/>
        <v>0.375</v>
      </c>
    </row>
    <row r="1295" spans="1:12" s="40" customFormat="1">
      <c r="A1295">
        <v>13297988</v>
      </c>
      <c r="B1295" t="s">
        <v>138</v>
      </c>
      <c r="C1295" t="s">
        <v>327</v>
      </c>
      <c r="D1295" t="s">
        <v>824</v>
      </c>
      <c r="E1295" t="s">
        <v>1440</v>
      </c>
      <c r="F1295" s="78">
        <v>0.91902777777777789</v>
      </c>
      <c r="G1295" t="s">
        <v>1405</v>
      </c>
      <c r="H1295" t="s">
        <v>1335</v>
      </c>
      <c r="I1295" s="88" t="str">
        <f>VLOOKUP(A1295,Base!A:B,2,0)</f>
        <v>13.297.988-K</v>
      </c>
      <c r="J1295" s="99" t="str">
        <f>VLOOKUP(A1295,Base!A:F,6,0)</f>
        <v>JORGE  POBLETE  RIVEROS</v>
      </c>
      <c r="K1295" s="89" t="str">
        <f>IFERROR(IF(VLOOKUP(I1295,Ingreso!K:P,6,0)=0,"Sin turtno ing",VLOOKUP(I1295,Ingreso!K:P,6,0)),IF(F1295&gt;0.25,IF(F1295&lt;0.311805555555556,"Turno A",IF(F1295&gt;0.3125,IF(F1295&lt;0.354166666666667,"Turno C",IF(F1295&gt;0.583333333333333,IF(F1295&lt;0.625,"Turno B",IF(F1295&gt;0.625694444444444,IF(F1295&lt;0.8125,"Turno A",IF(F1295&gt;0.875,IF(F1295&lt;0.936805555555556,"Turno C",IF(F1295&gt;0.9375,IF(F1295&lt;0.979166666666667,"Turno B",""),"")),"")),"")),"")),"")),""))</f>
        <v>Turno C</v>
      </c>
      <c r="L1295" s="91">
        <f t="shared" si="20"/>
        <v>0.375</v>
      </c>
    </row>
    <row r="1296" spans="1:12" s="40" customFormat="1">
      <c r="A1296">
        <v>13297988</v>
      </c>
      <c r="B1296" t="s">
        <v>138</v>
      </c>
      <c r="C1296" t="s">
        <v>327</v>
      </c>
      <c r="D1296" t="s">
        <v>824</v>
      </c>
      <c r="E1296" t="s">
        <v>1441</v>
      </c>
      <c r="F1296" s="78">
        <v>0.31863425925925926</v>
      </c>
      <c r="G1296" t="s">
        <v>1406</v>
      </c>
      <c r="H1296" t="s">
        <v>1336</v>
      </c>
      <c r="I1296" s="88" t="str">
        <f>VLOOKUP(A1296,Base!A:B,2,0)</f>
        <v>13.297.988-K</v>
      </c>
      <c r="J1296" s="99" t="str">
        <f>VLOOKUP(A1296,Base!A:F,6,0)</f>
        <v>JORGE  POBLETE  RIVEROS</v>
      </c>
      <c r="K1296" s="89" t="str">
        <f>IFERROR(IF(VLOOKUP(I1296,Ingreso!K:P,6,0)=0,"Sin turtno ing",VLOOKUP(I1296,Ingreso!K:P,6,0)),IF(F1296&gt;0.25,IF(F1296&lt;0.311805555555556,"Turno A",IF(F1296&gt;0.3125,IF(F1296&lt;0.354166666666667,"Turno C",IF(F1296&gt;0.583333333333333,IF(F1296&lt;0.625,"Turno B",IF(F1296&gt;0.625694444444444,IF(F1296&lt;0.8125,"Turno A",IF(F1296&gt;0.875,IF(F1296&lt;0.936805555555556,"Turno C",IF(F1296&gt;0.9375,IF(F1296&lt;0.979166666666667,"Turno B",""),"")),"")),"")),"")),"")),""))</f>
        <v>Turno C</v>
      </c>
      <c r="L1296" s="91">
        <f t="shared" si="20"/>
        <v>0.375</v>
      </c>
    </row>
    <row r="1297" spans="1:12" s="40" customFormat="1">
      <c r="A1297">
        <v>13297988</v>
      </c>
      <c r="B1297" t="s">
        <v>138</v>
      </c>
      <c r="C1297" t="s">
        <v>327</v>
      </c>
      <c r="D1297" t="s">
        <v>824</v>
      </c>
      <c r="E1297" t="s">
        <v>1437</v>
      </c>
      <c r="F1297" s="78">
        <v>0.91924768518518529</v>
      </c>
      <c r="G1297" t="s">
        <v>1405</v>
      </c>
      <c r="H1297" t="s">
        <v>1335</v>
      </c>
      <c r="I1297" s="88" t="str">
        <f>VLOOKUP(A1297,Base!A:B,2,0)</f>
        <v>13.297.988-K</v>
      </c>
      <c r="J1297" s="99" t="str">
        <f>VLOOKUP(A1297,Base!A:F,6,0)</f>
        <v>JORGE  POBLETE  RIVEROS</v>
      </c>
      <c r="K1297" s="89" t="str">
        <f>IFERROR(IF(VLOOKUP(I1297,Ingreso!K:P,6,0)=0,"Sin turtno ing",VLOOKUP(I1297,Ingreso!K:P,6,0)),IF(F1297&gt;0.25,IF(F1297&lt;0.311805555555556,"Turno A",IF(F1297&gt;0.3125,IF(F1297&lt;0.354166666666667,"Turno C",IF(F1297&gt;0.583333333333333,IF(F1297&lt;0.625,"Turno B",IF(F1297&gt;0.625694444444444,IF(F1297&lt;0.8125,"Turno A",IF(F1297&gt;0.875,IF(F1297&lt;0.936805555555556,"Turno C",IF(F1297&gt;0.9375,IF(F1297&lt;0.979166666666667,"Turno B",""),"")),"")),"")),"")),"")),""))</f>
        <v>Turno C</v>
      </c>
      <c r="L1297" s="91">
        <f t="shared" si="20"/>
        <v>0.375</v>
      </c>
    </row>
    <row r="1298" spans="1:12" s="40" customFormat="1">
      <c r="A1298">
        <v>13297988</v>
      </c>
      <c r="B1298" t="s">
        <v>138</v>
      </c>
      <c r="C1298" t="s">
        <v>327</v>
      </c>
      <c r="D1298" t="s">
        <v>824</v>
      </c>
      <c r="E1298" t="s">
        <v>1438</v>
      </c>
      <c r="F1298" s="78">
        <v>0.32402777777777775</v>
      </c>
      <c r="G1298" t="s">
        <v>1406</v>
      </c>
      <c r="H1298" t="s">
        <v>1336</v>
      </c>
      <c r="I1298" s="88" t="str">
        <f>VLOOKUP(A1298,Base!A:B,2,0)</f>
        <v>13.297.988-K</v>
      </c>
      <c r="J1298" s="99" t="str">
        <f>VLOOKUP(A1298,Base!A:F,6,0)</f>
        <v>JORGE  POBLETE  RIVEROS</v>
      </c>
      <c r="K1298" s="89" t="str">
        <f>IFERROR(IF(VLOOKUP(I1298,Ingreso!K:P,6,0)=0,"Sin turtno ing",VLOOKUP(I1298,Ingreso!K:P,6,0)),IF(F1298&gt;0.25,IF(F1298&lt;0.311805555555556,"Turno A",IF(F1298&gt;0.3125,IF(F1298&lt;0.354166666666667,"Turno C",IF(F1298&gt;0.583333333333333,IF(F1298&lt;0.625,"Turno B",IF(F1298&gt;0.625694444444444,IF(F1298&lt;0.8125,"Turno A",IF(F1298&gt;0.875,IF(F1298&lt;0.936805555555556,"Turno C",IF(F1298&gt;0.9375,IF(F1298&lt;0.979166666666667,"Turno B",""),"")),"")),"")),"")),"")),""))</f>
        <v>Turno C</v>
      </c>
      <c r="L1298" s="91">
        <f t="shared" si="20"/>
        <v>0.375</v>
      </c>
    </row>
    <row r="1299" spans="1:12" s="40" customFormat="1">
      <c r="A1299">
        <v>13297988</v>
      </c>
      <c r="B1299" t="s">
        <v>138</v>
      </c>
      <c r="C1299" t="s">
        <v>327</v>
      </c>
      <c r="D1299" t="s">
        <v>824</v>
      </c>
      <c r="E1299" t="s">
        <v>1438</v>
      </c>
      <c r="F1299" s="78">
        <v>0.91938657407407398</v>
      </c>
      <c r="G1299" t="s">
        <v>1405</v>
      </c>
      <c r="H1299" t="s">
        <v>1335</v>
      </c>
      <c r="I1299" s="88" t="str">
        <f>VLOOKUP(A1299,Base!A:B,2,0)</f>
        <v>13.297.988-K</v>
      </c>
      <c r="J1299" s="99" t="str">
        <f>VLOOKUP(A1299,Base!A:F,6,0)</f>
        <v>JORGE  POBLETE  RIVEROS</v>
      </c>
      <c r="K1299" s="89" t="str">
        <f>IFERROR(IF(VLOOKUP(I1299,Ingreso!K:P,6,0)=0,"Sin turtno ing",VLOOKUP(I1299,Ingreso!K:P,6,0)),IF(F1299&gt;0.25,IF(F1299&lt;0.311805555555556,"Turno A",IF(F1299&gt;0.3125,IF(F1299&lt;0.354166666666667,"Turno C",IF(F1299&gt;0.583333333333333,IF(F1299&lt;0.625,"Turno B",IF(F1299&gt;0.625694444444444,IF(F1299&lt;0.8125,"Turno A",IF(F1299&gt;0.875,IF(F1299&lt;0.936805555555556,"Turno C",IF(F1299&gt;0.9375,IF(F1299&lt;0.979166666666667,"Turno B",""),"")),"")),"")),"")),"")),""))</f>
        <v>Turno C</v>
      </c>
      <c r="L1299" s="91">
        <f t="shared" si="20"/>
        <v>0.375</v>
      </c>
    </row>
    <row r="1300" spans="1:12" s="40" customFormat="1">
      <c r="A1300">
        <v>13297988</v>
      </c>
      <c r="B1300" t="s">
        <v>138</v>
      </c>
      <c r="C1300" t="s">
        <v>327</v>
      </c>
      <c r="D1300" t="s">
        <v>824</v>
      </c>
      <c r="E1300" t="s">
        <v>1439</v>
      </c>
      <c r="F1300" s="78">
        <v>0.32402777777777775</v>
      </c>
      <c r="G1300" t="s">
        <v>1406</v>
      </c>
      <c r="H1300" t="s">
        <v>1336</v>
      </c>
      <c r="I1300" s="88" t="str">
        <f>VLOOKUP(A1300,Base!A:B,2,0)</f>
        <v>13.297.988-K</v>
      </c>
      <c r="J1300" s="99" t="str">
        <f>VLOOKUP(A1300,Base!A:F,6,0)</f>
        <v>JORGE  POBLETE  RIVEROS</v>
      </c>
      <c r="K1300" s="89" t="str">
        <f>IFERROR(IF(VLOOKUP(I1300,Ingreso!K:P,6,0)=0,"Sin turtno ing",VLOOKUP(I1300,Ingreso!K:P,6,0)),IF(F1300&gt;0.25,IF(F1300&lt;0.311805555555556,"Turno A",IF(F1300&gt;0.3125,IF(F1300&lt;0.354166666666667,"Turno C",IF(F1300&gt;0.583333333333333,IF(F1300&lt;0.625,"Turno B",IF(F1300&gt;0.625694444444444,IF(F1300&lt;0.8125,"Turno A",IF(F1300&gt;0.875,IF(F1300&lt;0.936805555555556,"Turno C",IF(F1300&gt;0.9375,IF(F1300&lt;0.979166666666667,"Turno B",""),"")),"")),"")),"")),"")),""))</f>
        <v>Turno C</v>
      </c>
      <c r="L1300" s="91">
        <f t="shared" si="20"/>
        <v>0.375</v>
      </c>
    </row>
    <row r="1301" spans="1:12" s="40" customFormat="1">
      <c r="A1301">
        <v>13297988</v>
      </c>
      <c r="B1301" t="s">
        <v>138</v>
      </c>
      <c r="C1301" t="s">
        <v>327</v>
      </c>
      <c r="D1301" t="s">
        <v>824</v>
      </c>
      <c r="E1301" t="s">
        <v>1439</v>
      </c>
      <c r="F1301" s="78">
        <v>0.91866898148148157</v>
      </c>
      <c r="G1301" t="s">
        <v>1405</v>
      </c>
      <c r="H1301" t="s">
        <v>1335</v>
      </c>
      <c r="I1301" s="88" t="str">
        <f>VLOOKUP(A1301,Base!A:B,2,0)</f>
        <v>13.297.988-K</v>
      </c>
      <c r="J1301" s="99" t="str">
        <f>VLOOKUP(A1301,Base!A:F,6,0)</f>
        <v>JORGE  POBLETE  RIVEROS</v>
      </c>
      <c r="K1301" s="89" t="str">
        <f>IFERROR(IF(VLOOKUP(I1301,Ingreso!K:P,6,0)=0,"Sin turtno ing",VLOOKUP(I1301,Ingreso!K:P,6,0)),IF(F1301&gt;0.25,IF(F1301&lt;0.311805555555556,"Turno A",IF(F1301&gt;0.3125,IF(F1301&lt;0.354166666666667,"Turno C",IF(F1301&gt;0.583333333333333,IF(F1301&lt;0.625,"Turno B",IF(F1301&gt;0.625694444444444,IF(F1301&lt;0.8125,"Turno A",IF(F1301&gt;0.875,IF(F1301&lt;0.936805555555556,"Turno C",IF(F1301&gt;0.9375,IF(F1301&lt;0.979166666666667,"Turno B",""),"")),"")),"")),"")),"")),""))</f>
        <v>Turno C</v>
      </c>
      <c r="L1301" s="91">
        <f t="shared" si="20"/>
        <v>0.375</v>
      </c>
    </row>
    <row r="1302" spans="1:12" s="40" customFormat="1">
      <c r="A1302">
        <v>13486775</v>
      </c>
      <c r="B1302" t="s">
        <v>263</v>
      </c>
      <c r="C1302" t="s">
        <v>261</v>
      </c>
      <c r="D1302" t="s">
        <v>262</v>
      </c>
      <c r="E1302" t="s">
        <v>1407</v>
      </c>
      <c r="F1302" s="78">
        <v>0</v>
      </c>
      <c r="G1302"/>
      <c r="H1302"/>
      <c r="I1302" s="88" t="str">
        <f>VLOOKUP(A1302,Base!A:B,2,0)</f>
        <v>13.486.775-2</v>
      </c>
      <c r="J1302" s="99" t="str">
        <f>VLOOKUP(A1302,Base!A:F,6,0)</f>
        <v>RICARDO  CHAVEZ  FARIÑA</v>
      </c>
      <c r="K1302" s="89" t="str">
        <f>IFERROR(IF(VLOOKUP(I1302,Ingreso!K:P,6,0)=0,"Sin turtno ing",VLOOKUP(I1302,Ingreso!K:P,6,0)),IF(F1302&gt;0.25,IF(F1302&lt;0.311805555555556,"Turno A",IF(F1302&gt;0.3125,IF(F1302&lt;0.354166666666667,"Turno C",IF(F1302&gt;0.583333333333333,IF(F1302&lt;0.625,"Turno B",IF(F1302&gt;0.625694444444444,IF(F1302&lt;0.8125,"Turno A",IF(F1302&gt;0.875,IF(F1302&lt;0.936805555555556,"Turno C",IF(F1302&gt;0.9375,IF(F1302&lt;0.979166666666667,"Turno B",""),"")),"")),"")),"")),"")),""))</f>
        <v/>
      </c>
      <c r="L1302" s="91" t="e">
        <f t="shared" si="20"/>
        <v>#N/A</v>
      </c>
    </row>
    <row r="1303" spans="1:12" s="40" customFormat="1">
      <c r="A1303">
        <v>13486907</v>
      </c>
      <c r="B1303" t="s">
        <v>309</v>
      </c>
      <c r="C1303" t="s">
        <v>449</v>
      </c>
      <c r="D1303" t="s">
        <v>179</v>
      </c>
      <c r="E1303" t="s">
        <v>1440</v>
      </c>
      <c r="F1303" s="78">
        <v>0.72728009259259263</v>
      </c>
      <c r="G1303" t="s">
        <v>1406</v>
      </c>
      <c r="H1303" t="s">
        <v>1336</v>
      </c>
      <c r="I1303" s="88" t="str">
        <f>VLOOKUP(A1303,Base!A:B,2,0)</f>
        <v>13.486.907-0</v>
      </c>
      <c r="J1303" s="99" t="str">
        <f>VLOOKUP(A1303,Base!A:F,6,0)</f>
        <v>MIGUEL  MALDONADO  DIAZ</v>
      </c>
      <c r="K1303" s="89" t="str">
        <f>IFERROR(IF(VLOOKUP(I1303,Ingreso!K:P,6,0)=0,"Sin turtno ing",VLOOKUP(I1303,Ingreso!K:P,6,0)),IF(F1303&gt;0.25,IF(F1303&lt;0.311805555555556,"Turno A",IF(F1303&gt;0.3125,IF(F1303&lt;0.354166666666667,"Turno C",IF(F1303&gt;0.583333333333333,IF(F1303&lt;0.625,"Turno B",IF(F1303&gt;0.625694444444444,IF(F1303&lt;0.8125,"Turno A",IF(F1303&gt;0.875,IF(F1303&lt;0.936805555555556,"Turno C",IF(F1303&gt;0.9375,IF(F1303&lt;0.979166666666667,"Turno B",""),"")),"")),"")),"")),"")),""))</f>
        <v>Sin turtno ing</v>
      </c>
      <c r="L1303" s="91" t="e">
        <f t="shared" si="20"/>
        <v>#N/A</v>
      </c>
    </row>
    <row r="1304" spans="1:12" s="40" customFormat="1">
      <c r="A1304">
        <v>13486907</v>
      </c>
      <c r="B1304" t="s">
        <v>309</v>
      </c>
      <c r="C1304" t="s">
        <v>449</v>
      </c>
      <c r="D1304" t="s">
        <v>179</v>
      </c>
      <c r="E1304" t="s">
        <v>1440</v>
      </c>
      <c r="F1304" s="78">
        <v>0.2961111111111111</v>
      </c>
      <c r="G1304" t="s">
        <v>1405</v>
      </c>
      <c r="H1304" t="s">
        <v>1335</v>
      </c>
      <c r="I1304" s="88" t="str">
        <f>VLOOKUP(A1304,Base!A:B,2,0)</f>
        <v>13.486.907-0</v>
      </c>
      <c r="J1304" s="99" t="str">
        <f>VLOOKUP(A1304,Base!A:F,6,0)</f>
        <v>MIGUEL  MALDONADO  DIAZ</v>
      </c>
      <c r="K1304" s="89" t="str">
        <f>IFERROR(IF(VLOOKUP(I1304,Ingreso!K:P,6,0)=0,"Sin turtno ing",VLOOKUP(I1304,Ingreso!K:P,6,0)),IF(F1304&gt;0.25,IF(F1304&lt;0.311805555555556,"Turno A",IF(F1304&gt;0.3125,IF(F1304&lt;0.354166666666667,"Turno C",IF(F1304&gt;0.583333333333333,IF(F1304&lt;0.625,"Turno B",IF(F1304&gt;0.625694444444444,IF(F1304&lt;0.8125,"Turno A",IF(F1304&gt;0.875,IF(F1304&lt;0.936805555555556,"Turno C",IF(F1304&gt;0.9375,IF(F1304&lt;0.979166666666667,"Turno B",""),"")),"")),"")),"")),"")),""))</f>
        <v>Sin turtno ing</v>
      </c>
      <c r="L1304" s="91" t="e">
        <f t="shared" si="20"/>
        <v>#N/A</v>
      </c>
    </row>
    <row r="1305" spans="1:12" s="40" customFormat="1">
      <c r="A1305">
        <v>13486907</v>
      </c>
      <c r="B1305" t="s">
        <v>309</v>
      </c>
      <c r="C1305" t="s">
        <v>449</v>
      </c>
      <c r="D1305" t="s">
        <v>179</v>
      </c>
      <c r="E1305" t="s">
        <v>1441</v>
      </c>
      <c r="F1305" s="78">
        <v>0.62443287037037043</v>
      </c>
      <c r="G1305" t="s">
        <v>1406</v>
      </c>
      <c r="H1305" t="s">
        <v>1336</v>
      </c>
      <c r="I1305" s="88" t="str">
        <f>VLOOKUP(A1305,Base!A:B,2,0)</f>
        <v>13.486.907-0</v>
      </c>
      <c r="J1305" s="99" t="str">
        <f>VLOOKUP(A1305,Base!A:F,6,0)</f>
        <v>MIGUEL  MALDONADO  DIAZ</v>
      </c>
      <c r="K1305" s="89" t="str">
        <f>IFERROR(IF(VLOOKUP(I1305,Ingreso!K:P,6,0)=0,"Sin turtno ing",VLOOKUP(I1305,Ingreso!K:P,6,0)),IF(F1305&gt;0.25,IF(F1305&lt;0.311805555555556,"Turno A",IF(F1305&gt;0.3125,IF(F1305&lt;0.354166666666667,"Turno C",IF(F1305&gt;0.583333333333333,IF(F1305&lt;0.625,"Turno B",IF(F1305&gt;0.625694444444444,IF(F1305&lt;0.8125,"Turno A",IF(F1305&gt;0.875,IF(F1305&lt;0.936805555555556,"Turno C",IF(F1305&gt;0.9375,IF(F1305&lt;0.979166666666667,"Turno B",""),"")),"")),"")),"")),"")),""))</f>
        <v>Sin turtno ing</v>
      </c>
      <c r="L1305" s="91" t="e">
        <f t="shared" si="20"/>
        <v>#N/A</v>
      </c>
    </row>
    <row r="1306" spans="1:12" s="40" customFormat="1">
      <c r="A1306">
        <v>13486907</v>
      </c>
      <c r="B1306" t="s">
        <v>309</v>
      </c>
      <c r="C1306" t="s">
        <v>449</v>
      </c>
      <c r="D1306" t="s">
        <v>179</v>
      </c>
      <c r="E1306" t="s">
        <v>1441</v>
      </c>
      <c r="F1306" s="78">
        <v>0.29013888888888889</v>
      </c>
      <c r="G1306" t="s">
        <v>1405</v>
      </c>
      <c r="H1306" t="s">
        <v>1335</v>
      </c>
      <c r="I1306" s="88" t="str">
        <f>VLOOKUP(A1306,Base!A:B,2,0)</f>
        <v>13.486.907-0</v>
      </c>
      <c r="J1306" s="99" t="str">
        <f>VLOOKUP(A1306,Base!A:F,6,0)</f>
        <v>MIGUEL  MALDONADO  DIAZ</v>
      </c>
      <c r="K1306" s="89" t="str">
        <f>IFERROR(IF(VLOOKUP(I1306,Ingreso!K:P,6,0)=0,"Sin turtno ing",VLOOKUP(I1306,Ingreso!K:P,6,0)),IF(F1306&gt;0.25,IF(F1306&lt;0.311805555555556,"Turno A",IF(F1306&gt;0.3125,IF(F1306&lt;0.354166666666667,"Turno C",IF(F1306&gt;0.583333333333333,IF(F1306&lt;0.625,"Turno B",IF(F1306&gt;0.625694444444444,IF(F1306&lt;0.8125,"Turno A",IF(F1306&gt;0.875,IF(F1306&lt;0.936805555555556,"Turno C",IF(F1306&gt;0.9375,IF(F1306&lt;0.979166666666667,"Turno B",""),"")),"")),"")),"")),"")),""))</f>
        <v>Sin turtno ing</v>
      </c>
      <c r="L1306" s="91" t="e">
        <f t="shared" si="20"/>
        <v>#N/A</v>
      </c>
    </row>
    <row r="1307" spans="1:12" s="40" customFormat="1">
      <c r="A1307">
        <v>13486907</v>
      </c>
      <c r="B1307" t="s">
        <v>309</v>
      </c>
      <c r="C1307" t="s">
        <v>449</v>
      </c>
      <c r="D1307" t="s">
        <v>179</v>
      </c>
      <c r="E1307" t="s">
        <v>1437</v>
      </c>
      <c r="F1307" s="78">
        <v>0.73646990740740748</v>
      </c>
      <c r="G1307" t="s">
        <v>1406</v>
      </c>
      <c r="H1307" t="s">
        <v>1336</v>
      </c>
      <c r="I1307" s="88" t="str">
        <f>VLOOKUP(A1307,Base!A:B,2,0)</f>
        <v>13.486.907-0</v>
      </c>
      <c r="J1307" s="99" t="str">
        <f>VLOOKUP(A1307,Base!A:F,6,0)</f>
        <v>MIGUEL  MALDONADO  DIAZ</v>
      </c>
      <c r="K1307" s="89" t="str">
        <f>IFERROR(IF(VLOOKUP(I1307,Ingreso!K:P,6,0)=0,"Sin turtno ing",VLOOKUP(I1307,Ingreso!K:P,6,0)),IF(F1307&gt;0.25,IF(F1307&lt;0.311805555555556,"Turno A",IF(F1307&gt;0.3125,IF(F1307&lt;0.354166666666667,"Turno C",IF(F1307&gt;0.583333333333333,IF(F1307&lt;0.625,"Turno B",IF(F1307&gt;0.625694444444444,IF(F1307&lt;0.8125,"Turno A",IF(F1307&gt;0.875,IF(F1307&lt;0.936805555555556,"Turno C",IF(F1307&gt;0.9375,IF(F1307&lt;0.979166666666667,"Turno B",""),"")),"")),"")),"")),"")),""))</f>
        <v>Sin turtno ing</v>
      </c>
      <c r="L1307" s="91" t="e">
        <f t="shared" si="20"/>
        <v>#N/A</v>
      </c>
    </row>
    <row r="1308" spans="1:12" s="40" customFormat="1">
      <c r="A1308">
        <v>13486907</v>
      </c>
      <c r="B1308" t="s">
        <v>309</v>
      </c>
      <c r="C1308" t="s">
        <v>449</v>
      </c>
      <c r="D1308" t="s">
        <v>179</v>
      </c>
      <c r="E1308" t="s">
        <v>1437</v>
      </c>
      <c r="F1308" s="78">
        <v>0.29148148148148151</v>
      </c>
      <c r="G1308" t="s">
        <v>1405</v>
      </c>
      <c r="H1308" t="s">
        <v>1335</v>
      </c>
      <c r="I1308" s="88" t="str">
        <f>VLOOKUP(A1308,Base!A:B,2,0)</f>
        <v>13.486.907-0</v>
      </c>
      <c r="J1308" s="99" t="str">
        <f>VLOOKUP(A1308,Base!A:F,6,0)</f>
        <v>MIGUEL  MALDONADO  DIAZ</v>
      </c>
      <c r="K1308" s="89" t="str">
        <f>IFERROR(IF(VLOOKUP(I1308,Ingreso!K:P,6,0)=0,"Sin turtno ing",VLOOKUP(I1308,Ingreso!K:P,6,0)),IF(F1308&gt;0.25,IF(F1308&lt;0.311805555555556,"Turno A",IF(F1308&gt;0.3125,IF(F1308&lt;0.354166666666667,"Turno C",IF(F1308&gt;0.583333333333333,IF(F1308&lt;0.625,"Turno B",IF(F1308&gt;0.625694444444444,IF(F1308&lt;0.8125,"Turno A",IF(F1308&gt;0.875,IF(F1308&lt;0.936805555555556,"Turno C",IF(F1308&gt;0.9375,IF(F1308&lt;0.979166666666667,"Turno B",""),"")),"")),"")),"")),"")),""))</f>
        <v>Sin turtno ing</v>
      </c>
      <c r="L1308" s="91" t="e">
        <f t="shared" si="20"/>
        <v>#N/A</v>
      </c>
    </row>
    <row r="1309" spans="1:12" s="40" customFormat="1">
      <c r="A1309">
        <v>13486907</v>
      </c>
      <c r="B1309" t="s">
        <v>309</v>
      </c>
      <c r="C1309" t="s">
        <v>449</v>
      </c>
      <c r="D1309" t="s">
        <v>179</v>
      </c>
      <c r="E1309" t="s">
        <v>1438</v>
      </c>
      <c r="F1309" s="78">
        <v>0.62663194444444448</v>
      </c>
      <c r="G1309" t="s">
        <v>1406</v>
      </c>
      <c r="H1309" t="s">
        <v>1336</v>
      </c>
      <c r="I1309" s="88" t="str">
        <f>VLOOKUP(A1309,Base!A:B,2,0)</f>
        <v>13.486.907-0</v>
      </c>
      <c r="J1309" s="99" t="str">
        <f>VLOOKUP(A1309,Base!A:F,6,0)</f>
        <v>MIGUEL  MALDONADO  DIAZ</v>
      </c>
      <c r="K1309" s="89" t="str">
        <f>IFERROR(IF(VLOOKUP(I1309,Ingreso!K:P,6,0)=0,"Sin turtno ing",VLOOKUP(I1309,Ingreso!K:P,6,0)),IF(F1309&gt;0.25,IF(F1309&lt;0.311805555555556,"Turno A",IF(F1309&gt;0.3125,IF(F1309&lt;0.354166666666667,"Turno C",IF(F1309&gt;0.583333333333333,IF(F1309&lt;0.625,"Turno B",IF(F1309&gt;0.625694444444444,IF(F1309&lt;0.8125,"Turno A",IF(F1309&gt;0.875,IF(F1309&lt;0.936805555555556,"Turno C",IF(F1309&gt;0.9375,IF(F1309&lt;0.979166666666667,"Turno B",""),"")),"")),"")),"")),"")),""))</f>
        <v>Sin turtno ing</v>
      </c>
      <c r="L1309" s="91" t="e">
        <f t="shared" si="20"/>
        <v>#N/A</v>
      </c>
    </row>
    <row r="1310" spans="1:12" s="40" customFormat="1">
      <c r="A1310">
        <v>13486907</v>
      </c>
      <c r="B1310" t="s">
        <v>309</v>
      </c>
      <c r="C1310" t="s">
        <v>449</v>
      </c>
      <c r="D1310" t="s">
        <v>179</v>
      </c>
      <c r="E1310" t="s">
        <v>1438</v>
      </c>
      <c r="F1310" s="78">
        <v>0.28630787037037037</v>
      </c>
      <c r="G1310" t="s">
        <v>1405</v>
      </c>
      <c r="H1310" t="s">
        <v>1335</v>
      </c>
      <c r="I1310" s="88" t="str">
        <f>VLOOKUP(A1310,Base!A:B,2,0)</f>
        <v>13.486.907-0</v>
      </c>
      <c r="J1310" s="99" t="str">
        <f>VLOOKUP(A1310,Base!A:F,6,0)</f>
        <v>MIGUEL  MALDONADO  DIAZ</v>
      </c>
      <c r="K1310" s="89" t="str">
        <f>IFERROR(IF(VLOOKUP(I1310,Ingreso!K:P,6,0)=0,"Sin turtno ing",VLOOKUP(I1310,Ingreso!K:P,6,0)),IF(F1310&gt;0.25,IF(F1310&lt;0.311805555555556,"Turno A",IF(F1310&gt;0.3125,IF(F1310&lt;0.354166666666667,"Turno C",IF(F1310&gt;0.583333333333333,IF(F1310&lt;0.625,"Turno B",IF(F1310&gt;0.625694444444444,IF(F1310&lt;0.8125,"Turno A",IF(F1310&gt;0.875,IF(F1310&lt;0.936805555555556,"Turno C",IF(F1310&gt;0.9375,IF(F1310&lt;0.979166666666667,"Turno B",""),"")),"")),"")),"")),"")),""))</f>
        <v>Sin turtno ing</v>
      </c>
      <c r="L1310" s="91" t="e">
        <f t="shared" si="20"/>
        <v>#N/A</v>
      </c>
    </row>
    <row r="1311" spans="1:12" s="40" customFormat="1">
      <c r="A1311">
        <v>13486907</v>
      </c>
      <c r="B1311" t="s">
        <v>309</v>
      </c>
      <c r="C1311" t="s">
        <v>449</v>
      </c>
      <c r="D1311" t="s">
        <v>179</v>
      </c>
      <c r="E1311" t="s">
        <v>1439</v>
      </c>
      <c r="F1311" s="78">
        <v>0.63239583333333338</v>
      </c>
      <c r="G1311" t="s">
        <v>1406</v>
      </c>
      <c r="H1311" t="s">
        <v>1336</v>
      </c>
      <c r="I1311" s="88" t="str">
        <f>VLOOKUP(A1311,Base!A:B,2,0)</f>
        <v>13.486.907-0</v>
      </c>
      <c r="J1311" s="99" t="str">
        <f>VLOOKUP(A1311,Base!A:F,6,0)</f>
        <v>MIGUEL  MALDONADO  DIAZ</v>
      </c>
      <c r="K1311" s="89" t="str">
        <f>IFERROR(IF(VLOOKUP(I1311,Ingreso!K:P,6,0)=0,"Sin turtno ing",VLOOKUP(I1311,Ingreso!K:P,6,0)),IF(F1311&gt;0.25,IF(F1311&lt;0.311805555555556,"Turno A",IF(F1311&gt;0.3125,IF(F1311&lt;0.354166666666667,"Turno C",IF(F1311&gt;0.583333333333333,IF(F1311&lt;0.625,"Turno B",IF(F1311&gt;0.625694444444444,IF(F1311&lt;0.8125,"Turno A",IF(F1311&gt;0.875,IF(F1311&lt;0.936805555555556,"Turno C",IF(F1311&gt;0.9375,IF(F1311&lt;0.979166666666667,"Turno B",""),"")),"")),"")),"")),"")),""))</f>
        <v>Sin turtno ing</v>
      </c>
      <c r="L1311" s="91" t="e">
        <f t="shared" si="20"/>
        <v>#N/A</v>
      </c>
    </row>
    <row r="1312" spans="1:12" s="40" customFormat="1">
      <c r="A1312">
        <v>13486907</v>
      </c>
      <c r="B1312" t="s">
        <v>309</v>
      </c>
      <c r="C1312" t="s">
        <v>449</v>
      </c>
      <c r="D1312" t="s">
        <v>179</v>
      </c>
      <c r="E1312" t="s">
        <v>1439</v>
      </c>
      <c r="F1312" s="78">
        <v>0.28640046296296295</v>
      </c>
      <c r="G1312" t="s">
        <v>1405</v>
      </c>
      <c r="H1312" t="s">
        <v>1335</v>
      </c>
      <c r="I1312" s="88" t="str">
        <f>VLOOKUP(A1312,Base!A:B,2,0)</f>
        <v>13.486.907-0</v>
      </c>
      <c r="J1312" s="99" t="str">
        <f>VLOOKUP(A1312,Base!A:F,6,0)</f>
        <v>MIGUEL  MALDONADO  DIAZ</v>
      </c>
      <c r="K1312" s="89" t="str">
        <f>IFERROR(IF(VLOOKUP(I1312,Ingreso!K:P,6,0)=0,"Sin turtno ing",VLOOKUP(I1312,Ingreso!K:P,6,0)),IF(F1312&gt;0.25,IF(F1312&lt;0.311805555555556,"Turno A",IF(F1312&gt;0.3125,IF(F1312&lt;0.354166666666667,"Turno C",IF(F1312&gt;0.583333333333333,IF(F1312&lt;0.625,"Turno B",IF(F1312&gt;0.625694444444444,IF(F1312&lt;0.8125,"Turno A",IF(F1312&gt;0.875,IF(F1312&lt;0.936805555555556,"Turno C",IF(F1312&gt;0.9375,IF(F1312&lt;0.979166666666667,"Turno B",""),"")),"")),"")),"")),"")),""))</f>
        <v>Sin turtno ing</v>
      </c>
      <c r="L1312" s="91" t="e">
        <f t="shared" si="20"/>
        <v>#N/A</v>
      </c>
    </row>
    <row r="1313" spans="1:12" s="40" customFormat="1">
      <c r="A1313">
        <v>13552988</v>
      </c>
      <c r="B1313" t="s">
        <v>656</v>
      </c>
      <c r="C1313" t="s">
        <v>654</v>
      </c>
      <c r="D1313" t="s">
        <v>655</v>
      </c>
      <c r="E1313" t="s">
        <v>1440</v>
      </c>
      <c r="F1313" s="78">
        <v>0.33037037037037037</v>
      </c>
      <c r="G1313" t="s">
        <v>1406</v>
      </c>
      <c r="H1313" t="s">
        <v>1336</v>
      </c>
      <c r="I1313" s="88" t="str">
        <f>VLOOKUP(A1313,Base!A:B,2,0)</f>
        <v>13.552.988-5</v>
      </c>
      <c r="J1313" s="99" t="str">
        <f>VLOOKUP(A1313,Base!A:F,6,0)</f>
        <v>DAVID  MOYA  BEROIZA</v>
      </c>
      <c r="K1313" s="89" t="str">
        <f>IFERROR(IF(VLOOKUP(I1313,Ingreso!K:P,6,0)=0,"Sin turtno ing",VLOOKUP(I1313,Ingreso!K:P,6,0)),IF(F1313&gt;0.25,IF(F1313&lt;0.311805555555556,"Turno A",IF(F1313&gt;0.3125,IF(F1313&lt;0.354166666666667,"Turno C",IF(F1313&gt;0.583333333333333,IF(F1313&lt;0.625,"Turno B",IF(F1313&gt;0.625694444444444,IF(F1313&lt;0.8125,"Turno A",IF(F1313&gt;0.875,IF(F1313&lt;0.936805555555556,"Turno C",IF(F1313&gt;0.9375,IF(F1313&lt;0.979166666666667,"Turno B",""),"")),"")),"")),"")),"")),""))</f>
        <v>Turno C</v>
      </c>
      <c r="L1313" s="91">
        <f t="shared" si="20"/>
        <v>0.375</v>
      </c>
    </row>
    <row r="1314" spans="1:12" s="40" customFormat="1">
      <c r="A1314">
        <v>13552988</v>
      </c>
      <c r="B1314" t="s">
        <v>656</v>
      </c>
      <c r="C1314" t="s">
        <v>654</v>
      </c>
      <c r="D1314" t="s">
        <v>655</v>
      </c>
      <c r="E1314" t="s">
        <v>1440</v>
      </c>
      <c r="F1314" s="78">
        <v>0.91850694444444436</v>
      </c>
      <c r="G1314" t="s">
        <v>1405</v>
      </c>
      <c r="H1314" t="s">
        <v>1335</v>
      </c>
      <c r="I1314" s="88" t="str">
        <f>VLOOKUP(A1314,Base!A:B,2,0)</f>
        <v>13.552.988-5</v>
      </c>
      <c r="J1314" s="99" t="str">
        <f>VLOOKUP(A1314,Base!A:F,6,0)</f>
        <v>DAVID  MOYA  BEROIZA</v>
      </c>
      <c r="K1314" s="89" t="str">
        <f>IFERROR(IF(VLOOKUP(I1314,Ingreso!K:P,6,0)=0,"Sin turtno ing",VLOOKUP(I1314,Ingreso!K:P,6,0)),IF(F1314&gt;0.25,IF(F1314&lt;0.311805555555556,"Turno A",IF(F1314&gt;0.3125,IF(F1314&lt;0.354166666666667,"Turno C",IF(F1314&gt;0.583333333333333,IF(F1314&lt;0.625,"Turno B",IF(F1314&gt;0.625694444444444,IF(F1314&lt;0.8125,"Turno A",IF(F1314&gt;0.875,IF(F1314&lt;0.936805555555556,"Turno C",IF(F1314&gt;0.9375,IF(F1314&lt;0.979166666666667,"Turno B",""),"")),"")),"")),"")),"")),""))</f>
        <v>Turno C</v>
      </c>
      <c r="L1314" s="91">
        <f t="shared" si="20"/>
        <v>0.375</v>
      </c>
    </row>
    <row r="1315" spans="1:12" s="40" customFormat="1">
      <c r="A1315">
        <v>13552988</v>
      </c>
      <c r="B1315" t="s">
        <v>656</v>
      </c>
      <c r="C1315" t="s">
        <v>654</v>
      </c>
      <c r="D1315" t="s">
        <v>655</v>
      </c>
      <c r="E1315" t="s">
        <v>1441</v>
      </c>
      <c r="F1315" s="78">
        <v>0.32961805555555557</v>
      </c>
      <c r="G1315" t="s">
        <v>1406</v>
      </c>
      <c r="H1315" t="s">
        <v>1336</v>
      </c>
      <c r="I1315" s="88" t="str">
        <f>VLOOKUP(A1315,Base!A:B,2,0)</f>
        <v>13.552.988-5</v>
      </c>
      <c r="J1315" s="99" t="str">
        <f>VLOOKUP(A1315,Base!A:F,6,0)</f>
        <v>DAVID  MOYA  BEROIZA</v>
      </c>
      <c r="K1315" s="89" t="str">
        <f>IFERROR(IF(VLOOKUP(I1315,Ingreso!K:P,6,0)=0,"Sin turtno ing",VLOOKUP(I1315,Ingreso!K:P,6,0)),IF(F1315&gt;0.25,IF(F1315&lt;0.311805555555556,"Turno A",IF(F1315&gt;0.3125,IF(F1315&lt;0.354166666666667,"Turno C",IF(F1315&gt;0.583333333333333,IF(F1315&lt;0.625,"Turno B",IF(F1315&gt;0.625694444444444,IF(F1315&lt;0.8125,"Turno A",IF(F1315&gt;0.875,IF(F1315&lt;0.936805555555556,"Turno C",IF(F1315&gt;0.9375,IF(F1315&lt;0.979166666666667,"Turno B",""),"")),"")),"")),"")),"")),""))</f>
        <v>Turno C</v>
      </c>
      <c r="L1315" s="91">
        <f t="shared" si="20"/>
        <v>0.375</v>
      </c>
    </row>
    <row r="1316" spans="1:12" s="40" customFormat="1">
      <c r="A1316">
        <v>13552988</v>
      </c>
      <c r="B1316" t="s">
        <v>656</v>
      </c>
      <c r="C1316" t="s">
        <v>654</v>
      </c>
      <c r="D1316" t="s">
        <v>655</v>
      </c>
      <c r="E1316" t="s">
        <v>1437</v>
      </c>
      <c r="F1316" s="78">
        <v>0.641087962962963</v>
      </c>
      <c r="G1316" t="s">
        <v>1406</v>
      </c>
      <c r="H1316" t="s">
        <v>1336</v>
      </c>
      <c r="I1316" s="88" t="str">
        <f>VLOOKUP(A1316,Base!A:B,2,0)</f>
        <v>13.552.988-5</v>
      </c>
      <c r="J1316" s="99" t="str">
        <f>VLOOKUP(A1316,Base!A:F,6,0)</f>
        <v>DAVID  MOYA  BEROIZA</v>
      </c>
      <c r="K1316" s="89" t="str">
        <f>IFERROR(IF(VLOOKUP(I1316,Ingreso!K:P,6,0)=0,"Sin turtno ing",VLOOKUP(I1316,Ingreso!K:P,6,0)),IF(F1316&gt;0.25,IF(F1316&lt;0.311805555555556,"Turno A",IF(F1316&gt;0.3125,IF(F1316&lt;0.354166666666667,"Turno C",IF(F1316&gt;0.583333333333333,IF(F1316&lt;0.625,"Turno B",IF(F1316&gt;0.625694444444444,IF(F1316&lt;0.8125,"Turno A",IF(F1316&gt;0.875,IF(F1316&lt;0.936805555555556,"Turno C",IF(F1316&gt;0.9375,IF(F1316&lt;0.979166666666667,"Turno B",""),"")),"")),"")),"")),"")),""))</f>
        <v>Turno A</v>
      </c>
      <c r="L1316" s="91">
        <f t="shared" si="20"/>
        <v>0.3125</v>
      </c>
    </row>
    <row r="1317" spans="1:12" s="40" customFormat="1">
      <c r="A1317">
        <v>13552988</v>
      </c>
      <c r="B1317" t="s">
        <v>656</v>
      </c>
      <c r="C1317" t="s">
        <v>654</v>
      </c>
      <c r="D1317" t="s">
        <v>655</v>
      </c>
      <c r="E1317" t="s">
        <v>1437</v>
      </c>
      <c r="F1317" s="78">
        <v>0.30694444444444441</v>
      </c>
      <c r="G1317" t="s">
        <v>1405</v>
      </c>
      <c r="H1317" t="s">
        <v>1335</v>
      </c>
      <c r="I1317" s="88" t="str">
        <f>VLOOKUP(A1317,Base!A:B,2,0)</f>
        <v>13.552.988-5</v>
      </c>
      <c r="J1317" s="99" t="str">
        <f>VLOOKUP(A1317,Base!A:F,6,0)</f>
        <v>DAVID  MOYA  BEROIZA</v>
      </c>
      <c r="K1317" s="89" t="str">
        <f>IFERROR(IF(VLOOKUP(I1317,Ingreso!K:P,6,0)=0,"Sin turtno ing",VLOOKUP(I1317,Ingreso!K:P,6,0)),IF(F1317&gt;0.25,IF(F1317&lt;0.311805555555556,"Turno A",IF(F1317&gt;0.3125,IF(F1317&lt;0.354166666666667,"Turno C",IF(F1317&gt;0.583333333333333,IF(F1317&lt;0.625,"Turno B",IF(F1317&gt;0.625694444444444,IF(F1317&lt;0.8125,"Turno A",IF(F1317&gt;0.875,IF(F1317&lt;0.936805555555556,"Turno C",IF(F1317&gt;0.9375,IF(F1317&lt;0.979166666666667,"Turno B",""),"")),"")),"")),"")),"")),""))</f>
        <v>Turno A</v>
      </c>
      <c r="L1317" s="91">
        <f t="shared" si="20"/>
        <v>0.3125</v>
      </c>
    </row>
    <row r="1318" spans="1:12" s="40" customFormat="1">
      <c r="A1318">
        <v>13552988</v>
      </c>
      <c r="B1318" t="s">
        <v>656</v>
      </c>
      <c r="C1318" t="s">
        <v>654</v>
      </c>
      <c r="D1318" t="s">
        <v>655</v>
      </c>
      <c r="E1318" t="s">
        <v>1438</v>
      </c>
      <c r="F1318" s="78">
        <v>0.63966435185185189</v>
      </c>
      <c r="G1318" t="s">
        <v>1406</v>
      </c>
      <c r="H1318" t="s">
        <v>1336</v>
      </c>
      <c r="I1318" s="88" t="str">
        <f>VLOOKUP(A1318,Base!A:B,2,0)</f>
        <v>13.552.988-5</v>
      </c>
      <c r="J1318" s="99" t="str">
        <f>VLOOKUP(A1318,Base!A:F,6,0)</f>
        <v>DAVID  MOYA  BEROIZA</v>
      </c>
      <c r="K1318" s="89" t="str">
        <f>IFERROR(IF(VLOOKUP(I1318,Ingreso!K:P,6,0)=0,"Sin turtno ing",VLOOKUP(I1318,Ingreso!K:P,6,0)),IF(F1318&gt;0.25,IF(F1318&lt;0.311805555555556,"Turno A",IF(F1318&gt;0.3125,IF(F1318&lt;0.354166666666667,"Turno C",IF(F1318&gt;0.583333333333333,IF(F1318&lt;0.625,"Turno B",IF(F1318&gt;0.625694444444444,IF(F1318&lt;0.8125,"Turno A",IF(F1318&gt;0.875,IF(F1318&lt;0.936805555555556,"Turno C",IF(F1318&gt;0.9375,IF(F1318&lt;0.979166666666667,"Turno B",""),"")),"")),"")),"")),"")),""))</f>
        <v>Turno A</v>
      </c>
      <c r="L1318" s="91">
        <f t="shared" si="20"/>
        <v>0.3125</v>
      </c>
    </row>
    <row r="1319" spans="1:12" s="40" customFormat="1">
      <c r="A1319">
        <v>13552988</v>
      </c>
      <c r="B1319" t="s">
        <v>656</v>
      </c>
      <c r="C1319" t="s">
        <v>654</v>
      </c>
      <c r="D1319" t="s">
        <v>655</v>
      </c>
      <c r="E1319" t="s">
        <v>1438</v>
      </c>
      <c r="F1319" s="78">
        <v>0.29324074074074075</v>
      </c>
      <c r="G1319" t="s">
        <v>1405</v>
      </c>
      <c r="H1319" t="s">
        <v>1335</v>
      </c>
      <c r="I1319" s="88" t="str">
        <f>VLOOKUP(A1319,Base!A:B,2,0)</f>
        <v>13.552.988-5</v>
      </c>
      <c r="J1319" s="99" t="str">
        <f>VLOOKUP(A1319,Base!A:F,6,0)</f>
        <v>DAVID  MOYA  BEROIZA</v>
      </c>
      <c r="K1319" s="89" t="str">
        <f>IFERROR(IF(VLOOKUP(I1319,Ingreso!K:P,6,0)=0,"Sin turtno ing",VLOOKUP(I1319,Ingreso!K:P,6,0)),IF(F1319&gt;0.25,IF(F1319&lt;0.311805555555556,"Turno A",IF(F1319&gt;0.3125,IF(F1319&lt;0.354166666666667,"Turno C",IF(F1319&gt;0.583333333333333,IF(F1319&lt;0.625,"Turno B",IF(F1319&gt;0.625694444444444,IF(F1319&lt;0.8125,"Turno A",IF(F1319&gt;0.875,IF(F1319&lt;0.936805555555556,"Turno C",IF(F1319&gt;0.9375,IF(F1319&lt;0.979166666666667,"Turno B",""),"")),"")),"")),"")),"")),""))</f>
        <v>Turno A</v>
      </c>
      <c r="L1319" s="91">
        <f t="shared" si="20"/>
        <v>0.3125</v>
      </c>
    </row>
    <row r="1320" spans="1:12" s="40" customFormat="1">
      <c r="A1320">
        <v>13552988</v>
      </c>
      <c r="B1320" t="s">
        <v>656</v>
      </c>
      <c r="C1320" t="s">
        <v>654</v>
      </c>
      <c r="D1320" t="s">
        <v>655</v>
      </c>
      <c r="E1320" t="s">
        <v>1439</v>
      </c>
      <c r="F1320" s="78">
        <v>0.33760416666666665</v>
      </c>
      <c r="G1320" t="s">
        <v>1406</v>
      </c>
      <c r="H1320" t="s">
        <v>1336</v>
      </c>
      <c r="I1320" s="88" t="str">
        <f>VLOOKUP(A1320,Base!A:B,2,0)</f>
        <v>13.552.988-5</v>
      </c>
      <c r="J1320" s="99" t="str">
        <f>VLOOKUP(A1320,Base!A:F,6,0)</f>
        <v>DAVID  MOYA  BEROIZA</v>
      </c>
      <c r="K1320" s="89" t="str">
        <f>IFERROR(IF(VLOOKUP(I1320,Ingreso!K:P,6,0)=0,"Sin turtno ing",VLOOKUP(I1320,Ingreso!K:P,6,0)),IF(F1320&gt;0.25,IF(F1320&lt;0.311805555555556,"Turno A",IF(F1320&gt;0.3125,IF(F1320&lt;0.354166666666667,"Turno C",IF(F1320&gt;0.583333333333333,IF(F1320&lt;0.625,"Turno B",IF(F1320&gt;0.625694444444444,IF(F1320&lt;0.8125,"Turno A",IF(F1320&gt;0.875,IF(F1320&lt;0.936805555555556,"Turno C",IF(F1320&gt;0.9375,IF(F1320&lt;0.979166666666667,"Turno B",""),"")),"")),"")),"")),"")),""))</f>
        <v>Turno C</v>
      </c>
      <c r="L1320" s="91">
        <f t="shared" si="20"/>
        <v>0.375</v>
      </c>
    </row>
    <row r="1321" spans="1:12" s="40" customFormat="1">
      <c r="A1321">
        <v>13552988</v>
      </c>
      <c r="B1321" t="s">
        <v>656</v>
      </c>
      <c r="C1321" t="s">
        <v>654</v>
      </c>
      <c r="D1321" t="s">
        <v>655</v>
      </c>
      <c r="E1321" t="s">
        <v>1439</v>
      </c>
      <c r="F1321" s="78">
        <v>0.29393518518518519</v>
      </c>
      <c r="G1321" t="s">
        <v>1405</v>
      </c>
      <c r="H1321" t="s">
        <v>1335</v>
      </c>
      <c r="I1321" s="88" t="str">
        <f>VLOOKUP(A1321,Base!A:B,2,0)</f>
        <v>13.552.988-5</v>
      </c>
      <c r="J1321" s="99" t="str">
        <f>VLOOKUP(A1321,Base!A:F,6,0)</f>
        <v>DAVID  MOYA  BEROIZA</v>
      </c>
      <c r="K1321" s="89" t="str">
        <f>IFERROR(IF(VLOOKUP(I1321,Ingreso!K:P,6,0)=0,"Sin turtno ing",VLOOKUP(I1321,Ingreso!K:P,6,0)),IF(F1321&gt;0.25,IF(F1321&lt;0.311805555555556,"Turno A",IF(F1321&gt;0.3125,IF(F1321&lt;0.354166666666667,"Turno C",IF(F1321&gt;0.583333333333333,IF(F1321&lt;0.625,"Turno B",IF(F1321&gt;0.625694444444444,IF(F1321&lt;0.8125,"Turno A",IF(F1321&gt;0.875,IF(F1321&lt;0.936805555555556,"Turno C",IF(F1321&gt;0.9375,IF(F1321&lt;0.979166666666667,"Turno B",""),"")),"")),"")),"")),"")),""))</f>
        <v>Turno A</v>
      </c>
      <c r="L1321" s="91">
        <f t="shared" si="20"/>
        <v>0.3125</v>
      </c>
    </row>
    <row r="1322" spans="1:12" s="40" customFormat="1">
      <c r="A1322">
        <v>13552988</v>
      </c>
      <c r="B1322" t="s">
        <v>656</v>
      </c>
      <c r="C1322" t="s">
        <v>654</v>
      </c>
      <c r="D1322" t="s">
        <v>655</v>
      </c>
      <c r="E1322" t="s">
        <v>1439</v>
      </c>
      <c r="F1322" s="78">
        <v>0.91775462962962961</v>
      </c>
      <c r="G1322" t="s">
        <v>1405</v>
      </c>
      <c r="H1322" t="s">
        <v>1335</v>
      </c>
      <c r="I1322" s="88" t="str">
        <f>VLOOKUP(A1322,Base!A:B,2,0)</f>
        <v>13.552.988-5</v>
      </c>
      <c r="J1322" s="99" t="str">
        <f>VLOOKUP(A1322,Base!A:F,6,0)</f>
        <v>DAVID  MOYA  BEROIZA</v>
      </c>
      <c r="K1322" s="89" t="str">
        <f>IFERROR(IF(VLOOKUP(I1322,Ingreso!K:P,6,0)=0,"Sin turtno ing",VLOOKUP(I1322,Ingreso!K:P,6,0)),IF(F1322&gt;0.25,IF(F1322&lt;0.311805555555556,"Turno A",IF(F1322&gt;0.3125,IF(F1322&lt;0.354166666666667,"Turno C",IF(F1322&gt;0.583333333333333,IF(F1322&lt;0.625,"Turno B",IF(F1322&gt;0.625694444444444,IF(F1322&lt;0.8125,"Turno A",IF(F1322&gt;0.875,IF(F1322&lt;0.936805555555556,"Turno C",IF(F1322&gt;0.9375,IF(F1322&lt;0.979166666666667,"Turno B",""),"")),"")),"")),"")),"")),""))</f>
        <v>Turno C</v>
      </c>
      <c r="L1322" s="91">
        <f t="shared" si="20"/>
        <v>0.375</v>
      </c>
    </row>
    <row r="1323" spans="1:12" s="40" customFormat="1">
      <c r="A1323">
        <v>13553033</v>
      </c>
      <c r="B1323" t="s">
        <v>274</v>
      </c>
      <c r="C1323" t="s">
        <v>868</v>
      </c>
      <c r="D1323" t="s">
        <v>754</v>
      </c>
      <c r="E1323" t="s">
        <v>1440</v>
      </c>
      <c r="F1323" s="78">
        <v>0.71520833333333333</v>
      </c>
      <c r="G1323" t="s">
        <v>1406</v>
      </c>
      <c r="H1323" t="s">
        <v>1336</v>
      </c>
      <c r="I1323" s="88" t="str">
        <f>VLOOKUP(A1323,Base!A:B,2,0)</f>
        <v>13.553.033-6</v>
      </c>
      <c r="J1323" s="99" t="str">
        <f>VLOOKUP(A1323,Base!A:F,6,0)</f>
        <v>CLAUDIO  RETAMALES  SEPULVEDA</v>
      </c>
      <c r="K1323" s="89" t="str">
        <f>IFERROR(IF(VLOOKUP(I1323,Ingreso!K:P,6,0)=0,"Sin turtno ing",VLOOKUP(I1323,Ingreso!K:P,6,0)),IF(F1323&gt;0.25,IF(F1323&lt;0.311805555555556,"Turno A",IF(F1323&gt;0.3125,IF(F1323&lt;0.354166666666667,"Turno C",IF(F1323&gt;0.583333333333333,IF(F1323&lt;0.625,"Turno B",IF(F1323&gt;0.625694444444444,IF(F1323&lt;0.8125,"Turno A",IF(F1323&gt;0.875,IF(F1323&lt;0.936805555555556,"Turno C",IF(F1323&gt;0.9375,IF(F1323&lt;0.979166666666667,"Turno B",""),"")),"")),"")),"")),"")),""))</f>
        <v>Turno A</v>
      </c>
      <c r="L1323" s="91">
        <f t="shared" si="20"/>
        <v>0.3125</v>
      </c>
    </row>
    <row r="1324" spans="1:12" s="40" customFormat="1">
      <c r="A1324">
        <v>13553033</v>
      </c>
      <c r="B1324" t="s">
        <v>274</v>
      </c>
      <c r="C1324" t="s">
        <v>868</v>
      </c>
      <c r="D1324" t="s">
        <v>754</v>
      </c>
      <c r="E1324" t="s">
        <v>1440</v>
      </c>
      <c r="F1324" s="78">
        <v>0.30761574074074077</v>
      </c>
      <c r="G1324" t="s">
        <v>1405</v>
      </c>
      <c r="H1324" t="s">
        <v>1335</v>
      </c>
      <c r="I1324" s="88" t="str">
        <f>VLOOKUP(A1324,Base!A:B,2,0)</f>
        <v>13.553.033-6</v>
      </c>
      <c r="J1324" s="99" t="str">
        <f>VLOOKUP(A1324,Base!A:F,6,0)</f>
        <v>CLAUDIO  RETAMALES  SEPULVEDA</v>
      </c>
      <c r="K1324" s="89" t="str">
        <f>IFERROR(IF(VLOOKUP(I1324,Ingreso!K:P,6,0)=0,"Sin turtno ing",VLOOKUP(I1324,Ingreso!K:P,6,0)),IF(F1324&gt;0.25,IF(F1324&lt;0.311805555555556,"Turno A",IF(F1324&gt;0.3125,IF(F1324&lt;0.354166666666667,"Turno C",IF(F1324&gt;0.583333333333333,IF(F1324&lt;0.625,"Turno B",IF(F1324&gt;0.625694444444444,IF(F1324&lt;0.8125,"Turno A",IF(F1324&gt;0.875,IF(F1324&lt;0.936805555555556,"Turno C",IF(F1324&gt;0.9375,IF(F1324&lt;0.979166666666667,"Turno B",""),"")),"")),"")),"")),"")),""))</f>
        <v>Turno A</v>
      </c>
      <c r="L1324" s="91">
        <f t="shared" si="20"/>
        <v>0.3125</v>
      </c>
    </row>
    <row r="1325" spans="1:12" s="40" customFormat="1">
      <c r="A1325">
        <v>13553033</v>
      </c>
      <c r="B1325" t="s">
        <v>274</v>
      </c>
      <c r="C1325" t="s">
        <v>868</v>
      </c>
      <c r="D1325" t="s">
        <v>754</v>
      </c>
      <c r="E1325" t="s">
        <v>1441</v>
      </c>
      <c r="F1325" s="78">
        <v>0.75923611111111111</v>
      </c>
      <c r="G1325" t="s">
        <v>1406</v>
      </c>
      <c r="H1325" t="s">
        <v>1336</v>
      </c>
      <c r="I1325" s="88" t="str">
        <f>VLOOKUP(A1325,Base!A:B,2,0)</f>
        <v>13.553.033-6</v>
      </c>
      <c r="J1325" s="99" t="str">
        <f>VLOOKUP(A1325,Base!A:F,6,0)</f>
        <v>CLAUDIO  RETAMALES  SEPULVEDA</v>
      </c>
      <c r="K1325" s="89" t="str">
        <f>IFERROR(IF(VLOOKUP(I1325,Ingreso!K:P,6,0)=0,"Sin turtno ing",VLOOKUP(I1325,Ingreso!K:P,6,0)),IF(F1325&gt;0.25,IF(F1325&lt;0.311805555555556,"Turno A",IF(F1325&gt;0.3125,IF(F1325&lt;0.354166666666667,"Turno C",IF(F1325&gt;0.583333333333333,IF(F1325&lt;0.625,"Turno B",IF(F1325&gt;0.625694444444444,IF(F1325&lt;0.8125,"Turno A",IF(F1325&gt;0.875,IF(F1325&lt;0.936805555555556,"Turno C",IF(F1325&gt;0.9375,IF(F1325&lt;0.979166666666667,"Turno B",""),"")),"")),"")),"")),"")),""))</f>
        <v>Turno A</v>
      </c>
      <c r="L1325" s="91">
        <f t="shared" si="20"/>
        <v>0.3125</v>
      </c>
    </row>
    <row r="1326" spans="1:12" s="40" customFormat="1">
      <c r="A1326">
        <v>13553033</v>
      </c>
      <c r="B1326" t="s">
        <v>274</v>
      </c>
      <c r="C1326" t="s">
        <v>868</v>
      </c>
      <c r="D1326" t="s">
        <v>754</v>
      </c>
      <c r="E1326" t="s">
        <v>1441</v>
      </c>
      <c r="F1326" s="78">
        <v>0.32027777777777777</v>
      </c>
      <c r="G1326" t="s">
        <v>1405</v>
      </c>
      <c r="H1326" t="s">
        <v>1335</v>
      </c>
      <c r="I1326" s="88" t="str">
        <f>VLOOKUP(A1326,Base!A:B,2,0)</f>
        <v>13.553.033-6</v>
      </c>
      <c r="J1326" s="99" t="str">
        <f>VLOOKUP(A1326,Base!A:F,6,0)</f>
        <v>CLAUDIO  RETAMALES  SEPULVEDA</v>
      </c>
      <c r="K1326" s="89" t="str">
        <f>IFERROR(IF(VLOOKUP(I1326,Ingreso!K:P,6,0)=0,"Sin turtno ing",VLOOKUP(I1326,Ingreso!K:P,6,0)),IF(F1326&gt;0.25,IF(F1326&lt;0.311805555555556,"Turno A",IF(F1326&gt;0.3125,IF(F1326&lt;0.354166666666667,"Turno C",IF(F1326&gt;0.583333333333333,IF(F1326&lt;0.625,"Turno B",IF(F1326&gt;0.625694444444444,IF(F1326&lt;0.8125,"Turno A",IF(F1326&gt;0.875,IF(F1326&lt;0.936805555555556,"Turno C",IF(F1326&gt;0.9375,IF(F1326&lt;0.979166666666667,"Turno B",""),"")),"")),"")),"")),"")),""))</f>
        <v>Turno C</v>
      </c>
      <c r="L1326" s="91">
        <f t="shared" si="20"/>
        <v>0.375</v>
      </c>
    </row>
    <row r="1327" spans="1:12" s="40" customFormat="1">
      <c r="A1327">
        <v>13553033</v>
      </c>
      <c r="B1327" t="s">
        <v>274</v>
      </c>
      <c r="C1327" t="s">
        <v>868</v>
      </c>
      <c r="D1327" t="s">
        <v>754</v>
      </c>
      <c r="E1327" t="s">
        <v>1437</v>
      </c>
      <c r="F1327" s="78">
        <v>0.72983796296296299</v>
      </c>
      <c r="G1327" t="s">
        <v>1406</v>
      </c>
      <c r="H1327" t="s">
        <v>1336</v>
      </c>
      <c r="I1327" s="88" t="str">
        <f>VLOOKUP(A1327,Base!A:B,2,0)</f>
        <v>13.553.033-6</v>
      </c>
      <c r="J1327" s="99" t="str">
        <f>VLOOKUP(A1327,Base!A:F,6,0)</f>
        <v>CLAUDIO  RETAMALES  SEPULVEDA</v>
      </c>
      <c r="K1327" s="89" t="str">
        <f>IFERROR(IF(VLOOKUP(I1327,Ingreso!K:P,6,0)=0,"Sin turtno ing",VLOOKUP(I1327,Ingreso!K:P,6,0)),IF(F1327&gt;0.25,IF(F1327&lt;0.311805555555556,"Turno A",IF(F1327&gt;0.3125,IF(F1327&lt;0.354166666666667,"Turno C",IF(F1327&gt;0.583333333333333,IF(F1327&lt;0.625,"Turno B",IF(F1327&gt;0.625694444444444,IF(F1327&lt;0.8125,"Turno A",IF(F1327&gt;0.875,IF(F1327&lt;0.936805555555556,"Turno C",IF(F1327&gt;0.9375,IF(F1327&lt;0.979166666666667,"Turno B",""),"")),"")),"")),"")),"")),""))</f>
        <v>Turno A</v>
      </c>
      <c r="L1327" s="91">
        <f t="shared" si="20"/>
        <v>0.3125</v>
      </c>
    </row>
    <row r="1328" spans="1:12" s="40" customFormat="1">
      <c r="A1328">
        <v>13553033</v>
      </c>
      <c r="B1328" t="s">
        <v>274</v>
      </c>
      <c r="C1328" t="s">
        <v>868</v>
      </c>
      <c r="D1328" t="s">
        <v>754</v>
      </c>
      <c r="E1328" t="s">
        <v>1437</v>
      </c>
      <c r="F1328" s="78">
        <v>0.30459490740740741</v>
      </c>
      <c r="G1328" t="s">
        <v>1405</v>
      </c>
      <c r="H1328" t="s">
        <v>1335</v>
      </c>
      <c r="I1328" s="88" t="str">
        <f>VLOOKUP(A1328,Base!A:B,2,0)</f>
        <v>13.553.033-6</v>
      </c>
      <c r="J1328" s="99" t="str">
        <f>VLOOKUP(A1328,Base!A:F,6,0)</f>
        <v>CLAUDIO  RETAMALES  SEPULVEDA</v>
      </c>
      <c r="K1328" s="89" t="str">
        <f>IFERROR(IF(VLOOKUP(I1328,Ingreso!K:P,6,0)=0,"Sin turtno ing",VLOOKUP(I1328,Ingreso!K:P,6,0)),IF(F1328&gt;0.25,IF(F1328&lt;0.311805555555556,"Turno A",IF(F1328&gt;0.3125,IF(F1328&lt;0.354166666666667,"Turno C",IF(F1328&gt;0.583333333333333,IF(F1328&lt;0.625,"Turno B",IF(F1328&gt;0.625694444444444,IF(F1328&lt;0.8125,"Turno A",IF(F1328&gt;0.875,IF(F1328&lt;0.936805555555556,"Turno C",IF(F1328&gt;0.9375,IF(F1328&lt;0.979166666666667,"Turno B",""),"")),"")),"")),"")),"")),""))</f>
        <v>Turno A</v>
      </c>
      <c r="L1328" s="91">
        <f t="shared" si="20"/>
        <v>0.3125</v>
      </c>
    </row>
    <row r="1329" spans="1:12" s="40" customFormat="1">
      <c r="A1329">
        <v>13553033</v>
      </c>
      <c r="B1329" t="s">
        <v>274</v>
      </c>
      <c r="C1329" t="s">
        <v>868</v>
      </c>
      <c r="D1329" t="s">
        <v>754</v>
      </c>
      <c r="E1329" t="s">
        <v>1438</v>
      </c>
      <c r="F1329" s="78">
        <v>0.72531249999999992</v>
      </c>
      <c r="G1329" t="s">
        <v>1406</v>
      </c>
      <c r="H1329" t="s">
        <v>1336</v>
      </c>
      <c r="I1329" s="88" t="str">
        <f>VLOOKUP(A1329,Base!A:B,2,0)</f>
        <v>13.553.033-6</v>
      </c>
      <c r="J1329" s="99" t="str">
        <f>VLOOKUP(A1329,Base!A:F,6,0)</f>
        <v>CLAUDIO  RETAMALES  SEPULVEDA</v>
      </c>
      <c r="K1329" s="89" t="str">
        <f>IFERROR(IF(VLOOKUP(I1329,Ingreso!K:P,6,0)=0,"Sin turtno ing",VLOOKUP(I1329,Ingreso!K:P,6,0)),IF(F1329&gt;0.25,IF(F1329&lt;0.311805555555556,"Turno A",IF(F1329&gt;0.3125,IF(F1329&lt;0.354166666666667,"Turno C",IF(F1329&gt;0.583333333333333,IF(F1329&lt;0.625,"Turno B",IF(F1329&gt;0.625694444444444,IF(F1329&lt;0.8125,"Turno A",IF(F1329&gt;0.875,IF(F1329&lt;0.936805555555556,"Turno C",IF(F1329&gt;0.9375,IF(F1329&lt;0.979166666666667,"Turno B",""),"")),"")),"")),"")),"")),""))</f>
        <v>Turno A</v>
      </c>
      <c r="L1329" s="91">
        <f t="shared" si="20"/>
        <v>0.3125</v>
      </c>
    </row>
    <row r="1330" spans="1:12" s="40" customFormat="1">
      <c r="A1330">
        <v>13553033</v>
      </c>
      <c r="B1330" t="s">
        <v>274</v>
      </c>
      <c r="C1330" t="s">
        <v>868</v>
      </c>
      <c r="D1330" t="s">
        <v>754</v>
      </c>
      <c r="E1330" t="s">
        <v>1438</v>
      </c>
      <c r="F1330" s="78">
        <v>0.29928240740740741</v>
      </c>
      <c r="G1330" t="s">
        <v>1405</v>
      </c>
      <c r="H1330" t="s">
        <v>1335</v>
      </c>
      <c r="I1330" s="88" t="str">
        <f>VLOOKUP(A1330,Base!A:B,2,0)</f>
        <v>13.553.033-6</v>
      </c>
      <c r="J1330" s="99" t="str">
        <f>VLOOKUP(A1330,Base!A:F,6,0)</f>
        <v>CLAUDIO  RETAMALES  SEPULVEDA</v>
      </c>
      <c r="K1330" s="89" t="str">
        <f>IFERROR(IF(VLOOKUP(I1330,Ingreso!K:P,6,0)=0,"Sin turtno ing",VLOOKUP(I1330,Ingreso!K:P,6,0)),IF(F1330&gt;0.25,IF(F1330&lt;0.311805555555556,"Turno A",IF(F1330&gt;0.3125,IF(F1330&lt;0.354166666666667,"Turno C",IF(F1330&gt;0.583333333333333,IF(F1330&lt;0.625,"Turno B",IF(F1330&gt;0.625694444444444,IF(F1330&lt;0.8125,"Turno A",IF(F1330&gt;0.875,IF(F1330&lt;0.936805555555556,"Turno C",IF(F1330&gt;0.9375,IF(F1330&lt;0.979166666666667,"Turno B",""),"")),"")),"")),"")),"")),""))</f>
        <v>Turno A</v>
      </c>
      <c r="L1330" s="91">
        <f t="shared" si="20"/>
        <v>0.3125</v>
      </c>
    </row>
    <row r="1331" spans="1:12" s="40" customFormat="1">
      <c r="A1331">
        <v>13553033</v>
      </c>
      <c r="B1331" t="s">
        <v>274</v>
      </c>
      <c r="C1331" t="s">
        <v>868</v>
      </c>
      <c r="D1331" t="s">
        <v>754</v>
      </c>
      <c r="E1331" t="s">
        <v>1439</v>
      </c>
      <c r="F1331" s="78">
        <v>0.82746527777777779</v>
      </c>
      <c r="G1331" t="s">
        <v>1406</v>
      </c>
      <c r="H1331" t="s">
        <v>1336</v>
      </c>
      <c r="I1331" s="88" t="str">
        <f>VLOOKUP(A1331,Base!A:B,2,0)</f>
        <v>13.553.033-6</v>
      </c>
      <c r="J1331" s="99" t="str">
        <f>VLOOKUP(A1331,Base!A:F,6,0)</f>
        <v>CLAUDIO  RETAMALES  SEPULVEDA</v>
      </c>
      <c r="K1331" s="89" t="str">
        <f>IFERROR(IF(VLOOKUP(I1331,Ingreso!K:P,6,0)=0,"Sin turtno ing",VLOOKUP(I1331,Ingreso!K:P,6,0)),IF(F1331&gt;0.25,IF(F1331&lt;0.311805555555556,"Turno A",IF(F1331&gt;0.3125,IF(F1331&lt;0.354166666666667,"Turno C",IF(F1331&gt;0.583333333333333,IF(F1331&lt;0.625,"Turno B",IF(F1331&gt;0.625694444444444,IF(F1331&lt;0.8125,"Turno A",IF(F1331&gt;0.875,IF(F1331&lt;0.936805555555556,"Turno C",IF(F1331&gt;0.9375,IF(F1331&lt;0.979166666666667,"Turno B",""),"")),"")),"")),"")),"")),""))</f>
        <v/>
      </c>
      <c r="L1331" s="91" t="e">
        <f t="shared" si="20"/>
        <v>#N/A</v>
      </c>
    </row>
    <row r="1332" spans="1:12" s="40" customFormat="1">
      <c r="A1332">
        <v>13553033</v>
      </c>
      <c r="B1332" t="s">
        <v>274</v>
      </c>
      <c r="C1332" t="s">
        <v>868</v>
      </c>
      <c r="D1332" t="s">
        <v>754</v>
      </c>
      <c r="E1332" t="s">
        <v>1439</v>
      </c>
      <c r="F1332" s="78">
        <v>0.29681712962962964</v>
      </c>
      <c r="G1332" t="s">
        <v>1405</v>
      </c>
      <c r="H1332" t="s">
        <v>1335</v>
      </c>
      <c r="I1332" s="88" t="str">
        <f>VLOOKUP(A1332,Base!A:B,2,0)</f>
        <v>13.553.033-6</v>
      </c>
      <c r="J1332" s="99" t="str">
        <f>VLOOKUP(A1332,Base!A:F,6,0)</f>
        <v>CLAUDIO  RETAMALES  SEPULVEDA</v>
      </c>
      <c r="K1332" s="89" t="str">
        <f>IFERROR(IF(VLOOKUP(I1332,Ingreso!K:P,6,0)=0,"Sin turtno ing",VLOOKUP(I1332,Ingreso!K:P,6,0)),IF(F1332&gt;0.25,IF(F1332&lt;0.311805555555556,"Turno A",IF(F1332&gt;0.3125,IF(F1332&lt;0.354166666666667,"Turno C",IF(F1332&gt;0.583333333333333,IF(F1332&lt;0.625,"Turno B",IF(F1332&gt;0.625694444444444,IF(F1332&lt;0.8125,"Turno A",IF(F1332&gt;0.875,IF(F1332&lt;0.936805555555556,"Turno C",IF(F1332&gt;0.9375,IF(F1332&lt;0.979166666666667,"Turno B",""),"")),"")),"")),"")),"")),""))</f>
        <v>Turno A</v>
      </c>
      <c r="L1332" s="91">
        <f t="shared" si="20"/>
        <v>0.3125</v>
      </c>
    </row>
    <row r="1333" spans="1:12" s="40" customFormat="1">
      <c r="A1333">
        <v>13557248</v>
      </c>
      <c r="B1333" t="s">
        <v>151</v>
      </c>
      <c r="C1333" t="s">
        <v>149</v>
      </c>
      <c r="D1333" t="s">
        <v>150</v>
      </c>
      <c r="E1333" t="s">
        <v>1440</v>
      </c>
      <c r="F1333" s="78">
        <v>0.63839120370370372</v>
      </c>
      <c r="G1333" t="s">
        <v>1406</v>
      </c>
      <c r="H1333" t="s">
        <v>1336</v>
      </c>
      <c r="I1333" s="88" t="str">
        <f>VLOOKUP(A1333,Base!A:B,2,0)</f>
        <v>13.557.248-9</v>
      </c>
      <c r="J1333" s="99" t="str">
        <f>VLOOKUP(A1333,Base!A:F,6,0)</f>
        <v>OSCAR MAURICIO  BERRIOS  LOPEZ</v>
      </c>
      <c r="K1333" s="89" t="str">
        <f>IFERROR(IF(VLOOKUP(I1333,Ingreso!K:P,6,0)=0,"Sin turtno ing",VLOOKUP(I1333,Ingreso!K:P,6,0)),IF(F1333&gt;0.25,IF(F1333&lt;0.311805555555556,"Turno A",IF(F1333&gt;0.3125,IF(F1333&lt;0.354166666666667,"Turno C",IF(F1333&gt;0.583333333333333,IF(F1333&lt;0.625,"Turno B",IF(F1333&gt;0.625694444444444,IF(F1333&lt;0.8125,"Turno A",IF(F1333&gt;0.875,IF(F1333&lt;0.936805555555556,"Turno C",IF(F1333&gt;0.9375,IF(F1333&lt;0.979166666666667,"Turno B",""),"")),"")),"")),"")),"")),""))</f>
        <v>Turno C</v>
      </c>
      <c r="L1333" s="91">
        <f t="shared" si="20"/>
        <v>0.375</v>
      </c>
    </row>
    <row r="1334" spans="1:12" s="40" customFormat="1">
      <c r="A1334">
        <v>13557248</v>
      </c>
      <c r="B1334" t="s">
        <v>151</v>
      </c>
      <c r="C1334" t="s">
        <v>149</v>
      </c>
      <c r="D1334" t="s">
        <v>150</v>
      </c>
      <c r="E1334" t="s">
        <v>1440</v>
      </c>
      <c r="F1334" s="78">
        <v>0.31506944444444446</v>
      </c>
      <c r="G1334" t="s">
        <v>1405</v>
      </c>
      <c r="H1334" t="s">
        <v>1335</v>
      </c>
      <c r="I1334" s="88" t="str">
        <f>VLOOKUP(A1334,Base!A:B,2,0)</f>
        <v>13.557.248-9</v>
      </c>
      <c r="J1334" s="99" t="str">
        <f>VLOOKUP(A1334,Base!A:F,6,0)</f>
        <v>OSCAR MAURICIO  BERRIOS  LOPEZ</v>
      </c>
      <c r="K1334" s="89" t="str">
        <f>IFERROR(IF(VLOOKUP(I1334,Ingreso!K:P,6,0)=0,"Sin turtno ing",VLOOKUP(I1334,Ingreso!K:P,6,0)),IF(F1334&gt;0.25,IF(F1334&lt;0.311805555555556,"Turno A",IF(F1334&gt;0.3125,IF(F1334&lt;0.354166666666667,"Turno C",IF(F1334&gt;0.583333333333333,IF(F1334&lt;0.625,"Turno B",IF(F1334&gt;0.625694444444444,IF(F1334&lt;0.8125,"Turno A",IF(F1334&gt;0.875,IF(F1334&lt;0.936805555555556,"Turno C",IF(F1334&gt;0.9375,IF(F1334&lt;0.979166666666667,"Turno B",""),"")),"")),"")),"")),"")),""))</f>
        <v>Turno C</v>
      </c>
      <c r="L1334" s="91">
        <f t="shared" si="20"/>
        <v>0.375</v>
      </c>
    </row>
    <row r="1335" spans="1:12" s="40" customFormat="1">
      <c r="A1335">
        <v>13557248</v>
      </c>
      <c r="B1335" t="s">
        <v>151</v>
      </c>
      <c r="C1335" t="s">
        <v>149</v>
      </c>
      <c r="D1335" t="s">
        <v>150</v>
      </c>
      <c r="E1335" t="s">
        <v>1436</v>
      </c>
      <c r="F1335" s="78">
        <v>0.99699074074074068</v>
      </c>
      <c r="G1335" t="s">
        <v>1405</v>
      </c>
      <c r="H1335" t="s">
        <v>1335</v>
      </c>
      <c r="I1335" s="88" t="str">
        <f>VLOOKUP(A1335,Base!A:B,2,0)</f>
        <v>13.557.248-9</v>
      </c>
      <c r="J1335" s="99" t="str">
        <f>VLOOKUP(A1335,Base!A:F,6,0)</f>
        <v>OSCAR MAURICIO  BERRIOS  LOPEZ</v>
      </c>
      <c r="K1335" s="89" t="str">
        <f>IFERROR(IF(VLOOKUP(I1335,Ingreso!K:P,6,0)=0,"Sin turtno ing",VLOOKUP(I1335,Ingreso!K:P,6,0)),IF(F1335&gt;0.25,IF(F1335&lt;0.311805555555556,"Turno A",IF(F1335&gt;0.3125,IF(F1335&lt;0.354166666666667,"Turno C",IF(F1335&gt;0.583333333333333,IF(F1335&lt;0.625,"Turno B",IF(F1335&gt;0.625694444444444,IF(F1335&lt;0.8125,"Turno A",IF(F1335&gt;0.875,IF(F1335&lt;0.936805555555556,"Turno C",IF(F1335&gt;0.9375,IF(F1335&lt;0.979166666666667,"Turno B",""),"")),"")),"")),"")),"")),""))</f>
        <v>Turno C</v>
      </c>
      <c r="L1335" s="91">
        <f t="shared" si="20"/>
        <v>0.375</v>
      </c>
    </row>
    <row r="1336" spans="1:12" s="40" customFormat="1">
      <c r="A1336">
        <v>13557248</v>
      </c>
      <c r="B1336" t="s">
        <v>151</v>
      </c>
      <c r="C1336" t="s">
        <v>149</v>
      </c>
      <c r="D1336" t="s">
        <v>150</v>
      </c>
      <c r="E1336" t="s">
        <v>1437</v>
      </c>
      <c r="F1336" s="78">
        <v>0.3258564814814815</v>
      </c>
      <c r="G1336" t="s">
        <v>1406</v>
      </c>
      <c r="H1336" t="s">
        <v>1336</v>
      </c>
      <c r="I1336" s="88" t="str">
        <f>VLOOKUP(A1336,Base!A:B,2,0)</f>
        <v>13.557.248-9</v>
      </c>
      <c r="J1336" s="99" t="str">
        <f>VLOOKUP(A1336,Base!A:F,6,0)</f>
        <v>OSCAR MAURICIO  BERRIOS  LOPEZ</v>
      </c>
      <c r="K1336" s="89" t="str">
        <f>IFERROR(IF(VLOOKUP(I1336,Ingreso!K:P,6,0)=0,"Sin turtno ing",VLOOKUP(I1336,Ingreso!K:P,6,0)),IF(F1336&gt;0.25,IF(F1336&lt;0.311805555555556,"Turno A",IF(F1336&gt;0.3125,IF(F1336&lt;0.354166666666667,"Turno C",IF(F1336&gt;0.583333333333333,IF(F1336&lt;0.625,"Turno B",IF(F1336&gt;0.625694444444444,IF(F1336&lt;0.8125,"Turno A",IF(F1336&gt;0.875,IF(F1336&lt;0.936805555555556,"Turno C",IF(F1336&gt;0.9375,IF(F1336&lt;0.979166666666667,"Turno B",""),"")),"")),"")),"")),"")),""))</f>
        <v>Turno C</v>
      </c>
      <c r="L1336" s="91">
        <f t="shared" si="20"/>
        <v>0.375</v>
      </c>
    </row>
    <row r="1337" spans="1:12" s="40" customFormat="1">
      <c r="A1337">
        <v>13557248</v>
      </c>
      <c r="B1337" t="s">
        <v>151</v>
      </c>
      <c r="C1337" t="s">
        <v>149</v>
      </c>
      <c r="D1337" t="s">
        <v>150</v>
      </c>
      <c r="E1337" t="s">
        <v>1437</v>
      </c>
      <c r="F1337" s="78">
        <v>0.91462962962962957</v>
      </c>
      <c r="G1337" t="s">
        <v>1406</v>
      </c>
      <c r="H1337" t="s">
        <v>1336</v>
      </c>
      <c r="I1337" s="88" t="str">
        <f>VLOOKUP(A1337,Base!A:B,2,0)</f>
        <v>13.557.248-9</v>
      </c>
      <c r="J1337" s="99" t="str">
        <f>VLOOKUP(A1337,Base!A:F,6,0)</f>
        <v>OSCAR MAURICIO  BERRIOS  LOPEZ</v>
      </c>
      <c r="K1337" s="89" t="str">
        <f>IFERROR(IF(VLOOKUP(I1337,Ingreso!K:P,6,0)=0,"Sin turtno ing",VLOOKUP(I1337,Ingreso!K:P,6,0)),IF(F1337&gt;0.25,IF(F1337&lt;0.311805555555556,"Turno A",IF(F1337&gt;0.3125,IF(F1337&lt;0.354166666666667,"Turno C",IF(F1337&gt;0.583333333333333,IF(F1337&lt;0.625,"Turno B",IF(F1337&gt;0.625694444444444,IF(F1337&lt;0.8125,"Turno A",IF(F1337&gt;0.875,IF(F1337&lt;0.936805555555556,"Turno C",IF(F1337&gt;0.9375,IF(F1337&lt;0.979166666666667,"Turno B",""),"")),"")),"")),"")),"")),""))</f>
        <v>Turno C</v>
      </c>
      <c r="L1337" s="91">
        <f t="shared" si="20"/>
        <v>0.375</v>
      </c>
    </row>
    <row r="1338" spans="1:12" s="40" customFormat="1">
      <c r="A1338">
        <v>13557248</v>
      </c>
      <c r="B1338" t="s">
        <v>151</v>
      </c>
      <c r="C1338" t="s">
        <v>149</v>
      </c>
      <c r="D1338" t="s">
        <v>150</v>
      </c>
      <c r="E1338" t="s">
        <v>1437</v>
      </c>
      <c r="F1338" s="78">
        <v>0.6230324074074074</v>
      </c>
      <c r="G1338" t="s">
        <v>1405</v>
      </c>
      <c r="H1338" t="s">
        <v>1335</v>
      </c>
      <c r="I1338" s="88" t="str">
        <f>VLOOKUP(A1338,Base!A:B,2,0)</f>
        <v>13.557.248-9</v>
      </c>
      <c r="J1338" s="99" t="str">
        <f>VLOOKUP(A1338,Base!A:F,6,0)</f>
        <v>OSCAR MAURICIO  BERRIOS  LOPEZ</v>
      </c>
      <c r="K1338" s="89" t="str">
        <f>IFERROR(IF(VLOOKUP(I1338,Ingreso!K:P,6,0)=0,"Sin turtno ing",VLOOKUP(I1338,Ingreso!K:P,6,0)),IF(F1338&gt;0.25,IF(F1338&lt;0.311805555555556,"Turno A",IF(F1338&gt;0.3125,IF(F1338&lt;0.354166666666667,"Turno C",IF(F1338&gt;0.583333333333333,IF(F1338&lt;0.625,"Turno B",IF(F1338&gt;0.625694444444444,IF(F1338&lt;0.8125,"Turno A",IF(F1338&gt;0.875,IF(F1338&lt;0.936805555555556,"Turno C",IF(F1338&gt;0.9375,IF(F1338&lt;0.979166666666667,"Turno B",""),"")),"")),"")),"")),"")),""))</f>
        <v>Turno C</v>
      </c>
      <c r="L1338" s="91">
        <f t="shared" si="20"/>
        <v>0.375</v>
      </c>
    </row>
    <row r="1339" spans="1:12" s="40" customFormat="1">
      <c r="A1339">
        <v>13557248</v>
      </c>
      <c r="B1339" t="s">
        <v>151</v>
      </c>
      <c r="C1339" t="s">
        <v>149</v>
      </c>
      <c r="D1339" t="s">
        <v>150</v>
      </c>
      <c r="E1339" t="s">
        <v>1438</v>
      </c>
      <c r="F1339" s="78">
        <v>0.93633101851851841</v>
      </c>
      <c r="G1339" t="s">
        <v>1406</v>
      </c>
      <c r="H1339" t="s">
        <v>1336</v>
      </c>
      <c r="I1339" s="88" t="str">
        <f>VLOOKUP(A1339,Base!A:B,2,0)</f>
        <v>13.557.248-9</v>
      </c>
      <c r="J1339" s="99" t="str">
        <f>VLOOKUP(A1339,Base!A:F,6,0)</f>
        <v>OSCAR MAURICIO  BERRIOS  LOPEZ</v>
      </c>
      <c r="K1339" s="89" t="str">
        <f>IFERROR(IF(VLOOKUP(I1339,Ingreso!K:P,6,0)=0,"Sin turtno ing",VLOOKUP(I1339,Ingreso!K:P,6,0)),IF(F1339&gt;0.25,IF(F1339&lt;0.311805555555556,"Turno A",IF(F1339&gt;0.3125,IF(F1339&lt;0.354166666666667,"Turno C",IF(F1339&gt;0.583333333333333,IF(F1339&lt;0.625,"Turno B",IF(F1339&gt;0.625694444444444,IF(F1339&lt;0.8125,"Turno A",IF(F1339&gt;0.875,IF(F1339&lt;0.936805555555556,"Turno C",IF(F1339&gt;0.9375,IF(F1339&lt;0.979166666666667,"Turno B",""),"")),"")),"")),"")),"")),""))</f>
        <v>Turno C</v>
      </c>
      <c r="L1339" s="91">
        <f t="shared" si="20"/>
        <v>0.375</v>
      </c>
    </row>
    <row r="1340" spans="1:12" s="40" customFormat="1">
      <c r="A1340">
        <v>13557248</v>
      </c>
      <c r="B1340" t="s">
        <v>151</v>
      </c>
      <c r="C1340" t="s">
        <v>149</v>
      </c>
      <c r="D1340" t="s">
        <v>150</v>
      </c>
      <c r="E1340" t="s">
        <v>1438</v>
      </c>
      <c r="F1340" s="78">
        <v>0.62523148148148155</v>
      </c>
      <c r="G1340" t="s">
        <v>1405</v>
      </c>
      <c r="H1340" t="s">
        <v>1335</v>
      </c>
      <c r="I1340" s="88" t="str">
        <f>VLOOKUP(A1340,Base!A:B,2,0)</f>
        <v>13.557.248-9</v>
      </c>
      <c r="J1340" s="99" t="str">
        <f>VLOOKUP(A1340,Base!A:F,6,0)</f>
        <v>OSCAR MAURICIO  BERRIOS  LOPEZ</v>
      </c>
      <c r="K1340" s="89" t="str">
        <f>IFERROR(IF(VLOOKUP(I1340,Ingreso!K:P,6,0)=0,"Sin turtno ing",VLOOKUP(I1340,Ingreso!K:P,6,0)),IF(F1340&gt;0.25,IF(F1340&lt;0.311805555555556,"Turno A",IF(F1340&gt;0.3125,IF(F1340&lt;0.354166666666667,"Turno C",IF(F1340&gt;0.583333333333333,IF(F1340&lt;0.625,"Turno B",IF(F1340&gt;0.625694444444444,IF(F1340&lt;0.8125,"Turno A",IF(F1340&gt;0.875,IF(F1340&lt;0.936805555555556,"Turno C",IF(F1340&gt;0.9375,IF(F1340&lt;0.979166666666667,"Turno B",""),"")),"")),"")),"")),"")),""))</f>
        <v>Turno C</v>
      </c>
      <c r="L1340" s="91">
        <f t="shared" si="20"/>
        <v>0.375</v>
      </c>
    </row>
    <row r="1341" spans="1:12" s="40" customFormat="1">
      <c r="A1341">
        <v>13557248</v>
      </c>
      <c r="B1341" t="s">
        <v>151</v>
      </c>
      <c r="C1341" t="s">
        <v>149</v>
      </c>
      <c r="D1341" t="s">
        <v>150</v>
      </c>
      <c r="E1341" t="s">
        <v>1439</v>
      </c>
      <c r="F1341" s="78">
        <v>0.63328703703703704</v>
      </c>
      <c r="G1341" t="s">
        <v>1406</v>
      </c>
      <c r="H1341" t="s">
        <v>1336</v>
      </c>
      <c r="I1341" s="88" t="str">
        <f>VLOOKUP(A1341,Base!A:B,2,0)</f>
        <v>13.557.248-9</v>
      </c>
      <c r="J1341" s="99" t="str">
        <f>VLOOKUP(A1341,Base!A:F,6,0)</f>
        <v>OSCAR MAURICIO  BERRIOS  LOPEZ</v>
      </c>
      <c r="K1341" s="89" t="str">
        <f>IFERROR(IF(VLOOKUP(I1341,Ingreso!K:P,6,0)=0,"Sin turtno ing",VLOOKUP(I1341,Ingreso!K:P,6,0)),IF(F1341&gt;0.25,IF(F1341&lt;0.311805555555556,"Turno A",IF(F1341&gt;0.3125,IF(F1341&lt;0.354166666666667,"Turno C",IF(F1341&gt;0.583333333333333,IF(F1341&lt;0.625,"Turno B",IF(F1341&gt;0.625694444444444,IF(F1341&lt;0.8125,"Turno A",IF(F1341&gt;0.875,IF(F1341&lt;0.936805555555556,"Turno C",IF(F1341&gt;0.9375,IF(F1341&lt;0.979166666666667,"Turno B",""),"")),"")),"")),"")),"")),""))</f>
        <v>Turno C</v>
      </c>
      <c r="L1341" s="91">
        <f t="shared" si="20"/>
        <v>0.375</v>
      </c>
    </row>
    <row r="1342" spans="1:12" s="40" customFormat="1">
      <c r="A1342">
        <v>13557248</v>
      </c>
      <c r="B1342" t="s">
        <v>151</v>
      </c>
      <c r="C1342" t="s">
        <v>149</v>
      </c>
      <c r="D1342" t="s">
        <v>150</v>
      </c>
      <c r="E1342" t="s">
        <v>1439</v>
      </c>
      <c r="F1342" s="78">
        <v>0.31496527777777777</v>
      </c>
      <c r="G1342" t="s">
        <v>1405</v>
      </c>
      <c r="H1342" t="s">
        <v>1335</v>
      </c>
      <c r="I1342" s="88" t="str">
        <f>VLOOKUP(A1342,Base!A:B,2,0)</f>
        <v>13.557.248-9</v>
      </c>
      <c r="J1342" s="99" t="str">
        <f>VLOOKUP(A1342,Base!A:F,6,0)</f>
        <v>OSCAR MAURICIO  BERRIOS  LOPEZ</v>
      </c>
      <c r="K1342" s="89" t="str">
        <f>IFERROR(IF(VLOOKUP(I1342,Ingreso!K:P,6,0)=0,"Sin turtno ing",VLOOKUP(I1342,Ingreso!K:P,6,0)),IF(F1342&gt;0.25,IF(F1342&lt;0.311805555555556,"Turno A",IF(F1342&gt;0.3125,IF(F1342&lt;0.354166666666667,"Turno C",IF(F1342&gt;0.583333333333333,IF(F1342&lt;0.625,"Turno B",IF(F1342&gt;0.625694444444444,IF(F1342&lt;0.8125,"Turno A",IF(F1342&gt;0.875,IF(F1342&lt;0.936805555555556,"Turno C",IF(F1342&gt;0.9375,IF(F1342&lt;0.979166666666667,"Turno B",""),"")),"")),"")),"")),"")),""))</f>
        <v>Turno C</v>
      </c>
      <c r="L1342" s="91">
        <f t="shared" si="20"/>
        <v>0.375</v>
      </c>
    </row>
    <row r="1343" spans="1:12" s="40" customFormat="1">
      <c r="A1343">
        <v>13638571</v>
      </c>
      <c r="B1343" t="s">
        <v>964</v>
      </c>
      <c r="C1343" t="s">
        <v>960</v>
      </c>
      <c r="D1343" t="s">
        <v>594</v>
      </c>
      <c r="E1343" t="s">
        <v>1407</v>
      </c>
      <c r="F1343" s="78">
        <v>0</v>
      </c>
      <c r="G1343"/>
      <c r="H1343"/>
      <c r="I1343" s="88" t="str">
        <f>VLOOKUP(A1343,Base!A:B,2,0)</f>
        <v>13.638.571-2</v>
      </c>
      <c r="J1343" s="99" t="str">
        <f>VLOOKUP(A1343,Base!A:F,6,0)</f>
        <v>EDUARDO  SALINAS  MARIN</v>
      </c>
      <c r="K1343" s="89" t="str">
        <f>IFERROR(IF(VLOOKUP(I1343,Ingreso!K:P,6,0)=0,"Sin turtno ing",VLOOKUP(I1343,Ingreso!K:P,6,0)),IF(F1343&gt;0.25,IF(F1343&lt;0.311805555555556,"Turno A",IF(F1343&gt;0.3125,IF(F1343&lt;0.354166666666667,"Turno C",IF(F1343&gt;0.583333333333333,IF(F1343&lt;0.625,"Turno B",IF(F1343&gt;0.625694444444444,IF(F1343&lt;0.8125,"Turno A",IF(F1343&gt;0.875,IF(F1343&lt;0.936805555555556,"Turno C",IF(F1343&gt;0.9375,IF(F1343&lt;0.979166666666667,"Turno B",""),"")),"")),"")),"")),"")),""))</f>
        <v/>
      </c>
      <c r="L1343" s="91" t="e">
        <f t="shared" si="20"/>
        <v>#N/A</v>
      </c>
    </row>
    <row r="1344" spans="1:12" s="40" customFormat="1">
      <c r="A1344">
        <v>13681026</v>
      </c>
      <c r="B1344" t="s">
        <v>739</v>
      </c>
      <c r="C1344" t="s">
        <v>737</v>
      </c>
      <c r="D1344" t="s">
        <v>738</v>
      </c>
      <c r="E1344" t="s">
        <v>1440</v>
      </c>
      <c r="F1344" s="78">
        <v>0.93674768518518514</v>
      </c>
      <c r="G1344" t="s">
        <v>1406</v>
      </c>
      <c r="H1344" t="s">
        <v>1336</v>
      </c>
      <c r="I1344" s="88" t="str">
        <f>VLOOKUP(A1344,Base!A:B,2,0)</f>
        <v>13.681.026-K</v>
      </c>
      <c r="J1344" s="99" t="str">
        <f>VLOOKUP(A1344,Base!A:F,6,0)</f>
        <v>JULIO HERNAN  OYANEDEL  COFRE</v>
      </c>
      <c r="K1344" s="89" t="str">
        <f>IFERROR(IF(VLOOKUP(I1344,Ingreso!K:P,6,0)=0,"Sin turtno ing",VLOOKUP(I1344,Ingreso!K:P,6,0)),IF(F1344&gt;0.25,IF(F1344&lt;0.311805555555556,"Turno A",IF(F1344&gt;0.3125,IF(F1344&lt;0.354166666666667,"Turno C",IF(F1344&gt;0.583333333333333,IF(F1344&lt;0.625,"Turno B",IF(F1344&gt;0.625694444444444,IF(F1344&lt;0.8125,"Turno A",IF(F1344&gt;0.875,IF(F1344&lt;0.936805555555556,"Turno C",IF(F1344&gt;0.9375,IF(F1344&lt;0.979166666666667,"Turno B",""),"")),"")),"")),"")),"")),""))</f>
        <v>Turno B</v>
      </c>
      <c r="L1344" s="91">
        <f t="shared" si="20"/>
        <v>0.3125</v>
      </c>
    </row>
    <row r="1345" spans="1:12" s="40" customFormat="1">
      <c r="A1345">
        <v>13681026</v>
      </c>
      <c r="B1345" t="s">
        <v>739</v>
      </c>
      <c r="C1345" t="s">
        <v>737</v>
      </c>
      <c r="D1345" t="s">
        <v>738</v>
      </c>
      <c r="E1345" t="s">
        <v>1440</v>
      </c>
      <c r="F1345" s="78">
        <v>0.60766203703703703</v>
      </c>
      <c r="G1345" t="s">
        <v>1405</v>
      </c>
      <c r="H1345" t="s">
        <v>1335</v>
      </c>
      <c r="I1345" s="88" t="str">
        <f>VLOOKUP(A1345,Base!A:B,2,0)</f>
        <v>13.681.026-K</v>
      </c>
      <c r="J1345" s="99" t="str">
        <f>VLOOKUP(A1345,Base!A:F,6,0)</f>
        <v>JULIO HERNAN  OYANEDEL  COFRE</v>
      </c>
      <c r="K1345" s="89" t="str">
        <f>IFERROR(IF(VLOOKUP(I1345,Ingreso!K:P,6,0)=0,"Sin turtno ing",VLOOKUP(I1345,Ingreso!K:P,6,0)),IF(F1345&gt;0.25,IF(F1345&lt;0.311805555555556,"Turno A",IF(F1345&gt;0.3125,IF(F1345&lt;0.354166666666667,"Turno C",IF(F1345&gt;0.583333333333333,IF(F1345&lt;0.625,"Turno B",IF(F1345&gt;0.625694444444444,IF(F1345&lt;0.8125,"Turno A",IF(F1345&gt;0.875,IF(F1345&lt;0.936805555555556,"Turno C",IF(F1345&gt;0.9375,IF(F1345&lt;0.979166666666667,"Turno B",""),"")),"")),"")),"")),"")),""))</f>
        <v>Turno B</v>
      </c>
      <c r="L1345" s="91">
        <f t="shared" si="20"/>
        <v>0.3125</v>
      </c>
    </row>
    <row r="1346" spans="1:12" s="40" customFormat="1">
      <c r="A1346">
        <v>13681026</v>
      </c>
      <c r="B1346" t="s">
        <v>739</v>
      </c>
      <c r="C1346" t="s">
        <v>737</v>
      </c>
      <c r="D1346" t="s">
        <v>738</v>
      </c>
      <c r="E1346" t="s">
        <v>1441</v>
      </c>
      <c r="F1346" s="78">
        <v>0.89009259259259255</v>
      </c>
      <c r="G1346" t="s">
        <v>1406</v>
      </c>
      <c r="H1346" t="s">
        <v>1336</v>
      </c>
      <c r="I1346" s="88" t="str">
        <f>VLOOKUP(A1346,Base!A:B,2,0)</f>
        <v>13.681.026-K</v>
      </c>
      <c r="J1346" s="99" t="str">
        <f>VLOOKUP(A1346,Base!A:F,6,0)</f>
        <v>JULIO HERNAN  OYANEDEL  COFRE</v>
      </c>
      <c r="K1346" s="89" t="str">
        <f>IFERROR(IF(VLOOKUP(I1346,Ingreso!K:P,6,0)=0,"Sin turtno ing",VLOOKUP(I1346,Ingreso!K:P,6,0)),IF(F1346&gt;0.25,IF(F1346&lt;0.311805555555556,"Turno A",IF(F1346&gt;0.3125,IF(F1346&lt;0.354166666666667,"Turno C",IF(F1346&gt;0.583333333333333,IF(F1346&lt;0.625,"Turno B",IF(F1346&gt;0.625694444444444,IF(F1346&lt;0.8125,"Turno A",IF(F1346&gt;0.875,IF(F1346&lt;0.936805555555556,"Turno C",IF(F1346&gt;0.9375,IF(F1346&lt;0.979166666666667,"Turno B",""),"")),"")),"")),"")),"")),""))</f>
        <v>Turno B</v>
      </c>
      <c r="L1346" s="91">
        <f t="shared" si="20"/>
        <v>0.3125</v>
      </c>
    </row>
    <row r="1347" spans="1:12" s="40" customFormat="1">
      <c r="A1347">
        <v>13681026</v>
      </c>
      <c r="B1347" t="s">
        <v>739</v>
      </c>
      <c r="C1347" t="s">
        <v>737</v>
      </c>
      <c r="D1347" t="s">
        <v>738</v>
      </c>
      <c r="E1347" t="s">
        <v>1441</v>
      </c>
      <c r="F1347" s="78">
        <v>0.61679398148148146</v>
      </c>
      <c r="G1347" t="s">
        <v>1405</v>
      </c>
      <c r="H1347" t="s">
        <v>1335</v>
      </c>
      <c r="I1347" s="88" t="str">
        <f>VLOOKUP(A1347,Base!A:B,2,0)</f>
        <v>13.681.026-K</v>
      </c>
      <c r="J1347" s="99" t="str">
        <f>VLOOKUP(A1347,Base!A:F,6,0)</f>
        <v>JULIO HERNAN  OYANEDEL  COFRE</v>
      </c>
      <c r="K1347" s="89" t="str">
        <f>IFERROR(IF(VLOOKUP(I1347,Ingreso!K:P,6,0)=0,"Sin turtno ing",VLOOKUP(I1347,Ingreso!K:P,6,0)),IF(F1347&gt;0.25,IF(F1347&lt;0.311805555555556,"Turno A",IF(F1347&gt;0.3125,IF(F1347&lt;0.354166666666667,"Turno C",IF(F1347&gt;0.583333333333333,IF(F1347&lt;0.625,"Turno B",IF(F1347&gt;0.625694444444444,IF(F1347&lt;0.8125,"Turno A",IF(F1347&gt;0.875,IF(F1347&lt;0.936805555555556,"Turno C",IF(F1347&gt;0.9375,IF(F1347&lt;0.979166666666667,"Turno B",""),"")),"")),"")),"")),"")),""))</f>
        <v>Turno B</v>
      </c>
      <c r="L1347" s="91">
        <f t="shared" ref="L1347:L1410" si="21">VLOOKUP(K1347,$S$3:$T$7,2,0)</f>
        <v>0.3125</v>
      </c>
    </row>
    <row r="1348" spans="1:12" s="40" customFormat="1">
      <c r="A1348">
        <v>13681026</v>
      </c>
      <c r="B1348" t="s">
        <v>739</v>
      </c>
      <c r="C1348" t="s">
        <v>737</v>
      </c>
      <c r="D1348" t="s">
        <v>738</v>
      </c>
      <c r="E1348" t="s">
        <v>1437</v>
      </c>
      <c r="F1348" s="78">
        <v>0.9356712962962962</v>
      </c>
      <c r="G1348" t="s">
        <v>1406</v>
      </c>
      <c r="H1348" t="s">
        <v>1336</v>
      </c>
      <c r="I1348" s="88" t="str">
        <f>VLOOKUP(A1348,Base!A:B,2,0)</f>
        <v>13.681.026-K</v>
      </c>
      <c r="J1348" s="99" t="str">
        <f>VLOOKUP(A1348,Base!A:F,6,0)</f>
        <v>JULIO HERNAN  OYANEDEL  COFRE</v>
      </c>
      <c r="K1348" s="89" t="str">
        <f>IFERROR(IF(VLOOKUP(I1348,Ingreso!K:P,6,0)=0,"Sin turtno ing",VLOOKUP(I1348,Ingreso!K:P,6,0)),IF(F1348&gt;0.25,IF(F1348&lt;0.311805555555556,"Turno A",IF(F1348&gt;0.3125,IF(F1348&lt;0.354166666666667,"Turno C",IF(F1348&gt;0.583333333333333,IF(F1348&lt;0.625,"Turno B",IF(F1348&gt;0.625694444444444,IF(F1348&lt;0.8125,"Turno A",IF(F1348&gt;0.875,IF(F1348&lt;0.936805555555556,"Turno C",IF(F1348&gt;0.9375,IF(F1348&lt;0.979166666666667,"Turno B",""),"")),"")),"")),"")),"")),""))</f>
        <v>Turno B</v>
      </c>
      <c r="L1348" s="91">
        <f t="shared" si="21"/>
        <v>0.3125</v>
      </c>
    </row>
    <row r="1349" spans="1:12" s="40" customFormat="1">
      <c r="A1349">
        <v>13681026</v>
      </c>
      <c r="B1349" t="s">
        <v>739</v>
      </c>
      <c r="C1349" t="s">
        <v>737</v>
      </c>
      <c r="D1349" t="s">
        <v>738</v>
      </c>
      <c r="E1349" t="s">
        <v>1437</v>
      </c>
      <c r="F1349" s="78">
        <v>0.60758101851851853</v>
      </c>
      <c r="G1349" t="s">
        <v>1405</v>
      </c>
      <c r="H1349" t="s">
        <v>1335</v>
      </c>
      <c r="I1349" s="88" t="str">
        <f>VLOOKUP(A1349,Base!A:B,2,0)</f>
        <v>13.681.026-K</v>
      </c>
      <c r="J1349" s="99" t="str">
        <f>VLOOKUP(A1349,Base!A:F,6,0)</f>
        <v>JULIO HERNAN  OYANEDEL  COFRE</v>
      </c>
      <c r="K1349" s="89" t="str">
        <f>IFERROR(IF(VLOOKUP(I1349,Ingreso!K:P,6,0)=0,"Sin turtno ing",VLOOKUP(I1349,Ingreso!K:P,6,0)),IF(F1349&gt;0.25,IF(F1349&lt;0.311805555555556,"Turno A",IF(F1349&gt;0.3125,IF(F1349&lt;0.354166666666667,"Turno C",IF(F1349&gt;0.583333333333333,IF(F1349&lt;0.625,"Turno B",IF(F1349&gt;0.625694444444444,IF(F1349&lt;0.8125,"Turno A",IF(F1349&gt;0.875,IF(F1349&lt;0.936805555555556,"Turno C",IF(F1349&gt;0.9375,IF(F1349&lt;0.979166666666667,"Turno B",""),"")),"")),"")),"")),"")),""))</f>
        <v>Turno B</v>
      </c>
      <c r="L1349" s="91">
        <f t="shared" si="21"/>
        <v>0.3125</v>
      </c>
    </row>
    <row r="1350" spans="1:12" s="40" customFormat="1">
      <c r="A1350">
        <v>13681026</v>
      </c>
      <c r="B1350" t="s">
        <v>739</v>
      </c>
      <c r="C1350" t="s">
        <v>737</v>
      </c>
      <c r="D1350" t="s">
        <v>738</v>
      </c>
      <c r="E1350" t="s">
        <v>1438</v>
      </c>
      <c r="F1350" s="78">
        <v>0.93685185185185194</v>
      </c>
      <c r="G1350" t="s">
        <v>1406</v>
      </c>
      <c r="H1350" t="s">
        <v>1336</v>
      </c>
      <c r="I1350" s="88" t="str">
        <f>VLOOKUP(A1350,Base!A:B,2,0)</f>
        <v>13.681.026-K</v>
      </c>
      <c r="J1350" s="99" t="str">
        <f>VLOOKUP(A1350,Base!A:F,6,0)</f>
        <v>JULIO HERNAN  OYANEDEL  COFRE</v>
      </c>
      <c r="K1350" s="89" t="str">
        <f>IFERROR(IF(VLOOKUP(I1350,Ingreso!K:P,6,0)=0,"Sin turtno ing",VLOOKUP(I1350,Ingreso!K:P,6,0)),IF(F1350&gt;0.25,IF(F1350&lt;0.311805555555556,"Turno A",IF(F1350&gt;0.3125,IF(F1350&lt;0.354166666666667,"Turno C",IF(F1350&gt;0.583333333333333,IF(F1350&lt;0.625,"Turno B",IF(F1350&gt;0.625694444444444,IF(F1350&lt;0.8125,"Turno A",IF(F1350&gt;0.875,IF(F1350&lt;0.936805555555556,"Turno C",IF(F1350&gt;0.9375,IF(F1350&lt;0.979166666666667,"Turno B",""),"")),"")),"")),"")),"")),""))</f>
        <v>Turno B</v>
      </c>
      <c r="L1350" s="91">
        <f t="shared" si="21"/>
        <v>0.3125</v>
      </c>
    </row>
    <row r="1351" spans="1:12" s="40" customFormat="1">
      <c r="A1351">
        <v>13681026</v>
      </c>
      <c r="B1351" t="s">
        <v>739</v>
      </c>
      <c r="C1351" t="s">
        <v>737</v>
      </c>
      <c r="D1351" t="s">
        <v>738</v>
      </c>
      <c r="E1351" t="s">
        <v>1438</v>
      </c>
      <c r="F1351" s="78">
        <v>0.61021990740740739</v>
      </c>
      <c r="G1351" t="s">
        <v>1405</v>
      </c>
      <c r="H1351" t="s">
        <v>1335</v>
      </c>
      <c r="I1351" s="88" t="str">
        <f>VLOOKUP(A1351,Base!A:B,2,0)</f>
        <v>13.681.026-K</v>
      </c>
      <c r="J1351" s="99" t="str">
        <f>VLOOKUP(A1351,Base!A:F,6,0)</f>
        <v>JULIO HERNAN  OYANEDEL  COFRE</v>
      </c>
      <c r="K1351" s="89" t="str">
        <f>IFERROR(IF(VLOOKUP(I1351,Ingreso!K:P,6,0)=0,"Sin turtno ing",VLOOKUP(I1351,Ingreso!K:P,6,0)),IF(F1351&gt;0.25,IF(F1351&lt;0.311805555555556,"Turno A",IF(F1351&gt;0.3125,IF(F1351&lt;0.354166666666667,"Turno C",IF(F1351&gt;0.583333333333333,IF(F1351&lt;0.625,"Turno B",IF(F1351&gt;0.625694444444444,IF(F1351&lt;0.8125,"Turno A",IF(F1351&gt;0.875,IF(F1351&lt;0.936805555555556,"Turno C",IF(F1351&gt;0.9375,IF(F1351&lt;0.979166666666667,"Turno B",""),"")),"")),"")),"")),"")),""))</f>
        <v>Turno B</v>
      </c>
      <c r="L1351" s="91">
        <f t="shared" si="21"/>
        <v>0.3125</v>
      </c>
    </row>
    <row r="1352" spans="1:12" s="40" customFormat="1">
      <c r="A1352">
        <v>13681026</v>
      </c>
      <c r="B1352" t="s">
        <v>739</v>
      </c>
      <c r="C1352" t="s">
        <v>737</v>
      </c>
      <c r="D1352" t="s">
        <v>738</v>
      </c>
      <c r="E1352" t="s">
        <v>1439</v>
      </c>
      <c r="F1352" s="78">
        <v>0.93759259259259264</v>
      </c>
      <c r="G1352" t="s">
        <v>1406</v>
      </c>
      <c r="H1352" t="s">
        <v>1336</v>
      </c>
      <c r="I1352" s="88" t="str">
        <f>VLOOKUP(A1352,Base!A:B,2,0)</f>
        <v>13.681.026-K</v>
      </c>
      <c r="J1352" s="99" t="str">
        <f>VLOOKUP(A1352,Base!A:F,6,0)</f>
        <v>JULIO HERNAN  OYANEDEL  COFRE</v>
      </c>
      <c r="K1352" s="89" t="str">
        <f>IFERROR(IF(VLOOKUP(I1352,Ingreso!K:P,6,0)=0,"Sin turtno ing",VLOOKUP(I1352,Ingreso!K:P,6,0)),IF(F1352&gt;0.25,IF(F1352&lt;0.311805555555556,"Turno A",IF(F1352&gt;0.3125,IF(F1352&lt;0.354166666666667,"Turno C",IF(F1352&gt;0.583333333333333,IF(F1352&lt;0.625,"Turno B",IF(F1352&gt;0.625694444444444,IF(F1352&lt;0.8125,"Turno A",IF(F1352&gt;0.875,IF(F1352&lt;0.936805555555556,"Turno C",IF(F1352&gt;0.9375,IF(F1352&lt;0.979166666666667,"Turno B",""),"")),"")),"")),"")),"")),""))</f>
        <v>Turno B</v>
      </c>
      <c r="L1352" s="91">
        <f t="shared" si="21"/>
        <v>0.3125</v>
      </c>
    </row>
    <row r="1353" spans="1:12" s="40" customFormat="1">
      <c r="A1353">
        <v>13681026</v>
      </c>
      <c r="B1353" t="s">
        <v>739</v>
      </c>
      <c r="C1353" t="s">
        <v>737</v>
      </c>
      <c r="D1353" t="s">
        <v>738</v>
      </c>
      <c r="E1353" t="s">
        <v>1439</v>
      </c>
      <c r="F1353" s="78">
        <v>0.62950231481481478</v>
      </c>
      <c r="G1353" t="s">
        <v>1405</v>
      </c>
      <c r="H1353" t="s">
        <v>1335</v>
      </c>
      <c r="I1353" s="88" t="str">
        <f>VLOOKUP(A1353,Base!A:B,2,0)</f>
        <v>13.681.026-K</v>
      </c>
      <c r="J1353" s="99" t="str">
        <f>VLOOKUP(A1353,Base!A:F,6,0)</f>
        <v>JULIO HERNAN  OYANEDEL  COFRE</v>
      </c>
      <c r="K1353" s="89" t="str">
        <f>IFERROR(IF(VLOOKUP(I1353,Ingreso!K:P,6,0)=0,"Sin turtno ing",VLOOKUP(I1353,Ingreso!K:P,6,0)),IF(F1353&gt;0.25,IF(F1353&lt;0.311805555555556,"Turno A",IF(F1353&gt;0.3125,IF(F1353&lt;0.354166666666667,"Turno C",IF(F1353&gt;0.583333333333333,IF(F1353&lt;0.625,"Turno B",IF(F1353&gt;0.625694444444444,IF(F1353&lt;0.8125,"Turno A",IF(F1353&gt;0.875,IF(F1353&lt;0.936805555555556,"Turno C",IF(F1353&gt;0.9375,IF(F1353&lt;0.979166666666667,"Turno B",""),"")),"")),"")),"")),"")),""))</f>
        <v>Turno B</v>
      </c>
      <c r="L1353" s="91">
        <f t="shared" si="21"/>
        <v>0.3125</v>
      </c>
    </row>
    <row r="1354" spans="1:12" s="40" customFormat="1">
      <c r="A1354">
        <v>13688839</v>
      </c>
      <c r="B1354" t="s">
        <v>1243</v>
      </c>
      <c r="C1354" t="s">
        <v>1242</v>
      </c>
      <c r="D1354" t="s">
        <v>502</v>
      </c>
      <c r="E1354" t="s">
        <v>1440</v>
      </c>
      <c r="F1354" s="78">
        <v>0.9494097222222222</v>
      </c>
      <c r="G1354" t="s">
        <v>1406</v>
      </c>
      <c r="H1354" t="s">
        <v>1336</v>
      </c>
      <c r="I1354" s="88" t="str">
        <f>VLOOKUP(A1354,Base!A:B,2,0)</f>
        <v>13.688.839-0</v>
      </c>
      <c r="J1354" s="99" t="str">
        <f>VLOOKUP(A1354,Base!A:F,6,0)</f>
        <v>NOLBERTO  VILLAFAÑA  IBAÑEZ</v>
      </c>
      <c r="K1354" s="89" t="str">
        <f>IFERROR(IF(VLOOKUP(I1354,Ingreso!K:P,6,0)=0,"Sin turtno ing",VLOOKUP(I1354,Ingreso!K:P,6,0)),IF(F1354&gt;0.25,IF(F1354&lt;0.311805555555556,"Turno A",IF(F1354&gt;0.3125,IF(F1354&lt;0.354166666666667,"Turno C",IF(F1354&gt;0.583333333333333,IF(F1354&lt;0.625,"Turno B",IF(F1354&gt;0.625694444444444,IF(F1354&lt;0.8125,"Turno A",IF(F1354&gt;0.875,IF(F1354&lt;0.936805555555556,"Turno C",IF(F1354&gt;0.9375,IF(F1354&lt;0.979166666666667,"Turno B",""),"")),"")),"")),"")),"")),""))</f>
        <v>Turno B</v>
      </c>
      <c r="L1354" s="91">
        <f t="shared" si="21"/>
        <v>0.3125</v>
      </c>
    </row>
    <row r="1355" spans="1:12" s="40" customFormat="1">
      <c r="A1355">
        <v>13688839</v>
      </c>
      <c r="B1355" t="s">
        <v>1243</v>
      </c>
      <c r="C1355" t="s">
        <v>1242</v>
      </c>
      <c r="D1355" t="s">
        <v>502</v>
      </c>
      <c r="E1355" t="s">
        <v>1440</v>
      </c>
      <c r="F1355" s="78">
        <v>0.60607638888888882</v>
      </c>
      <c r="G1355" t="s">
        <v>1405</v>
      </c>
      <c r="H1355" t="s">
        <v>1335</v>
      </c>
      <c r="I1355" s="88" t="str">
        <f>VLOOKUP(A1355,Base!A:B,2,0)</f>
        <v>13.688.839-0</v>
      </c>
      <c r="J1355" s="99" t="str">
        <f>VLOOKUP(A1355,Base!A:F,6,0)</f>
        <v>NOLBERTO  VILLAFAÑA  IBAÑEZ</v>
      </c>
      <c r="K1355" s="89" t="str">
        <f>IFERROR(IF(VLOOKUP(I1355,Ingreso!K:P,6,0)=0,"Sin turtno ing",VLOOKUP(I1355,Ingreso!K:P,6,0)),IF(F1355&gt;0.25,IF(F1355&lt;0.311805555555556,"Turno A",IF(F1355&gt;0.3125,IF(F1355&lt;0.354166666666667,"Turno C",IF(F1355&gt;0.583333333333333,IF(F1355&lt;0.625,"Turno B",IF(F1355&gt;0.625694444444444,IF(F1355&lt;0.8125,"Turno A",IF(F1355&gt;0.875,IF(F1355&lt;0.936805555555556,"Turno C",IF(F1355&gt;0.9375,IF(F1355&lt;0.979166666666667,"Turno B",""),"")),"")),"")),"")),"")),""))</f>
        <v>Turno B</v>
      </c>
      <c r="L1355" s="91">
        <f t="shared" si="21"/>
        <v>0.3125</v>
      </c>
    </row>
    <row r="1356" spans="1:12" s="40" customFormat="1">
      <c r="A1356">
        <v>13688839</v>
      </c>
      <c r="B1356" t="s">
        <v>1243</v>
      </c>
      <c r="C1356" t="s">
        <v>1242</v>
      </c>
      <c r="D1356" t="s">
        <v>502</v>
      </c>
      <c r="E1356" t="s">
        <v>1441</v>
      </c>
      <c r="F1356" s="78">
        <v>0.9488657407407407</v>
      </c>
      <c r="G1356" t="s">
        <v>1406</v>
      </c>
      <c r="H1356" t="s">
        <v>1336</v>
      </c>
      <c r="I1356" s="88" t="str">
        <f>VLOOKUP(A1356,Base!A:B,2,0)</f>
        <v>13.688.839-0</v>
      </c>
      <c r="J1356" s="99" t="str">
        <f>VLOOKUP(A1356,Base!A:F,6,0)</f>
        <v>NOLBERTO  VILLAFAÑA  IBAÑEZ</v>
      </c>
      <c r="K1356" s="89" t="str">
        <f>IFERROR(IF(VLOOKUP(I1356,Ingreso!K:P,6,0)=0,"Sin turtno ing",VLOOKUP(I1356,Ingreso!K:P,6,0)),IF(F1356&gt;0.25,IF(F1356&lt;0.311805555555556,"Turno A",IF(F1356&gt;0.3125,IF(F1356&lt;0.354166666666667,"Turno C",IF(F1356&gt;0.583333333333333,IF(F1356&lt;0.625,"Turno B",IF(F1356&gt;0.625694444444444,IF(F1356&lt;0.8125,"Turno A",IF(F1356&gt;0.875,IF(F1356&lt;0.936805555555556,"Turno C",IF(F1356&gt;0.9375,IF(F1356&lt;0.979166666666667,"Turno B",""),"")),"")),"")),"")),"")),""))</f>
        <v>Turno B</v>
      </c>
      <c r="L1356" s="91">
        <f t="shared" si="21"/>
        <v>0.3125</v>
      </c>
    </row>
    <row r="1357" spans="1:12" s="40" customFormat="1">
      <c r="A1357">
        <v>13688839</v>
      </c>
      <c r="B1357" t="s">
        <v>1243</v>
      </c>
      <c r="C1357" t="s">
        <v>1242</v>
      </c>
      <c r="D1357" t="s">
        <v>502</v>
      </c>
      <c r="E1357" t="s">
        <v>1441</v>
      </c>
      <c r="F1357" s="78">
        <v>0.60802083333333334</v>
      </c>
      <c r="G1357" t="s">
        <v>1405</v>
      </c>
      <c r="H1357" t="s">
        <v>1335</v>
      </c>
      <c r="I1357" s="88" t="str">
        <f>VLOOKUP(A1357,Base!A:B,2,0)</f>
        <v>13.688.839-0</v>
      </c>
      <c r="J1357" s="99" t="str">
        <f>VLOOKUP(A1357,Base!A:F,6,0)</f>
        <v>NOLBERTO  VILLAFAÑA  IBAÑEZ</v>
      </c>
      <c r="K1357" s="89" t="str">
        <f>IFERROR(IF(VLOOKUP(I1357,Ingreso!K:P,6,0)=0,"Sin turtno ing",VLOOKUP(I1357,Ingreso!K:P,6,0)),IF(F1357&gt;0.25,IF(F1357&lt;0.311805555555556,"Turno A",IF(F1357&gt;0.3125,IF(F1357&lt;0.354166666666667,"Turno C",IF(F1357&gt;0.583333333333333,IF(F1357&lt;0.625,"Turno B",IF(F1357&gt;0.625694444444444,IF(F1357&lt;0.8125,"Turno A",IF(F1357&gt;0.875,IF(F1357&lt;0.936805555555556,"Turno C",IF(F1357&gt;0.9375,IF(F1357&lt;0.979166666666667,"Turno B",""),"")),"")),"")),"")),"")),""))</f>
        <v>Turno B</v>
      </c>
      <c r="L1357" s="91">
        <f t="shared" si="21"/>
        <v>0.3125</v>
      </c>
    </row>
    <row r="1358" spans="1:12" s="40" customFormat="1">
      <c r="A1358">
        <v>13688839</v>
      </c>
      <c r="B1358" t="s">
        <v>1243</v>
      </c>
      <c r="C1358" t="s">
        <v>1242</v>
      </c>
      <c r="D1358" t="s">
        <v>502</v>
      </c>
      <c r="E1358" t="s">
        <v>1437</v>
      </c>
      <c r="F1358" s="78">
        <v>0.95126157407407408</v>
      </c>
      <c r="G1358" t="s">
        <v>1406</v>
      </c>
      <c r="H1358" t="s">
        <v>1336</v>
      </c>
      <c r="I1358" s="88" t="str">
        <f>VLOOKUP(A1358,Base!A:B,2,0)</f>
        <v>13.688.839-0</v>
      </c>
      <c r="J1358" s="99" t="str">
        <f>VLOOKUP(A1358,Base!A:F,6,0)</f>
        <v>NOLBERTO  VILLAFAÑA  IBAÑEZ</v>
      </c>
      <c r="K1358" s="89" t="str">
        <f>IFERROR(IF(VLOOKUP(I1358,Ingreso!K:P,6,0)=0,"Sin turtno ing",VLOOKUP(I1358,Ingreso!K:P,6,0)),IF(F1358&gt;0.25,IF(F1358&lt;0.311805555555556,"Turno A",IF(F1358&gt;0.3125,IF(F1358&lt;0.354166666666667,"Turno C",IF(F1358&gt;0.583333333333333,IF(F1358&lt;0.625,"Turno B",IF(F1358&gt;0.625694444444444,IF(F1358&lt;0.8125,"Turno A",IF(F1358&gt;0.875,IF(F1358&lt;0.936805555555556,"Turno C",IF(F1358&gt;0.9375,IF(F1358&lt;0.979166666666667,"Turno B",""),"")),"")),"")),"")),"")),""))</f>
        <v>Turno B</v>
      </c>
      <c r="L1358" s="91">
        <f t="shared" si="21"/>
        <v>0.3125</v>
      </c>
    </row>
    <row r="1359" spans="1:12" s="40" customFormat="1">
      <c r="A1359">
        <v>13688839</v>
      </c>
      <c r="B1359" t="s">
        <v>1243</v>
      </c>
      <c r="C1359" t="s">
        <v>1242</v>
      </c>
      <c r="D1359" t="s">
        <v>502</v>
      </c>
      <c r="E1359" t="s">
        <v>1437</v>
      </c>
      <c r="F1359" s="78">
        <v>0.60812500000000003</v>
      </c>
      <c r="G1359" t="s">
        <v>1405</v>
      </c>
      <c r="H1359" t="s">
        <v>1335</v>
      </c>
      <c r="I1359" s="88" t="str">
        <f>VLOOKUP(A1359,Base!A:B,2,0)</f>
        <v>13.688.839-0</v>
      </c>
      <c r="J1359" s="99" t="str">
        <f>VLOOKUP(A1359,Base!A:F,6,0)</f>
        <v>NOLBERTO  VILLAFAÑA  IBAÑEZ</v>
      </c>
      <c r="K1359" s="89" t="str">
        <f>IFERROR(IF(VLOOKUP(I1359,Ingreso!K:P,6,0)=0,"Sin turtno ing",VLOOKUP(I1359,Ingreso!K:P,6,0)),IF(F1359&gt;0.25,IF(F1359&lt;0.311805555555556,"Turno A",IF(F1359&gt;0.3125,IF(F1359&lt;0.354166666666667,"Turno C",IF(F1359&gt;0.583333333333333,IF(F1359&lt;0.625,"Turno B",IF(F1359&gt;0.625694444444444,IF(F1359&lt;0.8125,"Turno A",IF(F1359&gt;0.875,IF(F1359&lt;0.936805555555556,"Turno C",IF(F1359&gt;0.9375,IF(F1359&lt;0.979166666666667,"Turno B",""),"")),"")),"")),"")),"")),""))</f>
        <v>Turno B</v>
      </c>
      <c r="L1359" s="91">
        <f t="shared" si="21"/>
        <v>0.3125</v>
      </c>
    </row>
    <row r="1360" spans="1:12" s="40" customFormat="1">
      <c r="A1360">
        <v>13688839</v>
      </c>
      <c r="B1360" t="s">
        <v>1243</v>
      </c>
      <c r="C1360" t="s">
        <v>1242</v>
      </c>
      <c r="D1360" t="s">
        <v>502</v>
      </c>
      <c r="E1360" t="s">
        <v>1438</v>
      </c>
      <c r="F1360" s="78">
        <v>0.94870370370370372</v>
      </c>
      <c r="G1360" t="s">
        <v>1406</v>
      </c>
      <c r="H1360" t="s">
        <v>1336</v>
      </c>
      <c r="I1360" s="88" t="str">
        <f>VLOOKUP(A1360,Base!A:B,2,0)</f>
        <v>13.688.839-0</v>
      </c>
      <c r="J1360" s="99" t="str">
        <f>VLOOKUP(A1360,Base!A:F,6,0)</f>
        <v>NOLBERTO  VILLAFAÑA  IBAÑEZ</v>
      </c>
      <c r="K1360" s="89" t="str">
        <f>IFERROR(IF(VLOOKUP(I1360,Ingreso!K:P,6,0)=0,"Sin turtno ing",VLOOKUP(I1360,Ingreso!K:P,6,0)),IF(F1360&gt;0.25,IF(F1360&lt;0.311805555555556,"Turno A",IF(F1360&gt;0.3125,IF(F1360&lt;0.354166666666667,"Turno C",IF(F1360&gt;0.583333333333333,IF(F1360&lt;0.625,"Turno B",IF(F1360&gt;0.625694444444444,IF(F1360&lt;0.8125,"Turno A",IF(F1360&gt;0.875,IF(F1360&lt;0.936805555555556,"Turno C",IF(F1360&gt;0.9375,IF(F1360&lt;0.979166666666667,"Turno B",""),"")),"")),"")),"")),"")),""))</f>
        <v>Turno B</v>
      </c>
      <c r="L1360" s="91">
        <f t="shared" si="21"/>
        <v>0.3125</v>
      </c>
    </row>
    <row r="1361" spans="1:12" s="40" customFormat="1">
      <c r="A1361">
        <v>13688839</v>
      </c>
      <c r="B1361" t="s">
        <v>1243</v>
      </c>
      <c r="C1361" t="s">
        <v>1242</v>
      </c>
      <c r="D1361" t="s">
        <v>502</v>
      </c>
      <c r="E1361" t="s">
        <v>1438</v>
      </c>
      <c r="F1361" s="78">
        <v>0.60444444444444445</v>
      </c>
      <c r="G1361" t="s">
        <v>1405</v>
      </c>
      <c r="H1361" t="s">
        <v>1335</v>
      </c>
      <c r="I1361" s="88" t="str">
        <f>VLOOKUP(A1361,Base!A:B,2,0)</f>
        <v>13.688.839-0</v>
      </c>
      <c r="J1361" s="99" t="str">
        <f>VLOOKUP(A1361,Base!A:F,6,0)</f>
        <v>NOLBERTO  VILLAFAÑA  IBAÑEZ</v>
      </c>
      <c r="K1361" s="89" t="str">
        <f>IFERROR(IF(VLOOKUP(I1361,Ingreso!K:P,6,0)=0,"Sin turtno ing",VLOOKUP(I1361,Ingreso!K:P,6,0)),IF(F1361&gt;0.25,IF(F1361&lt;0.311805555555556,"Turno A",IF(F1361&gt;0.3125,IF(F1361&lt;0.354166666666667,"Turno C",IF(F1361&gt;0.583333333333333,IF(F1361&lt;0.625,"Turno B",IF(F1361&gt;0.625694444444444,IF(F1361&lt;0.8125,"Turno A",IF(F1361&gt;0.875,IF(F1361&lt;0.936805555555556,"Turno C",IF(F1361&gt;0.9375,IF(F1361&lt;0.979166666666667,"Turno B",""),"")),"")),"")),"")),"")),""))</f>
        <v>Turno B</v>
      </c>
      <c r="L1361" s="91">
        <f t="shared" si="21"/>
        <v>0.3125</v>
      </c>
    </row>
    <row r="1362" spans="1:12" s="40" customFormat="1">
      <c r="A1362">
        <v>13688839</v>
      </c>
      <c r="B1362" t="s">
        <v>1243</v>
      </c>
      <c r="C1362" t="s">
        <v>1242</v>
      </c>
      <c r="D1362" t="s">
        <v>502</v>
      </c>
      <c r="E1362" t="s">
        <v>1439</v>
      </c>
      <c r="F1362" s="78">
        <v>0.94687500000000002</v>
      </c>
      <c r="G1362" t="s">
        <v>1406</v>
      </c>
      <c r="H1362" t="s">
        <v>1336</v>
      </c>
      <c r="I1362" s="88" t="str">
        <f>VLOOKUP(A1362,Base!A:B,2,0)</f>
        <v>13.688.839-0</v>
      </c>
      <c r="J1362" s="99" t="str">
        <f>VLOOKUP(A1362,Base!A:F,6,0)</f>
        <v>NOLBERTO  VILLAFAÑA  IBAÑEZ</v>
      </c>
      <c r="K1362" s="89" t="str">
        <f>IFERROR(IF(VLOOKUP(I1362,Ingreso!K:P,6,0)=0,"Sin turtno ing",VLOOKUP(I1362,Ingreso!K:P,6,0)),IF(F1362&gt;0.25,IF(F1362&lt;0.311805555555556,"Turno A",IF(F1362&gt;0.3125,IF(F1362&lt;0.354166666666667,"Turno C",IF(F1362&gt;0.583333333333333,IF(F1362&lt;0.625,"Turno B",IF(F1362&gt;0.625694444444444,IF(F1362&lt;0.8125,"Turno A",IF(F1362&gt;0.875,IF(F1362&lt;0.936805555555556,"Turno C",IF(F1362&gt;0.9375,IF(F1362&lt;0.979166666666667,"Turno B",""),"")),"")),"")),"")),"")),""))</f>
        <v>Turno B</v>
      </c>
      <c r="L1362" s="91">
        <f t="shared" si="21"/>
        <v>0.3125</v>
      </c>
    </row>
    <row r="1363" spans="1:12" s="40" customFormat="1">
      <c r="A1363">
        <v>13688839</v>
      </c>
      <c r="B1363" t="s">
        <v>1243</v>
      </c>
      <c r="C1363" t="s">
        <v>1242</v>
      </c>
      <c r="D1363" t="s">
        <v>502</v>
      </c>
      <c r="E1363" t="s">
        <v>1439</v>
      </c>
      <c r="F1363" s="78">
        <v>0.60603009259259266</v>
      </c>
      <c r="G1363" t="s">
        <v>1405</v>
      </c>
      <c r="H1363" t="s">
        <v>1335</v>
      </c>
      <c r="I1363" s="88" t="str">
        <f>VLOOKUP(A1363,Base!A:B,2,0)</f>
        <v>13.688.839-0</v>
      </c>
      <c r="J1363" s="99" t="str">
        <f>VLOOKUP(A1363,Base!A:F,6,0)</f>
        <v>NOLBERTO  VILLAFAÑA  IBAÑEZ</v>
      </c>
      <c r="K1363" s="89" t="str">
        <f>IFERROR(IF(VLOOKUP(I1363,Ingreso!K:P,6,0)=0,"Sin turtno ing",VLOOKUP(I1363,Ingreso!K:P,6,0)),IF(F1363&gt;0.25,IF(F1363&lt;0.311805555555556,"Turno A",IF(F1363&gt;0.3125,IF(F1363&lt;0.354166666666667,"Turno C",IF(F1363&gt;0.583333333333333,IF(F1363&lt;0.625,"Turno B",IF(F1363&gt;0.625694444444444,IF(F1363&lt;0.8125,"Turno A",IF(F1363&gt;0.875,IF(F1363&lt;0.936805555555556,"Turno C",IF(F1363&gt;0.9375,IF(F1363&lt;0.979166666666667,"Turno B",""),"")),"")),"")),"")),"")),""))</f>
        <v>Turno B</v>
      </c>
      <c r="L1363" s="91">
        <f t="shared" si="21"/>
        <v>0.3125</v>
      </c>
    </row>
    <row r="1364" spans="1:12" s="40" customFormat="1">
      <c r="A1364">
        <v>13700526</v>
      </c>
      <c r="B1364" t="s">
        <v>635</v>
      </c>
      <c r="C1364" t="s">
        <v>634</v>
      </c>
      <c r="D1364" t="s">
        <v>557</v>
      </c>
      <c r="E1364" t="s">
        <v>1440</v>
      </c>
      <c r="F1364" s="78">
        <v>0.32822916666666663</v>
      </c>
      <c r="G1364" t="s">
        <v>1406</v>
      </c>
      <c r="H1364" t="s">
        <v>1336</v>
      </c>
      <c r="I1364" s="88" t="str">
        <f>VLOOKUP(A1364,Base!A:B,2,0)</f>
        <v>13.700.526-3</v>
      </c>
      <c r="J1364" s="99" t="str">
        <f>VLOOKUP(A1364,Base!A:F,6,0)</f>
        <v>PATRICIO  MORALES  NUÑEZ</v>
      </c>
      <c r="K1364" s="89" t="str">
        <f>IFERROR(IF(VLOOKUP(I1364,Ingreso!K:P,6,0)=0,"Sin turtno ing",VLOOKUP(I1364,Ingreso!K:P,6,0)),IF(F1364&gt;0.25,IF(F1364&lt;0.311805555555556,"Turno A",IF(F1364&gt;0.3125,IF(F1364&lt;0.354166666666667,"Turno C",IF(F1364&gt;0.583333333333333,IF(F1364&lt;0.625,"Turno B",IF(F1364&gt;0.625694444444444,IF(F1364&lt;0.8125,"Turno A",IF(F1364&gt;0.875,IF(F1364&lt;0.936805555555556,"Turno C",IF(F1364&gt;0.9375,IF(F1364&lt;0.979166666666667,"Turno B",""),"")),"")),"")),"")),"")),""))</f>
        <v>Turno C</v>
      </c>
      <c r="L1364" s="91">
        <f t="shared" si="21"/>
        <v>0.375</v>
      </c>
    </row>
    <row r="1365" spans="1:12" s="40" customFormat="1">
      <c r="A1365">
        <v>13700526</v>
      </c>
      <c r="B1365" t="s">
        <v>635</v>
      </c>
      <c r="C1365" t="s">
        <v>634</v>
      </c>
      <c r="D1365" t="s">
        <v>557</v>
      </c>
      <c r="E1365" t="s">
        <v>1440</v>
      </c>
      <c r="F1365" s="78">
        <v>0.91935185185185186</v>
      </c>
      <c r="G1365" t="s">
        <v>1405</v>
      </c>
      <c r="H1365" t="s">
        <v>1335</v>
      </c>
      <c r="I1365" s="88" t="str">
        <f>VLOOKUP(A1365,Base!A:B,2,0)</f>
        <v>13.700.526-3</v>
      </c>
      <c r="J1365" s="99" t="str">
        <f>VLOOKUP(A1365,Base!A:F,6,0)</f>
        <v>PATRICIO  MORALES  NUÑEZ</v>
      </c>
      <c r="K1365" s="89" t="str">
        <f>IFERROR(IF(VLOOKUP(I1365,Ingreso!K:P,6,0)=0,"Sin turtno ing",VLOOKUP(I1365,Ingreso!K:P,6,0)),IF(F1365&gt;0.25,IF(F1365&lt;0.311805555555556,"Turno A",IF(F1365&gt;0.3125,IF(F1365&lt;0.354166666666667,"Turno C",IF(F1365&gt;0.583333333333333,IF(F1365&lt;0.625,"Turno B",IF(F1365&gt;0.625694444444444,IF(F1365&lt;0.8125,"Turno A",IF(F1365&gt;0.875,IF(F1365&lt;0.936805555555556,"Turno C",IF(F1365&gt;0.9375,IF(F1365&lt;0.979166666666667,"Turno B",""),"")),"")),"")),"")),"")),""))</f>
        <v>Turno C</v>
      </c>
      <c r="L1365" s="91">
        <f t="shared" si="21"/>
        <v>0.375</v>
      </c>
    </row>
    <row r="1366" spans="1:12" s="40" customFormat="1">
      <c r="A1366">
        <v>13700526</v>
      </c>
      <c r="B1366" t="s">
        <v>635</v>
      </c>
      <c r="C1366" t="s">
        <v>634</v>
      </c>
      <c r="D1366" t="s">
        <v>557</v>
      </c>
      <c r="E1366" t="s">
        <v>1441</v>
      </c>
      <c r="F1366" s="78">
        <v>0.32815972222222223</v>
      </c>
      <c r="G1366" t="s">
        <v>1406</v>
      </c>
      <c r="H1366" t="s">
        <v>1336</v>
      </c>
      <c r="I1366" s="88" t="str">
        <f>VLOOKUP(A1366,Base!A:B,2,0)</f>
        <v>13.700.526-3</v>
      </c>
      <c r="J1366" s="99" t="str">
        <f>VLOOKUP(A1366,Base!A:F,6,0)</f>
        <v>PATRICIO  MORALES  NUÑEZ</v>
      </c>
      <c r="K1366" s="89" t="str">
        <f>IFERROR(IF(VLOOKUP(I1366,Ingreso!K:P,6,0)=0,"Sin turtno ing",VLOOKUP(I1366,Ingreso!K:P,6,0)),IF(F1366&gt;0.25,IF(F1366&lt;0.311805555555556,"Turno A",IF(F1366&gt;0.3125,IF(F1366&lt;0.354166666666667,"Turno C",IF(F1366&gt;0.583333333333333,IF(F1366&lt;0.625,"Turno B",IF(F1366&gt;0.625694444444444,IF(F1366&lt;0.8125,"Turno A",IF(F1366&gt;0.875,IF(F1366&lt;0.936805555555556,"Turno C",IF(F1366&gt;0.9375,IF(F1366&lt;0.979166666666667,"Turno B",""),"")),"")),"")),"")),"")),""))</f>
        <v>Turno C</v>
      </c>
      <c r="L1366" s="91">
        <f t="shared" si="21"/>
        <v>0.375</v>
      </c>
    </row>
    <row r="1367" spans="1:12" s="40" customFormat="1">
      <c r="A1367">
        <v>13700526</v>
      </c>
      <c r="B1367" t="s">
        <v>635</v>
      </c>
      <c r="C1367" t="s">
        <v>634</v>
      </c>
      <c r="D1367" t="s">
        <v>557</v>
      </c>
      <c r="E1367" t="s">
        <v>1437</v>
      </c>
      <c r="F1367" s="78">
        <v>0.91950231481481481</v>
      </c>
      <c r="G1367" t="s">
        <v>1405</v>
      </c>
      <c r="H1367" t="s">
        <v>1335</v>
      </c>
      <c r="I1367" s="88" t="str">
        <f>VLOOKUP(A1367,Base!A:B,2,0)</f>
        <v>13.700.526-3</v>
      </c>
      <c r="J1367" s="99" t="str">
        <f>VLOOKUP(A1367,Base!A:F,6,0)</f>
        <v>PATRICIO  MORALES  NUÑEZ</v>
      </c>
      <c r="K1367" s="89" t="str">
        <f>IFERROR(IF(VLOOKUP(I1367,Ingreso!K:P,6,0)=0,"Sin turtno ing",VLOOKUP(I1367,Ingreso!K:P,6,0)),IF(F1367&gt;0.25,IF(F1367&lt;0.311805555555556,"Turno A",IF(F1367&gt;0.3125,IF(F1367&lt;0.354166666666667,"Turno C",IF(F1367&gt;0.583333333333333,IF(F1367&lt;0.625,"Turno B",IF(F1367&gt;0.625694444444444,IF(F1367&lt;0.8125,"Turno A",IF(F1367&gt;0.875,IF(F1367&lt;0.936805555555556,"Turno C",IF(F1367&gt;0.9375,IF(F1367&lt;0.979166666666667,"Turno B",""),"")),"")),"")),"")),"")),""))</f>
        <v>Turno C</v>
      </c>
      <c r="L1367" s="91">
        <f t="shared" si="21"/>
        <v>0.375</v>
      </c>
    </row>
    <row r="1368" spans="1:12" s="40" customFormat="1">
      <c r="A1368">
        <v>13700526</v>
      </c>
      <c r="B1368" t="s">
        <v>635</v>
      </c>
      <c r="C1368" t="s">
        <v>634</v>
      </c>
      <c r="D1368" t="s">
        <v>557</v>
      </c>
      <c r="E1368" t="s">
        <v>1438</v>
      </c>
      <c r="F1368" s="78">
        <v>0.32739583333333333</v>
      </c>
      <c r="G1368" t="s">
        <v>1406</v>
      </c>
      <c r="H1368" t="s">
        <v>1336</v>
      </c>
      <c r="I1368" s="88" t="str">
        <f>VLOOKUP(A1368,Base!A:B,2,0)</f>
        <v>13.700.526-3</v>
      </c>
      <c r="J1368" s="99" t="str">
        <f>VLOOKUP(A1368,Base!A:F,6,0)</f>
        <v>PATRICIO  MORALES  NUÑEZ</v>
      </c>
      <c r="K1368" s="89" t="str">
        <f>IFERROR(IF(VLOOKUP(I1368,Ingreso!K:P,6,0)=0,"Sin turtno ing",VLOOKUP(I1368,Ingreso!K:P,6,0)),IF(F1368&gt;0.25,IF(F1368&lt;0.311805555555556,"Turno A",IF(F1368&gt;0.3125,IF(F1368&lt;0.354166666666667,"Turno C",IF(F1368&gt;0.583333333333333,IF(F1368&lt;0.625,"Turno B",IF(F1368&gt;0.625694444444444,IF(F1368&lt;0.8125,"Turno A",IF(F1368&gt;0.875,IF(F1368&lt;0.936805555555556,"Turno C",IF(F1368&gt;0.9375,IF(F1368&lt;0.979166666666667,"Turno B",""),"")),"")),"")),"")),"")),""))</f>
        <v>Turno C</v>
      </c>
      <c r="L1368" s="91">
        <f t="shared" si="21"/>
        <v>0.375</v>
      </c>
    </row>
    <row r="1369" spans="1:12" s="40" customFormat="1">
      <c r="A1369">
        <v>13700526</v>
      </c>
      <c r="B1369" t="s">
        <v>635</v>
      </c>
      <c r="C1369" t="s">
        <v>634</v>
      </c>
      <c r="D1369" t="s">
        <v>557</v>
      </c>
      <c r="E1369" t="s">
        <v>1438</v>
      </c>
      <c r="F1369" s="78">
        <v>0.9197685185185186</v>
      </c>
      <c r="G1369" t="s">
        <v>1405</v>
      </c>
      <c r="H1369" t="s">
        <v>1335</v>
      </c>
      <c r="I1369" s="88" t="str">
        <f>VLOOKUP(A1369,Base!A:B,2,0)</f>
        <v>13.700.526-3</v>
      </c>
      <c r="J1369" s="99" t="str">
        <f>VLOOKUP(A1369,Base!A:F,6,0)</f>
        <v>PATRICIO  MORALES  NUÑEZ</v>
      </c>
      <c r="K1369" s="89" t="str">
        <f>IFERROR(IF(VLOOKUP(I1369,Ingreso!K:P,6,0)=0,"Sin turtno ing",VLOOKUP(I1369,Ingreso!K:P,6,0)),IF(F1369&gt;0.25,IF(F1369&lt;0.311805555555556,"Turno A",IF(F1369&gt;0.3125,IF(F1369&lt;0.354166666666667,"Turno C",IF(F1369&gt;0.583333333333333,IF(F1369&lt;0.625,"Turno B",IF(F1369&gt;0.625694444444444,IF(F1369&lt;0.8125,"Turno A",IF(F1369&gt;0.875,IF(F1369&lt;0.936805555555556,"Turno C",IF(F1369&gt;0.9375,IF(F1369&lt;0.979166666666667,"Turno B",""),"")),"")),"")),"")),"")),""))</f>
        <v>Turno C</v>
      </c>
      <c r="L1369" s="91">
        <f t="shared" si="21"/>
        <v>0.375</v>
      </c>
    </row>
    <row r="1370" spans="1:12" s="40" customFormat="1">
      <c r="A1370">
        <v>13700526</v>
      </c>
      <c r="B1370" t="s">
        <v>635</v>
      </c>
      <c r="C1370" t="s">
        <v>634</v>
      </c>
      <c r="D1370" t="s">
        <v>557</v>
      </c>
      <c r="E1370" t="s">
        <v>1439</v>
      </c>
      <c r="F1370" s="78">
        <v>0.32935185185185184</v>
      </c>
      <c r="G1370" t="s">
        <v>1406</v>
      </c>
      <c r="H1370" t="s">
        <v>1336</v>
      </c>
      <c r="I1370" s="88" t="str">
        <f>VLOOKUP(A1370,Base!A:B,2,0)</f>
        <v>13.700.526-3</v>
      </c>
      <c r="J1370" s="99" t="str">
        <f>VLOOKUP(A1370,Base!A:F,6,0)</f>
        <v>PATRICIO  MORALES  NUÑEZ</v>
      </c>
      <c r="K1370" s="89" t="str">
        <f>IFERROR(IF(VLOOKUP(I1370,Ingreso!K:P,6,0)=0,"Sin turtno ing",VLOOKUP(I1370,Ingreso!K:P,6,0)),IF(F1370&gt;0.25,IF(F1370&lt;0.311805555555556,"Turno A",IF(F1370&gt;0.3125,IF(F1370&lt;0.354166666666667,"Turno C",IF(F1370&gt;0.583333333333333,IF(F1370&lt;0.625,"Turno B",IF(F1370&gt;0.625694444444444,IF(F1370&lt;0.8125,"Turno A",IF(F1370&gt;0.875,IF(F1370&lt;0.936805555555556,"Turno C",IF(F1370&gt;0.9375,IF(F1370&lt;0.979166666666667,"Turno B",""),"")),"")),"")),"")),"")),""))</f>
        <v>Turno C</v>
      </c>
      <c r="L1370" s="91">
        <f t="shared" si="21"/>
        <v>0.375</v>
      </c>
    </row>
    <row r="1371" spans="1:12" s="40" customFormat="1">
      <c r="A1371">
        <v>13700526</v>
      </c>
      <c r="B1371" t="s">
        <v>635</v>
      </c>
      <c r="C1371" t="s">
        <v>634</v>
      </c>
      <c r="D1371" t="s">
        <v>557</v>
      </c>
      <c r="E1371" t="s">
        <v>1439</v>
      </c>
      <c r="F1371" s="78">
        <v>0.91877314814814814</v>
      </c>
      <c r="G1371" t="s">
        <v>1405</v>
      </c>
      <c r="H1371" t="s">
        <v>1335</v>
      </c>
      <c r="I1371" s="88" t="str">
        <f>VLOOKUP(A1371,Base!A:B,2,0)</f>
        <v>13.700.526-3</v>
      </c>
      <c r="J1371" s="99" t="str">
        <f>VLOOKUP(A1371,Base!A:F,6,0)</f>
        <v>PATRICIO  MORALES  NUÑEZ</v>
      </c>
      <c r="K1371" s="89" t="str">
        <f>IFERROR(IF(VLOOKUP(I1371,Ingreso!K:P,6,0)=0,"Sin turtno ing",VLOOKUP(I1371,Ingreso!K:P,6,0)),IF(F1371&gt;0.25,IF(F1371&lt;0.311805555555556,"Turno A",IF(F1371&gt;0.3125,IF(F1371&lt;0.354166666666667,"Turno C",IF(F1371&gt;0.583333333333333,IF(F1371&lt;0.625,"Turno B",IF(F1371&gt;0.625694444444444,IF(F1371&lt;0.8125,"Turno A",IF(F1371&gt;0.875,IF(F1371&lt;0.936805555555556,"Turno C",IF(F1371&gt;0.9375,IF(F1371&lt;0.979166666666667,"Turno B",""),"")),"")),"")),"")),"")),""))</f>
        <v>Turno C</v>
      </c>
      <c r="L1371" s="91">
        <f t="shared" si="21"/>
        <v>0.375</v>
      </c>
    </row>
    <row r="1372" spans="1:12" s="40" customFormat="1">
      <c r="A1372">
        <v>13701209</v>
      </c>
      <c r="B1372" t="s">
        <v>979</v>
      </c>
      <c r="C1372" t="s">
        <v>974</v>
      </c>
      <c r="D1372" t="s">
        <v>706</v>
      </c>
      <c r="E1372" t="s">
        <v>1440</v>
      </c>
      <c r="F1372" s="78">
        <v>0.63612268518518522</v>
      </c>
      <c r="G1372" t="s">
        <v>1406</v>
      </c>
      <c r="H1372" t="s">
        <v>1336</v>
      </c>
      <c r="I1372" s="88" t="str">
        <f>VLOOKUP(A1372,Base!A:B,2,0)</f>
        <v>13.701.209-K</v>
      </c>
      <c r="J1372" s="99" t="str">
        <f>VLOOKUP(A1372,Base!A:F,6,0)</f>
        <v>MARCELINO JHONATTAN  SANCHEZ  TORRES</v>
      </c>
      <c r="K1372" s="89" t="str">
        <f>IFERROR(IF(VLOOKUP(I1372,Ingreso!K:P,6,0)=0,"Sin turtno ing",VLOOKUP(I1372,Ingreso!K:P,6,0)),IF(F1372&gt;0.25,IF(F1372&lt;0.311805555555556,"Turno A",IF(F1372&gt;0.3125,IF(F1372&lt;0.354166666666667,"Turno C",IF(F1372&gt;0.583333333333333,IF(F1372&lt;0.625,"Turno B",IF(F1372&gt;0.625694444444444,IF(F1372&lt;0.8125,"Turno A",IF(F1372&gt;0.875,IF(F1372&lt;0.936805555555556,"Turno C",IF(F1372&gt;0.9375,IF(F1372&lt;0.979166666666667,"Turno B",""),"")),"")),"")),"")),"")),""))</f>
        <v>Sin turtno ing</v>
      </c>
      <c r="L1372" s="91" t="e">
        <f t="shared" si="21"/>
        <v>#N/A</v>
      </c>
    </row>
    <row r="1373" spans="1:12" s="40" customFormat="1">
      <c r="A1373">
        <v>13701209</v>
      </c>
      <c r="B1373" t="s">
        <v>979</v>
      </c>
      <c r="C1373" t="s">
        <v>974</v>
      </c>
      <c r="D1373" t="s">
        <v>706</v>
      </c>
      <c r="E1373" t="s">
        <v>1440</v>
      </c>
      <c r="F1373" s="78">
        <v>0.29417824074074073</v>
      </c>
      <c r="G1373" t="s">
        <v>1405</v>
      </c>
      <c r="H1373" t="s">
        <v>1335</v>
      </c>
      <c r="I1373" s="88" t="str">
        <f>VLOOKUP(A1373,Base!A:B,2,0)</f>
        <v>13.701.209-K</v>
      </c>
      <c r="J1373" s="99" t="str">
        <f>VLOOKUP(A1373,Base!A:F,6,0)</f>
        <v>MARCELINO JHONATTAN  SANCHEZ  TORRES</v>
      </c>
      <c r="K1373" s="89" t="str">
        <f>IFERROR(IF(VLOOKUP(I1373,Ingreso!K:P,6,0)=0,"Sin turtno ing",VLOOKUP(I1373,Ingreso!K:P,6,0)),IF(F1373&gt;0.25,IF(F1373&lt;0.311805555555556,"Turno A",IF(F1373&gt;0.3125,IF(F1373&lt;0.354166666666667,"Turno C",IF(F1373&gt;0.583333333333333,IF(F1373&lt;0.625,"Turno B",IF(F1373&gt;0.625694444444444,IF(F1373&lt;0.8125,"Turno A",IF(F1373&gt;0.875,IF(F1373&lt;0.936805555555556,"Turno C",IF(F1373&gt;0.9375,IF(F1373&lt;0.979166666666667,"Turno B",""),"")),"")),"")),"")),"")),""))</f>
        <v>Sin turtno ing</v>
      </c>
      <c r="L1373" s="91" t="e">
        <f t="shared" si="21"/>
        <v>#N/A</v>
      </c>
    </row>
    <row r="1374" spans="1:12" s="40" customFormat="1">
      <c r="A1374">
        <v>13701209</v>
      </c>
      <c r="B1374" t="s">
        <v>979</v>
      </c>
      <c r="C1374" t="s">
        <v>974</v>
      </c>
      <c r="D1374" t="s">
        <v>706</v>
      </c>
      <c r="E1374" t="s">
        <v>1441</v>
      </c>
      <c r="F1374" s="78">
        <v>0.63752314814814814</v>
      </c>
      <c r="G1374" t="s">
        <v>1406</v>
      </c>
      <c r="H1374" t="s">
        <v>1336</v>
      </c>
      <c r="I1374" s="88" t="str">
        <f>VLOOKUP(A1374,Base!A:B,2,0)</f>
        <v>13.701.209-K</v>
      </c>
      <c r="J1374" s="99" t="str">
        <f>VLOOKUP(A1374,Base!A:F,6,0)</f>
        <v>MARCELINO JHONATTAN  SANCHEZ  TORRES</v>
      </c>
      <c r="K1374" s="89" t="str">
        <f>IFERROR(IF(VLOOKUP(I1374,Ingreso!K:P,6,0)=0,"Sin turtno ing",VLOOKUP(I1374,Ingreso!K:P,6,0)),IF(F1374&gt;0.25,IF(F1374&lt;0.311805555555556,"Turno A",IF(F1374&gt;0.3125,IF(F1374&lt;0.354166666666667,"Turno C",IF(F1374&gt;0.583333333333333,IF(F1374&lt;0.625,"Turno B",IF(F1374&gt;0.625694444444444,IF(F1374&lt;0.8125,"Turno A",IF(F1374&gt;0.875,IF(F1374&lt;0.936805555555556,"Turno C",IF(F1374&gt;0.9375,IF(F1374&lt;0.979166666666667,"Turno B",""),"")),"")),"")),"")),"")),""))</f>
        <v>Sin turtno ing</v>
      </c>
      <c r="L1374" s="91" t="e">
        <f t="shared" si="21"/>
        <v>#N/A</v>
      </c>
    </row>
    <row r="1375" spans="1:12" s="40" customFormat="1">
      <c r="A1375">
        <v>13701209</v>
      </c>
      <c r="B1375" t="s">
        <v>979</v>
      </c>
      <c r="C1375" t="s">
        <v>974</v>
      </c>
      <c r="D1375" t="s">
        <v>706</v>
      </c>
      <c r="E1375" t="s">
        <v>1441</v>
      </c>
      <c r="F1375" s="78">
        <v>0.29366898148148152</v>
      </c>
      <c r="G1375" t="s">
        <v>1405</v>
      </c>
      <c r="H1375" t="s">
        <v>1335</v>
      </c>
      <c r="I1375" s="88" t="str">
        <f>VLOOKUP(A1375,Base!A:B,2,0)</f>
        <v>13.701.209-K</v>
      </c>
      <c r="J1375" s="99" t="str">
        <f>VLOOKUP(A1375,Base!A:F,6,0)</f>
        <v>MARCELINO JHONATTAN  SANCHEZ  TORRES</v>
      </c>
      <c r="K1375" s="89" t="str">
        <f>IFERROR(IF(VLOOKUP(I1375,Ingreso!K:P,6,0)=0,"Sin turtno ing",VLOOKUP(I1375,Ingreso!K:P,6,0)),IF(F1375&gt;0.25,IF(F1375&lt;0.311805555555556,"Turno A",IF(F1375&gt;0.3125,IF(F1375&lt;0.354166666666667,"Turno C",IF(F1375&gt;0.583333333333333,IF(F1375&lt;0.625,"Turno B",IF(F1375&gt;0.625694444444444,IF(F1375&lt;0.8125,"Turno A",IF(F1375&gt;0.875,IF(F1375&lt;0.936805555555556,"Turno C",IF(F1375&gt;0.9375,IF(F1375&lt;0.979166666666667,"Turno B",""),"")),"")),"")),"")),"")),""))</f>
        <v>Sin turtno ing</v>
      </c>
      <c r="L1375" s="91" t="e">
        <f t="shared" si="21"/>
        <v>#N/A</v>
      </c>
    </row>
    <row r="1376" spans="1:12" s="40" customFormat="1">
      <c r="A1376">
        <v>13701209</v>
      </c>
      <c r="B1376" t="s">
        <v>979</v>
      </c>
      <c r="C1376" t="s">
        <v>974</v>
      </c>
      <c r="D1376" t="s">
        <v>706</v>
      </c>
      <c r="E1376" t="s">
        <v>1437</v>
      </c>
      <c r="F1376" s="78">
        <v>0.73318287037037033</v>
      </c>
      <c r="G1376" t="s">
        <v>1406</v>
      </c>
      <c r="H1376" t="s">
        <v>1336</v>
      </c>
      <c r="I1376" s="88" t="str">
        <f>VLOOKUP(A1376,Base!A:B,2,0)</f>
        <v>13.701.209-K</v>
      </c>
      <c r="J1376" s="99" t="str">
        <f>VLOOKUP(A1376,Base!A:F,6,0)</f>
        <v>MARCELINO JHONATTAN  SANCHEZ  TORRES</v>
      </c>
      <c r="K1376" s="89" t="str">
        <f>IFERROR(IF(VLOOKUP(I1376,Ingreso!K:P,6,0)=0,"Sin turtno ing",VLOOKUP(I1376,Ingreso!K:P,6,0)),IF(F1376&gt;0.25,IF(F1376&lt;0.311805555555556,"Turno A",IF(F1376&gt;0.3125,IF(F1376&lt;0.354166666666667,"Turno C",IF(F1376&gt;0.583333333333333,IF(F1376&lt;0.625,"Turno B",IF(F1376&gt;0.625694444444444,IF(F1376&lt;0.8125,"Turno A",IF(F1376&gt;0.875,IF(F1376&lt;0.936805555555556,"Turno C",IF(F1376&gt;0.9375,IF(F1376&lt;0.979166666666667,"Turno B",""),"")),"")),"")),"")),"")),""))</f>
        <v>Sin turtno ing</v>
      </c>
      <c r="L1376" s="91" t="e">
        <f t="shared" si="21"/>
        <v>#N/A</v>
      </c>
    </row>
    <row r="1377" spans="1:12" s="40" customFormat="1">
      <c r="A1377">
        <v>13701209</v>
      </c>
      <c r="B1377" t="s">
        <v>979</v>
      </c>
      <c r="C1377" t="s">
        <v>974</v>
      </c>
      <c r="D1377" t="s">
        <v>706</v>
      </c>
      <c r="E1377" t="s">
        <v>1437</v>
      </c>
      <c r="F1377" s="78">
        <v>0.29494212962962962</v>
      </c>
      <c r="G1377" t="s">
        <v>1405</v>
      </c>
      <c r="H1377" t="s">
        <v>1335</v>
      </c>
      <c r="I1377" s="88" t="str">
        <f>VLOOKUP(A1377,Base!A:B,2,0)</f>
        <v>13.701.209-K</v>
      </c>
      <c r="J1377" s="99" t="str">
        <f>VLOOKUP(A1377,Base!A:F,6,0)</f>
        <v>MARCELINO JHONATTAN  SANCHEZ  TORRES</v>
      </c>
      <c r="K1377" s="89" t="str">
        <f>IFERROR(IF(VLOOKUP(I1377,Ingreso!K:P,6,0)=0,"Sin turtno ing",VLOOKUP(I1377,Ingreso!K:P,6,0)),IF(F1377&gt;0.25,IF(F1377&lt;0.311805555555556,"Turno A",IF(F1377&gt;0.3125,IF(F1377&lt;0.354166666666667,"Turno C",IF(F1377&gt;0.583333333333333,IF(F1377&lt;0.625,"Turno B",IF(F1377&gt;0.625694444444444,IF(F1377&lt;0.8125,"Turno A",IF(F1377&gt;0.875,IF(F1377&lt;0.936805555555556,"Turno C",IF(F1377&gt;0.9375,IF(F1377&lt;0.979166666666667,"Turno B",""),"")),"")),"")),"")),"")),""))</f>
        <v>Sin turtno ing</v>
      </c>
      <c r="L1377" s="91" t="e">
        <f t="shared" si="21"/>
        <v>#N/A</v>
      </c>
    </row>
    <row r="1378" spans="1:12" s="40" customFormat="1">
      <c r="A1378">
        <v>13701209</v>
      </c>
      <c r="B1378" t="s">
        <v>979</v>
      </c>
      <c r="C1378" t="s">
        <v>974</v>
      </c>
      <c r="D1378" t="s">
        <v>706</v>
      </c>
      <c r="E1378" t="s">
        <v>1438</v>
      </c>
      <c r="F1378" s="78">
        <v>0.68837962962962962</v>
      </c>
      <c r="G1378" t="s">
        <v>1405</v>
      </c>
      <c r="H1378" t="s">
        <v>1335</v>
      </c>
      <c r="I1378" s="88" t="str">
        <f>VLOOKUP(A1378,Base!A:B,2,0)</f>
        <v>13.701.209-K</v>
      </c>
      <c r="J1378" s="99" t="str">
        <f>VLOOKUP(A1378,Base!A:F,6,0)</f>
        <v>MARCELINO JHONATTAN  SANCHEZ  TORRES</v>
      </c>
      <c r="K1378" s="89" t="str">
        <f>IFERROR(IF(VLOOKUP(I1378,Ingreso!K:P,6,0)=0,"Sin turtno ing",VLOOKUP(I1378,Ingreso!K:P,6,0)),IF(F1378&gt;0.25,IF(F1378&lt;0.311805555555556,"Turno A",IF(F1378&gt;0.3125,IF(F1378&lt;0.354166666666667,"Turno C",IF(F1378&gt;0.583333333333333,IF(F1378&lt;0.625,"Turno B",IF(F1378&gt;0.625694444444444,IF(F1378&lt;0.8125,"Turno A",IF(F1378&gt;0.875,IF(F1378&lt;0.936805555555556,"Turno C",IF(F1378&gt;0.9375,IF(F1378&lt;0.979166666666667,"Turno B",""),"")),"")),"")),"")),"")),""))</f>
        <v>Sin turtno ing</v>
      </c>
      <c r="L1378" s="91" t="e">
        <f t="shared" si="21"/>
        <v>#N/A</v>
      </c>
    </row>
    <row r="1379" spans="1:12" s="40" customFormat="1">
      <c r="A1379">
        <v>13701209</v>
      </c>
      <c r="B1379" t="s">
        <v>979</v>
      </c>
      <c r="C1379" t="s">
        <v>974</v>
      </c>
      <c r="D1379" t="s">
        <v>706</v>
      </c>
      <c r="E1379" t="s">
        <v>1439</v>
      </c>
      <c r="F1379" s="78">
        <v>1.0925925925925924E-2</v>
      </c>
      <c r="G1379" t="s">
        <v>1406</v>
      </c>
      <c r="H1379" t="s">
        <v>1336</v>
      </c>
      <c r="I1379" s="88" t="str">
        <f>VLOOKUP(A1379,Base!A:B,2,0)</f>
        <v>13.701.209-K</v>
      </c>
      <c r="J1379" s="99" t="str">
        <f>VLOOKUP(A1379,Base!A:F,6,0)</f>
        <v>MARCELINO JHONATTAN  SANCHEZ  TORRES</v>
      </c>
      <c r="K1379" s="89" t="str">
        <f>IFERROR(IF(VLOOKUP(I1379,Ingreso!K:P,6,0)=0,"Sin turtno ing",VLOOKUP(I1379,Ingreso!K:P,6,0)),IF(F1379&gt;0.25,IF(F1379&lt;0.311805555555556,"Turno A",IF(F1379&gt;0.3125,IF(F1379&lt;0.354166666666667,"Turno C",IF(F1379&gt;0.583333333333333,IF(F1379&lt;0.625,"Turno B",IF(F1379&gt;0.625694444444444,IF(F1379&lt;0.8125,"Turno A",IF(F1379&gt;0.875,IF(F1379&lt;0.936805555555556,"Turno C",IF(F1379&gt;0.9375,IF(F1379&lt;0.979166666666667,"Turno B",""),"")),"")),"")),"")),"")),""))</f>
        <v>Sin turtno ing</v>
      </c>
      <c r="L1379" s="91" t="e">
        <f t="shared" si="21"/>
        <v>#N/A</v>
      </c>
    </row>
    <row r="1380" spans="1:12" s="40" customFormat="1">
      <c r="A1380">
        <v>13701209</v>
      </c>
      <c r="B1380" t="s">
        <v>979</v>
      </c>
      <c r="C1380" t="s">
        <v>974</v>
      </c>
      <c r="D1380" t="s">
        <v>706</v>
      </c>
      <c r="E1380" t="s">
        <v>1439</v>
      </c>
      <c r="F1380" s="78">
        <v>0.6369907407407408</v>
      </c>
      <c r="G1380" t="s">
        <v>1406</v>
      </c>
      <c r="H1380" t="s">
        <v>1336</v>
      </c>
      <c r="I1380" s="88" t="str">
        <f>VLOOKUP(A1380,Base!A:B,2,0)</f>
        <v>13.701.209-K</v>
      </c>
      <c r="J1380" s="99" t="str">
        <f>VLOOKUP(A1380,Base!A:F,6,0)</f>
        <v>MARCELINO JHONATTAN  SANCHEZ  TORRES</v>
      </c>
      <c r="K1380" s="89" t="str">
        <f>IFERROR(IF(VLOOKUP(I1380,Ingreso!K:P,6,0)=0,"Sin turtno ing",VLOOKUP(I1380,Ingreso!K:P,6,0)),IF(F1380&gt;0.25,IF(F1380&lt;0.311805555555556,"Turno A",IF(F1380&gt;0.3125,IF(F1380&lt;0.354166666666667,"Turno C",IF(F1380&gt;0.583333333333333,IF(F1380&lt;0.625,"Turno B",IF(F1380&gt;0.625694444444444,IF(F1380&lt;0.8125,"Turno A",IF(F1380&gt;0.875,IF(F1380&lt;0.936805555555556,"Turno C",IF(F1380&gt;0.9375,IF(F1380&lt;0.979166666666667,"Turno B",""),"")),"")),"")),"")),"")),""))</f>
        <v>Sin turtno ing</v>
      </c>
      <c r="L1380" s="91" t="e">
        <f t="shared" si="21"/>
        <v>#N/A</v>
      </c>
    </row>
    <row r="1381" spans="1:12" s="40" customFormat="1">
      <c r="A1381">
        <v>13701209</v>
      </c>
      <c r="B1381" t="s">
        <v>979</v>
      </c>
      <c r="C1381" t="s">
        <v>974</v>
      </c>
      <c r="D1381" t="s">
        <v>706</v>
      </c>
      <c r="E1381" t="s">
        <v>1439</v>
      </c>
      <c r="F1381" s="78">
        <v>0.29405092592592591</v>
      </c>
      <c r="G1381" t="s">
        <v>1405</v>
      </c>
      <c r="H1381" t="s">
        <v>1335</v>
      </c>
      <c r="I1381" s="88" t="str">
        <f>VLOOKUP(A1381,Base!A:B,2,0)</f>
        <v>13.701.209-K</v>
      </c>
      <c r="J1381" s="99" t="str">
        <f>VLOOKUP(A1381,Base!A:F,6,0)</f>
        <v>MARCELINO JHONATTAN  SANCHEZ  TORRES</v>
      </c>
      <c r="K1381" s="89" t="str">
        <f>IFERROR(IF(VLOOKUP(I1381,Ingreso!K:P,6,0)=0,"Sin turtno ing",VLOOKUP(I1381,Ingreso!K:P,6,0)),IF(F1381&gt;0.25,IF(F1381&lt;0.311805555555556,"Turno A",IF(F1381&gt;0.3125,IF(F1381&lt;0.354166666666667,"Turno C",IF(F1381&gt;0.583333333333333,IF(F1381&lt;0.625,"Turno B",IF(F1381&gt;0.625694444444444,IF(F1381&lt;0.8125,"Turno A",IF(F1381&gt;0.875,IF(F1381&lt;0.936805555555556,"Turno C",IF(F1381&gt;0.9375,IF(F1381&lt;0.979166666666667,"Turno B",""),"")),"")),"")),"")),"")),""))</f>
        <v>Sin turtno ing</v>
      </c>
      <c r="L1381" s="91" t="e">
        <f t="shared" si="21"/>
        <v>#N/A</v>
      </c>
    </row>
    <row r="1382" spans="1:12" s="40" customFormat="1">
      <c r="A1382">
        <v>13769935</v>
      </c>
      <c r="B1382" t="s">
        <v>534</v>
      </c>
      <c r="C1382" t="s">
        <v>533</v>
      </c>
      <c r="D1382" t="s">
        <v>120</v>
      </c>
      <c r="E1382" t="s">
        <v>1440</v>
      </c>
      <c r="F1382" s="78">
        <v>0.75451388888888893</v>
      </c>
      <c r="G1382" t="s">
        <v>1406</v>
      </c>
      <c r="H1382" t="s">
        <v>1336</v>
      </c>
      <c r="I1382" s="88" t="str">
        <f>VLOOKUP(A1382,Base!A:B,2,0)</f>
        <v>13.769.935-4</v>
      </c>
      <c r="J1382" s="99" t="str">
        <f>VLOOKUP(A1382,Base!A:F,6,0)</f>
        <v>GONZALO  LEDESMA  ARRIAGADA</v>
      </c>
      <c r="K1382" s="89" t="str">
        <f>IFERROR(IF(VLOOKUP(I1382,Ingreso!K:P,6,0)=0,"Sin turtno ing",VLOOKUP(I1382,Ingreso!K:P,6,0)),IF(F1382&gt;0.25,IF(F1382&lt;0.311805555555556,"Turno A",IF(F1382&gt;0.3125,IF(F1382&lt;0.354166666666667,"Turno C",IF(F1382&gt;0.583333333333333,IF(F1382&lt;0.625,"Turno B",IF(F1382&gt;0.625694444444444,IF(F1382&lt;0.8125,"Turno A",IF(F1382&gt;0.875,IF(F1382&lt;0.936805555555556,"Turno C",IF(F1382&gt;0.9375,IF(F1382&lt;0.979166666666667,"Turno B",""),"")),"")),"")),"")),"")),""))</f>
        <v>Turno A</v>
      </c>
      <c r="L1382" s="91">
        <f t="shared" si="21"/>
        <v>0.3125</v>
      </c>
    </row>
    <row r="1383" spans="1:12" s="40" customFormat="1">
      <c r="A1383">
        <v>13769935</v>
      </c>
      <c r="B1383" t="s">
        <v>534</v>
      </c>
      <c r="C1383" t="s">
        <v>533</v>
      </c>
      <c r="D1383" t="s">
        <v>120</v>
      </c>
      <c r="E1383" t="s">
        <v>1437</v>
      </c>
      <c r="F1383" s="78">
        <v>0.79016203703703702</v>
      </c>
      <c r="G1383" t="s">
        <v>1406</v>
      </c>
      <c r="H1383" t="s">
        <v>1336</v>
      </c>
      <c r="I1383" s="88" t="str">
        <f>VLOOKUP(A1383,Base!A:B,2,0)</f>
        <v>13.769.935-4</v>
      </c>
      <c r="J1383" s="99" t="str">
        <f>VLOOKUP(A1383,Base!A:F,6,0)</f>
        <v>GONZALO  LEDESMA  ARRIAGADA</v>
      </c>
      <c r="K1383" s="89" t="str">
        <f>IFERROR(IF(VLOOKUP(I1383,Ingreso!K:P,6,0)=0,"Sin turtno ing",VLOOKUP(I1383,Ingreso!K:P,6,0)),IF(F1383&gt;0.25,IF(F1383&lt;0.311805555555556,"Turno A",IF(F1383&gt;0.3125,IF(F1383&lt;0.354166666666667,"Turno C",IF(F1383&gt;0.583333333333333,IF(F1383&lt;0.625,"Turno B",IF(F1383&gt;0.625694444444444,IF(F1383&lt;0.8125,"Turno A",IF(F1383&gt;0.875,IF(F1383&lt;0.936805555555556,"Turno C",IF(F1383&gt;0.9375,IF(F1383&lt;0.979166666666667,"Turno B",""),"")),"")),"")),"")),"")),""))</f>
        <v>Turno A</v>
      </c>
      <c r="L1383" s="91">
        <f t="shared" si="21"/>
        <v>0.3125</v>
      </c>
    </row>
    <row r="1384" spans="1:12" s="40" customFormat="1">
      <c r="A1384">
        <v>13769935</v>
      </c>
      <c r="B1384" t="s">
        <v>534</v>
      </c>
      <c r="C1384" t="s">
        <v>533</v>
      </c>
      <c r="D1384" t="s">
        <v>120</v>
      </c>
      <c r="E1384" t="s">
        <v>1437</v>
      </c>
      <c r="F1384" s="78">
        <v>0.35696759259259259</v>
      </c>
      <c r="G1384" t="s">
        <v>1405</v>
      </c>
      <c r="H1384" t="s">
        <v>1335</v>
      </c>
      <c r="I1384" s="88" t="str">
        <f>VLOOKUP(A1384,Base!A:B,2,0)</f>
        <v>13.769.935-4</v>
      </c>
      <c r="J1384" s="99" t="str">
        <f>VLOOKUP(A1384,Base!A:F,6,0)</f>
        <v>GONZALO  LEDESMA  ARRIAGADA</v>
      </c>
      <c r="K1384" s="89" t="str">
        <f>IFERROR(IF(VLOOKUP(I1384,Ingreso!K:P,6,0)=0,"Sin turtno ing",VLOOKUP(I1384,Ingreso!K:P,6,0)),IF(F1384&gt;0.25,IF(F1384&lt;0.311805555555556,"Turno A",IF(F1384&gt;0.3125,IF(F1384&lt;0.354166666666667,"Turno C",IF(F1384&gt;0.583333333333333,IF(F1384&lt;0.625,"Turno B",IF(F1384&gt;0.625694444444444,IF(F1384&lt;0.8125,"Turno A",IF(F1384&gt;0.875,IF(F1384&lt;0.936805555555556,"Turno C",IF(F1384&gt;0.9375,IF(F1384&lt;0.979166666666667,"Turno B",""),"")),"")),"")),"")),"")),""))</f>
        <v/>
      </c>
      <c r="L1384" s="91" t="e">
        <f t="shared" si="21"/>
        <v>#N/A</v>
      </c>
    </row>
    <row r="1385" spans="1:12" s="40" customFormat="1">
      <c r="A1385">
        <v>13769935</v>
      </c>
      <c r="B1385" t="s">
        <v>534</v>
      </c>
      <c r="C1385" t="s">
        <v>533</v>
      </c>
      <c r="D1385" t="s">
        <v>120</v>
      </c>
      <c r="E1385" t="s">
        <v>1438</v>
      </c>
      <c r="F1385" s="78">
        <v>0.79994212962962974</v>
      </c>
      <c r="G1385" t="s">
        <v>1406</v>
      </c>
      <c r="H1385" t="s">
        <v>1336</v>
      </c>
      <c r="I1385" s="88" t="str">
        <f>VLOOKUP(A1385,Base!A:B,2,0)</f>
        <v>13.769.935-4</v>
      </c>
      <c r="J1385" s="99" t="str">
        <f>VLOOKUP(A1385,Base!A:F,6,0)</f>
        <v>GONZALO  LEDESMA  ARRIAGADA</v>
      </c>
      <c r="K1385" s="89" t="str">
        <f>IFERROR(IF(VLOOKUP(I1385,Ingreso!K:P,6,0)=0,"Sin turtno ing",VLOOKUP(I1385,Ingreso!K:P,6,0)),IF(F1385&gt;0.25,IF(F1385&lt;0.311805555555556,"Turno A",IF(F1385&gt;0.3125,IF(F1385&lt;0.354166666666667,"Turno C",IF(F1385&gt;0.583333333333333,IF(F1385&lt;0.625,"Turno B",IF(F1385&gt;0.625694444444444,IF(F1385&lt;0.8125,"Turno A",IF(F1385&gt;0.875,IF(F1385&lt;0.936805555555556,"Turno C",IF(F1385&gt;0.9375,IF(F1385&lt;0.979166666666667,"Turno B",""),"")),"")),"")),"")),"")),""))</f>
        <v>Turno A</v>
      </c>
      <c r="L1385" s="91">
        <f t="shared" si="21"/>
        <v>0.3125</v>
      </c>
    </row>
    <row r="1386" spans="1:12" s="40" customFormat="1">
      <c r="A1386">
        <v>13769935</v>
      </c>
      <c r="B1386" t="s">
        <v>534</v>
      </c>
      <c r="C1386" t="s">
        <v>533</v>
      </c>
      <c r="D1386" t="s">
        <v>120</v>
      </c>
      <c r="E1386" t="s">
        <v>1438</v>
      </c>
      <c r="F1386" s="78">
        <v>0.36503472222222227</v>
      </c>
      <c r="G1386" t="s">
        <v>1405</v>
      </c>
      <c r="H1386" t="s">
        <v>1335</v>
      </c>
      <c r="I1386" s="88" t="str">
        <f>VLOOKUP(A1386,Base!A:B,2,0)</f>
        <v>13.769.935-4</v>
      </c>
      <c r="J1386" s="99" t="str">
        <f>VLOOKUP(A1386,Base!A:F,6,0)</f>
        <v>GONZALO  LEDESMA  ARRIAGADA</v>
      </c>
      <c r="K1386" s="89" t="str">
        <f>IFERROR(IF(VLOOKUP(I1386,Ingreso!K:P,6,0)=0,"Sin turtno ing",VLOOKUP(I1386,Ingreso!K:P,6,0)),IF(F1386&gt;0.25,IF(F1386&lt;0.311805555555556,"Turno A",IF(F1386&gt;0.3125,IF(F1386&lt;0.354166666666667,"Turno C",IF(F1386&gt;0.583333333333333,IF(F1386&lt;0.625,"Turno B",IF(F1386&gt;0.625694444444444,IF(F1386&lt;0.8125,"Turno A",IF(F1386&gt;0.875,IF(F1386&lt;0.936805555555556,"Turno C",IF(F1386&gt;0.9375,IF(F1386&lt;0.979166666666667,"Turno B",""),"")),"")),"")),"")),"")),""))</f>
        <v/>
      </c>
      <c r="L1386" s="91" t="e">
        <f t="shared" si="21"/>
        <v>#N/A</v>
      </c>
    </row>
    <row r="1387" spans="1:12" s="40" customFormat="1">
      <c r="A1387">
        <v>13769935</v>
      </c>
      <c r="B1387" t="s">
        <v>534</v>
      </c>
      <c r="C1387" t="s">
        <v>533</v>
      </c>
      <c r="D1387" t="s">
        <v>120</v>
      </c>
      <c r="E1387" t="s">
        <v>1439</v>
      </c>
      <c r="F1387" s="78">
        <v>0.35438657407407409</v>
      </c>
      <c r="G1387" t="s">
        <v>1405</v>
      </c>
      <c r="H1387" t="s">
        <v>1335</v>
      </c>
      <c r="I1387" s="88" t="str">
        <f>VLOOKUP(A1387,Base!A:B,2,0)</f>
        <v>13.769.935-4</v>
      </c>
      <c r="J1387" s="99" t="str">
        <f>VLOOKUP(A1387,Base!A:F,6,0)</f>
        <v>GONZALO  LEDESMA  ARRIAGADA</v>
      </c>
      <c r="K1387" s="89" t="str">
        <f>IFERROR(IF(VLOOKUP(I1387,Ingreso!K:P,6,0)=0,"Sin turtno ing",VLOOKUP(I1387,Ingreso!K:P,6,0)),IF(F1387&gt;0.25,IF(F1387&lt;0.311805555555556,"Turno A",IF(F1387&gt;0.3125,IF(F1387&lt;0.354166666666667,"Turno C",IF(F1387&gt;0.583333333333333,IF(F1387&lt;0.625,"Turno B",IF(F1387&gt;0.625694444444444,IF(F1387&lt;0.8125,"Turno A",IF(F1387&gt;0.875,IF(F1387&lt;0.936805555555556,"Turno C",IF(F1387&gt;0.9375,IF(F1387&lt;0.979166666666667,"Turno B",""),"")),"")),"")),"")),"")),""))</f>
        <v/>
      </c>
      <c r="L1387" s="91" t="e">
        <f t="shared" si="21"/>
        <v>#N/A</v>
      </c>
    </row>
    <row r="1388" spans="1:12" s="40" customFormat="1">
      <c r="A1388">
        <v>13834251</v>
      </c>
      <c r="B1388" t="s">
        <v>621</v>
      </c>
      <c r="C1388" t="s">
        <v>296</v>
      </c>
      <c r="D1388" t="s">
        <v>268</v>
      </c>
      <c r="E1388" t="s">
        <v>1407</v>
      </c>
      <c r="F1388" s="78">
        <v>0</v>
      </c>
      <c r="G1388"/>
      <c r="H1388"/>
      <c r="I1388" s="88" t="str">
        <f>VLOOKUP(A1388,Base!A:B,2,0)</f>
        <v>13.834.251-4</v>
      </c>
      <c r="J1388" s="99" t="str">
        <f>VLOOKUP(A1388,Base!A:F,6,0)</f>
        <v>MARIA ELIANA  MILLAN  HERRERA</v>
      </c>
      <c r="K1388" s="89" t="str">
        <f>IFERROR(IF(VLOOKUP(I1388,Ingreso!K:P,6,0)=0,"Sin turtno ing",VLOOKUP(I1388,Ingreso!K:P,6,0)),IF(F1388&gt;0.25,IF(F1388&lt;0.311805555555556,"Turno A",IF(F1388&gt;0.3125,IF(F1388&lt;0.354166666666667,"Turno C",IF(F1388&gt;0.583333333333333,IF(F1388&lt;0.625,"Turno B",IF(F1388&gt;0.625694444444444,IF(F1388&lt;0.8125,"Turno A",IF(F1388&gt;0.875,IF(F1388&lt;0.936805555555556,"Turno C",IF(F1388&gt;0.9375,IF(F1388&lt;0.979166666666667,"Turno B",""),"")),"")),"")),"")),"")),""))</f>
        <v>Sin turtno ing</v>
      </c>
      <c r="L1388" s="91" t="e">
        <f t="shared" si="21"/>
        <v>#N/A</v>
      </c>
    </row>
    <row r="1389" spans="1:12" s="40" customFormat="1">
      <c r="A1389">
        <v>13835073</v>
      </c>
      <c r="B1389" t="s">
        <v>1192</v>
      </c>
      <c r="C1389" t="s">
        <v>1190</v>
      </c>
      <c r="D1389" t="s">
        <v>1191</v>
      </c>
      <c r="E1389" t="s">
        <v>1440</v>
      </c>
      <c r="F1389" s="78">
        <v>0.32719907407407406</v>
      </c>
      <c r="G1389" t="s">
        <v>1406</v>
      </c>
      <c r="H1389" t="s">
        <v>1336</v>
      </c>
      <c r="I1389" s="88" t="str">
        <f>VLOOKUP(A1389,Base!A:B,2,0)</f>
        <v>13.835.073-8</v>
      </c>
      <c r="J1389" s="99" t="str">
        <f>VLOOKUP(A1389,Base!A:F,6,0)</f>
        <v>AMERICO  NORESE  GUAJARDO</v>
      </c>
      <c r="K1389" s="89" t="str">
        <f>IFERROR(IF(VLOOKUP(I1389,Ingreso!K:P,6,0)=0,"Sin turtno ing",VLOOKUP(I1389,Ingreso!K:P,6,0)),IF(F1389&gt;0.25,IF(F1389&lt;0.311805555555556,"Turno A",IF(F1389&gt;0.3125,IF(F1389&lt;0.354166666666667,"Turno C",IF(F1389&gt;0.583333333333333,IF(F1389&lt;0.625,"Turno B",IF(F1389&gt;0.625694444444444,IF(F1389&lt;0.8125,"Turno A",IF(F1389&gt;0.875,IF(F1389&lt;0.936805555555556,"Turno C",IF(F1389&gt;0.9375,IF(F1389&lt;0.979166666666667,"Turno B",""),"")),"")),"")),"")),"")),""))</f>
        <v>Turno C</v>
      </c>
      <c r="L1389" s="91">
        <f t="shared" si="21"/>
        <v>0.375</v>
      </c>
    </row>
    <row r="1390" spans="1:12" s="40" customFormat="1">
      <c r="A1390">
        <v>13835073</v>
      </c>
      <c r="B1390" t="s">
        <v>1192</v>
      </c>
      <c r="C1390" t="s">
        <v>1190</v>
      </c>
      <c r="D1390" t="s">
        <v>1191</v>
      </c>
      <c r="E1390" t="s">
        <v>1440</v>
      </c>
      <c r="F1390" s="78">
        <v>0.92825231481481485</v>
      </c>
      <c r="G1390" t="s">
        <v>1405</v>
      </c>
      <c r="H1390" t="s">
        <v>1335</v>
      </c>
      <c r="I1390" s="88" t="str">
        <f>VLOOKUP(A1390,Base!A:B,2,0)</f>
        <v>13.835.073-8</v>
      </c>
      <c r="J1390" s="99" t="str">
        <f>VLOOKUP(A1390,Base!A:F,6,0)</f>
        <v>AMERICO  NORESE  GUAJARDO</v>
      </c>
      <c r="K1390" s="89" t="str">
        <f>IFERROR(IF(VLOOKUP(I1390,Ingreso!K:P,6,0)=0,"Sin turtno ing",VLOOKUP(I1390,Ingreso!K:P,6,0)),IF(F1390&gt;0.25,IF(F1390&lt;0.311805555555556,"Turno A",IF(F1390&gt;0.3125,IF(F1390&lt;0.354166666666667,"Turno C",IF(F1390&gt;0.583333333333333,IF(F1390&lt;0.625,"Turno B",IF(F1390&gt;0.625694444444444,IF(F1390&lt;0.8125,"Turno A",IF(F1390&gt;0.875,IF(F1390&lt;0.936805555555556,"Turno C",IF(F1390&gt;0.9375,IF(F1390&lt;0.979166666666667,"Turno B",""),"")),"")),"")),"")),"")),""))</f>
        <v>Turno C</v>
      </c>
      <c r="L1390" s="91">
        <f t="shared" si="21"/>
        <v>0.375</v>
      </c>
    </row>
    <row r="1391" spans="1:12" s="40" customFormat="1">
      <c r="A1391">
        <v>13835073</v>
      </c>
      <c r="B1391" t="s">
        <v>1192</v>
      </c>
      <c r="C1391" t="s">
        <v>1190</v>
      </c>
      <c r="D1391" t="s">
        <v>1191</v>
      </c>
      <c r="E1391" t="s">
        <v>1441</v>
      </c>
      <c r="F1391" s="78">
        <v>0.26711805555555557</v>
      </c>
      <c r="G1391" t="s">
        <v>1406</v>
      </c>
      <c r="H1391" t="s">
        <v>1336</v>
      </c>
      <c r="I1391" s="88" t="str">
        <f>VLOOKUP(A1391,Base!A:B,2,0)</f>
        <v>13.835.073-8</v>
      </c>
      <c r="J1391" s="99" t="str">
        <f>VLOOKUP(A1391,Base!A:F,6,0)</f>
        <v>AMERICO  NORESE  GUAJARDO</v>
      </c>
      <c r="K1391" s="89" t="str">
        <f>IFERROR(IF(VLOOKUP(I1391,Ingreso!K:P,6,0)=0,"Sin turtno ing",VLOOKUP(I1391,Ingreso!K:P,6,0)),IF(F1391&gt;0.25,IF(F1391&lt;0.311805555555556,"Turno A",IF(F1391&gt;0.3125,IF(F1391&lt;0.354166666666667,"Turno C",IF(F1391&gt;0.583333333333333,IF(F1391&lt;0.625,"Turno B",IF(F1391&gt;0.625694444444444,IF(F1391&lt;0.8125,"Turno A",IF(F1391&gt;0.875,IF(F1391&lt;0.936805555555556,"Turno C",IF(F1391&gt;0.9375,IF(F1391&lt;0.979166666666667,"Turno B",""),"")),"")),"")),"")),"")),""))</f>
        <v>Turno A</v>
      </c>
      <c r="L1391" s="91">
        <f t="shared" si="21"/>
        <v>0.3125</v>
      </c>
    </row>
    <row r="1392" spans="1:12" s="40" customFormat="1">
      <c r="A1392">
        <v>13835073</v>
      </c>
      <c r="B1392" t="s">
        <v>1192</v>
      </c>
      <c r="C1392" t="s">
        <v>1190</v>
      </c>
      <c r="D1392" t="s">
        <v>1191</v>
      </c>
      <c r="E1392" t="s">
        <v>1437</v>
      </c>
      <c r="F1392" s="78">
        <v>0.91765046296296304</v>
      </c>
      <c r="G1392" t="s">
        <v>1405</v>
      </c>
      <c r="H1392" t="s">
        <v>1335</v>
      </c>
      <c r="I1392" s="88" t="str">
        <f>VLOOKUP(A1392,Base!A:B,2,0)</f>
        <v>13.835.073-8</v>
      </c>
      <c r="J1392" s="99" t="str">
        <f>VLOOKUP(A1392,Base!A:F,6,0)</f>
        <v>AMERICO  NORESE  GUAJARDO</v>
      </c>
      <c r="K1392" s="89" t="str">
        <f>IFERROR(IF(VLOOKUP(I1392,Ingreso!K:P,6,0)=0,"Sin turtno ing",VLOOKUP(I1392,Ingreso!K:P,6,0)),IF(F1392&gt;0.25,IF(F1392&lt;0.311805555555556,"Turno A",IF(F1392&gt;0.3125,IF(F1392&lt;0.354166666666667,"Turno C",IF(F1392&gt;0.583333333333333,IF(F1392&lt;0.625,"Turno B",IF(F1392&gt;0.625694444444444,IF(F1392&lt;0.8125,"Turno A",IF(F1392&gt;0.875,IF(F1392&lt;0.936805555555556,"Turno C",IF(F1392&gt;0.9375,IF(F1392&lt;0.979166666666667,"Turno B",""),"")),"")),"")),"")),"")),""))</f>
        <v>Turno C</v>
      </c>
      <c r="L1392" s="91">
        <f t="shared" si="21"/>
        <v>0.375</v>
      </c>
    </row>
    <row r="1393" spans="1:12" s="40" customFormat="1">
      <c r="A1393">
        <v>13835073</v>
      </c>
      <c r="B1393" t="s">
        <v>1192</v>
      </c>
      <c r="C1393" t="s">
        <v>1190</v>
      </c>
      <c r="D1393" t="s">
        <v>1191</v>
      </c>
      <c r="E1393" t="s">
        <v>1438</v>
      </c>
      <c r="F1393" s="78">
        <v>0.32765046296296296</v>
      </c>
      <c r="G1393" t="s">
        <v>1406</v>
      </c>
      <c r="H1393" t="s">
        <v>1336</v>
      </c>
      <c r="I1393" s="88" t="str">
        <f>VLOOKUP(A1393,Base!A:B,2,0)</f>
        <v>13.835.073-8</v>
      </c>
      <c r="J1393" s="99" t="str">
        <f>VLOOKUP(A1393,Base!A:F,6,0)</f>
        <v>AMERICO  NORESE  GUAJARDO</v>
      </c>
      <c r="K1393" s="89" t="str">
        <f>IFERROR(IF(VLOOKUP(I1393,Ingreso!K:P,6,0)=0,"Sin turtno ing",VLOOKUP(I1393,Ingreso!K:P,6,0)),IF(F1393&gt;0.25,IF(F1393&lt;0.311805555555556,"Turno A",IF(F1393&gt;0.3125,IF(F1393&lt;0.354166666666667,"Turno C",IF(F1393&gt;0.583333333333333,IF(F1393&lt;0.625,"Turno B",IF(F1393&gt;0.625694444444444,IF(F1393&lt;0.8125,"Turno A",IF(F1393&gt;0.875,IF(F1393&lt;0.936805555555556,"Turno C",IF(F1393&gt;0.9375,IF(F1393&lt;0.979166666666667,"Turno B",""),"")),"")),"")),"")),"")),""))</f>
        <v>Turno C</v>
      </c>
      <c r="L1393" s="91">
        <f t="shared" si="21"/>
        <v>0.375</v>
      </c>
    </row>
    <row r="1394" spans="1:12" s="40" customFormat="1">
      <c r="A1394">
        <v>13835073</v>
      </c>
      <c r="B1394" t="s">
        <v>1192</v>
      </c>
      <c r="C1394" t="s">
        <v>1190</v>
      </c>
      <c r="D1394" t="s">
        <v>1191</v>
      </c>
      <c r="E1394" t="s">
        <v>1438</v>
      </c>
      <c r="F1394" s="78">
        <v>0.91915509259259265</v>
      </c>
      <c r="G1394" t="s">
        <v>1405</v>
      </c>
      <c r="H1394" t="s">
        <v>1335</v>
      </c>
      <c r="I1394" s="88" t="str">
        <f>VLOOKUP(A1394,Base!A:B,2,0)</f>
        <v>13.835.073-8</v>
      </c>
      <c r="J1394" s="99" t="str">
        <f>VLOOKUP(A1394,Base!A:F,6,0)</f>
        <v>AMERICO  NORESE  GUAJARDO</v>
      </c>
      <c r="K1394" s="89" t="str">
        <f>IFERROR(IF(VLOOKUP(I1394,Ingreso!K:P,6,0)=0,"Sin turtno ing",VLOOKUP(I1394,Ingreso!K:P,6,0)),IF(F1394&gt;0.25,IF(F1394&lt;0.311805555555556,"Turno A",IF(F1394&gt;0.3125,IF(F1394&lt;0.354166666666667,"Turno C",IF(F1394&gt;0.583333333333333,IF(F1394&lt;0.625,"Turno B",IF(F1394&gt;0.625694444444444,IF(F1394&lt;0.8125,"Turno A",IF(F1394&gt;0.875,IF(F1394&lt;0.936805555555556,"Turno C",IF(F1394&gt;0.9375,IF(F1394&lt;0.979166666666667,"Turno B",""),"")),"")),"")),"")),"")),""))</f>
        <v>Turno C</v>
      </c>
      <c r="L1394" s="91">
        <f t="shared" si="21"/>
        <v>0.375</v>
      </c>
    </row>
    <row r="1395" spans="1:12" s="40" customFormat="1">
      <c r="A1395">
        <v>13835073</v>
      </c>
      <c r="B1395" t="s">
        <v>1192</v>
      </c>
      <c r="C1395" t="s">
        <v>1190</v>
      </c>
      <c r="D1395" t="s">
        <v>1191</v>
      </c>
      <c r="E1395" t="s">
        <v>1439</v>
      </c>
      <c r="F1395" s="78">
        <v>0.32973379629629629</v>
      </c>
      <c r="G1395" t="s">
        <v>1406</v>
      </c>
      <c r="H1395" t="s">
        <v>1336</v>
      </c>
      <c r="I1395" s="88" t="str">
        <f>VLOOKUP(A1395,Base!A:B,2,0)</f>
        <v>13.835.073-8</v>
      </c>
      <c r="J1395" s="99" t="str">
        <f>VLOOKUP(A1395,Base!A:F,6,0)</f>
        <v>AMERICO  NORESE  GUAJARDO</v>
      </c>
      <c r="K1395" s="89" t="str">
        <f>IFERROR(IF(VLOOKUP(I1395,Ingreso!K:P,6,0)=0,"Sin turtno ing",VLOOKUP(I1395,Ingreso!K:P,6,0)),IF(F1395&gt;0.25,IF(F1395&lt;0.311805555555556,"Turno A",IF(F1395&gt;0.3125,IF(F1395&lt;0.354166666666667,"Turno C",IF(F1395&gt;0.583333333333333,IF(F1395&lt;0.625,"Turno B",IF(F1395&gt;0.625694444444444,IF(F1395&lt;0.8125,"Turno A",IF(F1395&gt;0.875,IF(F1395&lt;0.936805555555556,"Turno C",IF(F1395&gt;0.9375,IF(F1395&lt;0.979166666666667,"Turno B",""),"")),"")),"")),"")),"")),""))</f>
        <v>Turno C</v>
      </c>
      <c r="L1395" s="91">
        <f t="shared" si="21"/>
        <v>0.375</v>
      </c>
    </row>
    <row r="1396" spans="1:12" s="40" customFormat="1">
      <c r="A1396">
        <v>13835073</v>
      </c>
      <c r="B1396" t="s">
        <v>1192</v>
      </c>
      <c r="C1396" t="s">
        <v>1190</v>
      </c>
      <c r="D1396" t="s">
        <v>1191</v>
      </c>
      <c r="E1396" t="s">
        <v>1439</v>
      </c>
      <c r="F1396" s="78">
        <v>0.92894675925925929</v>
      </c>
      <c r="G1396" t="s">
        <v>1405</v>
      </c>
      <c r="H1396" t="s">
        <v>1335</v>
      </c>
      <c r="I1396" s="88" t="str">
        <f>VLOOKUP(A1396,Base!A:B,2,0)</f>
        <v>13.835.073-8</v>
      </c>
      <c r="J1396" s="99" t="str">
        <f>VLOOKUP(A1396,Base!A:F,6,0)</f>
        <v>AMERICO  NORESE  GUAJARDO</v>
      </c>
      <c r="K1396" s="89" t="str">
        <f>IFERROR(IF(VLOOKUP(I1396,Ingreso!K:P,6,0)=0,"Sin turtno ing",VLOOKUP(I1396,Ingreso!K:P,6,0)),IF(F1396&gt;0.25,IF(F1396&lt;0.311805555555556,"Turno A",IF(F1396&gt;0.3125,IF(F1396&lt;0.354166666666667,"Turno C",IF(F1396&gt;0.583333333333333,IF(F1396&lt;0.625,"Turno B",IF(F1396&gt;0.625694444444444,IF(F1396&lt;0.8125,"Turno A",IF(F1396&gt;0.875,IF(F1396&lt;0.936805555555556,"Turno C",IF(F1396&gt;0.9375,IF(F1396&lt;0.979166666666667,"Turno B",""),"")),"")),"")),"")),"")),""))</f>
        <v>Turno C</v>
      </c>
      <c r="L1396" s="91">
        <f t="shared" si="21"/>
        <v>0.375</v>
      </c>
    </row>
    <row r="1397" spans="1:12" s="40" customFormat="1">
      <c r="A1397">
        <v>13835848</v>
      </c>
      <c r="B1397" t="s">
        <v>596</v>
      </c>
      <c r="C1397" t="s">
        <v>594</v>
      </c>
      <c r="D1397" t="s">
        <v>595</v>
      </c>
      <c r="E1397" t="s">
        <v>1440</v>
      </c>
      <c r="F1397" s="78">
        <v>0.3258564814814815</v>
      </c>
      <c r="G1397" t="s">
        <v>1406</v>
      </c>
      <c r="H1397" t="s">
        <v>1336</v>
      </c>
      <c r="I1397" s="88" t="str">
        <f>VLOOKUP(A1397,Base!A:B,2,0)</f>
        <v>13.835.848-8</v>
      </c>
      <c r="J1397" s="99" t="str">
        <f>VLOOKUP(A1397,Base!A:F,6,0)</f>
        <v>MARION RAQUEL  MARIN  MOSCOSO</v>
      </c>
      <c r="K1397" s="89" t="str">
        <f>IFERROR(IF(VLOOKUP(I1397,Ingreso!K:P,6,0)=0,"Sin turtno ing",VLOOKUP(I1397,Ingreso!K:P,6,0)),IF(F1397&gt;0.25,IF(F1397&lt;0.311805555555556,"Turno A",IF(F1397&gt;0.3125,IF(F1397&lt;0.354166666666667,"Turno C",IF(F1397&gt;0.583333333333333,IF(F1397&lt;0.625,"Turno B",IF(F1397&gt;0.625694444444444,IF(F1397&lt;0.8125,"Turno A",IF(F1397&gt;0.875,IF(F1397&lt;0.936805555555556,"Turno C",IF(F1397&gt;0.9375,IF(F1397&lt;0.979166666666667,"Turno B",""),"")),"")),"")),"")),"")),""))</f>
        <v>Turno C</v>
      </c>
      <c r="L1397" s="91">
        <f t="shared" si="21"/>
        <v>0.375</v>
      </c>
    </row>
    <row r="1398" spans="1:12" s="40" customFormat="1">
      <c r="A1398">
        <v>13835848</v>
      </c>
      <c r="B1398" t="s">
        <v>596</v>
      </c>
      <c r="C1398" t="s">
        <v>594</v>
      </c>
      <c r="D1398" t="s">
        <v>595</v>
      </c>
      <c r="E1398" t="s">
        <v>1440</v>
      </c>
      <c r="F1398" s="78">
        <v>0.9162499999999999</v>
      </c>
      <c r="G1398" t="s">
        <v>1405</v>
      </c>
      <c r="H1398" t="s">
        <v>1335</v>
      </c>
      <c r="I1398" s="88" t="str">
        <f>VLOOKUP(A1398,Base!A:B,2,0)</f>
        <v>13.835.848-8</v>
      </c>
      <c r="J1398" s="99" t="str">
        <f>VLOOKUP(A1398,Base!A:F,6,0)</f>
        <v>MARION RAQUEL  MARIN  MOSCOSO</v>
      </c>
      <c r="K1398" s="89" t="str">
        <f>IFERROR(IF(VLOOKUP(I1398,Ingreso!K:P,6,0)=0,"Sin turtno ing",VLOOKUP(I1398,Ingreso!K:P,6,0)),IF(F1398&gt;0.25,IF(F1398&lt;0.311805555555556,"Turno A",IF(F1398&gt;0.3125,IF(F1398&lt;0.354166666666667,"Turno C",IF(F1398&gt;0.583333333333333,IF(F1398&lt;0.625,"Turno B",IF(F1398&gt;0.625694444444444,IF(F1398&lt;0.8125,"Turno A",IF(F1398&gt;0.875,IF(F1398&lt;0.936805555555556,"Turno C",IF(F1398&gt;0.9375,IF(F1398&lt;0.979166666666667,"Turno B",""),"")),"")),"")),"")),"")),""))</f>
        <v>Turno C</v>
      </c>
      <c r="L1398" s="91">
        <f t="shared" si="21"/>
        <v>0.375</v>
      </c>
    </row>
    <row r="1399" spans="1:12" s="40" customFormat="1">
      <c r="A1399">
        <v>13835848</v>
      </c>
      <c r="B1399" t="s">
        <v>596</v>
      </c>
      <c r="C1399" t="s">
        <v>594</v>
      </c>
      <c r="D1399" t="s">
        <v>595</v>
      </c>
      <c r="E1399" t="s">
        <v>1441</v>
      </c>
      <c r="F1399" s="78">
        <v>0.32627314814814817</v>
      </c>
      <c r="G1399" t="s">
        <v>1406</v>
      </c>
      <c r="H1399" t="s">
        <v>1336</v>
      </c>
      <c r="I1399" s="88" t="str">
        <f>VLOOKUP(A1399,Base!A:B,2,0)</f>
        <v>13.835.848-8</v>
      </c>
      <c r="J1399" s="99" t="str">
        <f>VLOOKUP(A1399,Base!A:F,6,0)</f>
        <v>MARION RAQUEL  MARIN  MOSCOSO</v>
      </c>
      <c r="K1399" s="89" t="str">
        <f>IFERROR(IF(VLOOKUP(I1399,Ingreso!K:P,6,0)=0,"Sin turtno ing",VLOOKUP(I1399,Ingreso!K:P,6,0)),IF(F1399&gt;0.25,IF(F1399&lt;0.311805555555556,"Turno A",IF(F1399&gt;0.3125,IF(F1399&lt;0.354166666666667,"Turno C",IF(F1399&gt;0.583333333333333,IF(F1399&lt;0.625,"Turno B",IF(F1399&gt;0.625694444444444,IF(F1399&lt;0.8125,"Turno A",IF(F1399&gt;0.875,IF(F1399&lt;0.936805555555556,"Turno C",IF(F1399&gt;0.9375,IF(F1399&lt;0.979166666666667,"Turno B",""),"")),"")),"")),"")),"")),""))</f>
        <v>Turno C</v>
      </c>
      <c r="L1399" s="91">
        <f t="shared" si="21"/>
        <v>0.375</v>
      </c>
    </row>
    <row r="1400" spans="1:12" s="40" customFormat="1">
      <c r="A1400">
        <v>13835848</v>
      </c>
      <c r="B1400" t="s">
        <v>596</v>
      </c>
      <c r="C1400" t="s">
        <v>594</v>
      </c>
      <c r="D1400" t="s">
        <v>595</v>
      </c>
      <c r="E1400" t="s">
        <v>1437</v>
      </c>
      <c r="F1400" s="78">
        <v>0.91728009259259258</v>
      </c>
      <c r="G1400" t="s">
        <v>1405</v>
      </c>
      <c r="H1400" t="s">
        <v>1335</v>
      </c>
      <c r="I1400" s="88" t="str">
        <f>VLOOKUP(A1400,Base!A:B,2,0)</f>
        <v>13.835.848-8</v>
      </c>
      <c r="J1400" s="99" t="str">
        <f>VLOOKUP(A1400,Base!A:F,6,0)</f>
        <v>MARION RAQUEL  MARIN  MOSCOSO</v>
      </c>
      <c r="K1400" s="89" t="str">
        <f>IFERROR(IF(VLOOKUP(I1400,Ingreso!K:P,6,0)=0,"Sin turtno ing",VLOOKUP(I1400,Ingreso!K:P,6,0)),IF(F1400&gt;0.25,IF(F1400&lt;0.311805555555556,"Turno A",IF(F1400&gt;0.3125,IF(F1400&lt;0.354166666666667,"Turno C",IF(F1400&gt;0.583333333333333,IF(F1400&lt;0.625,"Turno B",IF(F1400&gt;0.625694444444444,IF(F1400&lt;0.8125,"Turno A",IF(F1400&gt;0.875,IF(F1400&lt;0.936805555555556,"Turno C",IF(F1400&gt;0.9375,IF(F1400&lt;0.979166666666667,"Turno B",""),"")),"")),"")),"")),"")),""))</f>
        <v>Turno C</v>
      </c>
      <c r="L1400" s="91">
        <f t="shared" si="21"/>
        <v>0.375</v>
      </c>
    </row>
    <row r="1401" spans="1:12" s="40" customFormat="1">
      <c r="A1401">
        <v>13835848</v>
      </c>
      <c r="B1401" t="s">
        <v>596</v>
      </c>
      <c r="C1401" t="s">
        <v>594</v>
      </c>
      <c r="D1401" t="s">
        <v>595</v>
      </c>
      <c r="E1401" t="s">
        <v>1438</v>
      </c>
      <c r="F1401" s="78">
        <v>0.32181712962962966</v>
      </c>
      <c r="G1401" t="s">
        <v>1406</v>
      </c>
      <c r="H1401" t="s">
        <v>1336</v>
      </c>
      <c r="I1401" s="88" t="str">
        <f>VLOOKUP(A1401,Base!A:B,2,0)</f>
        <v>13.835.848-8</v>
      </c>
      <c r="J1401" s="99" t="str">
        <f>VLOOKUP(A1401,Base!A:F,6,0)</f>
        <v>MARION RAQUEL  MARIN  MOSCOSO</v>
      </c>
      <c r="K1401" s="89" t="str">
        <f>IFERROR(IF(VLOOKUP(I1401,Ingreso!K:P,6,0)=0,"Sin turtno ing",VLOOKUP(I1401,Ingreso!K:P,6,0)),IF(F1401&gt;0.25,IF(F1401&lt;0.311805555555556,"Turno A",IF(F1401&gt;0.3125,IF(F1401&lt;0.354166666666667,"Turno C",IF(F1401&gt;0.583333333333333,IF(F1401&lt;0.625,"Turno B",IF(F1401&gt;0.625694444444444,IF(F1401&lt;0.8125,"Turno A",IF(F1401&gt;0.875,IF(F1401&lt;0.936805555555556,"Turno C",IF(F1401&gt;0.9375,IF(F1401&lt;0.979166666666667,"Turno B",""),"")),"")),"")),"")),"")),""))</f>
        <v>Turno C</v>
      </c>
      <c r="L1401" s="91">
        <f t="shared" si="21"/>
        <v>0.375</v>
      </c>
    </row>
    <row r="1402" spans="1:12" s="40" customFormat="1">
      <c r="A1402">
        <v>13835848</v>
      </c>
      <c r="B1402" t="s">
        <v>596</v>
      </c>
      <c r="C1402" t="s">
        <v>594</v>
      </c>
      <c r="D1402" t="s">
        <v>595</v>
      </c>
      <c r="E1402" t="s">
        <v>1438</v>
      </c>
      <c r="F1402" s="78">
        <v>0.91849537037037043</v>
      </c>
      <c r="G1402" t="s">
        <v>1405</v>
      </c>
      <c r="H1402" t="s">
        <v>1335</v>
      </c>
      <c r="I1402" s="88" t="str">
        <f>VLOOKUP(A1402,Base!A:B,2,0)</f>
        <v>13.835.848-8</v>
      </c>
      <c r="J1402" s="99" t="str">
        <f>VLOOKUP(A1402,Base!A:F,6,0)</f>
        <v>MARION RAQUEL  MARIN  MOSCOSO</v>
      </c>
      <c r="K1402" s="89" t="str">
        <f>IFERROR(IF(VLOOKUP(I1402,Ingreso!K:P,6,0)=0,"Sin turtno ing",VLOOKUP(I1402,Ingreso!K:P,6,0)),IF(F1402&gt;0.25,IF(F1402&lt;0.311805555555556,"Turno A",IF(F1402&gt;0.3125,IF(F1402&lt;0.354166666666667,"Turno C",IF(F1402&gt;0.583333333333333,IF(F1402&lt;0.625,"Turno B",IF(F1402&gt;0.625694444444444,IF(F1402&lt;0.8125,"Turno A",IF(F1402&gt;0.875,IF(F1402&lt;0.936805555555556,"Turno C",IF(F1402&gt;0.9375,IF(F1402&lt;0.979166666666667,"Turno B",""),"")),"")),"")),"")),"")),""))</f>
        <v>Turno C</v>
      </c>
      <c r="L1402" s="91">
        <f t="shared" si="21"/>
        <v>0.375</v>
      </c>
    </row>
    <row r="1403" spans="1:12" s="40" customFormat="1">
      <c r="A1403">
        <v>13835848</v>
      </c>
      <c r="B1403" t="s">
        <v>596</v>
      </c>
      <c r="C1403" t="s">
        <v>594</v>
      </c>
      <c r="D1403" t="s">
        <v>595</v>
      </c>
      <c r="E1403" t="s">
        <v>1439</v>
      </c>
      <c r="F1403" s="78">
        <v>0.32207175925925924</v>
      </c>
      <c r="G1403" t="s">
        <v>1406</v>
      </c>
      <c r="H1403" t="s">
        <v>1336</v>
      </c>
      <c r="I1403" s="88" t="str">
        <f>VLOOKUP(A1403,Base!A:B,2,0)</f>
        <v>13.835.848-8</v>
      </c>
      <c r="J1403" s="99" t="str">
        <f>VLOOKUP(A1403,Base!A:F,6,0)</f>
        <v>MARION RAQUEL  MARIN  MOSCOSO</v>
      </c>
      <c r="K1403" s="89" t="str">
        <f>IFERROR(IF(VLOOKUP(I1403,Ingreso!K:P,6,0)=0,"Sin turtno ing",VLOOKUP(I1403,Ingreso!K:P,6,0)),IF(F1403&gt;0.25,IF(F1403&lt;0.311805555555556,"Turno A",IF(F1403&gt;0.3125,IF(F1403&lt;0.354166666666667,"Turno C",IF(F1403&gt;0.583333333333333,IF(F1403&lt;0.625,"Turno B",IF(F1403&gt;0.625694444444444,IF(F1403&lt;0.8125,"Turno A",IF(F1403&gt;0.875,IF(F1403&lt;0.936805555555556,"Turno C",IF(F1403&gt;0.9375,IF(F1403&lt;0.979166666666667,"Turno B",""),"")),"")),"")),"")),"")),""))</f>
        <v>Turno C</v>
      </c>
      <c r="L1403" s="91">
        <f t="shared" si="21"/>
        <v>0.375</v>
      </c>
    </row>
    <row r="1404" spans="1:12" s="40" customFormat="1">
      <c r="A1404">
        <v>13835848</v>
      </c>
      <c r="B1404" t="s">
        <v>596</v>
      </c>
      <c r="C1404" t="s">
        <v>594</v>
      </c>
      <c r="D1404" t="s">
        <v>595</v>
      </c>
      <c r="E1404" t="s">
        <v>1439</v>
      </c>
      <c r="F1404" s="78">
        <v>0.923761574074074</v>
      </c>
      <c r="G1404" t="s">
        <v>1405</v>
      </c>
      <c r="H1404" t="s">
        <v>1335</v>
      </c>
      <c r="I1404" s="88" t="str">
        <f>VLOOKUP(A1404,Base!A:B,2,0)</f>
        <v>13.835.848-8</v>
      </c>
      <c r="J1404" s="99" t="str">
        <f>VLOOKUP(A1404,Base!A:F,6,0)</f>
        <v>MARION RAQUEL  MARIN  MOSCOSO</v>
      </c>
      <c r="K1404" s="89" t="str">
        <f>IFERROR(IF(VLOOKUP(I1404,Ingreso!K:P,6,0)=0,"Sin turtno ing",VLOOKUP(I1404,Ingreso!K:P,6,0)),IF(F1404&gt;0.25,IF(F1404&lt;0.311805555555556,"Turno A",IF(F1404&gt;0.3125,IF(F1404&lt;0.354166666666667,"Turno C",IF(F1404&gt;0.583333333333333,IF(F1404&lt;0.625,"Turno B",IF(F1404&gt;0.625694444444444,IF(F1404&lt;0.8125,"Turno A",IF(F1404&gt;0.875,IF(F1404&lt;0.936805555555556,"Turno C",IF(F1404&gt;0.9375,IF(F1404&lt;0.979166666666667,"Turno B",""),"")),"")),"")),"")),"")),""))</f>
        <v>Turno C</v>
      </c>
      <c r="L1404" s="91">
        <f t="shared" si="21"/>
        <v>0.375</v>
      </c>
    </row>
    <row r="1405" spans="1:12" s="40" customFormat="1">
      <c r="A1405">
        <v>13835927</v>
      </c>
      <c r="B1405" t="s">
        <v>1098</v>
      </c>
      <c r="C1405" t="s">
        <v>1097</v>
      </c>
      <c r="D1405" t="s">
        <v>1005</v>
      </c>
      <c r="E1405" t="s">
        <v>1407</v>
      </c>
      <c r="F1405" s="78">
        <v>0</v>
      </c>
      <c r="G1405"/>
      <c r="H1405"/>
      <c r="I1405" s="88" t="str">
        <f>VLOOKUP(A1405,Base!A:B,2,0)</f>
        <v>13.835.927-1</v>
      </c>
      <c r="J1405" s="99" t="str">
        <f>VLOOKUP(A1405,Base!A:F,6,0)</f>
        <v>FELIPE  ZAVALA  ARAVENA</v>
      </c>
      <c r="K1405" s="89" t="str">
        <f>IFERROR(IF(VLOOKUP(I1405,Ingreso!K:P,6,0)=0,"Sin turtno ing",VLOOKUP(I1405,Ingreso!K:P,6,0)),IF(F1405&gt;0.25,IF(F1405&lt;0.311805555555556,"Turno A",IF(F1405&gt;0.3125,IF(F1405&lt;0.354166666666667,"Turno C",IF(F1405&gt;0.583333333333333,IF(F1405&lt;0.625,"Turno B",IF(F1405&gt;0.625694444444444,IF(F1405&lt;0.8125,"Turno A",IF(F1405&gt;0.875,IF(F1405&lt;0.936805555555556,"Turno C",IF(F1405&gt;0.9375,IF(F1405&lt;0.979166666666667,"Turno B",""),"")),"")),"")),"")),"")),""))</f>
        <v/>
      </c>
      <c r="L1405" s="91" t="e">
        <f t="shared" si="21"/>
        <v>#N/A</v>
      </c>
    </row>
    <row r="1406" spans="1:12" s="40" customFormat="1">
      <c r="A1406">
        <v>13836182</v>
      </c>
      <c r="B1406" t="s">
        <v>1221</v>
      </c>
      <c r="C1406" t="s">
        <v>754</v>
      </c>
      <c r="D1406" t="s">
        <v>1220</v>
      </c>
      <c r="E1406" t="s">
        <v>1440</v>
      </c>
      <c r="F1406" s="78">
        <v>0.64178240740740744</v>
      </c>
      <c r="G1406" t="s">
        <v>1406</v>
      </c>
      <c r="H1406" t="s">
        <v>1336</v>
      </c>
      <c r="I1406" s="88" t="str">
        <f>VLOOKUP(A1406,Base!A:B,2,0)</f>
        <v>13.836.182-9</v>
      </c>
      <c r="J1406" s="99" t="str">
        <f>VLOOKUP(A1406,Base!A:F,6,0)</f>
        <v>JOSE LUIS  SEPULVEDA  ANTILEO</v>
      </c>
      <c r="K1406" s="89" t="str">
        <f>IFERROR(IF(VLOOKUP(I1406,Ingreso!K:P,6,0)=0,"Sin turtno ing",VLOOKUP(I1406,Ingreso!K:P,6,0)),IF(F1406&gt;0.25,IF(F1406&lt;0.311805555555556,"Turno A",IF(F1406&gt;0.3125,IF(F1406&lt;0.354166666666667,"Turno C",IF(F1406&gt;0.583333333333333,IF(F1406&lt;0.625,"Turno B",IF(F1406&gt;0.625694444444444,IF(F1406&lt;0.8125,"Turno A",IF(F1406&gt;0.875,IF(F1406&lt;0.936805555555556,"Turno C",IF(F1406&gt;0.9375,IF(F1406&lt;0.979166666666667,"Turno B",""),"")),"")),"")),"")),"")),""))</f>
        <v>Turno A</v>
      </c>
      <c r="L1406" s="91">
        <f t="shared" si="21"/>
        <v>0.3125</v>
      </c>
    </row>
    <row r="1407" spans="1:12" s="40" customFormat="1">
      <c r="A1407">
        <v>13836182</v>
      </c>
      <c r="B1407" t="s">
        <v>1221</v>
      </c>
      <c r="C1407" t="s">
        <v>754</v>
      </c>
      <c r="D1407" t="s">
        <v>1220</v>
      </c>
      <c r="E1407" t="s">
        <v>1440</v>
      </c>
      <c r="F1407" s="78">
        <v>0.29546296296296298</v>
      </c>
      <c r="G1407" t="s">
        <v>1405</v>
      </c>
      <c r="H1407" t="s">
        <v>1335</v>
      </c>
      <c r="I1407" s="88" t="str">
        <f>VLOOKUP(A1407,Base!A:B,2,0)</f>
        <v>13.836.182-9</v>
      </c>
      <c r="J1407" s="99" t="str">
        <f>VLOOKUP(A1407,Base!A:F,6,0)</f>
        <v>JOSE LUIS  SEPULVEDA  ANTILEO</v>
      </c>
      <c r="K1407" s="89" t="str">
        <f>IFERROR(IF(VLOOKUP(I1407,Ingreso!K:P,6,0)=0,"Sin turtno ing",VLOOKUP(I1407,Ingreso!K:P,6,0)),IF(F1407&gt;0.25,IF(F1407&lt;0.311805555555556,"Turno A",IF(F1407&gt;0.3125,IF(F1407&lt;0.354166666666667,"Turno C",IF(F1407&gt;0.583333333333333,IF(F1407&lt;0.625,"Turno B",IF(F1407&gt;0.625694444444444,IF(F1407&lt;0.8125,"Turno A",IF(F1407&gt;0.875,IF(F1407&lt;0.936805555555556,"Turno C",IF(F1407&gt;0.9375,IF(F1407&lt;0.979166666666667,"Turno B",""),"")),"")),"")),"")),"")),""))</f>
        <v>Turno A</v>
      </c>
      <c r="L1407" s="91">
        <f t="shared" si="21"/>
        <v>0.3125</v>
      </c>
    </row>
    <row r="1408" spans="1:12" s="40" customFormat="1">
      <c r="A1408">
        <v>13836182</v>
      </c>
      <c r="B1408" t="s">
        <v>1221</v>
      </c>
      <c r="C1408" t="s">
        <v>754</v>
      </c>
      <c r="D1408" t="s">
        <v>1220</v>
      </c>
      <c r="E1408" t="s">
        <v>1441</v>
      </c>
      <c r="F1408" s="78">
        <v>0.64192129629629624</v>
      </c>
      <c r="G1408" t="s">
        <v>1406</v>
      </c>
      <c r="H1408" t="s">
        <v>1336</v>
      </c>
      <c r="I1408" s="88" t="str">
        <f>VLOOKUP(A1408,Base!A:B,2,0)</f>
        <v>13.836.182-9</v>
      </c>
      <c r="J1408" s="99" t="str">
        <f>VLOOKUP(A1408,Base!A:F,6,0)</f>
        <v>JOSE LUIS  SEPULVEDA  ANTILEO</v>
      </c>
      <c r="K1408" s="89" t="str">
        <f>IFERROR(IF(VLOOKUP(I1408,Ingreso!K:P,6,0)=0,"Sin turtno ing",VLOOKUP(I1408,Ingreso!K:P,6,0)),IF(F1408&gt;0.25,IF(F1408&lt;0.311805555555556,"Turno A",IF(F1408&gt;0.3125,IF(F1408&lt;0.354166666666667,"Turno C",IF(F1408&gt;0.583333333333333,IF(F1408&lt;0.625,"Turno B",IF(F1408&gt;0.625694444444444,IF(F1408&lt;0.8125,"Turno A",IF(F1408&gt;0.875,IF(F1408&lt;0.936805555555556,"Turno C",IF(F1408&gt;0.9375,IF(F1408&lt;0.979166666666667,"Turno B",""),"")),"")),"")),"")),"")),""))</f>
        <v>Turno A</v>
      </c>
      <c r="L1408" s="91">
        <f t="shared" si="21"/>
        <v>0.3125</v>
      </c>
    </row>
    <row r="1409" spans="1:12" s="40" customFormat="1">
      <c r="A1409">
        <v>13836182</v>
      </c>
      <c r="B1409" t="s">
        <v>1221</v>
      </c>
      <c r="C1409" t="s">
        <v>754</v>
      </c>
      <c r="D1409" t="s">
        <v>1220</v>
      </c>
      <c r="E1409" t="s">
        <v>1441</v>
      </c>
      <c r="F1409" s="78">
        <v>0.3140162037037037</v>
      </c>
      <c r="G1409" t="s">
        <v>1405</v>
      </c>
      <c r="H1409" t="s">
        <v>1335</v>
      </c>
      <c r="I1409" s="88" t="str">
        <f>VLOOKUP(A1409,Base!A:B,2,0)</f>
        <v>13.836.182-9</v>
      </c>
      <c r="J1409" s="99" t="str">
        <f>VLOOKUP(A1409,Base!A:F,6,0)</f>
        <v>JOSE LUIS  SEPULVEDA  ANTILEO</v>
      </c>
      <c r="K1409" s="89" t="str">
        <f>IFERROR(IF(VLOOKUP(I1409,Ingreso!K:P,6,0)=0,"Sin turtno ing",VLOOKUP(I1409,Ingreso!K:P,6,0)),IF(F1409&gt;0.25,IF(F1409&lt;0.311805555555556,"Turno A",IF(F1409&gt;0.3125,IF(F1409&lt;0.354166666666667,"Turno C",IF(F1409&gt;0.583333333333333,IF(F1409&lt;0.625,"Turno B",IF(F1409&gt;0.625694444444444,IF(F1409&lt;0.8125,"Turno A",IF(F1409&gt;0.875,IF(F1409&lt;0.936805555555556,"Turno C",IF(F1409&gt;0.9375,IF(F1409&lt;0.979166666666667,"Turno B",""),"")),"")),"")),"")),"")),""))</f>
        <v>Turno C</v>
      </c>
      <c r="L1409" s="91">
        <f t="shared" si="21"/>
        <v>0.375</v>
      </c>
    </row>
    <row r="1410" spans="1:12" s="40" customFormat="1">
      <c r="A1410">
        <v>13836182</v>
      </c>
      <c r="B1410" t="s">
        <v>1221</v>
      </c>
      <c r="C1410" t="s">
        <v>754</v>
      </c>
      <c r="D1410" t="s">
        <v>1220</v>
      </c>
      <c r="E1410" t="s">
        <v>1437</v>
      </c>
      <c r="F1410" s="78">
        <v>0.63972222222222219</v>
      </c>
      <c r="G1410" t="s">
        <v>1406</v>
      </c>
      <c r="H1410" t="s">
        <v>1336</v>
      </c>
      <c r="I1410" s="88" t="str">
        <f>VLOOKUP(A1410,Base!A:B,2,0)</f>
        <v>13.836.182-9</v>
      </c>
      <c r="J1410" s="99" t="str">
        <f>VLOOKUP(A1410,Base!A:F,6,0)</f>
        <v>JOSE LUIS  SEPULVEDA  ANTILEO</v>
      </c>
      <c r="K1410" s="89" t="str">
        <f>IFERROR(IF(VLOOKUP(I1410,Ingreso!K:P,6,0)=0,"Sin turtno ing",VLOOKUP(I1410,Ingreso!K:P,6,0)),IF(F1410&gt;0.25,IF(F1410&lt;0.311805555555556,"Turno A",IF(F1410&gt;0.3125,IF(F1410&lt;0.354166666666667,"Turno C",IF(F1410&gt;0.583333333333333,IF(F1410&lt;0.625,"Turno B",IF(F1410&gt;0.625694444444444,IF(F1410&lt;0.8125,"Turno A",IF(F1410&gt;0.875,IF(F1410&lt;0.936805555555556,"Turno C",IF(F1410&gt;0.9375,IF(F1410&lt;0.979166666666667,"Turno B",""),"")),"")),"")),"")),"")),""))</f>
        <v>Turno A</v>
      </c>
      <c r="L1410" s="91">
        <f t="shared" si="21"/>
        <v>0.3125</v>
      </c>
    </row>
    <row r="1411" spans="1:12" s="40" customFormat="1">
      <c r="A1411">
        <v>13836182</v>
      </c>
      <c r="B1411" t="s">
        <v>1221</v>
      </c>
      <c r="C1411" t="s">
        <v>754</v>
      </c>
      <c r="D1411" t="s">
        <v>1220</v>
      </c>
      <c r="E1411" t="s">
        <v>1437</v>
      </c>
      <c r="F1411" s="78">
        <v>0.30285879629629631</v>
      </c>
      <c r="G1411" t="s">
        <v>1405</v>
      </c>
      <c r="H1411" t="s">
        <v>1335</v>
      </c>
      <c r="I1411" s="88" t="str">
        <f>VLOOKUP(A1411,Base!A:B,2,0)</f>
        <v>13.836.182-9</v>
      </c>
      <c r="J1411" s="99" t="str">
        <f>VLOOKUP(A1411,Base!A:F,6,0)</f>
        <v>JOSE LUIS  SEPULVEDA  ANTILEO</v>
      </c>
      <c r="K1411" s="89" t="str">
        <f>IFERROR(IF(VLOOKUP(I1411,Ingreso!K:P,6,0)=0,"Sin turtno ing",VLOOKUP(I1411,Ingreso!K:P,6,0)),IF(F1411&gt;0.25,IF(F1411&lt;0.311805555555556,"Turno A",IF(F1411&gt;0.3125,IF(F1411&lt;0.354166666666667,"Turno C",IF(F1411&gt;0.583333333333333,IF(F1411&lt;0.625,"Turno B",IF(F1411&gt;0.625694444444444,IF(F1411&lt;0.8125,"Turno A",IF(F1411&gt;0.875,IF(F1411&lt;0.936805555555556,"Turno C",IF(F1411&gt;0.9375,IF(F1411&lt;0.979166666666667,"Turno B",""),"")),"")),"")),"")),"")),""))</f>
        <v>Turno A</v>
      </c>
      <c r="L1411" s="91">
        <f t="shared" ref="L1411:L1474" si="22">VLOOKUP(K1411,$S$3:$T$7,2,0)</f>
        <v>0.3125</v>
      </c>
    </row>
    <row r="1412" spans="1:12" s="40" customFormat="1">
      <c r="A1412">
        <v>13836182</v>
      </c>
      <c r="B1412" t="s">
        <v>1221</v>
      </c>
      <c r="C1412" t="s">
        <v>754</v>
      </c>
      <c r="D1412" t="s">
        <v>1220</v>
      </c>
      <c r="E1412" t="s">
        <v>1438</v>
      </c>
      <c r="F1412" s="78">
        <v>0.63604166666666673</v>
      </c>
      <c r="G1412" t="s">
        <v>1406</v>
      </c>
      <c r="H1412" t="s">
        <v>1336</v>
      </c>
      <c r="I1412" s="88" t="str">
        <f>VLOOKUP(A1412,Base!A:B,2,0)</f>
        <v>13.836.182-9</v>
      </c>
      <c r="J1412" s="99" t="str">
        <f>VLOOKUP(A1412,Base!A:F,6,0)</f>
        <v>JOSE LUIS  SEPULVEDA  ANTILEO</v>
      </c>
      <c r="K1412" s="89" t="str">
        <f>IFERROR(IF(VLOOKUP(I1412,Ingreso!K:P,6,0)=0,"Sin turtno ing",VLOOKUP(I1412,Ingreso!K:P,6,0)),IF(F1412&gt;0.25,IF(F1412&lt;0.311805555555556,"Turno A",IF(F1412&gt;0.3125,IF(F1412&lt;0.354166666666667,"Turno C",IF(F1412&gt;0.583333333333333,IF(F1412&lt;0.625,"Turno B",IF(F1412&gt;0.625694444444444,IF(F1412&lt;0.8125,"Turno A",IF(F1412&gt;0.875,IF(F1412&lt;0.936805555555556,"Turno C",IF(F1412&gt;0.9375,IF(F1412&lt;0.979166666666667,"Turno B",""),"")),"")),"")),"")),"")),""))</f>
        <v>Turno A</v>
      </c>
      <c r="L1412" s="91">
        <f t="shared" si="22"/>
        <v>0.3125</v>
      </c>
    </row>
    <row r="1413" spans="1:12" s="40" customFormat="1">
      <c r="A1413">
        <v>13836182</v>
      </c>
      <c r="B1413" t="s">
        <v>1221</v>
      </c>
      <c r="C1413" t="s">
        <v>754</v>
      </c>
      <c r="D1413" t="s">
        <v>1220</v>
      </c>
      <c r="E1413" t="s">
        <v>1438</v>
      </c>
      <c r="F1413" s="78">
        <v>0.29577546296296298</v>
      </c>
      <c r="G1413" t="s">
        <v>1405</v>
      </c>
      <c r="H1413" t="s">
        <v>1335</v>
      </c>
      <c r="I1413" s="88" t="str">
        <f>VLOOKUP(A1413,Base!A:B,2,0)</f>
        <v>13.836.182-9</v>
      </c>
      <c r="J1413" s="99" t="str">
        <f>VLOOKUP(A1413,Base!A:F,6,0)</f>
        <v>JOSE LUIS  SEPULVEDA  ANTILEO</v>
      </c>
      <c r="K1413" s="89" t="str">
        <f>IFERROR(IF(VLOOKUP(I1413,Ingreso!K:P,6,0)=0,"Sin turtno ing",VLOOKUP(I1413,Ingreso!K:P,6,0)),IF(F1413&gt;0.25,IF(F1413&lt;0.311805555555556,"Turno A",IF(F1413&gt;0.3125,IF(F1413&lt;0.354166666666667,"Turno C",IF(F1413&gt;0.583333333333333,IF(F1413&lt;0.625,"Turno B",IF(F1413&gt;0.625694444444444,IF(F1413&lt;0.8125,"Turno A",IF(F1413&gt;0.875,IF(F1413&lt;0.936805555555556,"Turno C",IF(F1413&gt;0.9375,IF(F1413&lt;0.979166666666667,"Turno B",""),"")),"")),"")),"")),"")),""))</f>
        <v>Turno A</v>
      </c>
      <c r="L1413" s="91">
        <f t="shared" si="22"/>
        <v>0.3125</v>
      </c>
    </row>
    <row r="1414" spans="1:12" s="40" customFormat="1">
      <c r="A1414">
        <v>13836182</v>
      </c>
      <c r="B1414" t="s">
        <v>1221</v>
      </c>
      <c r="C1414" t="s">
        <v>754</v>
      </c>
      <c r="D1414" t="s">
        <v>1220</v>
      </c>
      <c r="E1414" t="s">
        <v>1439</v>
      </c>
      <c r="F1414" s="78">
        <v>0.64184027777777775</v>
      </c>
      <c r="G1414" t="s">
        <v>1406</v>
      </c>
      <c r="H1414" t="s">
        <v>1336</v>
      </c>
      <c r="I1414" s="88" t="str">
        <f>VLOOKUP(A1414,Base!A:B,2,0)</f>
        <v>13.836.182-9</v>
      </c>
      <c r="J1414" s="99" t="str">
        <f>VLOOKUP(A1414,Base!A:F,6,0)</f>
        <v>JOSE LUIS  SEPULVEDA  ANTILEO</v>
      </c>
      <c r="K1414" s="89" t="str">
        <f>IFERROR(IF(VLOOKUP(I1414,Ingreso!K:P,6,0)=0,"Sin turtno ing",VLOOKUP(I1414,Ingreso!K:P,6,0)),IF(F1414&gt;0.25,IF(F1414&lt;0.311805555555556,"Turno A",IF(F1414&gt;0.3125,IF(F1414&lt;0.354166666666667,"Turno C",IF(F1414&gt;0.583333333333333,IF(F1414&lt;0.625,"Turno B",IF(F1414&gt;0.625694444444444,IF(F1414&lt;0.8125,"Turno A",IF(F1414&gt;0.875,IF(F1414&lt;0.936805555555556,"Turno C",IF(F1414&gt;0.9375,IF(F1414&lt;0.979166666666667,"Turno B",""),"")),"")),"")),"")),"")),""))</f>
        <v>Turno A</v>
      </c>
      <c r="L1414" s="91">
        <f t="shared" si="22"/>
        <v>0.3125</v>
      </c>
    </row>
    <row r="1415" spans="1:12" s="40" customFormat="1">
      <c r="A1415">
        <v>13836182</v>
      </c>
      <c r="B1415" t="s">
        <v>1221</v>
      </c>
      <c r="C1415" t="s">
        <v>754</v>
      </c>
      <c r="D1415" t="s">
        <v>1220</v>
      </c>
      <c r="E1415" t="s">
        <v>1439</v>
      </c>
      <c r="F1415" s="78">
        <v>0.30133101851851851</v>
      </c>
      <c r="G1415" t="s">
        <v>1405</v>
      </c>
      <c r="H1415" t="s">
        <v>1335</v>
      </c>
      <c r="I1415" s="88" t="str">
        <f>VLOOKUP(A1415,Base!A:B,2,0)</f>
        <v>13.836.182-9</v>
      </c>
      <c r="J1415" s="99" t="str">
        <f>VLOOKUP(A1415,Base!A:F,6,0)</f>
        <v>JOSE LUIS  SEPULVEDA  ANTILEO</v>
      </c>
      <c r="K1415" s="89" t="str">
        <f>IFERROR(IF(VLOOKUP(I1415,Ingreso!K:P,6,0)=0,"Sin turtno ing",VLOOKUP(I1415,Ingreso!K:P,6,0)),IF(F1415&gt;0.25,IF(F1415&lt;0.311805555555556,"Turno A",IF(F1415&gt;0.3125,IF(F1415&lt;0.354166666666667,"Turno C",IF(F1415&gt;0.583333333333333,IF(F1415&lt;0.625,"Turno B",IF(F1415&gt;0.625694444444444,IF(F1415&lt;0.8125,"Turno A",IF(F1415&gt;0.875,IF(F1415&lt;0.936805555555556,"Turno C",IF(F1415&gt;0.9375,IF(F1415&lt;0.979166666666667,"Turno B",""),"")),"")),"")),"")),"")),""))</f>
        <v>Turno A</v>
      </c>
      <c r="L1415" s="91">
        <f t="shared" si="22"/>
        <v>0.3125</v>
      </c>
    </row>
    <row r="1416" spans="1:12" s="40" customFormat="1">
      <c r="A1416">
        <v>13838747</v>
      </c>
      <c r="B1416" t="s">
        <v>62</v>
      </c>
      <c r="C1416" t="s">
        <v>60</v>
      </c>
      <c r="D1416" t="s">
        <v>61</v>
      </c>
      <c r="E1416" t="s">
        <v>1440</v>
      </c>
      <c r="F1416" s="78">
        <v>0.64142361111111112</v>
      </c>
      <c r="G1416" t="s">
        <v>1406</v>
      </c>
      <c r="H1416" t="s">
        <v>1336</v>
      </c>
      <c r="I1416" s="88" t="str">
        <f>VLOOKUP(A1416,Base!A:B,2,0)</f>
        <v>13.838.747-K</v>
      </c>
      <c r="J1416" s="99" t="str">
        <f>VLOOKUP(A1416,Base!A:F,6,0)</f>
        <v>MAURICIO  ALLENDES  VARGAS</v>
      </c>
      <c r="K1416" s="89" t="str">
        <f>IFERROR(IF(VLOOKUP(I1416,Ingreso!K:P,6,0)=0,"Sin turtno ing",VLOOKUP(I1416,Ingreso!K:P,6,0)),IF(F1416&gt;0.25,IF(F1416&lt;0.311805555555556,"Turno A",IF(F1416&gt;0.3125,IF(F1416&lt;0.354166666666667,"Turno C",IF(F1416&gt;0.583333333333333,IF(F1416&lt;0.625,"Turno B",IF(F1416&gt;0.625694444444444,IF(F1416&lt;0.8125,"Turno A",IF(F1416&gt;0.875,IF(F1416&lt;0.936805555555556,"Turno C",IF(F1416&gt;0.9375,IF(F1416&lt;0.979166666666667,"Turno B",""),"")),"")),"")),"")),"")),""))</f>
        <v>Turno A</v>
      </c>
      <c r="L1416" s="91">
        <f t="shared" si="22"/>
        <v>0.3125</v>
      </c>
    </row>
    <row r="1417" spans="1:12" s="40" customFormat="1">
      <c r="A1417">
        <v>13838747</v>
      </c>
      <c r="B1417" t="s">
        <v>62</v>
      </c>
      <c r="C1417" t="s">
        <v>60</v>
      </c>
      <c r="D1417" t="s">
        <v>61</v>
      </c>
      <c r="E1417" t="s">
        <v>1440</v>
      </c>
      <c r="F1417" s="78">
        <v>0.29675925925925922</v>
      </c>
      <c r="G1417" t="s">
        <v>1405</v>
      </c>
      <c r="H1417" t="s">
        <v>1335</v>
      </c>
      <c r="I1417" s="88" t="str">
        <f>VLOOKUP(A1417,Base!A:B,2,0)</f>
        <v>13.838.747-K</v>
      </c>
      <c r="J1417" s="99" t="str">
        <f>VLOOKUP(A1417,Base!A:F,6,0)</f>
        <v>MAURICIO  ALLENDES  VARGAS</v>
      </c>
      <c r="K1417" s="89" t="str">
        <f>IFERROR(IF(VLOOKUP(I1417,Ingreso!K:P,6,0)=0,"Sin turtno ing",VLOOKUP(I1417,Ingreso!K:P,6,0)),IF(F1417&gt;0.25,IF(F1417&lt;0.311805555555556,"Turno A",IF(F1417&gt;0.3125,IF(F1417&lt;0.354166666666667,"Turno C",IF(F1417&gt;0.583333333333333,IF(F1417&lt;0.625,"Turno B",IF(F1417&gt;0.625694444444444,IF(F1417&lt;0.8125,"Turno A",IF(F1417&gt;0.875,IF(F1417&lt;0.936805555555556,"Turno C",IF(F1417&gt;0.9375,IF(F1417&lt;0.979166666666667,"Turno B",""),"")),"")),"")),"")),"")),""))</f>
        <v>Turno A</v>
      </c>
      <c r="L1417" s="91">
        <f t="shared" si="22"/>
        <v>0.3125</v>
      </c>
    </row>
    <row r="1418" spans="1:12" s="40" customFormat="1">
      <c r="A1418">
        <v>13838747</v>
      </c>
      <c r="B1418" t="s">
        <v>62</v>
      </c>
      <c r="C1418" t="s">
        <v>60</v>
      </c>
      <c r="D1418" t="s">
        <v>61</v>
      </c>
      <c r="E1418" t="s">
        <v>1441</v>
      </c>
      <c r="F1418" s="78">
        <v>0.95392361111111112</v>
      </c>
      <c r="G1418" t="s">
        <v>1406</v>
      </c>
      <c r="H1418" t="s">
        <v>1336</v>
      </c>
      <c r="I1418" s="88" t="str">
        <f>VLOOKUP(A1418,Base!A:B,2,0)</f>
        <v>13.838.747-K</v>
      </c>
      <c r="J1418" s="99" t="str">
        <f>VLOOKUP(A1418,Base!A:F,6,0)</f>
        <v>MAURICIO  ALLENDES  VARGAS</v>
      </c>
      <c r="K1418" s="89" t="str">
        <f>IFERROR(IF(VLOOKUP(I1418,Ingreso!K:P,6,0)=0,"Sin turtno ing",VLOOKUP(I1418,Ingreso!K:P,6,0)),IF(F1418&gt;0.25,IF(F1418&lt;0.311805555555556,"Turno A",IF(F1418&gt;0.3125,IF(F1418&lt;0.354166666666667,"Turno C",IF(F1418&gt;0.583333333333333,IF(F1418&lt;0.625,"Turno B",IF(F1418&gt;0.625694444444444,IF(F1418&lt;0.8125,"Turno A",IF(F1418&gt;0.875,IF(F1418&lt;0.936805555555556,"Turno C",IF(F1418&gt;0.9375,IF(F1418&lt;0.979166666666667,"Turno B",""),"")),"")),"")),"")),"")),""))</f>
        <v>Turno B</v>
      </c>
      <c r="L1418" s="91">
        <f t="shared" si="22"/>
        <v>0.3125</v>
      </c>
    </row>
    <row r="1419" spans="1:12" s="40" customFormat="1">
      <c r="A1419">
        <v>13838747</v>
      </c>
      <c r="B1419" t="s">
        <v>62</v>
      </c>
      <c r="C1419" t="s">
        <v>60</v>
      </c>
      <c r="D1419" t="s">
        <v>61</v>
      </c>
      <c r="E1419" t="s">
        <v>1441</v>
      </c>
      <c r="F1419" s="78">
        <v>0.65645833333333337</v>
      </c>
      <c r="G1419" t="s">
        <v>1405</v>
      </c>
      <c r="H1419" t="s">
        <v>1335</v>
      </c>
      <c r="I1419" s="88" t="str">
        <f>VLOOKUP(A1419,Base!A:B,2,0)</f>
        <v>13.838.747-K</v>
      </c>
      <c r="J1419" s="99" t="str">
        <f>VLOOKUP(A1419,Base!A:F,6,0)</f>
        <v>MAURICIO  ALLENDES  VARGAS</v>
      </c>
      <c r="K1419" s="89" t="str">
        <f>IFERROR(IF(VLOOKUP(I1419,Ingreso!K:P,6,0)=0,"Sin turtno ing",VLOOKUP(I1419,Ingreso!K:P,6,0)),IF(F1419&gt;0.25,IF(F1419&lt;0.311805555555556,"Turno A",IF(F1419&gt;0.3125,IF(F1419&lt;0.354166666666667,"Turno C",IF(F1419&gt;0.583333333333333,IF(F1419&lt;0.625,"Turno B",IF(F1419&gt;0.625694444444444,IF(F1419&lt;0.8125,"Turno A",IF(F1419&gt;0.875,IF(F1419&lt;0.936805555555556,"Turno C",IF(F1419&gt;0.9375,IF(F1419&lt;0.979166666666667,"Turno B",""),"")),"")),"")),"")),"")),""))</f>
        <v>Turno A</v>
      </c>
      <c r="L1419" s="91">
        <f t="shared" si="22"/>
        <v>0.3125</v>
      </c>
    </row>
    <row r="1420" spans="1:12" s="40" customFormat="1">
      <c r="A1420">
        <v>13838747</v>
      </c>
      <c r="B1420" t="s">
        <v>62</v>
      </c>
      <c r="C1420" t="s">
        <v>60</v>
      </c>
      <c r="D1420" t="s">
        <v>61</v>
      </c>
      <c r="E1420" t="s">
        <v>1437</v>
      </c>
      <c r="F1420" s="78">
        <v>0.63844907407407414</v>
      </c>
      <c r="G1420" t="s">
        <v>1406</v>
      </c>
      <c r="H1420" t="s">
        <v>1336</v>
      </c>
      <c r="I1420" s="88" t="str">
        <f>VLOOKUP(A1420,Base!A:B,2,0)</f>
        <v>13.838.747-K</v>
      </c>
      <c r="J1420" s="99" t="str">
        <f>VLOOKUP(A1420,Base!A:F,6,0)</f>
        <v>MAURICIO  ALLENDES  VARGAS</v>
      </c>
      <c r="K1420" s="89" t="str">
        <f>IFERROR(IF(VLOOKUP(I1420,Ingreso!K:P,6,0)=0,"Sin turtno ing",VLOOKUP(I1420,Ingreso!K:P,6,0)),IF(F1420&gt;0.25,IF(F1420&lt;0.311805555555556,"Turno A",IF(F1420&gt;0.3125,IF(F1420&lt;0.354166666666667,"Turno C",IF(F1420&gt;0.583333333333333,IF(F1420&lt;0.625,"Turno B",IF(F1420&gt;0.625694444444444,IF(F1420&lt;0.8125,"Turno A",IF(F1420&gt;0.875,IF(F1420&lt;0.936805555555556,"Turno C",IF(F1420&gt;0.9375,IF(F1420&lt;0.979166666666667,"Turno B",""),"")),"")),"")),"")),"")),""))</f>
        <v>Turno A</v>
      </c>
      <c r="L1420" s="91">
        <f t="shared" si="22"/>
        <v>0.3125</v>
      </c>
    </row>
    <row r="1421" spans="1:12" s="40" customFormat="1">
      <c r="A1421">
        <v>13838747</v>
      </c>
      <c r="B1421" t="s">
        <v>62</v>
      </c>
      <c r="C1421" t="s">
        <v>60</v>
      </c>
      <c r="D1421" t="s">
        <v>61</v>
      </c>
      <c r="E1421" t="s">
        <v>1437</v>
      </c>
      <c r="F1421" s="78">
        <v>0.29474537037037035</v>
      </c>
      <c r="G1421" t="s">
        <v>1405</v>
      </c>
      <c r="H1421" t="s">
        <v>1335</v>
      </c>
      <c r="I1421" s="88" t="str">
        <f>VLOOKUP(A1421,Base!A:B,2,0)</f>
        <v>13.838.747-K</v>
      </c>
      <c r="J1421" s="99" t="str">
        <f>VLOOKUP(A1421,Base!A:F,6,0)</f>
        <v>MAURICIO  ALLENDES  VARGAS</v>
      </c>
      <c r="K1421" s="89" t="str">
        <f>IFERROR(IF(VLOOKUP(I1421,Ingreso!K:P,6,0)=0,"Sin turtno ing",VLOOKUP(I1421,Ingreso!K:P,6,0)),IF(F1421&gt;0.25,IF(F1421&lt;0.311805555555556,"Turno A",IF(F1421&gt;0.3125,IF(F1421&lt;0.354166666666667,"Turno C",IF(F1421&gt;0.583333333333333,IF(F1421&lt;0.625,"Turno B",IF(F1421&gt;0.625694444444444,IF(F1421&lt;0.8125,"Turno A",IF(F1421&gt;0.875,IF(F1421&lt;0.936805555555556,"Turno C",IF(F1421&gt;0.9375,IF(F1421&lt;0.979166666666667,"Turno B",""),"")),"")),"")),"")),"")),""))</f>
        <v>Turno A</v>
      </c>
      <c r="L1421" s="91">
        <f t="shared" si="22"/>
        <v>0.3125</v>
      </c>
    </row>
    <row r="1422" spans="1:12" s="40" customFormat="1">
      <c r="A1422">
        <v>13838747</v>
      </c>
      <c r="B1422" t="s">
        <v>62</v>
      </c>
      <c r="C1422" t="s">
        <v>60</v>
      </c>
      <c r="D1422" t="s">
        <v>61</v>
      </c>
      <c r="E1422" t="s">
        <v>1438</v>
      </c>
      <c r="F1422" s="78">
        <v>0.63850694444444445</v>
      </c>
      <c r="G1422" t="s">
        <v>1406</v>
      </c>
      <c r="H1422" t="s">
        <v>1336</v>
      </c>
      <c r="I1422" s="88" t="str">
        <f>VLOOKUP(A1422,Base!A:B,2,0)</f>
        <v>13.838.747-K</v>
      </c>
      <c r="J1422" s="99" t="str">
        <f>VLOOKUP(A1422,Base!A:F,6,0)</f>
        <v>MAURICIO  ALLENDES  VARGAS</v>
      </c>
      <c r="K1422" s="89" t="str">
        <f>IFERROR(IF(VLOOKUP(I1422,Ingreso!K:P,6,0)=0,"Sin turtno ing",VLOOKUP(I1422,Ingreso!K:P,6,0)),IF(F1422&gt;0.25,IF(F1422&lt;0.311805555555556,"Turno A",IF(F1422&gt;0.3125,IF(F1422&lt;0.354166666666667,"Turno C",IF(F1422&gt;0.583333333333333,IF(F1422&lt;0.625,"Turno B",IF(F1422&gt;0.625694444444444,IF(F1422&lt;0.8125,"Turno A",IF(F1422&gt;0.875,IF(F1422&lt;0.936805555555556,"Turno C",IF(F1422&gt;0.9375,IF(F1422&lt;0.979166666666667,"Turno B",""),"")),"")),"")),"")),"")),""))</f>
        <v>Turno A</v>
      </c>
      <c r="L1422" s="91">
        <f t="shared" si="22"/>
        <v>0.3125</v>
      </c>
    </row>
    <row r="1423" spans="1:12" s="40" customFormat="1">
      <c r="A1423">
        <v>13838747</v>
      </c>
      <c r="B1423" t="s">
        <v>62</v>
      </c>
      <c r="C1423" t="s">
        <v>60</v>
      </c>
      <c r="D1423" t="s">
        <v>61</v>
      </c>
      <c r="E1423" t="s">
        <v>1438</v>
      </c>
      <c r="F1423" s="78">
        <v>0.29584490740740738</v>
      </c>
      <c r="G1423" t="s">
        <v>1405</v>
      </c>
      <c r="H1423" t="s">
        <v>1335</v>
      </c>
      <c r="I1423" s="88" t="str">
        <f>VLOOKUP(A1423,Base!A:B,2,0)</f>
        <v>13.838.747-K</v>
      </c>
      <c r="J1423" s="99" t="str">
        <f>VLOOKUP(A1423,Base!A:F,6,0)</f>
        <v>MAURICIO  ALLENDES  VARGAS</v>
      </c>
      <c r="K1423" s="89" t="str">
        <f>IFERROR(IF(VLOOKUP(I1423,Ingreso!K:P,6,0)=0,"Sin turtno ing",VLOOKUP(I1423,Ingreso!K:P,6,0)),IF(F1423&gt;0.25,IF(F1423&lt;0.311805555555556,"Turno A",IF(F1423&gt;0.3125,IF(F1423&lt;0.354166666666667,"Turno C",IF(F1423&gt;0.583333333333333,IF(F1423&lt;0.625,"Turno B",IF(F1423&gt;0.625694444444444,IF(F1423&lt;0.8125,"Turno A",IF(F1423&gt;0.875,IF(F1423&lt;0.936805555555556,"Turno C",IF(F1423&gt;0.9375,IF(F1423&lt;0.979166666666667,"Turno B",""),"")),"")),"")),"")),"")),""))</f>
        <v>Turno A</v>
      </c>
      <c r="L1423" s="91">
        <f t="shared" si="22"/>
        <v>0.3125</v>
      </c>
    </row>
    <row r="1424" spans="1:12" s="40" customFormat="1">
      <c r="A1424">
        <v>13838747</v>
      </c>
      <c r="B1424" t="s">
        <v>62</v>
      </c>
      <c r="C1424" t="s">
        <v>60</v>
      </c>
      <c r="D1424" t="s">
        <v>61</v>
      </c>
      <c r="E1424" t="s">
        <v>1439</v>
      </c>
      <c r="F1424" s="78">
        <v>0.64070601851851849</v>
      </c>
      <c r="G1424" t="s">
        <v>1406</v>
      </c>
      <c r="H1424" t="s">
        <v>1336</v>
      </c>
      <c r="I1424" s="88" t="str">
        <f>VLOOKUP(A1424,Base!A:B,2,0)</f>
        <v>13.838.747-K</v>
      </c>
      <c r="J1424" s="99" t="str">
        <f>VLOOKUP(A1424,Base!A:F,6,0)</f>
        <v>MAURICIO  ALLENDES  VARGAS</v>
      </c>
      <c r="K1424" s="89" t="str">
        <f>IFERROR(IF(VLOOKUP(I1424,Ingreso!K:P,6,0)=0,"Sin turtno ing",VLOOKUP(I1424,Ingreso!K:P,6,0)),IF(F1424&gt;0.25,IF(F1424&lt;0.311805555555556,"Turno A",IF(F1424&gt;0.3125,IF(F1424&lt;0.354166666666667,"Turno C",IF(F1424&gt;0.583333333333333,IF(F1424&lt;0.625,"Turno B",IF(F1424&gt;0.625694444444444,IF(F1424&lt;0.8125,"Turno A",IF(F1424&gt;0.875,IF(F1424&lt;0.936805555555556,"Turno C",IF(F1424&gt;0.9375,IF(F1424&lt;0.979166666666667,"Turno B",""),"")),"")),"")),"")),"")),""))</f>
        <v>Turno A</v>
      </c>
      <c r="L1424" s="91">
        <f t="shared" si="22"/>
        <v>0.3125</v>
      </c>
    </row>
    <row r="1425" spans="1:12" s="40" customFormat="1">
      <c r="A1425">
        <v>13838747</v>
      </c>
      <c r="B1425" t="s">
        <v>62</v>
      </c>
      <c r="C1425" t="s">
        <v>60</v>
      </c>
      <c r="D1425" t="s">
        <v>61</v>
      </c>
      <c r="E1425" t="s">
        <v>1439</v>
      </c>
      <c r="F1425" s="78">
        <v>0.29581018518518515</v>
      </c>
      <c r="G1425" t="s">
        <v>1405</v>
      </c>
      <c r="H1425" t="s">
        <v>1335</v>
      </c>
      <c r="I1425" s="88" t="str">
        <f>VLOOKUP(A1425,Base!A:B,2,0)</f>
        <v>13.838.747-K</v>
      </c>
      <c r="J1425" s="99" t="str">
        <f>VLOOKUP(A1425,Base!A:F,6,0)</f>
        <v>MAURICIO  ALLENDES  VARGAS</v>
      </c>
      <c r="K1425" s="89" t="str">
        <f>IFERROR(IF(VLOOKUP(I1425,Ingreso!K:P,6,0)=0,"Sin turtno ing",VLOOKUP(I1425,Ingreso!K:P,6,0)),IF(F1425&gt;0.25,IF(F1425&lt;0.311805555555556,"Turno A",IF(F1425&gt;0.3125,IF(F1425&lt;0.354166666666667,"Turno C",IF(F1425&gt;0.583333333333333,IF(F1425&lt;0.625,"Turno B",IF(F1425&gt;0.625694444444444,IF(F1425&lt;0.8125,"Turno A",IF(F1425&gt;0.875,IF(F1425&lt;0.936805555555556,"Turno C",IF(F1425&gt;0.9375,IF(F1425&lt;0.979166666666667,"Turno B",""),"")),"")),"")),"")),"")),""))</f>
        <v>Turno A</v>
      </c>
      <c r="L1425" s="91">
        <f t="shared" si="22"/>
        <v>0.3125</v>
      </c>
    </row>
    <row r="1426" spans="1:12" s="40" customFormat="1">
      <c r="A1426">
        <v>13839512</v>
      </c>
      <c r="B1426" t="s">
        <v>1039</v>
      </c>
      <c r="C1426" t="s">
        <v>1037</v>
      </c>
      <c r="D1426" t="s">
        <v>1038</v>
      </c>
      <c r="E1426" t="s">
        <v>1407</v>
      </c>
      <c r="F1426" s="78">
        <v>0</v>
      </c>
      <c r="G1426"/>
      <c r="H1426"/>
      <c r="I1426" s="88" t="str">
        <f>VLOOKUP(A1426,Base!A:B,2,0)</f>
        <v>13.839.512-K</v>
      </c>
      <c r="J1426" s="99" t="str">
        <f>VLOOKUP(A1426,Base!A:F,6,0)</f>
        <v>EMILIO  URETA  PAREDES</v>
      </c>
      <c r="K1426" s="89" t="str">
        <f>IFERROR(IF(VLOOKUP(I1426,Ingreso!K:P,6,0)=0,"Sin turtno ing",VLOOKUP(I1426,Ingreso!K:P,6,0)),IF(F1426&gt;0.25,IF(F1426&lt;0.311805555555556,"Turno A",IF(F1426&gt;0.3125,IF(F1426&lt;0.354166666666667,"Turno C",IF(F1426&gt;0.583333333333333,IF(F1426&lt;0.625,"Turno B",IF(F1426&gt;0.625694444444444,IF(F1426&lt;0.8125,"Turno A",IF(F1426&gt;0.875,IF(F1426&lt;0.936805555555556,"Turno C",IF(F1426&gt;0.9375,IF(F1426&lt;0.979166666666667,"Turno B",""),"")),"")),"")),"")),"")),""))</f>
        <v/>
      </c>
      <c r="L1426" s="91" t="e">
        <f t="shared" si="22"/>
        <v>#N/A</v>
      </c>
    </row>
    <row r="1427" spans="1:12" s="40" customFormat="1">
      <c r="A1427">
        <v>13897327</v>
      </c>
      <c r="B1427" t="s">
        <v>510</v>
      </c>
      <c r="C1427" t="s">
        <v>508</v>
      </c>
      <c r="D1427" t="s">
        <v>509</v>
      </c>
      <c r="E1427" t="s">
        <v>1440</v>
      </c>
      <c r="F1427" s="78">
        <v>0.32185185185185183</v>
      </c>
      <c r="G1427" t="s">
        <v>1406</v>
      </c>
      <c r="H1427" t="s">
        <v>1336</v>
      </c>
      <c r="I1427" s="88" t="str">
        <f>VLOOKUP(A1427,Base!A:B,2,0)</f>
        <v>13.897.327-1</v>
      </c>
      <c r="J1427" s="99" t="str">
        <f>VLOOKUP(A1427,Base!A:F,6,0)</f>
        <v>DANIEL NEFTALI  ITURRIAGA  ORELLANA</v>
      </c>
      <c r="K1427" s="89" t="str">
        <f>IFERROR(IF(VLOOKUP(I1427,Ingreso!K:P,6,0)=0,"Sin turtno ing",VLOOKUP(I1427,Ingreso!K:P,6,0)),IF(F1427&gt;0.25,IF(F1427&lt;0.311805555555556,"Turno A",IF(F1427&gt;0.3125,IF(F1427&lt;0.354166666666667,"Turno C",IF(F1427&gt;0.583333333333333,IF(F1427&lt;0.625,"Turno B",IF(F1427&gt;0.625694444444444,IF(F1427&lt;0.8125,"Turno A",IF(F1427&gt;0.875,IF(F1427&lt;0.936805555555556,"Turno C",IF(F1427&gt;0.9375,IF(F1427&lt;0.979166666666667,"Turno B",""),"")),"")),"")),"")),"")),""))</f>
        <v>Turno C</v>
      </c>
      <c r="L1427" s="91">
        <f t="shared" si="22"/>
        <v>0.375</v>
      </c>
    </row>
    <row r="1428" spans="1:12" s="40" customFormat="1">
      <c r="A1428">
        <v>13897327</v>
      </c>
      <c r="B1428" t="s">
        <v>510</v>
      </c>
      <c r="C1428" t="s">
        <v>508</v>
      </c>
      <c r="D1428" t="s">
        <v>509</v>
      </c>
      <c r="E1428" t="s">
        <v>1440</v>
      </c>
      <c r="F1428" s="78">
        <v>0.82362268518518522</v>
      </c>
      <c r="G1428" t="s">
        <v>1405</v>
      </c>
      <c r="H1428" t="s">
        <v>1335</v>
      </c>
      <c r="I1428" s="88" t="str">
        <f>VLOOKUP(A1428,Base!A:B,2,0)</f>
        <v>13.897.327-1</v>
      </c>
      <c r="J1428" s="99" t="str">
        <f>VLOOKUP(A1428,Base!A:F,6,0)</f>
        <v>DANIEL NEFTALI  ITURRIAGA  ORELLANA</v>
      </c>
      <c r="K1428" s="89" t="str">
        <f>IFERROR(IF(VLOOKUP(I1428,Ingreso!K:P,6,0)=0,"Sin turtno ing",VLOOKUP(I1428,Ingreso!K:P,6,0)),IF(F1428&gt;0.25,IF(F1428&lt;0.311805555555556,"Turno A",IF(F1428&gt;0.3125,IF(F1428&lt;0.354166666666667,"Turno C",IF(F1428&gt;0.583333333333333,IF(F1428&lt;0.625,"Turno B",IF(F1428&gt;0.625694444444444,IF(F1428&lt;0.8125,"Turno A",IF(F1428&gt;0.875,IF(F1428&lt;0.936805555555556,"Turno C",IF(F1428&gt;0.9375,IF(F1428&lt;0.979166666666667,"Turno B",""),"")),"")),"")),"")),"")),""))</f>
        <v/>
      </c>
      <c r="L1428" s="91" t="e">
        <f t="shared" si="22"/>
        <v>#N/A</v>
      </c>
    </row>
    <row r="1429" spans="1:12" s="40" customFormat="1">
      <c r="A1429">
        <v>13897327</v>
      </c>
      <c r="B1429" t="s">
        <v>510</v>
      </c>
      <c r="C1429" t="s">
        <v>508</v>
      </c>
      <c r="D1429" t="s">
        <v>509</v>
      </c>
      <c r="E1429" t="s">
        <v>1441</v>
      </c>
      <c r="F1429" s="78">
        <v>0.32460648148148147</v>
      </c>
      <c r="G1429" t="s">
        <v>1406</v>
      </c>
      <c r="H1429" t="s">
        <v>1336</v>
      </c>
      <c r="I1429" s="88" t="str">
        <f>VLOOKUP(A1429,Base!A:B,2,0)</f>
        <v>13.897.327-1</v>
      </c>
      <c r="J1429" s="99" t="str">
        <f>VLOOKUP(A1429,Base!A:F,6,0)</f>
        <v>DANIEL NEFTALI  ITURRIAGA  ORELLANA</v>
      </c>
      <c r="K1429" s="89" t="str">
        <f>IFERROR(IF(VLOOKUP(I1429,Ingreso!K:P,6,0)=0,"Sin turtno ing",VLOOKUP(I1429,Ingreso!K:P,6,0)),IF(F1429&gt;0.25,IF(F1429&lt;0.311805555555556,"Turno A",IF(F1429&gt;0.3125,IF(F1429&lt;0.354166666666667,"Turno C",IF(F1429&gt;0.583333333333333,IF(F1429&lt;0.625,"Turno B",IF(F1429&gt;0.625694444444444,IF(F1429&lt;0.8125,"Turno A",IF(F1429&gt;0.875,IF(F1429&lt;0.936805555555556,"Turno C",IF(F1429&gt;0.9375,IF(F1429&lt;0.979166666666667,"Turno B",""),"")),"")),"")),"")),"")),""))</f>
        <v>Turno C</v>
      </c>
      <c r="L1429" s="91">
        <f t="shared" si="22"/>
        <v>0.375</v>
      </c>
    </row>
    <row r="1430" spans="1:12" s="40" customFormat="1">
      <c r="A1430">
        <v>13897327</v>
      </c>
      <c r="B1430" t="s">
        <v>510</v>
      </c>
      <c r="C1430" t="s">
        <v>508</v>
      </c>
      <c r="D1430" t="s">
        <v>509</v>
      </c>
      <c r="E1430" t="s">
        <v>1437</v>
      </c>
      <c r="F1430" s="78">
        <v>0.81303240740740745</v>
      </c>
      <c r="G1430" t="s">
        <v>1405</v>
      </c>
      <c r="H1430" t="s">
        <v>1335</v>
      </c>
      <c r="I1430" s="88" t="str">
        <f>VLOOKUP(A1430,Base!A:B,2,0)</f>
        <v>13.897.327-1</v>
      </c>
      <c r="J1430" s="99" t="str">
        <f>VLOOKUP(A1430,Base!A:F,6,0)</f>
        <v>DANIEL NEFTALI  ITURRIAGA  ORELLANA</v>
      </c>
      <c r="K1430" s="89" t="str">
        <f>IFERROR(IF(VLOOKUP(I1430,Ingreso!K:P,6,0)=0,"Sin turtno ing",VLOOKUP(I1430,Ingreso!K:P,6,0)),IF(F1430&gt;0.25,IF(F1430&lt;0.311805555555556,"Turno A",IF(F1430&gt;0.3125,IF(F1430&lt;0.354166666666667,"Turno C",IF(F1430&gt;0.583333333333333,IF(F1430&lt;0.625,"Turno B",IF(F1430&gt;0.625694444444444,IF(F1430&lt;0.8125,"Turno A",IF(F1430&gt;0.875,IF(F1430&lt;0.936805555555556,"Turno C",IF(F1430&gt;0.9375,IF(F1430&lt;0.979166666666667,"Turno B",""),"")),"")),"")),"")),"")),""))</f>
        <v/>
      </c>
      <c r="L1430" s="91" t="e">
        <f t="shared" si="22"/>
        <v>#N/A</v>
      </c>
    </row>
    <row r="1431" spans="1:12" s="40" customFormat="1">
      <c r="A1431">
        <v>13897327</v>
      </c>
      <c r="B1431" t="s">
        <v>510</v>
      </c>
      <c r="C1431" t="s">
        <v>508</v>
      </c>
      <c r="D1431" t="s">
        <v>509</v>
      </c>
      <c r="E1431" t="s">
        <v>1438</v>
      </c>
      <c r="F1431" s="78">
        <v>0.31537037037037036</v>
      </c>
      <c r="G1431" t="s">
        <v>1406</v>
      </c>
      <c r="H1431" t="s">
        <v>1336</v>
      </c>
      <c r="I1431" s="88" t="str">
        <f>VLOOKUP(A1431,Base!A:B,2,0)</f>
        <v>13.897.327-1</v>
      </c>
      <c r="J1431" s="99" t="str">
        <f>VLOOKUP(A1431,Base!A:F,6,0)</f>
        <v>DANIEL NEFTALI  ITURRIAGA  ORELLANA</v>
      </c>
      <c r="K1431" s="89" t="str">
        <f>IFERROR(IF(VLOOKUP(I1431,Ingreso!K:P,6,0)=0,"Sin turtno ing",VLOOKUP(I1431,Ingreso!K:P,6,0)),IF(F1431&gt;0.25,IF(F1431&lt;0.311805555555556,"Turno A",IF(F1431&gt;0.3125,IF(F1431&lt;0.354166666666667,"Turno C",IF(F1431&gt;0.583333333333333,IF(F1431&lt;0.625,"Turno B",IF(F1431&gt;0.625694444444444,IF(F1431&lt;0.8125,"Turno A",IF(F1431&gt;0.875,IF(F1431&lt;0.936805555555556,"Turno C",IF(F1431&gt;0.9375,IF(F1431&lt;0.979166666666667,"Turno B",""),"")),"")),"")),"")),"")),""))</f>
        <v>Turno C</v>
      </c>
      <c r="L1431" s="91">
        <f t="shared" si="22"/>
        <v>0.375</v>
      </c>
    </row>
    <row r="1432" spans="1:12" s="40" customFormat="1">
      <c r="A1432">
        <v>13897327</v>
      </c>
      <c r="B1432" t="s">
        <v>510</v>
      </c>
      <c r="C1432" t="s">
        <v>508</v>
      </c>
      <c r="D1432" t="s">
        <v>509</v>
      </c>
      <c r="E1432" t="s">
        <v>1438</v>
      </c>
      <c r="F1432" s="78">
        <v>0.80589120370370371</v>
      </c>
      <c r="G1432" t="s">
        <v>1405</v>
      </c>
      <c r="H1432" t="s">
        <v>1335</v>
      </c>
      <c r="I1432" s="88" t="str">
        <f>VLOOKUP(A1432,Base!A:B,2,0)</f>
        <v>13.897.327-1</v>
      </c>
      <c r="J1432" s="99" t="str">
        <f>VLOOKUP(A1432,Base!A:F,6,0)</f>
        <v>DANIEL NEFTALI  ITURRIAGA  ORELLANA</v>
      </c>
      <c r="K1432" s="89" t="str">
        <f>IFERROR(IF(VLOOKUP(I1432,Ingreso!K:P,6,0)=0,"Sin turtno ing",VLOOKUP(I1432,Ingreso!K:P,6,0)),IF(F1432&gt;0.25,IF(F1432&lt;0.311805555555556,"Turno A",IF(F1432&gt;0.3125,IF(F1432&lt;0.354166666666667,"Turno C",IF(F1432&gt;0.583333333333333,IF(F1432&lt;0.625,"Turno B",IF(F1432&gt;0.625694444444444,IF(F1432&lt;0.8125,"Turno A",IF(F1432&gt;0.875,IF(F1432&lt;0.936805555555556,"Turno C",IF(F1432&gt;0.9375,IF(F1432&lt;0.979166666666667,"Turno B",""),"")),"")),"")),"")),"")),""))</f>
        <v>Turno A</v>
      </c>
      <c r="L1432" s="91">
        <f t="shared" si="22"/>
        <v>0.3125</v>
      </c>
    </row>
    <row r="1433" spans="1:12" s="40" customFormat="1">
      <c r="A1433">
        <v>13897327</v>
      </c>
      <c r="B1433" t="s">
        <v>510</v>
      </c>
      <c r="C1433" t="s">
        <v>508</v>
      </c>
      <c r="D1433" t="s">
        <v>509</v>
      </c>
      <c r="E1433" t="s">
        <v>1439</v>
      </c>
      <c r="F1433" s="78">
        <v>0.31541666666666668</v>
      </c>
      <c r="G1433" t="s">
        <v>1406</v>
      </c>
      <c r="H1433" t="s">
        <v>1336</v>
      </c>
      <c r="I1433" s="88" t="str">
        <f>VLOOKUP(A1433,Base!A:B,2,0)</f>
        <v>13.897.327-1</v>
      </c>
      <c r="J1433" s="99" t="str">
        <f>VLOOKUP(A1433,Base!A:F,6,0)</f>
        <v>DANIEL NEFTALI  ITURRIAGA  ORELLANA</v>
      </c>
      <c r="K1433" s="89" t="str">
        <f>IFERROR(IF(VLOOKUP(I1433,Ingreso!K:P,6,0)=0,"Sin turtno ing",VLOOKUP(I1433,Ingreso!K:P,6,0)),IF(F1433&gt;0.25,IF(F1433&lt;0.311805555555556,"Turno A",IF(F1433&gt;0.3125,IF(F1433&lt;0.354166666666667,"Turno C",IF(F1433&gt;0.583333333333333,IF(F1433&lt;0.625,"Turno B",IF(F1433&gt;0.625694444444444,IF(F1433&lt;0.8125,"Turno A",IF(F1433&gt;0.875,IF(F1433&lt;0.936805555555556,"Turno C",IF(F1433&gt;0.9375,IF(F1433&lt;0.979166666666667,"Turno B",""),"")),"")),"")),"")),"")),""))</f>
        <v>Turno C</v>
      </c>
      <c r="L1433" s="91">
        <f t="shared" si="22"/>
        <v>0.375</v>
      </c>
    </row>
    <row r="1434" spans="1:12" s="40" customFormat="1">
      <c r="A1434">
        <v>13897327</v>
      </c>
      <c r="B1434" t="s">
        <v>510</v>
      </c>
      <c r="C1434" t="s">
        <v>508</v>
      </c>
      <c r="D1434" t="s">
        <v>509</v>
      </c>
      <c r="E1434" t="s">
        <v>1439</v>
      </c>
      <c r="F1434" s="78">
        <v>0.81804398148148139</v>
      </c>
      <c r="G1434" t="s">
        <v>1405</v>
      </c>
      <c r="H1434" t="s">
        <v>1335</v>
      </c>
      <c r="I1434" s="88" t="str">
        <f>VLOOKUP(A1434,Base!A:B,2,0)</f>
        <v>13.897.327-1</v>
      </c>
      <c r="J1434" s="99" t="str">
        <f>VLOOKUP(A1434,Base!A:F,6,0)</f>
        <v>DANIEL NEFTALI  ITURRIAGA  ORELLANA</v>
      </c>
      <c r="K1434" s="89" t="str">
        <f>IFERROR(IF(VLOOKUP(I1434,Ingreso!K:P,6,0)=0,"Sin turtno ing",VLOOKUP(I1434,Ingreso!K:P,6,0)),IF(F1434&gt;0.25,IF(F1434&lt;0.311805555555556,"Turno A",IF(F1434&gt;0.3125,IF(F1434&lt;0.354166666666667,"Turno C",IF(F1434&gt;0.583333333333333,IF(F1434&lt;0.625,"Turno B",IF(F1434&gt;0.625694444444444,IF(F1434&lt;0.8125,"Turno A",IF(F1434&gt;0.875,IF(F1434&lt;0.936805555555556,"Turno C",IF(F1434&gt;0.9375,IF(F1434&lt;0.979166666666667,"Turno B",""),"")),"")),"")),"")),"")),""))</f>
        <v/>
      </c>
      <c r="L1434" s="91" t="e">
        <f t="shared" si="22"/>
        <v>#N/A</v>
      </c>
    </row>
    <row r="1435" spans="1:12" s="40" customFormat="1">
      <c r="A1435">
        <v>13899407</v>
      </c>
      <c r="B1435" t="s">
        <v>169</v>
      </c>
      <c r="C1435" t="s">
        <v>164</v>
      </c>
      <c r="D1435" t="s">
        <v>83</v>
      </c>
      <c r="E1435" t="s">
        <v>1440</v>
      </c>
      <c r="F1435" s="78">
        <v>0.62864583333333335</v>
      </c>
      <c r="G1435" t="s">
        <v>1406</v>
      </c>
      <c r="H1435" t="s">
        <v>1336</v>
      </c>
      <c r="I1435" s="88" t="str">
        <f>VLOOKUP(A1435,Base!A:B,2,0)</f>
        <v>13.899.407-4</v>
      </c>
      <c r="J1435" s="99" t="str">
        <f>VLOOKUP(A1435,Base!A:F,6,0)</f>
        <v>MAURICIO ANDRES  BUSTAMANTE  GONZALEZ</v>
      </c>
      <c r="K1435" s="89" t="str">
        <f>IFERROR(IF(VLOOKUP(I1435,Ingreso!K:P,6,0)=0,"Sin turtno ing",VLOOKUP(I1435,Ingreso!K:P,6,0)),IF(F1435&gt;0.25,IF(F1435&lt;0.311805555555556,"Turno A",IF(F1435&gt;0.3125,IF(F1435&lt;0.354166666666667,"Turno C",IF(F1435&gt;0.583333333333333,IF(F1435&lt;0.625,"Turno B",IF(F1435&gt;0.625694444444444,IF(F1435&lt;0.8125,"Turno A",IF(F1435&gt;0.875,IF(F1435&lt;0.936805555555556,"Turno C",IF(F1435&gt;0.9375,IF(F1435&lt;0.979166666666667,"Turno B",""),"")),"")),"")),"")),"")),""))</f>
        <v>Sin turtno ing</v>
      </c>
      <c r="L1435" s="91" t="e">
        <f t="shared" si="22"/>
        <v>#N/A</v>
      </c>
    </row>
    <row r="1436" spans="1:12" s="40" customFormat="1">
      <c r="A1436">
        <v>13899407</v>
      </c>
      <c r="B1436" t="s">
        <v>169</v>
      </c>
      <c r="C1436" t="s">
        <v>164</v>
      </c>
      <c r="D1436" t="s">
        <v>83</v>
      </c>
      <c r="E1436" t="s">
        <v>1440</v>
      </c>
      <c r="F1436" s="78">
        <v>0.31251157407407409</v>
      </c>
      <c r="G1436" t="s">
        <v>1405</v>
      </c>
      <c r="H1436" t="s">
        <v>1335</v>
      </c>
      <c r="I1436" s="88" t="str">
        <f>VLOOKUP(A1436,Base!A:B,2,0)</f>
        <v>13.899.407-4</v>
      </c>
      <c r="J1436" s="99" t="str">
        <f>VLOOKUP(A1436,Base!A:F,6,0)</f>
        <v>MAURICIO ANDRES  BUSTAMANTE  GONZALEZ</v>
      </c>
      <c r="K1436" s="89" t="str">
        <f>IFERROR(IF(VLOOKUP(I1436,Ingreso!K:P,6,0)=0,"Sin turtno ing",VLOOKUP(I1436,Ingreso!K:P,6,0)),IF(F1436&gt;0.25,IF(F1436&lt;0.311805555555556,"Turno A",IF(F1436&gt;0.3125,IF(F1436&lt;0.354166666666667,"Turno C",IF(F1436&gt;0.583333333333333,IF(F1436&lt;0.625,"Turno B",IF(F1436&gt;0.625694444444444,IF(F1436&lt;0.8125,"Turno A",IF(F1436&gt;0.875,IF(F1436&lt;0.936805555555556,"Turno C",IF(F1436&gt;0.9375,IF(F1436&lt;0.979166666666667,"Turno B",""),"")),"")),"")),"")),"")),""))</f>
        <v>Sin turtno ing</v>
      </c>
      <c r="L1436" s="91" t="e">
        <f t="shared" si="22"/>
        <v>#N/A</v>
      </c>
    </row>
    <row r="1437" spans="1:12" s="40" customFormat="1">
      <c r="A1437">
        <v>13899407</v>
      </c>
      <c r="B1437" t="s">
        <v>169</v>
      </c>
      <c r="C1437" t="s">
        <v>164</v>
      </c>
      <c r="D1437" t="s">
        <v>83</v>
      </c>
      <c r="E1437" t="s">
        <v>1441</v>
      </c>
      <c r="F1437" s="78">
        <v>0.64098379629629632</v>
      </c>
      <c r="G1437" t="s">
        <v>1406</v>
      </c>
      <c r="H1437" t="s">
        <v>1336</v>
      </c>
      <c r="I1437" s="88" t="str">
        <f>VLOOKUP(A1437,Base!A:B,2,0)</f>
        <v>13.899.407-4</v>
      </c>
      <c r="J1437" s="99" t="str">
        <f>VLOOKUP(A1437,Base!A:F,6,0)</f>
        <v>MAURICIO ANDRES  BUSTAMANTE  GONZALEZ</v>
      </c>
      <c r="K1437" s="89" t="str">
        <f>IFERROR(IF(VLOOKUP(I1437,Ingreso!K:P,6,0)=0,"Sin turtno ing",VLOOKUP(I1437,Ingreso!K:P,6,0)),IF(F1437&gt;0.25,IF(F1437&lt;0.311805555555556,"Turno A",IF(F1437&gt;0.3125,IF(F1437&lt;0.354166666666667,"Turno C",IF(F1437&gt;0.583333333333333,IF(F1437&lt;0.625,"Turno B",IF(F1437&gt;0.625694444444444,IF(F1437&lt;0.8125,"Turno A",IF(F1437&gt;0.875,IF(F1437&lt;0.936805555555556,"Turno C",IF(F1437&gt;0.9375,IF(F1437&lt;0.979166666666667,"Turno B",""),"")),"")),"")),"")),"")),""))</f>
        <v>Sin turtno ing</v>
      </c>
      <c r="L1437" s="91" t="e">
        <f t="shared" si="22"/>
        <v>#N/A</v>
      </c>
    </row>
    <row r="1438" spans="1:12" s="40" customFormat="1">
      <c r="A1438">
        <v>13899407</v>
      </c>
      <c r="B1438" t="s">
        <v>169</v>
      </c>
      <c r="C1438" t="s">
        <v>164</v>
      </c>
      <c r="D1438" t="s">
        <v>83</v>
      </c>
      <c r="E1438" t="s">
        <v>1441</v>
      </c>
      <c r="F1438" s="78">
        <v>0.31445601851851851</v>
      </c>
      <c r="G1438" t="s">
        <v>1405</v>
      </c>
      <c r="H1438" t="s">
        <v>1335</v>
      </c>
      <c r="I1438" s="88" t="str">
        <f>VLOOKUP(A1438,Base!A:B,2,0)</f>
        <v>13.899.407-4</v>
      </c>
      <c r="J1438" s="99" t="str">
        <f>VLOOKUP(A1438,Base!A:F,6,0)</f>
        <v>MAURICIO ANDRES  BUSTAMANTE  GONZALEZ</v>
      </c>
      <c r="K1438" s="89" t="str">
        <f>IFERROR(IF(VLOOKUP(I1438,Ingreso!K:P,6,0)=0,"Sin turtno ing",VLOOKUP(I1438,Ingreso!K:P,6,0)),IF(F1438&gt;0.25,IF(F1438&lt;0.311805555555556,"Turno A",IF(F1438&gt;0.3125,IF(F1438&lt;0.354166666666667,"Turno C",IF(F1438&gt;0.583333333333333,IF(F1438&lt;0.625,"Turno B",IF(F1438&gt;0.625694444444444,IF(F1438&lt;0.8125,"Turno A",IF(F1438&gt;0.875,IF(F1438&lt;0.936805555555556,"Turno C",IF(F1438&gt;0.9375,IF(F1438&lt;0.979166666666667,"Turno B",""),"")),"")),"")),"")),"")),""))</f>
        <v>Sin turtno ing</v>
      </c>
      <c r="L1438" s="91" t="e">
        <f t="shared" si="22"/>
        <v>#N/A</v>
      </c>
    </row>
    <row r="1439" spans="1:12" s="40" customFormat="1">
      <c r="A1439">
        <v>13899407</v>
      </c>
      <c r="B1439" t="s">
        <v>169</v>
      </c>
      <c r="C1439" t="s">
        <v>164</v>
      </c>
      <c r="D1439" t="s">
        <v>83</v>
      </c>
      <c r="E1439" t="s">
        <v>1437</v>
      </c>
      <c r="F1439" s="78">
        <v>0.62657407407407406</v>
      </c>
      <c r="G1439" t="s">
        <v>1406</v>
      </c>
      <c r="H1439" t="s">
        <v>1336</v>
      </c>
      <c r="I1439" s="88" t="str">
        <f>VLOOKUP(A1439,Base!A:B,2,0)</f>
        <v>13.899.407-4</v>
      </c>
      <c r="J1439" s="99" t="str">
        <f>VLOOKUP(A1439,Base!A:F,6,0)</f>
        <v>MAURICIO ANDRES  BUSTAMANTE  GONZALEZ</v>
      </c>
      <c r="K1439" s="89" t="str">
        <f>IFERROR(IF(VLOOKUP(I1439,Ingreso!K:P,6,0)=0,"Sin turtno ing",VLOOKUP(I1439,Ingreso!K:P,6,0)),IF(F1439&gt;0.25,IF(F1439&lt;0.311805555555556,"Turno A",IF(F1439&gt;0.3125,IF(F1439&lt;0.354166666666667,"Turno C",IF(F1439&gt;0.583333333333333,IF(F1439&lt;0.625,"Turno B",IF(F1439&gt;0.625694444444444,IF(F1439&lt;0.8125,"Turno A",IF(F1439&gt;0.875,IF(F1439&lt;0.936805555555556,"Turno C",IF(F1439&gt;0.9375,IF(F1439&lt;0.979166666666667,"Turno B",""),"")),"")),"")),"")),"")),""))</f>
        <v>Sin turtno ing</v>
      </c>
      <c r="L1439" s="91" t="e">
        <f t="shared" si="22"/>
        <v>#N/A</v>
      </c>
    </row>
    <row r="1440" spans="1:12" s="40" customFormat="1">
      <c r="A1440">
        <v>13899407</v>
      </c>
      <c r="B1440" t="s">
        <v>169</v>
      </c>
      <c r="C1440" t="s">
        <v>164</v>
      </c>
      <c r="D1440" t="s">
        <v>83</v>
      </c>
      <c r="E1440" t="s">
        <v>1437</v>
      </c>
      <c r="F1440" s="78">
        <v>0.31490740740740741</v>
      </c>
      <c r="G1440" t="s">
        <v>1405</v>
      </c>
      <c r="H1440" t="s">
        <v>1335</v>
      </c>
      <c r="I1440" s="88" t="str">
        <f>VLOOKUP(A1440,Base!A:B,2,0)</f>
        <v>13.899.407-4</v>
      </c>
      <c r="J1440" s="99" t="str">
        <f>VLOOKUP(A1440,Base!A:F,6,0)</f>
        <v>MAURICIO ANDRES  BUSTAMANTE  GONZALEZ</v>
      </c>
      <c r="K1440" s="89" t="str">
        <f>IFERROR(IF(VLOOKUP(I1440,Ingreso!K:P,6,0)=0,"Sin turtno ing",VLOOKUP(I1440,Ingreso!K:P,6,0)),IF(F1440&gt;0.25,IF(F1440&lt;0.311805555555556,"Turno A",IF(F1440&gt;0.3125,IF(F1440&lt;0.354166666666667,"Turno C",IF(F1440&gt;0.583333333333333,IF(F1440&lt;0.625,"Turno B",IF(F1440&gt;0.625694444444444,IF(F1440&lt;0.8125,"Turno A",IF(F1440&gt;0.875,IF(F1440&lt;0.936805555555556,"Turno C",IF(F1440&gt;0.9375,IF(F1440&lt;0.979166666666667,"Turno B",""),"")),"")),"")),"")),"")),""))</f>
        <v>Sin turtno ing</v>
      </c>
      <c r="L1440" s="91" t="e">
        <f t="shared" si="22"/>
        <v>#N/A</v>
      </c>
    </row>
    <row r="1441" spans="1:12" s="40" customFormat="1">
      <c r="A1441">
        <v>13899407</v>
      </c>
      <c r="B1441" t="s">
        <v>169</v>
      </c>
      <c r="C1441" t="s">
        <v>164</v>
      </c>
      <c r="D1441" t="s">
        <v>83</v>
      </c>
      <c r="E1441" t="s">
        <v>1438</v>
      </c>
      <c r="F1441" s="78">
        <v>0.62898148148148147</v>
      </c>
      <c r="G1441" t="s">
        <v>1406</v>
      </c>
      <c r="H1441" t="s">
        <v>1336</v>
      </c>
      <c r="I1441" s="88" t="str">
        <f>VLOOKUP(A1441,Base!A:B,2,0)</f>
        <v>13.899.407-4</v>
      </c>
      <c r="J1441" s="99" t="str">
        <f>VLOOKUP(A1441,Base!A:F,6,0)</f>
        <v>MAURICIO ANDRES  BUSTAMANTE  GONZALEZ</v>
      </c>
      <c r="K1441" s="89" t="str">
        <f>IFERROR(IF(VLOOKUP(I1441,Ingreso!K:P,6,0)=0,"Sin turtno ing",VLOOKUP(I1441,Ingreso!K:P,6,0)),IF(F1441&gt;0.25,IF(F1441&lt;0.311805555555556,"Turno A",IF(F1441&gt;0.3125,IF(F1441&lt;0.354166666666667,"Turno C",IF(F1441&gt;0.583333333333333,IF(F1441&lt;0.625,"Turno B",IF(F1441&gt;0.625694444444444,IF(F1441&lt;0.8125,"Turno A",IF(F1441&gt;0.875,IF(F1441&lt;0.936805555555556,"Turno C",IF(F1441&gt;0.9375,IF(F1441&lt;0.979166666666667,"Turno B",""),"")),"")),"")),"")),"")),""))</f>
        <v>Sin turtno ing</v>
      </c>
      <c r="L1441" s="91" t="e">
        <f t="shared" si="22"/>
        <v>#N/A</v>
      </c>
    </row>
    <row r="1442" spans="1:12" s="40" customFormat="1">
      <c r="A1442">
        <v>13899407</v>
      </c>
      <c r="B1442" t="s">
        <v>169</v>
      </c>
      <c r="C1442" t="s">
        <v>164</v>
      </c>
      <c r="D1442" t="s">
        <v>83</v>
      </c>
      <c r="E1442" t="s">
        <v>1438</v>
      </c>
      <c r="F1442" s="78">
        <v>0.32333333333333331</v>
      </c>
      <c r="G1442" t="s">
        <v>1405</v>
      </c>
      <c r="H1442" t="s">
        <v>1335</v>
      </c>
      <c r="I1442" s="88" t="str">
        <f>VLOOKUP(A1442,Base!A:B,2,0)</f>
        <v>13.899.407-4</v>
      </c>
      <c r="J1442" s="99" t="str">
        <f>VLOOKUP(A1442,Base!A:F,6,0)</f>
        <v>MAURICIO ANDRES  BUSTAMANTE  GONZALEZ</v>
      </c>
      <c r="K1442" s="89" t="str">
        <f>IFERROR(IF(VLOOKUP(I1442,Ingreso!K:P,6,0)=0,"Sin turtno ing",VLOOKUP(I1442,Ingreso!K:P,6,0)),IF(F1442&gt;0.25,IF(F1442&lt;0.311805555555556,"Turno A",IF(F1442&gt;0.3125,IF(F1442&lt;0.354166666666667,"Turno C",IF(F1442&gt;0.583333333333333,IF(F1442&lt;0.625,"Turno B",IF(F1442&gt;0.625694444444444,IF(F1442&lt;0.8125,"Turno A",IF(F1442&gt;0.875,IF(F1442&lt;0.936805555555556,"Turno C",IF(F1442&gt;0.9375,IF(F1442&lt;0.979166666666667,"Turno B",""),"")),"")),"")),"")),"")),""))</f>
        <v>Sin turtno ing</v>
      </c>
      <c r="L1442" s="91" t="e">
        <f t="shared" si="22"/>
        <v>#N/A</v>
      </c>
    </row>
    <row r="1443" spans="1:12" s="40" customFormat="1">
      <c r="A1443">
        <v>13899407</v>
      </c>
      <c r="B1443" t="s">
        <v>169</v>
      </c>
      <c r="C1443" t="s">
        <v>164</v>
      </c>
      <c r="D1443" t="s">
        <v>83</v>
      </c>
      <c r="E1443" t="s">
        <v>1439</v>
      </c>
      <c r="F1443" s="78">
        <v>0.63550925925925927</v>
      </c>
      <c r="G1443" t="s">
        <v>1406</v>
      </c>
      <c r="H1443" t="s">
        <v>1336</v>
      </c>
      <c r="I1443" s="88" t="str">
        <f>VLOOKUP(A1443,Base!A:B,2,0)</f>
        <v>13.899.407-4</v>
      </c>
      <c r="J1443" s="99" t="str">
        <f>VLOOKUP(A1443,Base!A:F,6,0)</f>
        <v>MAURICIO ANDRES  BUSTAMANTE  GONZALEZ</v>
      </c>
      <c r="K1443" s="89" t="str">
        <f>IFERROR(IF(VLOOKUP(I1443,Ingreso!K:P,6,0)=0,"Sin turtno ing",VLOOKUP(I1443,Ingreso!K:P,6,0)),IF(F1443&gt;0.25,IF(F1443&lt;0.311805555555556,"Turno A",IF(F1443&gt;0.3125,IF(F1443&lt;0.354166666666667,"Turno C",IF(F1443&gt;0.583333333333333,IF(F1443&lt;0.625,"Turno B",IF(F1443&gt;0.625694444444444,IF(F1443&lt;0.8125,"Turno A",IF(F1443&gt;0.875,IF(F1443&lt;0.936805555555556,"Turno C",IF(F1443&gt;0.9375,IF(F1443&lt;0.979166666666667,"Turno B",""),"")),"")),"")),"")),"")),""))</f>
        <v>Sin turtno ing</v>
      </c>
      <c r="L1443" s="91" t="e">
        <f t="shared" si="22"/>
        <v>#N/A</v>
      </c>
    </row>
    <row r="1444" spans="1:12" s="40" customFormat="1">
      <c r="A1444">
        <v>13899407</v>
      </c>
      <c r="B1444" t="s">
        <v>169</v>
      </c>
      <c r="C1444" t="s">
        <v>164</v>
      </c>
      <c r="D1444" t="s">
        <v>83</v>
      </c>
      <c r="E1444" t="s">
        <v>1439</v>
      </c>
      <c r="F1444" s="78">
        <v>0.31983796296296296</v>
      </c>
      <c r="G1444" t="s">
        <v>1405</v>
      </c>
      <c r="H1444" t="s">
        <v>1335</v>
      </c>
      <c r="I1444" s="88" t="str">
        <f>VLOOKUP(A1444,Base!A:B,2,0)</f>
        <v>13.899.407-4</v>
      </c>
      <c r="J1444" s="99" t="str">
        <f>VLOOKUP(A1444,Base!A:F,6,0)</f>
        <v>MAURICIO ANDRES  BUSTAMANTE  GONZALEZ</v>
      </c>
      <c r="K1444" s="89" t="str">
        <f>IFERROR(IF(VLOOKUP(I1444,Ingreso!K:P,6,0)=0,"Sin turtno ing",VLOOKUP(I1444,Ingreso!K:P,6,0)),IF(F1444&gt;0.25,IF(F1444&lt;0.311805555555556,"Turno A",IF(F1444&gt;0.3125,IF(F1444&lt;0.354166666666667,"Turno C",IF(F1444&gt;0.583333333333333,IF(F1444&lt;0.625,"Turno B",IF(F1444&gt;0.625694444444444,IF(F1444&lt;0.8125,"Turno A",IF(F1444&gt;0.875,IF(F1444&lt;0.936805555555556,"Turno C",IF(F1444&gt;0.9375,IF(F1444&lt;0.979166666666667,"Turno B",""),"")),"")),"")),"")),"")),""))</f>
        <v>Sin turtno ing</v>
      </c>
      <c r="L1444" s="91" t="e">
        <f t="shared" si="22"/>
        <v>#N/A</v>
      </c>
    </row>
    <row r="1445" spans="1:12" s="40" customFormat="1">
      <c r="A1445">
        <v>14005554</v>
      </c>
      <c r="B1445" t="s">
        <v>339</v>
      </c>
      <c r="C1445" t="s">
        <v>606</v>
      </c>
      <c r="D1445" t="s">
        <v>607</v>
      </c>
      <c r="E1445" t="s">
        <v>1440</v>
      </c>
      <c r="F1445" s="78">
        <v>0.95124999999999993</v>
      </c>
      <c r="G1445" t="s">
        <v>1406</v>
      </c>
      <c r="H1445" t="s">
        <v>1336</v>
      </c>
      <c r="I1445" s="88" t="str">
        <f>VLOOKUP(A1445,Base!A:B,2,0)</f>
        <v>14.005.554-9</v>
      </c>
      <c r="J1445" s="99" t="str">
        <f>VLOOKUP(A1445,Base!A:F,6,0)</f>
        <v>LUIS  MATURANA  SANDOVAL</v>
      </c>
      <c r="K1445" s="89" t="str">
        <f>IFERROR(IF(VLOOKUP(I1445,Ingreso!K:P,6,0)=0,"Sin turtno ing",VLOOKUP(I1445,Ingreso!K:P,6,0)),IF(F1445&gt;0.25,IF(F1445&lt;0.311805555555556,"Turno A",IF(F1445&gt;0.3125,IF(F1445&lt;0.354166666666667,"Turno C",IF(F1445&gt;0.583333333333333,IF(F1445&lt;0.625,"Turno B",IF(F1445&gt;0.625694444444444,IF(F1445&lt;0.8125,"Turno A",IF(F1445&gt;0.875,IF(F1445&lt;0.936805555555556,"Turno C",IF(F1445&gt;0.9375,IF(F1445&lt;0.979166666666667,"Turno B",""),"")),"")),"")),"")),"")),""))</f>
        <v>Turno B</v>
      </c>
      <c r="L1445" s="91">
        <f t="shared" si="22"/>
        <v>0.3125</v>
      </c>
    </row>
    <row r="1446" spans="1:12" s="40" customFormat="1">
      <c r="A1446">
        <v>14005554</v>
      </c>
      <c r="B1446" t="s">
        <v>339</v>
      </c>
      <c r="C1446" t="s">
        <v>606</v>
      </c>
      <c r="D1446" t="s">
        <v>607</v>
      </c>
      <c r="E1446" t="s">
        <v>1440</v>
      </c>
      <c r="F1446" s="78">
        <v>0.60847222222222219</v>
      </c>
      <c r="G1446" t="s">
        <v>1405</v>
      </c>
      <c r="H1446" t="s">
        <v>1335</v>
      </c>
      <c r="I1446" s="88" t="str">
        <f>VLOOKUP(A1446,Base!A:B,2,0)</f>
        <v>14.005.554-9</v>
      </c>
      <c r="J1446" s="99" t="str">
        <f>VLOOKUP(A1446,Base!A:F,6,0)</f>
        <v>LUIS  MATURANA  SANDOVAL</v>
      </c>
      <c r="K1446" s="89" t="str">
        <f>IFERROR(IF(VLOOKUP(I1446,Ingreso!K:P,6,0)=0,"Sin turtno ing",VLOOKUP(I1446,Ingreso!K:P,6,0)),IF(F1446&gt;0.25,IF(F1446&lt;0.311805555555556,"Turno A",IF(F1446&gt;0.3125,IF(F1446&lt;0.354166666666667,"Turno C",IF(F1446&gt;0.583333333333333,IF(F1446&lt;0.625,"Turno B",IF(F1446&gt;0.625694444444444,IF(F1446&lt;0.8125,"Turno A",IF(F1446&gt;0.875,IF(F1446&lt;0.936805555555556,"Turno C",IF(F1446&gt;0.9375,IF(F1446&lt;0.979166666666667,"Turno B",""),"")),"")),"")),"")),"")),""))</f>
        <v>Turno B</v>
      </c>
      <c r="L1446" s="91">
        <f t="shared" si="22"/>
        <v>0.3125</v>
      </c>
    </row>
    <row r="1447" spans="1:12" s="40" customFormat="1">
      <c r="A1447">
        <v>14005554</v>
      </c>
      <c r="B1447" t="s">
        <v>339</v>
      </c>
      <c r="C1447" t="s">
        <v>606</v>
      </c>
      <c r="D1447" t="s">
        <v>607</v>
      </c>
      <c r="E1447" t="s">
        <v>1441</v>
      </c>
      <c r="F1447" s="78">
        <v>0.94924768518518521</v>
      </c>
      <c r="G1447" t="s">
        <v>1406</v>
      </c>
      <c r="H1447" t="s">
        <v>1336</v>
      </c>
      <c r="I1447" s="88" t="str">
        <f>VLOOKUP(A1447,Base!A:B,2,0)</f>
        <v>14.005.554-9</v>
      </c>
      <c r="J1447" s="99" t="str">
        <f>VLOOKUP(A1447,Base!A:F,6,0)</f>
        <v>LUIS  MATURANA  SANDOVAL</v>
      </c>
      <c r="K1447" s="89" t="str">
        <f>IFERROR(IF(VLOOKUP(I1447,Ingreso!K:P,6,0)=0,"Sin turtno ing",VLOOKUP(I1447,Ingreso!K:P,6,0)),IF(F1447&gt;0.25,IF(F1447&lt;0.311805555555556,"Turno A",IF(F1447&gt;0.3125,IF(F1447&lt;0.354166666666667,"Turno C",IF(F1447&gt;0.583333333333333,IF(F1447&lt;0.625,"Turno B",IF(F1447&gt;0.625694444444444,IF(F1447&lt;0.8125,"Turno A",IF(F1447&gt;0.875,IF(F1447&lt;0.936805555555556,"Turno C",IF(F1447&gt;0.9375,IF(F1447&lt;0.979166666666667,"Turno B",""),"")),"")),"")),"")),"")),""))</f>
        <v>Turno B</v>
      </c>
      <c r="L1447" s="91">
        <f t="shared" si="22"/>
        <v>0.3125</v>
      </c>
    </row>
    <row r="1448" spans="1:12" s="40" customFormat="1">
      <c r="A1448">
        <v>14005554</v>
      </c>
      <c r="B1448" t="s">
        <v>339</v>
      </c>
      <c r="C1448" t="s">
        <v>606</v>
      </c>
      <c r="D1448" t="s">
        <v>607</v>
      </c>
      <c r="E1448" t="s">
        <v>1441</v>
      </c>
      <c r="F1448" s="78">
        <v>0.62983796296296302</v>
      </c>
      <c r="G1448" t="s">
        <v>1405</v>
      </c>
      <c r="H1448" t="s">
        <v>1335</v>
      </c>
      <c r="I1448" s="88" t="str">
        <f>VLOOKUP(A1448,Base!A:B,2,0)</f>
        <v>14.005.554-9</v>
      </c>
      <c r="J1448" s="99" t="str">
        <f>VLOOKUP(A1448,Base!A:F,6,0)</f>
        <v>LUIS  MATURANA  SANDOVAL</v>
      </c>
      <c r="K1448" s="89" t="str">
        <f>IFERROR(IF(VLOOKUP(I1448,Ingreso!K:P,6,0)=0,"Sin turtno ing",VLOOKUP(I1448,Ingreso!K:P,6,0)),IF(F1448&gt;0.25,IF(F1448&lt;0.311805555555556,"Turno A",IF(F1448&gt;0.3125,IF(F1448&lt;0.354166666666667,"Turno C",IF(F1448&gt;0.583333333333333,IF(F1448&lt;0.625,"Turno B",IF(F1448&gt;0.625694444444444,IF(F1448&lt;0.8125,"Turno A",IF(F1448&gt;0.875,IF(F1448&lt;0.936805555555556,"Turno C",IF(F1448&gt;0.9375,IF(F1448&lt;0.979166666666667,"Turno B",""),"")),"")),"")),"")),"")),""))</f>
        <v>Turno A</v>
      </c>
      <c r="L1448" s="91">
        <f t="shared" si="22"/>
        <v>0.3125</v>
      </c>
    </row>
    <row r="1449" spans="1:12" s="40" customFormat="1">
      <c r="A1449">
        <v>14005554</v>
      </c>
      <c r="B1449" t="s">
        <v>339</v>
      </c>
      <c r="C1449" t="s">
        <v>606</v>
      </c>
      <c r="D1449" t="s">
        <v>607</v>
      </c>
      <c r="E1449" t="s">
        <v>1437</v>
      </c>
      <c r="F1449" s="78">
        <v>0.95000000000000007</v>
      </c>
      <c r="G1449" t="s">
        <v>1406</v>
      </c>
      <c r="H1449" t="s">
        <v>1336</v>
      </c>
      <c r="I1449" s="88" t="str">
        <f>VLOOKUP(A1449,Base!A:B,2,0)</f>
        <v>14.005.554-9</v>
      </c>
      <c r="J1449" s="99" t="str">
        <f>VLOOKUP(A1449,Base!A:F,6,0)</f>
        <v>LUIS  MATURANA  SANDOVAL</v>
      </c>
      <c r="K1449" s="89" t="str">
        <f>IFERROR(IF(VLOOKUP(I1449,Ingreso!K:P,6,0)=0,"Sin turtno ing",VLOOKUP(I1449,Ingreso!K:P,6,0)),IF(F1449&gt;0.25,IF(F1449&lt;0.311805555555556,"Turno A",IF(F1449&gt;0.3125,IF(F1449&lt;0.354166666666667,"Turno C",IF(F1449&gt;0.583333333333333,IF(F1449&lt;0.625,"Turno B",IF(F1449&gt;0.625694444444444,IF(F1449&lt;0.8125,"Turno A",IF(F1449&gt;0.875,IF(F1449&lt;0.936805555555556,"Turno C",IF(F1449&gt;0.9375,IF(F1449&lt;0.979166666666667,"Turno B",""),"")),"")),"")),"")),"")),""))</f>
        <v>Turno B</v>
      </c>
      <c r="L1449" s="91">
        <f t="shared" si="22"/>
        <v>0.3125</v>
      </c>
    </row>
    <row r="1450" spans="1:12" s="40" customFormat="1">
      <c r="A1450">
        <v>14005554</v>
      </c>
      <c r="B1450" t="s">
        <v>339</v>
      </c>
      <c r="C1450" t="s">
        <v>606</v>
      </c>
      <c r="D1450" t="s">
        <v>607</v>
      </c>
      <c r="E1450" t="s">
        <v>1437</v>
      </c>
      <c r="F1450" s="78">
        <v>0.60599537037037032</v>
      </c>
      <c r="G1450" t="s">
        <v>1405</v>
      </c>
      <c r="H1450" t="s">
        <v>1335</v>
      </c>
      <c r="I1450" s="88" t="str">
        <f>VLOOKUP(A1450,Base!A:B,2,0)</f>
        <v>14.005.554-9</v>
      </c>
      <c r="J1450" s="99" t="str">
        <f>VLOOKUP(A1450,Base!A:F,6,0)</f>
        <v>LUIS  MATURANA  SANDOVAL</v>
      </c>
      <c r="K1450" s="89" t="str">
        <f>IFERROR(IF(VLOOKUP(I1450,Ingreso!K:P,6,0)=0,"Sin turtno ing",VLOOKUP(I1450,Ingreso!K:P,6,0)),IF(F1450&gt;0.25,IF(F1450&lt;0.311805555555556,"Turno A",IF(F1450&gt;0.3125,IF(F1450&lt;0.354166666666667,"Turno C",IF(F1450&gt;0.583333333333333,IF(F1450&lt;0.625,"Turno B",IF(F1450&gt;0.625694444444444,IF(F1450&lt;0.8125,"Turno A",IF(F1450&gt;0.875,IF(F1450&lt;0.936805555555556,"Turno C",IF(F1450&gt;0.9375,IF(F1450&lt;0.979166666666667,"Turno B",""),"")),"")),"")),"")),"")),""))</f>
        <v>Turno B</v>
      </c>
      <c r="L1450" s="91">
        <f t="shared" si="22"/>
        <v>0.3125</v>
      </c>
    </row>
    <row r="1451" spans="1:12" s="40" customFormat="1">
      <c r="A1451">
        <v>14005554</v>
      </c>
      <c r="B1451" t="s">
        <v>339</v>
      </c>
      <c r="C1451" t="s">
        <v>606</v>
      </c>
      <c r="D1451" t="s">
        <v>607</v>
      </c>
      <c r="E1451" t="s">
        <v>1438</v>
      </c>
      <c r="F1451" s="78">
        <v>0.95119212962962962</v>
      </c>
      <c r="G1451" t="s">
        <v>1406</v>
      </c>
      <c r="H1451" t="s">
        <v>1336</v>
      </c>
      <c r="I1451" s="88" t="str">
        <f>VLOOKUP(A1451,Base!A:B,2,0)</f>
        <v>14.005.554-9</v>
      </c>
      <c r="J1451" s="99" t="str">
        <f>VLOOKUP(A1451,Base!A:F,6,0)</f>
        <v>LUIS  MATURANA  SANDOVAL</v>
      </c>
      <c r="K1451" s="89" t="str">
        <f>IFERROR(IF(VLOOKUP(I1451,Ingreso!K:P,6,0)=0,"Sin turtno ing",VLOOKUP(I1451,Ingreso!K:P,6,0)),IF(F1451&gt;0.25,IF(F1451&lt;0.311805555555556,"Turno A",IF(F1451&gt;0.3125,IF(F1451&lt;0.354166666666667,"Turno C",IF(F1451&gt;0.583333333333333,IF(F1451&lt;0.625,"Turno B",IF(F1451&gt;0.625694444444444,IF(F1451&lt;0.8125,"Turno A",IF(F1451&gt;0.875,IF(F1451&lt;0.936805555555556,"Turno C",IF(F1451&gt;0.9375,IF(F1451&lt;0.979166666666667,"Turno B",""),"")),"")),"")),"")),"")),""))</f>
        <v>Turno B</v>
      </c>
      <c r="L1451" s="91">
        <f t="shared" si="22"/>
        <v>0.3125</v>
      </c>
    </row>
    <row r="1452" spans="1:12" s="40" customFormat="1">
      <c r="A1452">
        <v>14005554</v>
      </c>
      <c r="B1452" t="s">
        <v>339</v>
      </c>
      <c r="C1452" t="s">
        <v>606</v>
      </c>
      <c r="D1452" t="s">
        <v>607</v>
      </c>
      <c r="E1452" t="s">
        <v>1438</v>
      </c>
      <c r="F1452" s="78">
        <v>0.61798611111111112</v>
      </c>
      <c r="G1452" t="s">
        <v>1405</v>
      </c>
      <c r="H1452" t="s">
        <v>1335</v>
      </c>
      <c r="I1452" s="88" t="str">
        <f>VLOOKUP(A1452,Base!A:B,2,0)</f>
        <v>14.005.554-9</v>
      </c>
      <c r="J1452" s="99" t="str">
        <f>VLOOKUP(A1452,Base!A:F,6,0)</f>
        <v>LUIS  MATURANA  SANDOVAL</v>
      </c>
      <c r="K1452" s="89" t="str">
        <f>IFERROR(IF(VLOOKUP(I1452,Ingreso!K:P,6,0)=0,"Sin turtno ing",VLOOKUP(I1452,Ingreso!K:P,6,0)),IF(F1452&gt;0.25,IF(F1452&lt;0.311805555555556,"Turno A",IF(F1452&gt;0.3125,IF(F1452&lt;0.354166666666667,"Turno C",IF(F1452&gt;0.583333333333333,IF(F1452&lt;0.625,"Turno B",IF(F1452&gt;0.625694444444444,IF(F1452&lt;0.8125,"Turno A",IF(F1452&gt;0.875,IF(F1452&lt;0.936805555555556,"Turno C",IF(F1452&gt;0.9375,IF(F1452&lt;0.979166666666667,"Turno B",""),"")),"")),"")),"")),"")),""))</f>
        <v>Turno B</v>
      </c>
      <c r="L1452" s="91">
        <f t="shared" si="22"/>
        <v>0.3125</v>
      </c>
    </row>
    <row r="1453" spans="1:12" s="40" customFormat="1">
      <c r="A1453">
        <v>14005554</v>
      </c>
      <c r="B1453" t="s">
        <v>339</v>
      </c>
      <c r="C1453" t="s">
        <v>606</v>
      </c>
      <c r="D1453" t="s">
        <v>607</v>
      </c>
      <c r="E1453" t="s">
        <v>1439</v>
      </c>
      <c r="F1453" s="78">
        <v>0.9525231481481482</v>
      </c>
      <c r="G1453" t="s">
        <v>1406</v>
      </c>
      <c r="H1453" t="s">
        <v>1336</v>
      </c>
      <c r="I1453" s="88" t="str">
        <f>VLOOKUP(A1453,Base!A:B,2,0)</f>
        <v>14.005.554-9</v>
      </c>
      <c r="J1453" s="99" t="str">
        <f>VLOOKUP(A1453,Base!A:F,6,0)</f>
        <v>LUIS  MATURANA  SANDOVAL</v>
      </c>
      <c r="K1453" s="89" t="str">
        <f>IFERROR(IF(VLOOKUP(I1453,Ingreso!K:P,6,0)=0,"Sin turtno ing",VLOOKUP(I1453,Ingreso!K:P,6,0)),IF(F1453&gt;0.25,IF(F1453&lt;0.311805555555556,"Turno A",IF(F1453&gt;0.3125,IF(F1453&lt;0.354166666666667,"Turno C",IF(F1453&gt;0.583333333333333,IF(F1453&lt;0.625,"Turno B",IF(F1453&gt;0.625694444444444,IF(F1453&lt;0.8125,"Turno A",IF(F1453&gt;0.875,IF(F1453&lt;0.936805555555556,"Turno C",IF(F1453&gt;0.9375,IF(F1453&lt;0.979166666666667,"Turno B",""),"")),"")),"")),"")),"")),""))</f>
        <v>Turno B</v>
      </c>
      <c r="L1453" s="91">
        <f t="shared" si="22"/>
        <v>0.3125</v>
      </c>
    </row>
    <row r="1454" spans="1:12" s="40" customFormat="1">
      <c r="A1454">
        <v>14005554</v>
      </c>
      <c r="B1454" t="s">
        <v>339</v>
      </c>
      <c r="C1454" t="s">
        <v>606</v>
      </c>
      <c r="D1454" t="s">
        <v>607</v>
      </c>
      <c r="E1454" t="s">
        <v>1439</v>
      </c>
      <c r="F1454" s="78">
        <v>0.61378472222222225</v>
      </c>
      <c r="G1454" t="s">
        <v>1405</v>
      </c>
      <c r="H1454" t="s">
        <v>1335</v>
      </c>
      <c r="I1454" s="88" t="str">
        <f>VLOOKUP(A1454,Base!A:B,2,0)</f>
        <v>14.005.554-9</v>
      </c>
      <c r="J1454" s="99" t="str">
        <f>VLOOKUP(A1454,Base!A:F,6,0)</f>
        <v>LUIS  MATURANA  SANDOVAL</v>
      </c>
      <c r="K1454" s="89" t="str">
        <f>IFERROR(IF(VLOOKUP(I1454,Ingreso!K:P,6,0)=0,"Sin turtno ing",VLOOKUP(I1454,Ingreso!K:P,6,0)),IF(F1454&gt;0.25,IF(F1454&lt;0.311805555555556,"Turno A",IF(F1454&gt;0.3125,IF(F1454&lt;0.354166666666667,"Turno C",IF(F1454&gt;0.583333333333333,IF(F1454&lt;0.625,"Turno B",IF(F1454&gt;0.625694444444444,IF(F1454&lt;0.8125,"Turno A",IF(F1454&gt;0.875,IF(F1454&lt;0.936805555555556,"Turno C",IF(F1454&gt;0.9375,IF(F1454&lt;0.979166666666667,"Turno B",""),"")),"")),"")),"")),"")),""))</f>
        <v>Turno B</v>
      </c>
      <c r="L1454" s="91">
        <f t="shared" si="22"/>
        <v>0.3125</v>
      </c>
    </row>
    <row r="1455" spans="1:12" s="40" customFormat="1">
      <c r="A1455">
        <v>14005587</v>
      </c>
      <c r="B1455" t="s">
        <v>1216</v>
      </c>
      <c r="C1455" t="s">
        <v>208</v>
      </c>
      <c r="D1455" t="s">
        <v>1215</v>
      </c>
      <c r="E1455" t="s">
        <v>1441</v>
      </c>
      <c r="F1455" s="78">
        <v>0.95437500000000008</v>
      </c>
      <c r="G1455" t="s">
        <v>1406</v>
      </c>
      <c r="H1455" t="s">
        <v>1336</v>
      </c>
      <c r="I1455" s="88" t="str">
        <f>VLOOKUP(A1455,Base!A:B,2,0)</f>
        <v>14.005.587-5</v>
      </c>
      <c r="J1455" s="99" t="str">
        <f>VLOOKUP(A1455,Base!A:F,6,0)</f>
        <v>GERARDO ALBERTO  RODRIGUEZ  TORO</v>
      </c>
      <c r="K1455" s="89" t="str">
        <f>IFERROR(IF(VLOOKUP(I1455,Ingreso!K:P,6,0)=0,"Sin turtno ing",VLOOKUP(I1455,Ingreso!K:P,6,0)),IF(F1455&gt;0.25,IF(F1455&lt;0.311805555555556,"Turno A",IF(F1455&gt;0.3125,IF(F1455&lt;0.354166666666667,"Turno C",IF(F1455&gt;0.583333333333333,IF(F1455&lt;0.625,"Turno B",IF(F1455&gt;0.625694444444444,IF(F1455&lt;0.8125,"Turno A",IF(F1455&gt;0.875,IF(F1455&lt;0.936805555555556,"Turno C",IF(F1455&gt;0.9375,IF(F1455&lt;0.979166666666667,"Turno B",""),"")),"")),"")),"")),"")),""))</f>
        <v>Turno B</v>
      </c>
      <c r="L1455" s="91">
        <f t="shared" si="22"/>
        <v>0.3125</v>
      </c>
    </row>
    <row r="1456" spans="1:12" s="40" customFormat="1">
      <c r="A1456">
        <v>14005587</v>
      </c>
      <c r="B1456" t="s">
        <v>1216</v>
      </c>
      <c r="C1456" t="s">
        <v>208</v>
      </c>
      <c r="D1456" t="s">
        <v>1215</v>
      </c>
      <c r="E1456" t="s">
        <v>1441</v>
      </c>
      <c r="F1456" s="78">
        <v>0.60905092592592591</v>
      </c>
      <c r="G1456" t="s">
        <v>1405</v>
      </c>
      <c r="H1456" t="s">
        <v>1335</v>
      </c>
      <c r="I1456" s="88" t="str">
        <f>VLOOKUP(A1456,Base!A:B,2,0)</f>
        <v>14.005.587-5</v>
      </c>
      <c r="J1456" s="99" t="str">
        <f>VLOOKUP(A1456,Base!A:F,6,0)</f>
        <v>GERARDO ALBERTO  RODRIGUEZ  TORO</v>
      </c>
      <c r="K1456" s="89" t="str">
        <f>IFERROR(IF(VLOOKUP(I1456,Ingreso!K:P,6,0)=0,"Sin turtno ing",VLOOKUP(I1456,Ingreso!K:P,6,0)),IF(F1456&gt;0.25,IF(F1456&lt;0.311805555555556,"Turno A",IF(F1456&gt;0.3125,IF(F1456&lt;0.354166666666667,"Turno C",IF(F1456&gt;0.583333333333333,IF(F1456&lt;0.625,"Turno B",IF(F1456&gt;0.625694444444444,IF(F1456&lt;0.8125,"Turno A",IF(F1456&gt;0.875,IF(F1456&lt;0.936805555555556,"Turno C",IF(F1456&gt;0.9375,IF(F1456&lt;0.979166666666667,"Turno B",""),"")),"")),"")),"")),"")),""))</f>
        <v>Turno B</v>
      </c>
      <c r="L1456" s="91">
        <f t="shared" si="22"/>
        <v>0.3125</v>
      </c>
    </row>
    <row r="1457" spans="1:12" s="40" customFormat="1">
      <c r="A1457">
        <v>14005685</v>
      </c>
      <c r="B1457" t="s">
        <v>1417</v>
      </c>
      <c r="C1457" t="s">
        <v>687</v>
      </c>
      <c r="D1457" t="s">
        <v>1310</v>
      </c>
      <c r="E1457" t="s">
        <v>1440</v>
      </c>
      <c r="F1457" s="78">
        <v>0.62604166666666672</v>
      </c>
      <c r="G1457" t="s">
        <v>1406</v>
      </c>
      <c r="H1457" t="s">
        <v>1336</v>
      </c>
      <c r="I1457" s="88" t="str">
        <f>VLOOKUP(A1457,Base!A:B,2,0)</f>
        <v>14.005.685-7</v>
      </c>
      <c r="J1457" s="99" t="str">
        <f>VLOOKUP(A1457,Base!A:F,6,0)</f>
        <v>NICOLAS NARVAI ZUBICUETA</v>
      </c>
      <c r="K1457" s="89" t="str">
        <f>IFERROR(IF(VLOOKUP(I1457,Ingreso!K:P,6,0)=0,"Sin turtno ing",VLOOKUP(I1457,Ingreso!K:P,6,0)),IF(F1457&gt;0.25,IF(F1457&lt;0.311805555555556,"Turno A",IF(F1457&gt;0.3125,IF(F1457&lt;0.354166666666667,"Turno C",IF(F1457&gt;0.583333333333333,IF(F1457&lt;0.625,"Turno B",IF(F1457&gt;0.625694444444444,IF(F1457&lt;0.8125,"Turno A",IF(F1457&gt;0.875,IF(F1457&lt;0.936805555555556,"Turno C",IF(F1457&gt;0.9375,IF(F1457&lt;0.979166666666667,"Turno B",""),"")),"")),"")),"")),"")),""))</f>
        <v>Sin turtno ing</v>
      </c>
      <c r="L1457" s="91" t="e">
        <f t="shared" si="22"/>
        <v>#N/A</v>
      </c>
    </row>
    <row r="1458" spans="1:12" s="40" customFormat="1">
      <c r="A1458">
        <v>14005685</v>
      </c>
      <c r="B1458" t="s">
        <v>1417</v>
      </c>
      <c r="C1458" t="s">
        <v>687</v>
      </c>
      <c r="D1458" t="s">
        <v>1310</v>
      </c>
      <c r="E1458" t="s">
        <v>1440</v>
      </c>
      <c r="F1458" s="78">
        <v>0.30236111111111114</v>
      </c>
      <c r="G1458" t="s">
        <v>1405</v>
      </c>
      <c r="H1458" t="s">
        <v>1335</v>
      </c>
      <c r="I1458" s="88" t="str">
        <f>VLOOKUP(A1458,Base!A:B,2,0)</f>
        <v>14.005.685-7</v>
      </c>
      <c r="J1458" s="99" t="str">
        <f>VLOOKUP(A1458,Base!A:F,6,0)</f>
        <v>NICOLAS NARVAI ZUBICUETA</v>
      </c>
      <c r="K1458" s="89" t="str">
        <f>IFERROR(IF(VLOOKUP(I1458,Ingreso!K:P,6,0)=0,"Sin turtno ing",VLOOKUP(I1458,Ingreso!K:P,6,0)),IF(F1458&gt;0.25,IF(F1458&lt;0.311805555555556,"Turno A",IF(F1458&gt;0.3125,IF(F1458&lt;0.354166666666667,"Turno C",IF(F1458&gt;0.583333333333333,IF(F1458&lt;0.625,"Turno B",IF(F1458&gt;0.625694444444444,IF(F1458&lt;0.8125,"Turno A",IF(F1458&gt;0.875,IF(F1458&lt;0.936805555555556,"Turno C",IF(F1458&gt;0.9375,IF(F1458&lt;0.979166666666667,"Turno B",""),"")),"")),"")),"")),"")),""))</f>
        <v>Sin turtno ing</v>
      </c>
      <c r="L1458" s="91" t="e">
        <f t="shared" si="22"/>
        <v>#N/A</v>
      </c>
    </row>
    <row r="1459" spans="1:12" s="40" customFormat="1">
      <c r="A1459">
        <v>14005685</v>
      </c>
      <c r="B1459" t="s">
        <v>1417</v>
      </c>
      <c r="C1459" t="s">
        <v>687</v>
      </c>
      <c r="D1459" t="s">
        <v>1310</v>
      </c>
      <c r="E1459" t="s">
        <v>1437</v>
      </c>
      <c r="F1459" s="78">
        <v>0.6288541666666666</v>
      </c>
      <c r="G1459" t="s">
        <v>1406</v>
      </c>
      <c r="H1459" t="s">
        <v>1336</v>
      </c>
      <c r="I1459" s="88" t="str">
        <f>VLOOKUP(A1459,Base!A:B,2,0)</f>
        <v>14.005.685-7</v>
      </c>
      <c r="J1459" s="99" t="str">
        <f>VLOOKUP(A1459,Base!A:F,6,0)</f>
        <v>NICOLAS NARVAI ZUBICUETA</v>
      </c>
      <c r="K1459" s="89" t="str">
        <f>IFERROR(IF(VLOOKUP(I1459,Ingreso!K:P,6,0)=0,"Sin turtno ing",VLOOKUP(I1459,Ingreso!K:P,6,0)),IF(F1459&gt;0.25,IF(F1459&lt;0.311805555555556,"Turno A",IF(F1459&gt;0.3125,IF(F1459&lt;0.354166666666667,"Turno C",IF(F1459&gt;0.583333333333333,IF(F1459&lt;0.625,"Turno B",IF(F1459&gt;0.625694444444444,IF(F1459&lt;0.8125,"Turno A",IF(F1459&gt;0.875,IF(F1459&lt;0.936805555555556,"Turno C",IF(F1459&gt;0.9375,IF(F1459&lt;0.979166666666667,"Turno B",""),"")),"")),"")),"")),"")),""))</f>
        <v>Sin turtno ing</v>
      </c>
      <c r="L1459" s="91" t="e">
        <f t="shared" si="22"/>
        <v>#N/A</v>
      </c>
    </row>
    <row r="1460" spans="1:12" s="40" customFormat="1">
      <c r="A1460">
        <v>14005685</v>
      </c>
      <c r="B1460" t="s">
        <v>1417</v>
      </c>
      <c r="C1460" t="s">
        <v>687</v>
      </c>
      <c r="D1460" t="s">
        <v>1310</v>
      </c>
      <c r="E1460" t="s">
        <v>1437</v>
      </c>
      <c r="F1460" s="78">
        <v>0.30229166666666668</v>
      </c>
      <c r="G1460" t="s">
        <v>1405</v>
      </c>
      <c r="H1460" t="s">
        <v>1335</v>
      </c>
      <c r="I1460" s="88" t="str">
        <f>VLOOKUP(A1460,Base!A:B,2,0)</f>
        <v>14.005.685-7</v>
      </c>
      <c r="J1460" s="99" t="str">
        <f>VLOOKUP(A1460,Base!A:F,6,0)</f>
        <v>NICOLAS NARVAI ZUBICUETA</v>
      </c>
      <c r="K1460" s="89" t="str">
        <f>IFERROR(IF(VLOOKUP(I1460,Ingreso!K:P,6,0)=0,"Sin turtno ing",VLOOKUP(I1460,Ingreso!K:P,6,0)),IF(F1460&gt;0.25,IF(F1460&lt;0.311805555555556,"Turno A",IF(F1460&gt;0.3125,IF(F1460&lt;0.354166666666667,"Turno C",IF(F1460&gt;0.583333333333333,IF(F1460&lt;0.625,"Turno B",IF(F1460&gt;0.625694444444444,IF(F1460&lt;0.8125,"Turno A",IF(F1460&gt;0.875,IF(F1460&lt;0.936805555555556,"Turno C",IF(F1460&gt;0.9375,IF(F1460&lt;0.979166666666667,"Turno B",""),"")),"")),"")),"")),"")),""))</f>
        <v>Sin turtno ing</v>
      </c>
      <c r="L1460" s="91" t="e">
        <f t="shared" si="22"/>
        <v>#N/A</v>
      </c>
    </row>
    <row r="1461" spans="1:12" s="40" customFormat="1">
      <c r="A1461">
        <v>14005685</v>
      </c>
      <c r="B1461" t="s">
        <v>1417</v>
      </c>
      <c r="C1461" t="s">
        <v>687</v>
      </c>
      <c r="D1461" t="s">
        <v>1310</v>
      </c>
      <c r="E1461" t="s">
        <v>1438</v>
      </c>
      <c r="F1461" s="78">
        <v>0.62988425925925928</v>
      </c>
      <c r="G1461" t="s">
        <v>1406</v>
      </c>
      <c r="H1461" t="s">
        <v>1336</v>
      </c>
      <c r="I1461" s="88" t="str">
        <f>VLOOKUP(A1461,Base!A:B,2,0)</f>
        <v>14.005.685-7</v>
      </c>
      <c r="J1461" s="99" t="str">
        <f>VLOOKUP(A1461,Base!A:F,6,0)</f>
        <v>NICOLAS NARVAI ZUBICUETA</v>
      </c>
      <c r="K1461" s="89" t="str">
        <f>IFERROR(IF(VLOOKUP(I1461,Ingreso!K:P,6,0)=0,"Sin turtno ing",VLOOKUP(I1461,Ingreso!K:P,6,0)),IF(F1461&gt;0.25,IF(F1461&lt;0.311805555555556,"Turno A",IF(F1461&gt;0.3125,IF(F1461&lt;0.354166666666667,"Turno C",IF(F1461&gt;0.583333333333333,IF(F1461&lt;0.625,"Turno B",IF(F1461&gt;0.625694444444444,IF(F1461&lt;0.8125,"Turno A",IF(F1461&gt;0.875,IF(F1461&lt;0.936805555555556,"Turno C",IF(F1461&gt;0.9375,IF(F1461&lt;0.979166666666667,"Turno B",""),"")),"")),"")),"")),"")),""))</f>
        <v>Sin turtno ing</v>
      </c>
      <c r="L1461" s="91" t="e">
        <f t="shared" si="22"/>
        <v>#N/A</v>
      </c>
    </row>
    <row r="1462" spans="1:12" s="40" customFormat="1">
      <c r="A1462">
        <v>14005685</v>
      </c>
      <c r="B1462" t="s">
        <v>1417</v>
      </c>
      <c r="C1462" t="s">
        <v>687</v>
      </c>
      <c r="D1462" t="s">
        <v>1310</v>
      </c>
      <c r="E1462" t="s">
        <v>1438</v>
      </c>
      <c r="F1462" s="78">
        <v>0.30866898148148147</v>
      </c>
      <c r="G1462" t="s">
        <v>1405</v>
      </c>
      <c r="H1462" t="s">
        <v>1335</v>
      </c>
      <c r="I1462" s="88" t="str">
        <f>VLOOKUP(A1462,Base!A:B,2,0)</f>
        <v>14.005.685-7</v>
      </c>
      <c r="J1462" s="99" t="str">
        <f>VLOOKUP(A1462,Base!A:F,6,0)</f>
        <v>NICOLAS NARVAI ZUBICUETA</v>
      </c>
      <c r="K1462" s="89" t="str">
        <f>IFERROR(IF(VLOOKUP(I1462,Ingreso!K:P,6,0)=0,"Sin turtno ing",VLOOKUP(I1462,Ingreso!K:P,6,0)),IF(F1462&gt;0.25,IF(F1462&lt;0.311805555555556,"Turno A",IF(F1462&gt;0.3125,IF(F1462&lt;0.354166666666667,"Turno C",IF(F1462&gt;0.583333333333333,IF(F1462&lt;0.625,"Turno B",IF(F1462&gt;0.625694444444444,IF(F1462&lt;0.8125,"Turno A",IF(F1462&gt;0.875,IF(F1462&lt;0.936805555555556,"Turno C",IF(F1462&gt;0.9375,IF(F1462&lt;0.979166666666667,"Turno B",""),"")),"")),"")),"")),"")),""))</f>
        <v>Sin turtno ing</v>
      </c>
      <c r="L1462" s="91" t="e">
        <f t="shared" si="22"/>
        <v>#N/A</v>
      </c>
    </row>
    <row r="1463" spans="1:12" s="40" customFormat="1">
      <c r="A1463">
        <v>14005685</v>
      </c>
      <c r="B1463" t="s">
        <v>1417</v>
      </c>
      <c r="C1463" t="s">
        <v>687</v>
      </c>
      <c r="D1463" t="s">
        <v>1310</v>
      </c>
      <c r="E1463" t="s">
        <v>1439</v>
      </c>
      <c r="F1463" s="78">
        <v>0.63023148148148145</v>
      </c>
      <c r="G1463" t="s">
        <v>1406</v>
      </c>
      <c r="H1463" t="s">
        <v>1336</v>
      </c>
      <c r="I1463" s="88" t="str">
        <f>VLOOKUP(A1463,Base!A:B,2,0)</f>
        <v>14.005.685-7</v>
      </c>
      <c r="J1463" s="99" t="str">
        <f>VLOOKUP(A1463,Base!A:F,6,0)</f>
        <v>NICOLAS NARVAI ZUBICUETA</v>
      </c>
      <c r="K1463" s="89" t="str">
        <f>IFERROR(IF(VLOOKUP(I1463,Ingreso!K:P,6,0)=0,"Sin turtno ing",VLOOKUP(I1463,Ingreso!K:P,6,0)),IF(F1463&gt;0.25,IF(F1463&lt;0.311805555555556,"Turno A",IF(F1463&gt;0.3125,IF(F1463&lt;0.354166666666667,"Turno C",IF(F1463&gt;0.583333333333333,IF(F1463&lt;0.625,"Turno B",IF(F1463&gt;0.625694444444444,IF(F1463&lt;0.8125,"Turno A",IF(F1463&gt;0.875,IF(F1463&lt;0.936805555555556,"Turno C",IF(F1463&gt;0.9375,IF(F1463&lt;0.979166666666667,"Turno B",""),"")),"")),"")),"")),"")),""))</f>
        <v>Sin turtno ing</v>
      </c>
      <c r="L1463" s="91" t="e">
        <f t="shared" si="22"/>
        <v>#N/A</v>
      </c>
    </row>
    <row r="1464" spans="1:12" s="40" customFormat="1">
      <c r="A1464">
        <v>14005685</v>
      </c>
      <c r="B1464" t="s">
        <v>1417</v>
      </c>
      <c r="C1464" t="s">
        <v>687</v>
      </c>
      <c r="D1464" t="s">
        <v>1310</v>
      </c>
      <c r="E1464" t="s">
        <v>1439</v>
      </c>
      <c r="F1464" s="78">
        <v>0.3066550925925926</v>
      </c>
      <c r="G1464" t="s">
        <v>1405</v>
      </c>
      <c r="H1464" t="s">
        <v>1335</v>
      </c>
      <c r="I1464" s="88" t="str">
        <f>VLOOKUP(A1464,Base!A:B,2,0)</f>
        <v>14.005.685-7</v>
      </c>
      <c r="J1464" s="99" t="str">
        <f>VLOOKUP(A1464,Base!A:F,6,0)</f>
        <v>NICOLAS NARVAI ZUBICUETA</v>
      </c>
      <c r="K1464" s="89" t="str">
        <f>IFERROR(IF(VLOOKUP(I1464,Ingreso!K:P,6,0)=0,"Sin turtno ing",VLOOKUP(I1464,Ingreso!K:P,6,0)),IF(F1464&gt;0.25,IF(F1464&lt;0.311805555555556,"Turno A",IF(F1464&gt;0.3125,IF(F1464&lt;0.354166666666667,"Turno C",IF(F1464&gt;0.583333333333333,IF(F1464&lt;0.625,"Turno B",IF(F1464&gt;0.625694444444444,IF(F1464&lt;0.8125,"Turno A",IF(F1464&gt;0.875,IF(F1464&lt;0.936805555555556,"Turno C",IF(F1464&gt;0.9375,IF(F1464&lt;0.979166666666667,"Turno B",""),"")),"")),"")),"")),"")),""))</f>
        <v>Sin turtno ing</v>
      </c>
      <c r="L1464" s="91" t="e">
        <f t="shared" si="22"/>
        <v>#N/A</v>
      </c>
    </row>
    <row r="1465" spans="1:12" s="40" customFormat="1">
      <c r="A1465">
        <v>14017495</v>
      </c>
      <c r="B1465" t="s">
        <v>743</v>
      </c>
      <c r="C1465" t="s">
        <v>429</v>
      </c>
      <c r="D1465" t="s">
        <v>179</v>
      </c>
      <c r="E1465" t="s">
        <v>1440</v>
      </c>
      <c r="F1465" s="78">
        <v>0.67745370370370372</v>
      </c>
      <c r="G1465" t="s">
        <v>1405</v>
      </c>
      <c r="H1465" t="s">
        <v>1335</v>
      </c>
      <c r="I1465" s="88" t="str">
        <f>VLOOKUP(A1465,Base!A:B,2,0)</f>
        <v>14.017.495-5</v>
      </c>
      <c r="J1465" s="99" t="str">
        <f>VLOOKUP(A1465,Base!A:F,6,0)</f>
        <v>CARLOS EUGENIO  OYARCE  DIAZ</v>
      </c>
      <c r="K1465" s="89" t="str">
        <f>IFERROR(IF(VLOOKUP(I1465,Ingreso!K:P,6,0)=0,"Sin turtno ing",VLOOKUP(I1465,Ingreso!K:P,6,0)),IF(F1465&gt;0.25,IF(F1465&lt;0.311805555555556,"Turno A",IF(F1465&gt;0.3125,IF(F1465&lt;0.354166666666667,"Turno C",IF(F1465&gt;0.583333333333333,IF(F1465&lt;0.625,"Turno B",IF(F1465&gt;0.625694444444444,IF(F1465&lt;0.8125,"Turno A",IF(F1465&gt;0.875,IF(F1465&lt;0.936805555555556,"Turno C",IF(F1465&gt;0.9375,IF(F1465&lt;0.979166666666667,"Turno B",""),"")),"")),"")),"")),"")),""))</f>
        <v>Turno B</v>
      </c>
      <c r="L1465" s="91">
        <f t="shared" si="22"/>
        <v>0.3125</v>
      </c>
    </row>
    <row r="1466" spans="1:12" s="40" customFormat="1">
      <c r="A1466">
        <v>14017495</v>
      </c>
      <c r="B1466" t="s">
        <v>743</v>
      </c>
      <c r="C1466" t="s">
        <v>429</v>
      </c>
      <c r="D1466" t="s">
        <v>179</v>
      </c>
      <c r="E1466" t="s">
        <v>1441</v>
      </c>
      <c r="F1466" s="78">
        <v>3.4722222222222224E-4</v>
      </c>
      <c r="G1466" t="s">
        <v>1406</v>
      </c>
      <c r="H1466" t="s">
        <v>1336</v>
      </c>
      <c r="I1466" s="88" t="str">
        <f>VLOOKUP(A1466,Base!A:B,2,0)</f>
        <v>14.017.495-5</v>
      </c>
      <c r="J1466" s="99" t="str">
        <f>VLOOKUP(A1466,Base!A:F,6,0)</f>
        <v>CARLOS EUGENIO  OYARCE  DIAZ</v>
      </c>
      <c r="K1466" s="89" t="str">
        <f>IFERROR(IF(VLOOKUP(I1466,Ingreso!K:P,6,0)=0,"Sin turtno ing",VLOOKUP(I1466,Ingreso!K:P,6,0)),IF(F1466&gt;0.25,IF(F1466&lt;0.311805555555556,"Turno A",IF(F1466&gt;0.3125,IF(F1466&lt;0.354166666666667,"Turno C",IF(F1466&gt;0.583333333333333,IF(F1466&lt;0.625,"Turno B",IF(F1466&gt;0.625694444444444,IF(F1466&lt;0.8125,"Turno A",IF(F1466&gt;0.875,IF(F1466&lt;0.936805555555556,"Turno C",IF(F1466&gt;0.9375,IF(F1466&lt;0.979166666666667,"Turno B",""),"")),"")),"")),"")),"")),""))</f>
        <v>Turno B</v>
      </c>
      <c r="L1466" s="91">
        <f t="shared" si="22"/>
        <v>0.3125</v>
      </c>
    </row>
    <row r="1467" spans="1:12" s="40" customFormat="1">
      <c r="A1467">
        <v>14017495</v>
      </c>
      <c r="B1467" t="s">
        <v>743</v>
      </c>
      <c r="C1467" t="s">
        <v>429</v>
      </c>
      <c r="D1467" t="s">
        <v>179</v>
      </c>
      <c r="E1467" t="s">
        <v>1441</v>
      </c>
      <c r="F1467" s="78">
        <v>0.91554398148148142</v>
      </c>
      <c r="G1467" t="s">
        <v>1406</v>
      </c>
      <c r="H1467" t="s">
        <v>1336</v>
      </c>
      <c r="I1467" s="88" t="str">
        <f>VLOOKUP(A1467,Base!A:B,2,0)</f>
        <v>14.017.495-5</v>
      </c>
      <c r="J1467" s="99" t="str">
        <f>VLOOKUP(A1467,Base!A:F,6,0)</f>
        <v>CARLOS EUGENIO  OYARCE  DIAZ</v>
      </c>
      <c r="K1467" s="89" t="str">
        <f>IFERROR(IF(VLOOKUP(I1467,Ingreso!K:P,6,0)=0,"Sin turtno ing",VLOOKUP(I1467,Ingreso!K:P,6,0)),IF(F1467&gt;0.25,IF(F1467&lt;0.311805555555556,"Turno A",IF(F1467&gt;0.3125,IF(F1467&lt;0.354166666666667,"Turno C",IF(F1467&gt;0.583333333333333,IF(F1467&lt;0.625,"Turno B",IF(F1467&gt;0.625694444444444,IF(F1467&lt;0.8125,"Turno A",IF(F1467&gt;0.875,IF(F1467&lt;0.936805555555556,"Turno C",IF(F1467&gt;0.9375,IF(F1467&lt;0.979166666666667,"Turno B",""),"")),"")),"")),"")),"")),""))</f>
        <v>Turno B</v>
      </c>
      <c r="L1467" s="91">
        <f t="shared" si="22"/>
        <v>0.3125</v>
      </c>
    </row>
    <row r="1468" spans="1:12" s="40" customFormat="1">
      <c r="A1468">
        <v>14017495</v>
      </c>
      <c r="B1468" t="s">
        <v>743</v>
      </c>
      <c r="C1468" t="s">
        <v>429</v>
      </c>
      <c r="D1468" t="s">
        <v>179</v>
      </c>
      <c r="E1468" t="s">
        <v>1441</v>
      </c>
      <c r="F1468" s="78">
        <v>0.62138888888888888</v>
      </c>
      <c r="G1468" t="s">
        <v>1405</v>
      </c>
      <c r="H1468" t="s">
        <v>1335</v>
      </c>
      <c r="I1468" s="88" t="str">
        <f>VLOOKUP(A1468,Base!A:B,2,0)</f>
        <v>14.017.495-5</v>
      </c>
      <c r="J1468" s="99" t="str">
        <f>VLOOKUP(A1468,Base!A:F,6,0)</f>
        <v>CARLOS EUGENIO  OYARCE  DIAZ</v>
      </c>
      <c r="K1468" s="89" t="str">
        <f>IFERROR(IF(VLOOKUP(I1468,Ingreso!K:P,6,0)=0,"Sin turtno ing",VLOOKUP(I1468,Ingreso!K:P,6,0)),IF(F1468&gt;0.25,IF(F1468&lt;0.311805555555556,"Turno A",IF(F1468&gt;0.3125,IF(F1468&lt;0.354166666666667,"Turno C",IF(F1468&gt;0.583333333333333,IF(F1468&lt;0.625,"Turno B",IF(F1468&gt;0.625694444444444,IF(F1468&lt;0.8125,"Turno A",IF(F1468&gt;0.875,IF(F1468&lt;0.936805555555556,"Turno C",IF(F1468&gt;0.9375,IF(F1468&lt;0.979166666666667,"Turno B",""),"")),"")),"")),"")),"")),""))</f>
        <v>Turno B</v>
      </c>
      <c r="L1468" s="91">
        <f t="shared" si="22"/>
        <v>0.3125</v>
      </c>
    </row>
    <row r="1469" spans="1:12" s="40" customFormat="1">
      <c r="A1469">
        <v>14017495</v>
      </c>
      <c r="B1469" t="s">
        <v>743</v>
      </c>
      <c r="C1469" t="s">
        <v>429</v>
      </c>
      <c r="D1469" t="s">
        <v>179</v>
      </c>
      <c r="E1469" t="s">
        <v>1437</v>
      </c>
      <c r="F1469" s="78">
        <v>0.96706018518518511</v>
      </c>
      <c r="G1469" t="s">
        <v>1406</v>
      </c>
      <c r="H1469" t="s">
        <v>1336</v>
      </c>
      <c r="I1469" s="88" t="str">
        <f>VLOOKUP(A1469,Base!A:B,2,0)</f>
        <v>14.017.495-5</v>
      </c>
      <c r="J1469" s="99" t="str">
        <f>VLOOKUP(A1469,Base!A:F,6,0)</f>
        <v>CARLOS EUGENIO  OYARCE  DIAZ</v>
      </c>
      <c r="K1469" s="89" t="str">
        <f>IFERROR(IF(VLOOKUP(I1469,Ingreso!K:P,6,0)=0,"Sin turtno ing",VLOOKUP(I1469,Ingreso!K:P,6,0)),IF(F1469&gt;0.25,IF(F1469&lt;0.311805555555556,"Turno A",IF(F1469&gt;0.3125,IF(F1469&lt;0.354166666666667,"Turno C",IF(F1469&gt;0.583333333333333,IF(F1469&lt;0.625,"Turno B",IF(F1469&gt;0.625694444444444,IF(F1469&lt;0.8125,"Turno A",IF(F1469&gt;0.875,IF(F1469&lt;0.936805555555556,"Turno C",IF(F1469&gt;0.9375,IF(F1469&lt;0.979166666666667,"Turno B",""),"")),"")),"")),"")),"")),""))</f>
        <v>Turno B</v>
      </c>
      <c r="L1469" s="91">
        <f t="shared" si="22"/>
        <v>0.3125</v>
      </c>
    </row>
    <row r="1470" spans="1:12" s="40" customFormat="1">
      <c r="A1470">
        <v>14017495</v>
      </c>
      <c r="B1470" t="s">
        <v>743</v>
      </c>
      <c r="C1470" t="s">
        <v>429</v>
      </c>
      <c r="D1470" t="s">
        <v>179</v>
      </c>
      <c r="E1470" t="s">
        <v>1437</v>
      </c>
      <c r="F1470" s="78">
        <v>0.62409722222222219</v>
      </c>
      <c r="G1470" t="s">
        <v>1405</v>
      </c>
      <c r="H1470" t="s">
        <v>1335</v>
      </c>
      <c r="I1470" s="88" t="str">
        <f>VLOOKUP(A1470,Base!A:B,2,0)</f>
        <v>14.017.495-5</v>
      </c>
      <c r="J1470" s="99" t="str">
        <f>VLOOKUP(A1470,Base!A:F,6,0)</f>
        <v>CARLOS EUGENIO  OYARCE  DIAZ</v>
      </c>
      <c r="K1470" s="89" t="str">
        <f>IFERROR(IF(VLOOKUP(I1470,Ingreso!K:P,6,0)=0,"Sin turtno ing",VLOOKUP(I1470,Ingreso!K:P,6,0)),IF(F1470&gt;0.25,IF(F1470&lt;0.311805555555556,"Turno A",IF(F1470&gt;0.3125,IF(F1470&lt;0.354166666666667,"Turno C",IF(F1470&gt;0.583333333333333,IF(F1470&lt;0.625,"Turno B",IF(F1470&gt;0.625694444444444,IF(F1470&lt;0.8125,"Turno A",IF(F1470&gt;0.875,IF(F1470&lt;0.936805555555556,"Turno C",IF(F1470&gt;0.9375,IF(F1470&lt;0.979166666666667,"Turno B",""),"")),"")),"")),"")),"")),""))</f>
        <v>Turno B</v>
      </c>
      <c r="L1470" s="91">
        <f t="shared" si="22"/>
        <v>0.3125</v>
      </c>
    </row>
    <row r="1471" spans="1:12" s="40" customFormat="1">
      <c r="A1471">
        <v>14017495</v>
      </c>
      <c r="B1471" t="s">
        <v>743</v>
      </c>
      <c r="C1471" t="s">
        <v>429</v>
      </c>
      <c r="D1471" t="s">
        <v>179</v>
      </c>
      <c r="E1471" t="s">
        <v>1438</v>
      </c>
      <c r="F1471" s="78">
        <v>0.61585648148148142</v>
      </c>
      <c r="G1471" t="s">
        <v>1405</v>
      </c>
      <c r="H1471" t="s">
        <v>1335</v>
      </c>
      <c r="I1471" s="88" t="str">
        <f>VLOOKUP(A1471,Base!A:B,2,0)</f>
        <v>14.017.495-5</v>
      </c>
      <c r="J1471" s="99" t="str">
        <f>VLOOKUP(A1471,Base!A:F,6,0)</f>
        <v>CARLOS EUGENIO  OYARCE  DIAZ</v>
      </c>
      <c r="K1471" s="89" t="str">
        <f>IFERROR(IF(VLOOKUP(I1471,Ingreso!K:P,6,0)=0,"Sin turtno ing",VLOOKUP(I1471,Ingreso!K:P,6,0)),IF(F1471&gt;0.25,IF(F1471&lt;0.311805555555556,"Turno A",IF(F1471&gt;0.3125,IF(F1471&lt;0.354166666666667,"Turno C",IF(F1471&gt;0.583333333333333,IF(F1471&lt;0.625,"Turno B",IF(F1471&gt;0.625694444444444,IF(F1471&lt;0.8125,"Turno A",IF(F1471&gt;0.875,IF(F1471&lt;0.936805555555556,"Turno C",IF(F1471&gt;0.9375,IF(F1471&lt;0.979166666666667,"Turno B",""),"")),"")),"")),"")),"")),""))</f>
        <v>Turno B</v>
      </c>
      <c r="L1471" s="91">
        <f t="shared" si="22"/>
        <v>0.3125</v>
      </c>
    </row>
    <row r="1472" spans="1:12" s="40" customFormat="1">
      <c r="A1472">
        <v>14017495</v>
      </c>
      <c r="B1472" t="s">
        <v>743</v>
      </c>
      <c r="C1472" t="s">
        <v>429</v>
      </c>
      <c r="D1472" t="s">
        <v>179</v>
      </c>
      <c r="E1472" t="s">
        <v>1439</v>
      </c>
      <c r="F1472" s="78">
        <v>1.0474537037037037E-2</v>
      </c>
      <c r="G1472" t="s">
        <v>1406</v>
      </c>
      <c r="H1472" t="s">
        <v>1336</v>
      </c>
      <c r="I1472" s="88" t="str">
        <f>VLOOKUP(A1472,Base!A:B,2,0)</f>
        <v>14.017.495-5</v>
      </c>
      <c r="J1472" s="99" t="str">
        <f>VLOOKUP(A1472,Base!A:F,6,0)</f>
        <v>CARLOS EUGENIO  OYARCE  DIAZ</v>
      </c>
      <c r="K1472" s="89" t="str">
        <f>IFERROR(IF(VLOOKUP(I1472,Ingreso!K:P,6,0)=0,"Sin turtno ing",VLOOKUP(I1472,Ingreso!K:P,6,0)),IF(F1472&gt;0.25,IF(F1472&lt;0.311805555555556,"Turno A",IF(F1472&gt;0.3125,IF(F1472&lt;0.354166666666667,"Turno C",IF(F1472&gt;0.583333333333333,IF(F1472&lt;0.625,"Turno B",IF(F1472&gt;0.625694444444444,IF(F1472&lt;0.8125,"Turno A",IF(F1472&gt;0.875,IF(F1472&lt;0.936805555555556,"Turno C",IF(F1472&gt;0.9375,IF(F1472&lt;0.979166666666667,"Turno B",""),"")),"")),"")),"")),"")),""))</f>
        <v>Turno B</v>
      </c>
      <c r="L1472" s="91">
        <f t="shared" si="22"/>
        <v>0.3125</v>
      </c>
    </row>
    <row r="1473" spans="1:12" s="40" customFormat="1">
      <c r="A1473">
        <v>14017495</v>
      </c>
      <c r="B1473" t="s">
        <v>743</v>
      </c>
      <c r="C1473" t="s">
        <v>429</v>
      </c>
      <c r="D1473" t="s">
        <v>179</v>
      </c>
      <c r="E1473" t="s">
        <v>1439</v>
      </c>
      <c r="F1473" s="78">
        <v>0.98042824074074064</v>
      </c>
      <c r="G1473" t="s">
        <v>1406</v>
      </c>
      <c r="H1473" t="s">
        <v>1336</v>
      </c>
      <c r="I1473" s="88" t="str">
        <f>VLOOKUP(A1473,Base!A:B,2,0)</f>
        <v>14.017.495-5</v>
      </c>
      <c r="J1473" s="99" t="str">
        <f>VLOOKUP(A1473,Base!A:F,6,0)</f>
        <v>CARLOS EUGENIO  OYARCE  DIAZ</v>
      </c>
      <c r="K1473" s="89" t="str">
        <f>IFERROR(IF(VLOOKUP(I1473,Ingreso!K:P,6,0)=0,"Sin turtno ing",VLOOKUP(I1473,Ingreso!K:P,6,0)),IF(F1473&gt;0.25,IF(F1473&lt;0.311805555555556,"Turno A",IF(F1473&gt;0.3125,IF(F1473&lt;0.354166666666667,"Turno C",IF(F1473&gt;0.583333333333333,IF(F1473&lt;0.625,"Turno B",IF(F1473&gt;0.625694444444444,IF(F1473&lt;0.8125,"Turno A",IF(F1473&gt;0.875,IF(F1473&lt;0.936805555555556,"Turno C",IF(F1473&gt;0.9375,IF(F1473&lt;0.979166666666667,"Turno B",""),"")),"")),"")),"")),"")),""))</f>
        <v>Turno B</v>
      </c>
      <c r="L1473" s="91">
        <f t="shared" si="22"/>
        <v>0.3125</v>
      </c>
    </row>
    <row r="1474" spans="1:12" s="40" customFormat="1">
      <c r="A1474">
        <v>14017495</v>
      </c>
      <c r="B1474" t="s">
        <v>743</v>
      </c>
      <c r="C1474" t="s">
        <v>429</v>
      </c>
      <c r="D1474" t="s">
        <v>179</v>
      </c>
      <c r="E1474" t="s">
        <v>1439</v>
      </c>
      <c r="F1474" s="78">
        <v>0.62158564814814821</v>
      </c>
      <c r="G1474" t="s">
        <v>1405</v>
      </c>
      <c r="H1474" t="s">
        <v>1335</v>
      </c>
      <c r="I1474" s="88" t="str">
        <f>VLOOKUP(A1474,Base!A:B,2,0)</f>
        <v>14.017.495-5</v>
      </c>
      <c r="J1474" s="99" t="str">
        <f>VLOOKUP(A1474,Base!A:F,6,0)</f>
        <v>CARLOS EUGENIO  OYARCE  DIAZ</v>
      </c>
      <c r="K1474" s="89" t="str">
        <f>IFERROR(IF(VLOOKUP(I1474,Ingreso!K:P,6,0)=0,"Sin turtno ing",VLOOKUP(I1474,Ingreso!K:P,6,0)),IF(F1474&gt;0.25,IF(F1474&lt;0.311805555555556,"Turno A",IF(F1474&gt;0.3125,IF(F1474&lt;0.354166666666667,"Turno C",IF(F1474&gt;0.583333333333333,IF(F1474&lt;0.625,"Turno B",IF(F1474&gt;0.625694444444444,IF(F1474&lt;0.8125,"Turno A",IF(F1474&gt;0.875,IF(F1474&lt;0.936805555555556,"Turno C",IF(F1474&gt;0.9375,IF(F1474&lt;0.979166666666667,"Turno B",""),"")),"")),"")),"")),"")),""))</f>
        <v>Turno B</v>
      </c>
      <c r="L1474" s="91">
        <f t="shared" si="22"/>
        <v>0.3125</v>
      </c>
    </row>
    <row r="1475" spans="1:12" s="40" customFormat="1">
      <c r="A1475">
        <v>14095347</v>
      </c>
      <c r="B1475" t="s">
        <v>192</v>
      </c>
      <c r="C1475" t="s">
        <v>190</v>
      </c>
      <c r="D1475" t="s">
        <v>191</v>
      </c>
      <c r="E1475" t="s">
        <v>1440</v>
      </c>
      <c r="F1475" s="78">
        <v>0.83870370370370362</v>
      </c>
      <c r="G1475" t="s">
        <v>1406</v>
      </c>
      <c r="H1475" t="s">
        <v>1336</v>
      </c>
      <c r="I1475" s="88" t="str">
        <f>VLOOKUP(A1475,Base!A:B,2,0)</f>
        <v>14.095.347-4</v>
      </c>
      <c r="J1475" s="99" t="str">
        <f>VLOOKUP(A1475,Base!A:F,6,0)</f>
        <v>ANDRES NICOLAS  CAÑOLES  VERA</v>
      </c>
      <c r="K1475" s="89" t="str">
        <f>IFERROR(IF(VLOOKUP(I1475,Ingreso!K:P,6,0)=0,"Sin turtno ing",VLOOKUP(I1475,Ingreso!K:P,6,0)),IF(F1475&gt;0.25,IF(F1475&lt;0.311805555555556,"Turno A",IF(F1475&gt;0.3125,IF(F1475&lt;0.354166666666667,"Turno C",IF(F1475&gt;0.583333333333333,IF(F1475&lt;0.625,"Turno B",IF(F1475&gt;0.625694444444444,IF(F1475&lt;0.8125,"Turno A",IF(F1475&gt;0.875,IF(F1475&lt;0.936805555555556,"Turno C",IF(F1475&gt;0.9375,IF(F1475&lt;0.979166666666667,"Turno B",""),"")),"")),"")),"")),"")),""))</f>
        <v/>
      </c>
      <c r="L1475" s="91" t="e">
        <f t="shared" ref="L1475:L1538" si="23">VLOOKUP(K1475,$S$3:$T$7,2,0)</f>
        <v>#N/A</v>
      </c>
    </row>
    <row r="1476" spans="1:12" s="40" customFormat="1">
      <c r="A1476">
        <v>14095347</v>
      </c>
      <c r="B1476" t="s">
        <v>192</v>
      </c>
      <c r="C1476" t="s">
        <v>190</v>
      </c>
      <c r="D1476" t="s">
        <v>191</v>
      </c>
      <c r="E1476" t="s">
        <v>1440</v>
      </c>
      <c r="F1476" s="78">
        <v>0.332974537037037</v>
      </c>
      <c r="G1476" t="s">
        <v>1405</v>
      </c>
      <c r="H1476" t="s">
        <v>1335</v>
      </c>
      <c r="I1476" s="88" t="str">
        <f>VLOOKUP(A1476,Base!A:B,2,0)</f>
        <v>14.095.347-4</v>
      </c>
      <c r="J1476" s="99" t="str">
        <f>VLOOKUP(A1476,Base!A:F,6,0)</f>
        <v>ANDRES NICOLAS  CAÑOLES  VERA</v>
      </c>
      <c r="K1476" s="89" t="str">
        <f>IFERROR(IF(VLOOKUP(I1476,Ingreso!K:P,6,0)=0,"Sin turtno ing",VLOOKUP(I1476,Ingreso!K:P,6,0)),IF(F1476&gt;0.25,IF(F1476&lt;0.311805555555556,"Turno A",IF(F1476&gt;0.3125,IF(F1476&lt;0.354166666666667,"Turno C",IF(F1476&gt;0.583333333333333,IF(F1476&lt;0.625,"Turno B",IF(F1476&gt;0.625694444444444,IF(F1476&lt;0.8125,"Turno A",IF(F1476&gt;0.875,IF(F1476&lt;0.936805555555556,"Turno C",IF(F1476&gt;0.9375,IF(F1476&lt;0.979166666666667,"Turno B",""),"")),"")),"")),"")),"")),""))</f>
        <v>Turno C</v>
      </c>
      <c r="L1476" s="91">
        <f t="shared" si="23"/>
        <v>0.375</v>
      </c>
    </row>
    <row r="1477" spans="1:12" s="40" customFormat="1">
      <c r="A1477">
        <v>14095347</v>
      </c>
      <c r="B1477" t="s">
        <v>192</v>
      </c>
      <c r="C1477" t="s">
        <v>190</v>
      </c>
      <c r="D1477" t="s">
        <v>191</v>
      </c>
      <c r="E1477" t="s">
        <v>1441</v>
      </c>
      <c r="F1477" s="78">
        <v>0.63879629629629631</v>
      </c>
      <c r="G1477" t="s">
        <v>1406</v>
      </c>
      <c r="H1477" t="s">
        <v>1336</v>
      </c>
      <c r="I1477" s="88" t="str">
        <f>VLOOKUP(A1477,Base!A:B,2,0)</f>
        <v>14.095.347-4</v>
      </c>
      <c r="J1477" s="99" t="str">
        <f>VLOOKUP(A1477,Base!A:F,6,0)</f>
        <v>ANDRES NICOLAS  CAÑOLES  VERA</v>
      </c>
      <c r="K1477" s="89" t="str">
        <f>IFERROR(IF(VLOOKUP(I1477,Ingreso!K:P,6,0)=0,"Sin turtno ing",VLOOKUP(I1477,Ingreso!K:P,6,0)),IF(F1477&gt;0.25,IF(F1477&lt;0.311805555555556,"Turno A",IF(F1477&gt;0.3125,IF(F1477&lt;0.354166666666667,"Turno C",IF(F1477&gt;0.583333333333333,IF(F1477&lt;0.625,"Turno B",IF(F1477&gt;0.625694444444444,IF(F1477&lt;0.8125,"Turno A",IF(F1477&gt;0.875,IF(F1477&lt;0.936805555555556,"Turno C",IF(F1477&gt;0.9375,IF(F1477&lt;0.979166666666667,"Turno B",""),"")),"")),"")),"")),"")),""))</f>
        <v>Turno A</v>
      </c>
      <c r="L1477" s="91">
        <f t="shared" si="23"/>
        <v>0.3125</v>
      </c>
    </row>
    <row r="1478" spans="1:12" s="40" customFormat="1">
      <c r="A1478">
        <v>14095347</v>
      </c>
      <c r="B1478" t="s">
        <v>192</v>
      </c>
      <c r="C1478" t="s">
        <v>190</v>
      </c>
      <c r="D1478" t="s">
        <v>191</v>
      </c>
      <c r="E1478" t="s">
        <v>1441</v>
      </c>
      <c r="F1478" s="78">
        <v>0.31487268518518519</v>
      </c>
      <c r="G1478" t="s">
        <v>1405</v>
      </c>
      <c r="H1478" t="s">
        <v>1335</v>
      </c>
      <c r="I1478" s="88" t="str">
        <f>VLOOKUP(A1478,Base!A:B,2,0)</f>
        <v>14.095.347-4</v>
      </c>
      <c r="J1478" s="99" t="str">
        <f>VLOOKUP(A1478,Base!A:F,6,0)</f>
        <v>ANDRES NICOLAS  CAÑOLES  VERA</v>
      </c>
      <c r="K1478" s="89" t="str">
        <f>IFERROR(IF(VLOOKUP(I1478,Ingreso!K:P,6,0)=0,"Sin turtno ing",VLOOKUP(I1478,Ingreso!K:P,6,0)),IF(F1478&gt;0.25,IF(F1478&lt;0.311805555555556,"Turno A",IF(F1478&gt;0.3125,IF(F1478&lt;0.354166666666667,"Turno C",IF(F1478&gt;0.583333333333333,IF(F1478&lt;0.625,"Turno B",IF(F1478&gt;0.625694444444444,IF(F1478&lt;0.8125,"Turno A",IF(F1478&gt;0.875,IF(F1478&lt;0.936805555555556,"Turno C",IF(F1478&gt;0.9375,IF(F1478&lt;0.979166666666667,"Turno B",""),"")),"")),"")),"")),"")),""))</f>
        <v>Turno C</v>
      </c>
      <c r="L1478" s="91">
        <f t="shared" si="23"/>
        <v>0.375</v>
      </c>
    </row>
    <row r="1479" spans="1:12" s="40" customFormat="1">
      <c r="A1479">
        <v>14095347</v>
      </c>
      <c r="B1479" t="s">
        <v>192</v>
      </c>
      <c r="C1479" t="s">
        <v>190</v>
      </c>
      <c r="D1479" t="s">
        <v>191</v>
      </c>
      <c r="E1479" t="s">
        <v>1437</v>
      </c>
      <c r="F1479" s="78">
        <v>0.95157407407407402</v>
      </c>
      <c r="G1479" t="s">
        <v>1406</v>
      </c>
      <c r="H1479" t="s">
        <v>1336</v>
      </c>
      <c r="I1479" s="88" t="str">
        <f>VLOOKUP(A1479,Base!A:B,2,0)</f>
        <v>14.095.347-4</v>
      </c>
      <c r="J1479" s="99" t="str">
        <f>VLOOKUP(A1479,Base!A:F,6,0)</f>
        <v>ANDRES NICOLAS  CAÑOLES  VERA</v>
      </c>
      <c r="K1479" s="89" t="str">
        <f>IFERROR(IF(VLOOKUP(I1479,Ingreso!K:P,6,0)=0,"Sin turtno ing",VLOOKUP(I1479,Ingreso!K:P,6,0)),IF(F1479&gt;0.25,IF(F1479&lt;0.311805555555556,"Turno A",IF(F1479&gt;0.3125,IF(F1479&lt;0.354166666666667,"Turno C",IF(F1479&gt;0.583333333333333,IF(F1479&lt;0.625,"Turno B",IF(F1479&gt;0.625694444444444,IF(F1479&lt;0.8125,"Turno A",IF(F1479&gt;0.875,IF(F1479&lt;0.936805555555556,"Turno C",IF(F1479&gt;0.9375,IF(F1479&lt;0.979166666666667,"Turno B",""),"")),"")),"")),"")),"")),""))</f>
        <v>Turno B</v>
      </c>
      <c r="L1479" s="91">
        <f t="shared" si="23"/>
        <v>0.3125</v>
      </c>
    </row>
    <row r="1480" spans="1:12" s="40" customFormat="1">
      <c r="A1480">
        <v>14095347</v>
      </c>
      <c r="B1480" t="s">
        <v>192</v>
      </c>
      <c r="C1480" t="s">
        <v>190</v>
      </c>
      <c r="D1480" t="s">
        <v>191</v>
      </c>
      <c r="E1480" t="s">
        <v>1437</v>
      </c>
      <c r="F1480" s="78">
        <v>0.60564814814814816</v>
      </c>
      <c r="G1480" t="s">
        <v>1405</v>
      </c>
      <c r="H1480" t="s">
        <v>1335</v>
      </c>
      <c r="I1480" s="88" t="str">
        <f>VLOOKUP(A1480,Base!A:B,2,0)</f>
        <v>14.095.347-4</v>
      </c>
      <c r="J1480" s="99" t="str">
        <f>VLOOKUP(A1480,Base!A:F,6,0)</f>
        <v>ANDRES NICOLAS  CAÑOLES  VERA</v>
      </c>
      <c r="K1480" s="89" t="str">
        <f>IFERROR(IF(VLOOKUP(I1480,Ingreso!K:P,6,0)=0,"Sin turtno ing",VLOOKUP(I1480,Ingreso!K:P,6,0)),IF(F1480&gt;0.25,IF(F1480&lt;0.311805555555556,"Turno A",IF(F1480&gt;0.3125,IF(F1480&lt;0.354166666666667,"Turno C",IF(F1480&gt;0.583333333333333,IF(F1480&lt;0.625,"Turno B",IF(F1480&gt;0.625694444444444,IF(F1480&lt;0.8125,"Turno A",IF(F1480&gt;0.875,IF(F1480&lt;0.936805555555556,"Turno C",IF(F1480&gt;0.9375,IF(F1480&lt;0.979166666666667,"Turno B",""),"")),"")),"")),"")),"")),""))</f>
        <v>Turno B</v>
      </c>
      <c r="L1480" s="91">
        <f t="shared" si="23"/>
        <v>0.3125</v>
      </c>
    </row>
    <row r="1481" spans="1:12" s="40" customFormat="1">
      <c r="A1481">
        <v>14095347</v>
      </c>
      <c r="B1481" t="s">
        <v>192</v>
      </c>
      <c r="C1481" t="s">
        <v>190</v>
      </c>
      <c r="D1481" t="s">
        <v>191</v>
      </c>
      <c r="E1481" t="s">
        <v>1438</v>
      </c>
      <c r="F1481" s="78">
        <v>0.82597222222222222</v>
      </c>
      <c r="G1481" t="s">
        <v>1406</v>
      </c>
      <c r="H1481" t="s">
        <v>1336</v>
      </c>
      <c r="I1481" s="88" t="str">
        <f>VLOOKUP(A1481,Base!A:B,2,0)</f>
        <v>14.095.347-4</v>
      </c>
      <c r="J1481" s="99" t="str">
        <f>VLOOKUP(A1481,Base!A:F,6,0)</f>
        <v>ANDRES NICOLAS  CAÑOLES  VERA</v>
      </c>
      <c r="K1481" s="89" t="str">
        <f>IFERROR(IF(VLOOKUP(I1481,Ingreso!K:P,6,0)=0,"Sin turtno ing",VLOOKUP(I1481,Ingreso!K:P,6,0)),IF(F1481&gt;0.25,IF(F1481&lt;0.311805555555556,"Turno A",IF(F1481&gt;0.3125,IF(F1481&lt;0.354166666666667,"Turno C",IF(F1481&gt;0.583333333333333,IF(F1481&lt;0.625,"Turno B",IF(F1481&gt;0.625694444444444,IF(F1481&lt;0.8125,"Turno A",IF(F1481&gt;0.875,IF(F1481&lt;0.936805555555556,"Turno C",IF(F1481&gt;0.9375,IF(F1481&lt;0.979166666666667,"Turno B",""),"")),"")),"")),"")),"")),""))</f>
        <v/>
      </c>
      <c r="L1481" s="91" t="e">
        <f t="shared" si="23"/>
        <v>#N/A</v>
      </c>
    </row>
    <row r="1482" spans="1:12" s="40" customFormat="1">
      <c r="A1482">
        <v>14095347</v>
      </c>
      <c r="B1482" t="s">
        <v>192</v>
      </c>
      <c r="C1482" t="s">
        <v>190</v>
      </c>
      <c r="D1482" t="s">
        <v>191</v>
      </c>
      <c r="E1482" t="s">
        <v>1438</v>
      </c>
      <c r="F1482" s="78">
        <v>0.2970949074074074</v>
      </c>
      <c r="G1482" t="s">
        <v>1405</v>
      </c>
      <c r="H1482" t="s">
        <v>1335</v>
      </c>
      <c r="I1482" s="88" t="str">
        <f>VLOOKUP(A1482,Base!A:B,2,0)</f>
        <v>14.095.347-4</v>
      </c>
      <c r="J1482" s="99" t="str">
        <f>VLOOKUP(A1482,Base!A:F,6,0)</f>
        <v>ANDRES NICOLAS  CAÑOLES  VERA</v>
      </c>
      <c r="K1482" s="89" t="str">
        <f>IFERROR(IF(VLOOKUP(I1482,Ingreso!K:P,6,0)=0,"Sin turtno ing",VLOOKUP(I1482,Ingreso!K:P,6,0)),IF(F1482&gt;0.25,IF(F1482&lt;0.311805555555556,"Turno A",IF(F1482&gt;0.3125,IF(F1482&lt;0.354166666666667,"Turno C",IF(F1482&gt;0.583333333333333,IF(F1482&lt;0.625,"Turno B",IF(F1482&gt;0.625694444444444,IF(F1482&lt;0.8125,"Turno A",IF(F1482&gt;0.875,IF(F1482&lt;0.936805555555556,"Turno C",IF(F1482&gt;0.9375,IF(F1482&lt;0.979166666666667,"Turno B",""),"")),"")),"")),"")),"")),""))</f>
        <v>Turno A</v>
      </c>
      <c r="L1482" s="91">
        <f t="shared" si="23"/>
        <v>0.3125</v>
      </c>
    </row>
    <row r="1483" spans="1:12" s="40" customFormat="1">
      <c r="A1483">
        <v>14095347</v>
      </c>
      <c r="B1483" t="s">
        <v>192</v>
      </c>
      <c r="C1483" t="s">
        <v>190</v>
      </c>
      <c r="D1483" t="s">
        <v>191</v>
      </c>
      <c r="E1483" t="s">
        <v>1439</v>
      </c>
      <c r="F1483" s="78">
        <v>0.83046296296296296</v>
      </c>
      <c r="G1483" t="s">
        <v>1406</v>
      </c>
      <c r="H1483" t="s">
        <v>1336</v>
      </c>
      <c r="I1483" s="88" t="str">
        <f>VLOOKUP(A1483,Base!A:B,2,0)</f>
        <v>14.095.347-4</v>
      </c>
      <c r="J1483" s="99" t="str">
        <f>VLOOKUP(A1483,Base!A:F,6,0)</f>
        <v>ANDRES NICOLAS  CAÑOLES  VERA</v>
      </c>
      <c r="K1483" s="89" t="str">
        <f>IFERROR(IF(VLOOKUP(I1483,Ingreso!K:P,6,0)=0,"Sin turtno ing",VLOOKUP(I1483,Ingreso!K:P,6,0)),IF(F1483&gt;0.25,IF(F1483&lt;0.311805555555556,"Turno A",IF(F1483&gt;0.3125,IF(F1483&lt;0.354166666666667,"Turno C",IF(F1483&gt;0.583333333333333,IF(F1483&lt;0.625,"Turno B",IF(F1483&gt;0.625694444444444,IF(F1483&lt;0.8125,"Turno A",IF(F1483&gt;0.875,IF(F1483&lt;0.936805555555556,"Turno C",IF(F1483&gt;0.9375,IF(F1483&lt;0.979166666666667,"Turno B",""),"")),"")),"")),"")),"")),""))</f>
        <v/>
      </c>
      <c r="L1483" s="91" t="e">
        <f t="shared" si="23"/>
        <v>#N/A</v>
      </c>
    </row>
    <row r="1484" spans="1:12" s="40" customFormat="1">
      <c r="A1484">
        <v>14095347</v>
      </c>
      <c r="B1484" t="s">
        <v>192</v>
      </c>
      <c r="C1484" t="s">
        <v>190</v>
      </c>
      <c r="D1484" t="s">
        <v>191</v>
      </c>
      <c r="E1484" t="s">
        <v>1439</v>
      </c>
      <c r="F1484" s="78">
        <v>0.31054398148148149</v>
      </c>
      <c r="G1484" t="s">
        <v>1405</v>
      </c>
      <c r="H1484" t="s">
        <v>1335</v>
      </c>
      <c r="I1484" s="88" t="str">
        <f>VLOOKUP(A1484,Base!A:B,2,0)</f>
        <v>14.095.347-4</v>
      </c>
      <c r="J1484" s="99" t="str">
        <f>VLOOKUP(A1484,Base!A:F,6,0)</f>
        <v>ANDRES NICOLAS  CAÑOLES  VERA</v>
      </c>
      <c r="K1484" s="89" t="str">
        <f>IFERROR(IF(VLOOKUP(I1484,Ingreso!K:P,6,0)=0,"Sin turtno ing",VLOOKUP(I1484,Ingreso!K:P,6,0)),IF(F1484&gt;0.25,IF(F1484&lt;0.311805555555556,"Turno A",IF(F1484&gt;0.3125,IF(F1484&lt;0.354166666666667,"Turno C",IF(F1484&gt;0.583333333333333,IF(F1484&lt;0.625,"Turno B",IF(F1484&gt;0.625694444444444,IF(F1484&lt;0.8125,"Turno A",IF(F1484&gt;0.875,IF(F1484&lt;0.936805555555556,"Turno C",IF(F1484&gt;0.9375,IF(F1484&lt;0.979166666666667,"Turno B",""),"")),"")),"")),"")),"")),""))</f>
        <v>Turno A</v>
      </c>
      <c r="L1484" s="91">
        <f t="shared" si="23"/>
        <v>0.3125</v>
      </c>
    </row>
    <row r="1485" spans="1:12" s="40" customFormat="1">
      <c r="A1485">
        <v>14151454</v>
      </c>
      <c r="B1485" t="s">
        <v>563</v>
      </c>
      <c r="C1485" t="s">
        <v>150</v>
      </c>
      <c r="D1485" t="s">
        <v>562</v>
      </c>
      <c r="E1485" t="s">
        <v>1407</v>
      </c>
      <c r="F1485" s="78">
        <v>0</v>
      </c>
      <c r="G1485"/>
      <c r="H1485"/>
      <c r="I1485" s="88" t="str">
        <f>VLOOKUP(A1485,Base!A:B,2,0)</f>
        <v>14.151.454-7</v>
      </c>
      <c r="J1485" s="99" t="str">
        <f>VLOOKUP(A1485,Base!A:F,6,0)</f>
        <v>RODRIGO ESTEBAN  LOPEZ  CERVERA</v>
      </c>
      <c r="K1485" s="89" t="str">
        <f>IFERROR(IF(VLOOKUP(I1485,Ingreso!K:P,6,0)=0,"Sin turtno ing",VLOOKUP(I1485,Ingreso!K:P,6,0)),IF(F1485&gt;0.25,IF(F1485&lt;0.311805555555556,"Turno A",IF(F1485&gt;0.3125,IF(F1485&lt;0.354166666666667,"Turno C",IF(F1485&gt;0.583333333333333,IF(F1485&lt;0.625,"Turno B",IF(F1485&gt;0.625694444444444,IF(F1485&lt;0.8125,"Turno A",IF(F1485&gt;0.875,IF(F1485&lt;0.936805555555556,"Turno C",IF(F1485&gt;0.9375,IF(F1485&lt;0.979166666666667,"Turno B",""),"")),"")),"")),"")),"")),""))</f>
        <v/>
      </c>
      <c r="L1485" s="91" t="e">
        <f t="shared" si="23"/>
        <v>#N/A</v>
      </c>
    </row>
    <row r="1486" spans="1:12" s="40" customFormat="1">
      <c r="A1486">
        <v>14181387</v>
      </c>
      <c r="B1486" t="s">
        <v>304</v>
      </c>
      <c r="C1486" t="s">
        <v>302</v>
      </c>
      <c r="D1486" t="s">
        <v>303</v>
      </c>
      <c r="E1486" t="s">
        <v>1440</v>
      </c>
      <c r="F1486" s="78">
        <v>0.63164351851851852</v>
      </c>
      <c r="G1486" t="s">
        <v>1406</v>
      </c>
      <c r="H1486" t="s">
        <v>1336</v>
      </c>
      <c r="I1486" s="88" t="str">
        <f>VLOOKUP(A1486,Base!A:B,2,0)</f>
        <v>14.181.387-0</v>
      </c>
      <c r="J1486" s="99" t="str">
        <f>VLOOKUP(A1486,Base!A:F,6,0)</f>
        <v>JORGE ANDRES  DEL RIO  TRONCOSO</v>
      </c>
      <c r="K1486" s="89" t="str">
        <f>IFERROR(IF(VLOOKUP(I1486,Ingreso!K:P,6,0)=0,"Sin turtno ing",VLOOKUP(I1486,Ingreso!K:P,6,0)),IF(F1486&gt;0.25,IF(F1486&lt;0.311805555555556,"Turno A",IF(F1486&gt;0.3125,IF(F1486&lt;0.354166666666667,"Turno C",IF(F1486&gt;0.583333333333333,IF(F1486&lt;0.625,"Turno B",IF(F1486&gt;0.625694444444444,IF(F1486&lt;0.8125,"Turno A",IF(F1486&gt;0.875,IF(F1486&lt;0.936805555555556,"Turno C",IF(F1486&gt;0.9375,IF(F1486&lt;0.979166666666667,"Turno B",""),"")),"")),"")),"")),"")),""))</f>
        <v>Sin turtno ing</v>
      </c>
      <c r="L1486" s="91" t="e">
        <f t="shared" si="23"/>
        <v>#N/A</v>
      </c>
    </row>
    <row r="1487" spans="1:12" s="40" customFormat="1">
      <c r="A1487">
        <v>14181387</v>
      </c>
      <c r="B1487" t="s">
        <v>304</v>
      </c>
      <c r="C1487" t="s">
        <v>302</v>
      </c>
      <c r="D1487" t="s">
        <v>303</v>
      </c>
      <c r="E1487" t="s">
        <v>1440</v>
      </c>
      <c r="F1487" s="78">
        <v>0.29694444444444446</v>
      </c>
      <c r="G1487" t="s">
        <v>1405</v>
      </c>
      <c r="H1487" t="s">
        <v>1335</v>
      </c>
      <c r="I1487" s="88" t="str">
        <f>VLOOKUP(A1487,Base!A:B,2,0)</f>
        <v>14.181.387-0</v>
      </c>
      <c r="J1487" s="99" t="str">
        <f>VLOOKUP(A1487,Base!A:F,6,0)</f>
        <v>JORGE ANDRES  DEL RIO  TRONCOSO</v>
      </c>
      <c r="K1487" s="89" t="str">
        <f>IFERROR(IF(VLOOKUP(I1487,Ingreso!K:P,6,0)=0,"Sin turtno ing",VLOOKUP(I1487,Ingreso!K:P,6,0)),IF(F1487&gt;0.25,IF(F1487&lt;0.311805555555556,"Turno A",IF(F1487&gt;0.3125,IF(F1487&lt;0.354166666666667,"Turno C",IF(F1487&gt;0.583333333333333,IF(F1487&lt;0.625,"Turno B",IF(F1487&gt;0.625694444444444,IF(F1487&lt;0.8125,"Turno A",IF(F1487&gt;0.875,IF(F1487&lt;0.936805555555556,"Turno C",IF(F1487&gt;0.9375,IF(F1487&lt;0.979166666666667,"Turno B",""),"")),"")),"")),"")),"")),""))</f>
        <v>Sin turtno ing</v>
      </c>
      <c r="L1487" s="91" t="e">
        <f t="shared" si="23"/>
        <v>#N/A</v>
      </c>
    </row>
    <row r="1488" spans="1:12" s="40" customFormat="1">
      <c r="A1488">
        <v>14181387</v>
      </c>
      <c r="B1488" t="s">
        <v>304</v>
      </c>
      <c r="C1488" t="s">
        <v>302</v>
      </c>
      <c r="D1488" t="s">
        <v>303</v>
      </c>
      <c r="E1488" t="s">
        <v>1441</v>
      </c>
      <c r="F1488" s="78">
        <v>0.63974537037037038</v>
      </c>
      <c r="G1488" t="s">
        <v>1406</v>
      </c>
      <c r="H1488" t="s">
        <v>1336</v>
      </c>
      <c r="I1488" s="88" t="str">
        <f>VLOOKUP(A1488,Base!A:B,2,0)</f>
        <v>14.181.387-0</v>
      </c>
      <c r="J1488" s="99" t="str">
        <f>VLOOKUP(A1488,Base!A:F,6,0)</f>
        <v>JORGE ANDRES  DEL RIO  TRONCOSO</v>
      </c>
      <c r="K1488" s="89" t="str">
        <f>IFERROR(IF(VLOOKUP(I1488,Ingreso!K:P,6,0)=0,"Sin turtno ing",VLOOKUP(I1488,Ingreso!K:P,6,0)),IF(F1488&gt;0.25,IF(F1488&lt;0.311805555555556,"Turno A",IF(F1488&gt;0.3125,IF(F1488&lt;0.354166666666667,"Turno C",IF(F1488&gt;0.583333333333333,IF(F1488&lt;0.625,"Turno B",IF(F1488&gt;0.625694444444444,IF(F1488&lt;0.8125,"Turno A",IF(F1488&gt;0.875,IF(F1488&lt;0.936805555555556,"Turno C",IF(F1488&gt;0.9375,IF(F1488&lt;0.979166666666667,"Turno B",""),"")),"")),"")),"")),"")),""))</f>
        <v>Sin turtno ing</v>
      </c>
      <c r="L1488" s="91" t="e">
        <f t="shared" si="23"/>
        <v>#N/A</v>
      </c>
    </row>
    <row r="1489" spans="1:12" s="40" customFormat="1">
      <c r="A1489">
        <v>14181387</v>
      </c>
      <c r="B1489" t="s">
        <v>304</v>
      </c>
      <c r="C1489" t="s">
        <v>302</v>
      </c>
      <c r="D1489" t="s">
        <v>303</v>
      </c>
      <c r="E1489" t="s">
        <v>1441</v>
      </c>
      <c r="F1489" s="78">
        <v>0.29018518518518516</v>
      </c>
      <c r="G1489" t="s">
        <v>1405</v>
      </c>
      <c r="H1489" t="s">
        <v>1335</v>
      </c>
      <c r="I1489" s="88" t="str">
        <f>VLOOKUP(A1489,Base!A:B,2,0)</f>
        <v>14.181.387-0</v>
      </c>
      <c r="J1489" s="99" t="str">
        <f>VLOOKUP(A1489,Base!A:F,6,0)</f>
        <v>JORGE ANDRES  DEL RIO  TRONCOSO</v>
      </c>
      <c r="K1489" s="89" t="str">
        <f>IFERROR(IF(VLOOKUP(I1489,Ingreso!K:P,6,0)=0,"Sin turtno ing",VLOOKUP(I1489,Ingreso!K:P,6,0)),IF(F1489&gt;0.25,IF(F1489&lt;0.311805555555556,"Turno A",IF(F1489&gt;0.3125,IF(F1489&lt;0.354166666666667,"Turno C",IF(F1489&gt;0.583333333333333,IF(F1489&lt;0.625,"Turno B",IF(F1489&gt;0.625694444444444,IF(F1489&lt;0.8125,"Turno A",IF(F1489&gt;0.875,IF(F1489&lt;0.936805555555556,"Turno C",IF(F1489&gt;0.9375,IF(F1489&lt;0.979166666666667,"Turno B",""),"")),"")),"")),"")),"")),""))</f>
        <v>Sin turtno ing</v>
      </c>
      <c r="L1489" s="91" t="e">
        <f t="shared" si="23"/>
        <v>#N/A</v>
      </c>
    </row>
    <row r="1490" spans="1:12" s="40" customFormat="1">
      <c r="A1490">
        <v>14181387</v>
      </c>
      <c r="B1490" t="s">
        <v>304</v>
      </c>
      <c r="C1490" t="s">
        <v>302</v>
      </c>
      <c r="D1490" t="s">
        <v>303</v>
      </c>
      <c r="E1490" t="s">
        <v>1437</v>
      </c>
      <c r="F1490" s="78">
        <v>0.94103009259259263</v>
      </c>
      <c r="G1490" t="s">
        <v>1406</v>
      </c>
      <c r="H1490" t="s">
        <v>1336</v>
      </c>
      <c r="I1490" s="88" t="str">
        <f>VLOOKUP(A1490,Base!A:B,2,0)</f>
        <v>14.181.387-0</v>
      </c>
      <c r="J1490" s="99" t="str">
        <f>VLOOKUP(A1490,Base!A:F,6,0)</f>
        <v>JORGE ANDRES  DEL RIO  TRONCOSO</v>
      </c>
      <c r="K1490" s="89" t="str">
        <f>IFERROR(IF(VLOOKUP(I1490,Ingreso!K:P,6,0)=0,"Sin turtno ing",VLOOKUP(I1490,Ingreso!K:P,6,0)),IF(F1490&gt;0.25,IF(F1490&lt;0.311805555555556,"Turno A",IF(F1490&gt;0.3125,IF(F1490&lt;0.354166666666667,"Turno C",IF(F1490&gt;0.583333333333333,IF(F1490&lt;0.625,"Turno B",IF(F1490&gt;0.625694444444444,IF(F1490&lt;0.8125,"Turno A",IF(F1490&gt;0.875,IF(F1490&lt;0.936805555555556,"Turno C",IF(F1490&gt;0.9375,IF(F1490&lt;0.979166666666667,"Turno B",""),"")),"")),"")),"")),"")),""))</f>
        <v>Sin turtno ing</v>
      </c>
      <c r="L1490" s="91" t="e">
        <f t="shared" si="23"/>
        <v>#N/A</v>
      </c>
    </row>
    <row r="1491" spans="1:12" s="40" customFormat="1">
      <c r="A1491">
        <v>14181387</v>
      </c>
      <c r="B1491" t="s">
        <v>304</v>
      </c>
      <c r="C1491" t="s">
        <v>302</v>
      </c>
      <c r="D1491" t="s">
        <v>303</v>
      </c>
      <c r="E1491" t="s">
        <v>1437</v>
      </c>
      <c r="F1491" s="78">
        <v>0.60774305555555552</v>
      </c>
      <c r="G1491" t="s">
        <v>1405</v>
      </c>
      <c r="H1491" t="s">
        <v>1335</v>
      </c>
      <c r="I1491" s="88" t="str">
        <f>VLOOKUP(A1491,Base!A:B,2,0)</f>
        <v>14.181.387-0</v>
      </c>
      <c r="J1491" s="99" t="str">
        <f>VLOOKUP(A1491,Base!A:F,6,0)</f>
        <v>JORGE ANDRES  DEL RIO  TRONCOSO</v>
      </c>
      <c r="K1491" s="89" t="str">
        <f>IFERROR(IF(VLOOKUP(I1491,Ingreso!K:P,6,0)=0,"Sin turtno ing",VLOOKUP(I1491,Ingreso!K:P,6,0)),IF(F1491&gt;0.25,IF(F1491&lt;0.311805555555556,"Turno A",IF(F1491&gt;0.3125,IF(F1491&lt;0.354166666666667,"Turno C",IF(F1491&gt;0.583333333333333,IF(F1491&lt;0.625,"Turno B",IF(F1491&gt;0.625694444444444,IF(F1491&lt;0.8125,"Turno A",IF(F1491&gt;0.875,IF(F1491&lt;0.936805555555556,"Turno C",IF(F1491&gt;0.9375,IF(F1491&lt;0.979166666666667,"Turno B",""),"")),"")),"")),"")),"")),""))</f>
        <v>Sin turtno ing</v>
      </c>
      <c r="L1491" s="91" t="e">
        <f t="shared" si="23"/>
        <v>#N/A</v>
      </c>
    </row>
    <row r="1492" spans="1:12" s="40" customFormat="1">
      <c r="A1492">
        <v>14181387</v>
      </c>
      <c r="B1492" t="s">
        <v>304</v>
      </c>
      <c r="C1492" t="s">
        <v>302</v>
      </c>
      <c r="D1492" t="s">
        <v>303</v>
      </c>
      <c r="E1492" t="s">
        <v>1438</v>
      </c>
      <c r="F1492" s="78">
        <v>0.63282407407407404</v>
      </c>
      <c r="G1492" t="s">
        <v>1406</v>
      </c>
      <c r="H1492" t="s">
        <v>1336</v>
      </c>
      <c r="I1492" s="88" t="str">
        <f>VLOOKUP(A1492,Base!A:B,2,0)</f>
        <v>14.181.387-0</v>
      </c>
      <c r="J1492" s="99" t="str">
        <f>VLOOKUP(A1492,Base!A:F,6,0)</f>
        <v>JORGE ANDRES  DEL RIO  TRONCOSO</v>
      </c>
      <c r="K1492" s="89" t="str">
        <f>IFERROR(IF(VLOOKUP(I1492,Ingreso!K:P,6,0)=0,"Sin turtno ing",VLOOKUP(I1492,Ingreso!K:P,6,0)),IF(F1492&gt;0.25,IF(F1492&lt;0.311805555555556,"Turno A",IF(F1492&gt;0.3125,IF(F1492&lt;0.354166666666667,"Turno C",IF(F1492&gt;0.583333333333333,IF(F1492&lt;0.625,"Turno B",IF(F1492&gt;0.625694444444444,IF(F1492&lt;0.8125,"Turno A",IF(F1492&gt;0.875,IF(F1492&lt;0.936805555555556,"Turno C",IF(F1492&gt;0.9375,IF(F1492&lt;0.979166666666667,"Turno B",""),"")),"")),"")),"")),"")),""))</f>
        <v>Sin turtno ing</v>
      </c>
      <c r="L1492" s="91" t="e">
        <f t="shared" si="23"/>
        <v>#N/A</v>
      </c>
    </row>
    <row r="1493" spans="1:12" s="40" customFormat="1">
      <c r="A1493">
        <v>14181387</v>
      </c>
      <c r="B1493" t="s">
        <v>304</v>
      </c>
      <c r="C1493" t="s">
        <v>302</v>
      </c>
      <c r="D1493" t="s">
        <v>303</v>
      </c>
      <c r="E1493" t="s">
        <v>1438</v>
      </c>
      <c r="F1493" s="78">
        <v>0.29096064814814815</v>
      </c>
      <c r="G1493" t="s">
        <v>1405</v>
      </c>
      <c r="H1493" t="s">
        <v>1335</v>
      </c>
      <c r="I1493" s="88" t="str">
        <f>VLOOKUP(A1493,Base!A:B,2,0)</f>
        <v>14.181.387-0</v>
      </c>
      <c r="J1493" s="99" t="str">
        <f>VLOOKUP(A1493,Base!A:F,6,0)</f>
        <v>JORGE ANDRES  DEL RIO  TRONCOSO</v>
      </c>
      <c r="K1493" s="89" t="str">
        <f>IFERROR(IF(VLOOKUP(I1493,Ingreso!K:P,6,0)=0,"Sin turtno ing",VLOOKUP(I1493,Ingreso!K:P,6,0)),IF(F1493&gt;0.25,IF(F1493&lt;0.311805555555556,"Turno A",IF(F1493&gt;0.3125,IF(F1493&lt;0.354166666666667,"Turno C",IF(F1493&gt;0.583333333333333,IF(F1493&lt;0.625,"Turno B",IF(F1493&gt;0.625694444444444,IF(F1493&lt;0.8125,"Turno A",IF(F1493&gt;0.875,IF(F1493&lt;0.936805555555556,"Turno C",IF(F1493&gt;0.9375,IF(F1493&lt;0.979166666666667,"Turno B",""),"")),"")),"")),"")),"")),""))</f>
        <v>Sin turtno ing</v>
      </c>
      <c r="L1493" s="91" t="e">
        <f t="shared" si="23"/>
        <v>#N/A</v>
      </c>
    </row>
    <row r="1494" spans="1:12" s="40" customFormat="1">
      <c r="A1494">
        <v>14181387</v>
      </c>
      <c r="B1494" t="s">
        <v>304</v>
      </c>
      <c r="C1494" t="s">
        <v>302</v>
      </c>
      <c r="D1494" t="s">
        <v>303</v>
      </c>
      <c r="E1494" t="s">
        <v>1439</v>
      </c>
      <c r="F1494" s="78">
        <v>0.63162037037037033</v>
      </c>
      <c r="G1494" t="s">
        <v>1406</v>
      </c>
      <c r="H1494" t="s">
        <v>1336</v>
      </c>
      <c r="I1494" s="88" t="str">
        <f>VLOOKUP(A1494,Base!A:B,2,0)</f>
        <v>14.181.387-0</v>
      </c>
      <c r="J1494" s="99" t="str">
        <f>VLOOKUP(A1494,Base!A:F,6,0)</f>
        <v>JORGE ANDRES  DEL RIO  TRONCOSO</v>
      </c>
      <c r="K1494" s="89" t="str">
        <f>IFERROR(IF(VLOOKUP(I1494,Ingreso!K:P,6,0)=0,"Sin turtno ing",VLOOKUP(I1494,Ingreso!K:P,6,0)),IF(F1494&gt;0.25,IF(F1494&lt;0.311805555555556,"Turno A",IF(F1494&gt;0.3125,IF(F1494&lt;0.354166666666667,"Turno C",IF(F1494&gt;0.583333333333333,IF(F1494&lt;0.625,"Turno B",IF(F1494&gt;0.625694444444444,IF(F1494&lt;0.8125,"Turno A",IF(F1494&gt;0.875,IF(F1494&lt;0.936805555555556,"Turno C",IF(F1494&gt;0.9375,IF(F1494&lt;0.979166666666667,"Turno B",""),"")),"")),"")),"")),"")),""))</f>
        <v>Sin turtno ing</v>
      </c>
      <c r="L1494" s="91" t="e">
        <f t="shared" si="23"/>
        <v>#N/A</v>
      </c>
    </row>
    <row r="1495" spans="1:12" s="40" customFormat="1">
      <c r="A1495">
        <v>14181387</v>
      </c>
      <c r="B1495" t="s">
        <v>304</v>
      </c>
      <c r="C1495" t="s">
        <v>302</v>
      </c>
      <c r="D1495" t="s">
        <v>303</v>
      </c>
      <c r="E1495" t="s">
        <v>1439</v>
      </c>
      <c r="F1495" s="78">
        <v>0.29591435185185183</v>
      </c>
      <c r="G1495" t="s">
        <v>1405</v>
      </c>
      <c r="H1495" t="s">
        <v>1335</v>
      </c>
      <c r="I1495" s="88" t="str">
        <f>VLOOKUP(A1495,Base!A:B,2,0)</f>
        <v>14.181.387-0</v>
      </c>
      <c r="J1495" s="99" t="str">
        <f>VLOOKUP(A1495,Base!A:F,6,0)</f>
        <v>JORGE ANDRES  DEL RIO  TRONCOSO</v>
      </c>
      <c r="K1495" s="89" t="str">
        <f>IFERROR(IF(VLOOKUP(I1495,Ingreso!K:P,6,0)=0,"Sin turtno ing",VLOOKUP(I1495,Ingreso!K:P,6,0)),IF(F1495&gt;0.25,IF(F1495&lt;0.311805555555556,"Turno A",IF(F1495&gt;0.3125,IF(F1495&lt;0.354166666666667,"Turno C",IF(F1495&gt;0.583333333333333,IF(F1495&lt;0.625,"Turno B",IF(F1495&gt;0.625694444444444,IF(F1495&lt;0.8125,"Turno A",IF(F1495&gt;0.875,IF(F1495&lt;0.936805555555556,"Turno C",IF(F1495&gt;0.9375,IF(F1495&lt;0.979166666666667,"Turno B",""),"")),"")),"")),"")),"")),""))</f>
        <v>Sin turtno ing</v>
      </c>
      <c r="L1495" s="91" t="e">
        <f t="shared" si="23"/>
        <v>#N/A</v>
      </c>
    </row>
    <row r="1496" spans="1:12" s="40" customFormat="1">
      <c r="A1496">
        <v>14182371</v>
      </c>
      <c r="B1496" t="s">
        <v>1080</v>
      </c>
      <c r="C1496" t="s">
        <v>191</v>
      </c>
      <c r="D1496" t="s">
        <v>1079</v>
      </c>
      <c r="E1496" t="s">
        <v>1440</v>
      </c>
      <c r="F1496" s="78">
        <v>0.32579861111111114</v>
      </c>
      <c r="G1496" t="s">
        <v>1406</v>
      </c>
      <c r="H1496" t="s">
        <v>1336</v>
      </c>
      <c r="I1496" s="88" t="str">
        <f>VLOOKUP(A1496,Base!A:B,2,0)</f>
        <v>14.182.371-K</v>
      </c>
      <c r="J1496" s="99" t="str">
        <f>VLOOKUP(A1496,Base!A:F,6,0)</f>
        <v>OSCAR EDUARDO  VERA  PALAVECINO</v>
      </c>
      <c r="K1496" s="89" t="str">
        <f>IFERROR(IF(VLOOKUP(I1496,Ingreso!K:P,6,0)=0,"Sin turtno ing",VLOOKUP(I1496,Ingreso!K:P,6,0)),IF(F1496&gt;0.25,IF(F1496&lt;0.311805555555556,"Turno A",IF(F1496&gt;0.3125,IF(F1496&lt;0.354166666666667,"Turno C",IF(F1496&gt;0.583333333333333,IF(F1496&lt;0.625,"Turno B",IF(F1496&gt;0.625694444444444,IF(F1496&lt;0.8125,"Turno A",IF(F1496&gt;0.875,IF(F1496&lt;0.936805555555556,"Turno C",IF(F1496&gt;0.9375,IF(F1496&lt;0.979166666666667,"Turno B",""),"")),"")),"")),"")),"")),""))</f>
        <v>Turno C</v>
      </c>
      <c r="L1496" s="91">
        <f t="shared" si="23"/>
        <v>0.375</v>
      </c>
    </row>
    <row r="1497" spans="1:12" s="40" customFormat="1">
      <c r="A1497">
        <v>14182371</v>
      </c>
      <c r="B1497" t="s">
        <v>1080</v>
      </c>
      <c r="C1497" t="s">
        <v>191</v>
      </c>
      <c r="D1497" t="s">
        <v>1079</v>
      </c>
      <c r="E1497" t="s">
        <v>1440</v>
      </c>
      <c r="F1497" s="78">
        <v>0.91990740740740751</v>
      </c>
      <c r="G1497" t="s">
        <v>1405</v>
      </c>
      <c r="H1497" t="s">
        <v>1335</v>
      </c>
      <c r="I1497" s="88" t="str">
        <f>VLOOKUP(A1497,Base!A:B,2,0)</f>
        <v>14.182.371-K</v>
      </c>
      <c r="J1497" s="99" t="str">
        <f>VLOOKUP(A1497,Base!A:F,6,0)</f>
        <v>OSCAR EDUARDO  VERA  PALAVECINO</v>
      </c>
      <c r="K1497" s="89" t="str">
        <f>IFERROR(IF(VLOOKUP(I1497,Ingreso!K:P,6,0)=0,"Sin turtno ing",VLOOKUP(I1497,Ingreso!K:P,6,0)),IF(F1497&gt;0.25,IF(F1497&lt;0.311805555555556,"Turno A",IF(F1497&gt;0.3125,IF(F1497&lt;0.354166666666667,"Turno C",IF(F1497&gt;0.583333333333333,IF(F1497&lt;0.625,"Turno B",IF(F1497&gt;0.625694444444444,IF(F1497&lt;0.8125,"Turno A",IF(F1497&gt;0.875,IF(F1497&lt;0.936805555555556,"Turno C",IF(F1497&gt;0.9375,IF(F1497&lt;0.979166666666667,"Turno B",""),"")),"")),"")),"")),"")),""))</f>
        <v>Turno C</v>
      </c>
      <c r="L1497" s="91">
        <f t="shared" si="23"/>
        <v>0.375</v>
      </c>
    </row>
    <row r="1498" spans="1:12" s="40" customFormat="1">
      <c r="A1498">
        <v>14182371</v>
      </c>
      <c r="B1498" t="s">
        <v>1080</v>
      </c>
      <c r="C1498" t="s">
        <v>191</v>
      </c>
      <c r="D1498" t="s">
        <v>1079</v>
      </c>
      <c r="E1498" t="s">
        <v>1441</v>
      </c>
      <c r="F1498" s="78">
        <v>0.32730324074074074</v>
      </c>
      <c r="G1498" t="s">
        <v>1406</v>
      </c>
      <c r="H1498" t="s">
        <v>1336</v>
      </c>
      <c r="I1498" s="88" t="str">
        <f>VLOOKUP(A1498,Base!A:B,2,0)</f>
        <v>14.182.371-K</v>
      </c>
      <c r="J1498" s="99" t="str">
        <f>VLOOKUP(A1498,Base!A:F,6,0)</f>
        <v>OSCAR EDUARDO  VERA  PALAVECINO</v>
      </c>
      <c r="K1498" s="89" t="str">
        <f>IFERROR(IF(VLOOKUP(I1498,Ingreso!K:P,6,0)=0,"Sin turtno ing",VLOOKUP(I1498,Ingreso!K:P,6,0)),IF(F1498&gt;0.25,IF(F1498&lt;0.311805555555556,"Turno A",IF(F1498&gt;0.3125,IF(F1498&lt;0.354166666666667,"Turno C",IF(F1498&gt;0.583333333333333,IF(F1498&lt;0.625,"Turno B",IF(F1498&gt;0.625694444444444,IF(F1498&lt;0.8125,"Turno A",IF(F1498&gt;0.875,IF(F1498&lt;0.936805555555556,"Turno C",IF(F1498&gt;0.9375,IF(F1498&lt;0.979166666666667,"Turno B",""),"")),"")),"")),"")),"")),""))</f>
        <v>Turno C</v>
      </c>
      <c r="L1498" s="91">
        <f t="shared" si="23"/>
        <v>0.375</v>
      </c>
    </row>
    <row r="1499" spans="1:12" s="40" customFormat="1">
      <c r="A1499">
        <v>14182371</v>
      </c>
      <c r="B1499" t="s">
        <v>1080</v>
      </c>
      <c r="C1499" t="s">
        <v>191</v>
      </c>
      <c r="D1499" t="s">
        <v>1079</v>
      </c>
      <c r="E1499" t="s">
        <v>1437</v>
      </c>
      <c r="F1499" s="78">
        <v>0.9175578703703704</v>
      </c>
      <c r="G1499" t="s">
        <v>1405</v>
      </c>
      <c r="H1499" t="s">
        <v>1335</v>
      </c>
      <c r="I1499" s="88" t="str">
        <f>VLOOKUP(A1499,Base!A:B,2,0)</f>
        <v>14.182.371-K</v>
      </c>
      <c r="J1499" s="99" t="str">
        <f>VLOOKUP(A1499,Base!A:F,6,0)</f>
        <v>OSCAR EDUARDO  VERA  PALAVECINO</v>
      </c>
      <c r="K1499" s="89" t="str">
        <f>IFERROR(IF(VLOOKUP(I1499,Ingreso!K:P,6,0)=0,"Sin turtno ing",VLOOKUP(I1499,Ingreso!K:P,6,0)),IF(F1499&gt;0.25,IF(F1499&lt;0.311805555555556,"Turno A",IF(F1499&gt;0.3125,IF(F1499&lt;0.354166666666667,"Turno C",IF(F1499&gt;0.583333333333333,IF(F1499&lt;0.625,"Turno B",IF(F1499&gt;0.625694444444444,IF(F1499&lt;0.8125,"Turno A",IF(F1499&gt;0.875,IF(F1499&lt;0.936805555555556,"Turno C",IF(F1499&gt;0.9375,IF(F1499&lt;0.979166666666667,"Turno B",""),"")),"")),"")),"")),"")),""))</f>
        <v>Turno C</v>
      </c>
      <c r="L1499" s="91">
        <f t="shared" si="23"/>
        <v>0.375</v>
      </c>
    </row>
    <row r="1500" spans="1:12" s="40" customFormat="1">
      <c r="A1500">
        <v>14182371</v>
      </c>
      <c r="B1500" t="s">
        <v>1080</v>
      </c>
      <c r="C1500" t="s">
        <v>191</v>
      </c>
      <c r="D1500" t="s">
        <v>1079</v>
      </c>
      <c r="E1500" t="s">
        <v>1438</v>
      </c>
      <c r="F1500" s="78">
        <v>0.32444444444444448</v>
      </c>
      <c r="G1500" t="s">
        <v>1406</v>
      </c>
      <c r="H1500" t="s">
        <v>1336</v>
      </c>
      <c r="I1500" s="88" t="str">
        <f>VLOOKUP(A1500,Base!A:B,2,0)</f>
        <v>14.182.371-K</v>
      </c>
      <c r="J1500" s="99" t="str">
        <f>VLOOKUP(A1500,Base!A:F,6,0)</f>
        <v>OSCAR EDUARDO  VERA  PALAVECINO</v>
      </c>
      <c r="K1500" s="89" t="str">
        <f>IFERROR(IF(VLOOKUP(I1500,Ingreso!K:P,6,0)=0,"Sin turtno ing",VLOOKUP(I1500,Ingreso!K:P,6,0)),IF(F1500&gt;0.25,IF(F1500&lt;0.311805555555556,"Turno A",IF(F1500&gt;0.3125,IF(F1500&lt;0.354166666666667,"Turno C",IF(F1500&gt;0.583333333333333,IF(F1500&lt;0.625,"Turno B",IF(F1500&gt;0.625694444444444,IF(F1500&lt;0.8125,"Turno A",IF(F1500&gt;0.875,IF(F1500&lt;0.936805555555556,"Turno C",IF(F1500&gt;0.9375,IF(F1500&lt;0.979166666666667,"Turno B",""),"")),"")),"")),"")),"")),""))</f>
        <v>Turno C</v>
      </c>
      <c r="L1500" s="91">
        <f t="shared" si="23"/>
        <v>0.375</v>
      </c>
    </row>
    <row r="1501" spans="1:12" s="40" customFormat="1">
      <c r="A1501">
        <v>14182371</v>
      </c>
      <c r="B1501" t="s">
        <v>1080</v>
      </c>
      <c r="C1501" t="s">
        <v>191</v>
      </c>
      <c r="D1501" t="s">
        <v>1079</v>
      </c>
      <c r="E1501" t="s">
        <v>1438</v>
      </c>
      <c r="F1501" s="78">
        <v>0.9194444444444444</v>
      </c>
      <c r="G1501" t="s">
        <v>1405</v>
      </c>
      <c r="H1501" t="s">
        <v>1335</v>
      </c>
      <c r="I1501" s="88" t="str">
        <f>VLOOKUP(A1501,Base!A:B,2,0)</f>
        <v>14.182.371-K</v>
      </c>
      <c r="J1501" s="99" t="str">
        <f>VLOOKUP(A1501,Base!A:F,6,0)</f>
        <v>OSCAR EDUARDO  VERA  PALAVECINO</v>
      </c>
      <c r="K1501" s="89" t="str">
        <f>IFERROR(IF(VLOOKUP(I1501,Ingreso!K:P,6,0)=0,"Sin turtno ing",VLOOKUP(I1501,Ingreso!K:P,6,0)),IF(F1501&gt;0.25,IF(F1501&lt;0.311805555555556,"Turno A",IF(F1501&gt;0.3125,IF(F1501&lt;0.354166666666667,"Turno C",IF(F1501&gt;0.583333333333333,IF(F1501&lt;0.625,"Turno B",IF(F1501&gt;0.625694444444444,IF(F1501&lt;0.8125,"Turno A",IF(F1501&gt;0.875,IF(F1501&lt;0.936805555555556,"Turno C",IF(F1501&gt;0.9375,IF(F1501&lt;0.979166666666667,"Turno B",""),"")),"")),"")),"")),"")),""))</f>
        <v>Turno C</v>
      </c>
      <c r="L1501" s="91">
        <f t="shared" si="23"/>
        <v>0.375</v>
      </c>
    </row>
    <row r="1502" spans="1:12" s="40" customFormat="1">
      <c r="A1502">
        <v>14182371</v>
      </c>
      <c r="B1502" t="s">
        <v>1080</v>
      </c>
      <c r="C1502" t="s">
        <v>191</v>
      </c>
      <c r="D1502" t="s">
        <v>1079</v>
      </c>
      <c r="E1502" t="s">
        <v>1439</v>
      </c>
      <c r="F1502" s="78">
        <v>0.32900462962962962</v>
      </c>
      <c r="G1502" t="s">
        <v>1406</v>
      </c>
      <c r="H1502" t="s">
        <v>1336</v>
      </c>
      <c r="I1502" s="88" t="str">
        <f>VLOOKUP(A1502,Base!A:B,2,0)</f>
        <v>14.182.371-K</v>
      </c>
      <c r="J1502" s="99" t="str">
        <f>VLOOKUP(A1502,Base!A:F,6,0)</f>
        <v>OSCAR EDUARDO  VERA  PALAVECINO</v>
      </c>
      <c r="K1502" s="89" t="str">
        <f>IFERROR(IF(VLOOKUP(I1502,Ingreso!K:P,6,0)=0,"Sin turtno ing",VLOOKUP(I1502,Ingreso!K:P,6,0)),IF(F1502&gt;0.25,IF(F1502&lt;0.311805555555556,"Turno A",IF(F1502&gt;0.3125,IF(F1502&lt;0.354166666666667,"Turno C",IF(F1502&gt;0.583333333333333,IF(F1502&lt;0.625,"Turno B",IF(F1502&gt;0.625694444444444,IF(F1502&lt;0.8125,"Turno A",IF(F1502&gt;0.875,IF(F1502&lt;0.936805555555556,"Turno C",IF(F1502&gt;0.9375,IF(F1502&lt;0.979166666666667,"Turno B",""),"")),"")),"")),"")),"")),""))</f>
        <v>Turno C</v>
      </c>
      <c r="L1502" s="91">
        <f t="shared" si="23"/>
        <v>0.375</v>
      </c>
    </row>
    <row r="1503" spans="1:12" s="40" customFormat="1">
      <c r="A1503">
        <v>14182371</v>
      </c>
      <c r="B1503" t="s">
        <v>1080</v>
      </c>
      <c r="C1503" t="s">
        <v>191</v>
      </c>
      <c r="D1503" t="s">
        <v>1079</v>
      </c>
      <c r="E1503" t="s">
        <v>1439</v>
      </c>
      <c r="F1503" s="78">
        <v>0.91736111111111107</v>
      </c>
      <c r="G1503" t="s">
        <v>1405</v>
      </c>
      <c r="H1503" t="s">
        <v>1335</v>
      </c>
      <c r="I1503" s="88" t="str">
        <f>VLOOKUP(A1503,Base!A:B,2,0)</f>
        <v>14.182.371-K</v>
      </c>
      <c r="J1503" s="99" t="str">
        <f>VLOOKUP(A1503,Base!A:F,6,0)</f>
        <v>OSCAR EDUARDO  VERA  PALAVECINO</v>
      </c>
      <c r="K1503" s="89" t="str">
        <f>IFERROR(IF(VLOOKUP(I1503,Ingreso!K:P,6,0)=0,"Sin turtno ing",VLOOKUP(I1503,Ingreso!K:P,6,0)),IF(F1503&gt;0.25,IF(F1503&lt;0.311805555555556,"Turno A",IF(F1503&gt;0.3125,IF(F1503&lt;0.354166666666667,"Turno C",IF(F1503&gt;0.583333333333333,IF(F1503&lt;0.625,"Turno B",IF(F1503&gt;0.625694444444444,IF(F1503&lt;0.8125,"Turno A",IF(F1503&gt;0.875,IF(F1503&lt;0.936805555555556,"Turno C",IF(F1503&gt;0.9375,IF(F1503&lt;0.979166666666667,"Turno B",""),"")),"")),"")),"")),"")),""))</f>
        <v>Turno C</v>
      </c>
      <c r="L1503" s="91">
        <f t="shared" si="23"/>
        <v>0.375</v>
      </c>
    </row>
    <row r="1504" spans="1:12" s="40" customFormat="1">
      <c r="A1504">
        <v>14185109</v>
      </c>
      <c r="B1504" t="s">
        <v>876</v>
      </c>
      <c r="C1504" t="s">
        <v>76</v>
      </c>
      <c r="D1504" t="s">
        <v>397</v>
      </c>
      <c r="E1504" t="s">
        <v>1440</v>
      </c>
      <c r="F1504" s="78">
        <v>0.32043981481481482</v>
      </c>
      <c r="G1504" t="s">
        <v>1406</v>
      </c>
      <c r="H1504" t="s">
        <v>1336</v>
      </c>
      <c r="I1504" s="88" t="str">
        <f>VLOOKUP(A1504,Base!A:B,2,0)</f>
        <v>14.185.109-8</v>
      </c>
      <c r="J1504" s="99" t="str">
        <f>VLOOKUP(A1504,Base!A:F,6,0)</f>
        <v>GUILLERMO ANTONIO  REYES  FUENZALIDA</v>
      </c>
      <c r="K1504" s="89" t="str">
        <f>IFERROR(IF(VLOOKUP(I1504,Ingreso!K:P,6,0)=0,"Sin turtno ing",VLOOKUP(I1504,Ingreso!K:P,6,0)),IF(F1504&gt;0.25,IF(F1504&lt;0.311805555555556,"Turno A",IF(F1504&gt;0.3125,IF(F1504&lt;0.354166666666667,"Turno C",IF(F1504&gt;0.583333333333333,IF(F1504&lt;0.625,"Turno B",IF(F1504&gt;0.625694444444444,IF(F1504&lt;0.8125,"Turno A",IF(F1504&gt;0.875,IF(F1504&lt;0.936805555555556,"Turno C",IF(F1504&gt;0.9375,IF(F1504&lt;0.979166666666667,"Turno B",""),"")),"")),"")),"")),"")),""))</f>
        <v>Turno C</v>
      </c>
      <c r="L1504" s="91">
        <f t="shared" si="23"/>
        <v>0.375</v>
      </c>
    </row>
    <row r="1505" spans="1:12" s="40" customFormat="1">
      <c r="A1505">
        <v>14185109</v>
      </c>
      <c r="B1505" t="s">
        <v>876</v>
      </c>
      <c r="C1505" t="s">
        <v>76</v>
      </c>
      <c r="D1505" t="s">
        <v>397</v>
      </c>
      <c r="E1505" t="s">
        <v>1440</v>
      </c>
      <c r="F1505" s="78">
        <v>0.92634259259259266</v>
      </c>
      <c r="G1505" t="s">
        <v>1405</v>
      </c>
      <c r="H1505" t="s">
        <v>1335</v>
      </c>
      <c r="I1505" s="88" t="str">
        <f>VLOOKUP(A1505,Base!A:B,2,0)</f>
        <v>14.185.109-8</v>
      </c>
      <c r="J1505" s="99" t="str">
        <f>VLOOKUP(A1505,Base!A:F,6,0)</f>
        <v>GUILLERMO ANTONIO  REYES  FUENZALIDA</v>
      </c>
      <c r="K1505" s="89" t="str">
        <f>IFERROR(IF(VLOOKUP(I1505,Ingreso!K:P,6,0)=0,"Sin turtno ing",VLOOKUP(I1505,Ingreso!K:P,6,0)),IF(F1505&gt;0.25,IF(F1505&lt;0.311805555555556,"Turno A",IF(F1505&gt;0.3125,IF(F1505&lt;0.354166666666667,"Turno C",IF(F1505&gt;0.583333333333333,IF(F1505&lt;0.625,"Turno B",IF(F1505&gt;0.625694444444444,IF(F1505&lt;0.8125,"Turno A",IF(F1505&gt;0.875,IF(F1505&lt;0.936805555555556,"Turno C",IF(F1505&gt;0.9375,IF(F1505&lt;0.979166666666667,"Turno B",""),"")),"")),"")),"")),"")),""))</f>
        <v>Turno C</v>
      </c>
      <c r="L1505" s="91">
        <f t="shared" si="23"/>
        <v>0.375</v>
      </c>
    </row>
    <row r="1506" spans="1:12" s="40" customFormat="1">
      <c r="A1506">
        <v>14185109</v>
      </c>
      <c r="B1506" t="s">
        <v>876</v>
      </c>
      <c r="C1506" t="s">
        <v>76</v>
      </c>
      <c r="D1506" t="s">
        <v>397</v>
      </c>
      <c r="E1506" t="s">
        <v>1441</v>
      </c>
      <c r="F1506" s="78">
        <v>0.32210648148148152</v>
      </c>
      <c r="G1506" t="s">
        <v>1406</v>
      </c>
      <c r="H1506" t="s">
        <v>1336</v>
      </c>
      <c r="I1506" s="88" t="str">
        <f>VLOOKUP(A1506,Base!A:B,2,0)</f>
        <v>14.185.109-8</v>
      </c>
      <c r="J1506" s="99" t="str">
        <f>VLOOKUP(A1506,Base!A:F,6,0)</f>
        <v>GUILLERMO ANTONIO  REYES  FUENZALIDA</v>
      </c>
      <c r="K1506" s="89" t="str">
        <f>IFERROR(IF(VLOOKUP(I1506,Ingreso!K:P,6,0)=0,"Sin turtno ing",VLOOKUP(I1506,Ingreso!K:P,6,0)),IF(F1506&gt;0.25,IF(F1506&lt;0.311805555555556,"Turno A",IF(F1506&gt;0.3125,IF(F1506&lt;0.354166666666667,"Turno C",IF(F1506&gt;0.583333333333333,IF(F1506&lt;0.625,"Turno B",IF(F1506&gt;0.625694444444444,IF(F1506&lt;0.8125,"Turno A",IF(F1506&gt;0.875,IF(F1506&lt;0.936805555555556,"Turno C",IF(F1506&gt;0.9375,IF(F1506&lt;0.979166666666667,"Turno B",""),"")),"")),"")),"")),"")),""))</f>
        <v>Turno C</v>
      </c>
      <c r="L1506" s="91">
        <f t="shared" si="23"/>
        <v>0.375</v>
      </c>
    </row>
    <row r="1507" spans="1:12" s="40" customFormat="1">
      <c r="A1507">
        <v>14185109</v>
      </c>
      <c r="B1507" t="s">
        <v>876</v>
      </c>
      <c r="C1507" t="s">
        <v>76</v>
      </c>
      <c r="D1507" t="s">
        <v>397</v>
      </c>
      <c r="E1507" t="s">
        <v>1437</v>
      </c>
      <c r="F1507" s="78">
        <v>0.92434027777777772</v>
      </c>
      <c r="G1507" t="s">
        <v>1405</v>
      </c>
      <c r="H1507" t="s">
        <v>1335</v>
      </c>
      <c r="I1507" s="88" t="str">
        <f>VLOOKUP(A1507,Base!A:B,2,0)</f>
        <v>14.185.109-8</v>
      </c>
      <c r="J1507" s="99" t="str">
        <f>VLOOKUP(A1507,Base!A:F,6,0)</f>
        <v>GUILLERMO ANTONIO  REYES  FUENZALIDA</v>
      </c>
      <c r="K1507" s="89" t="str">
        <f>IFERROR(IF(VLOOKUP(I1507,Ingreso!K:P,6,0)=0,"Sin turtno ing",VLOOKUP(I1507,Ingreso!K:P,6,0)),IF(F1507&gt;0.25,IF(F1507&lt;0.311805555555556,"Turno A",IF(F1507&gt;0.3125,IF(F1507&lt;0.354166666666667,"Turno C",IF(F1507&gt;0.583333333333333,IF(F1507&lt;0.625,"Turno B",IF(F1507&gt;0.625694444444444,IF(F1507&lt;0.8125,"Turno A",IF(F1507&gt;0.875,IF(F1507&lt;0.936805555555556,"Turno C",IF(F1507&gt;0.9375,IF(F1507&lt;0.979166666666667,"Turno B",""),"")),"")),"")),"")),"")),""))</f>
        <v>Turno C</v>
      </c>
      <c r="L1507" s="91">
        <f t="shared" si="23"/>
        <v>0.375</v>
      </c>
    </row>
    <row r="1508" spans="1:12" s="40" customFormat="1">
      <c r="A1508">
        <v>14185109</v>
      </c>
      <c r="B1508" t="s">
        <v>876</v>
      </c>
      <c r="C1508" t="s">
        <v>76</v>
      </c>
      <c r="D1508" t="s">
        <v>397</v>
      </c>
      <c r="E1508" t="s">
        <v>1438</v>
      </c>
      <c r="F1508" s="78">
        <v>0.3175694444444444</v>
      </c>
      <c r="G1508" t="s">
        <v>1406</v>
      </c>
      <c r="H1508" t="s">
        <v>1336</v>
      </c>
      <c r="I1508" s="88" t="str">
        <f>VLOOKUP(A1508,Base!A:B,2,0)</f>
        <v>14.185.109-8</v>
      </c>
      <c r="J1508" s="99" t="str">
        <f>VLOOKUP(A1508,Base!A:F,6,0)</f>
        <v>GUILLERMO ANTONIO  REYES  FUENZALIDA</v>
      </c>
      <c r="K1508" s="89" t="str">
        <f>IFERROR(IF(VLOOKUP(I1508,Ingreso!K:P,6,0)=0,"Sin turtno ing",VLOOKUP(I1508,Ingreso!K:P,6,0)),IF(F1508&gt;0.25,IF(F1508&lt;0.311805555555556,"Turno A",IF(F1508&gt;0.3125,IF(F1508&lt;0.354166666666667,"Turno C",IF(F1508&gt;0.583333333333333,IF(F1508&lt;0.625,"Turno B",IF(F1508&gt;0.625694444444444,IF(F1508&lt;0.8125,"Turno A",IF(F1508&gt;0.875,IF(F1508&lt;0.936805555555556,"Turno C",IF(F1508&gt;0.9375,IF(F1508&lt;0.979166666666667,"Turno B",""),"")),"")),"")),"")),"")),""))</f>
        <v>Turno C</v>
      </c>
      <c r="L1508" s="91">
        <f t="shared" si="23"/>
        <v>0.375</v>
      </c>
    </row>
    <row r="1509" spans="1:12" s="40" customFormat="1">
      <c r="A1509">
        <v>14185109</v>
      </c>
      <c r="B1509" t="s">
        <v>876</v>
      </c>
      <c r="C1509" t="s">
        <v>76</v>
      </c>
      <c r="D1509" t="s">
        <v>397</v>
      </c>
      <c r="E1509" t="s">
        <v>1438</v>
      </c>
      <c r="F1509" s="78">
        <v>0.92495370370370367</v>
      </c>
      <c r="G1509" t="s">
        <v>1405</v>
      </c>
      <c r="H1509" t="s">
        <v>1335</v>
      </c>
      <c r="I1509" s="88" t="str">
        <f>VLOOKUP(A1509,Base!A:B,2,0)</f>
        <v>14.185.109-8</v>
      </c>
      <c r="J1509" s="99" t="str">
        <f>VLOOKUP(A1509,Base!A:F,6,0)</f>
        <v>GUILLERMO ANTONIO  REYES  FUENZALIDA</v>
      </c>
      <c r="K1509" s="89" t="str">
        <f>IFERROR(IF(VLOOKUP(I1509,Ingreso!K:P,6,0)=0,"Sin turtno ing",VLOOKUP(I1509,Ingreso!K:P,6,0)),IF(F1509&gt;0.25,IF(F1509&lt;0.311805555555556,"Turno A",IF(F1509&gt;0.3125,IF(F1509&lt;0.354166666666667,"Turno C",IF(F1509&gt;0.583333333333333,IF(F1509&lt;0.625,"Turno B",IF(F1509&gt;0.625694444444444,IF(F1509&lt;0.8125,"Turno A",IF(F1509&gt;0.875,IF(F1509&lt;0.936805555555556,"Turno C",IF(F1509&gt;0.9375,IF(F1509&lt;0.979166666666667,"Turno B",""),"")),"")),"")),"")),"")),""))</f>
        <v>Turno C</v>
      </c>
      <c r="L1509" s="91">
        <f t="shared" si="23"/>
        <v>0.375</v>
      </c>
    </row>
    <row r="1510" spans="1:12" s="40" customFormat="1">
      <c r="A1510">
        <v>14185109</v>
      </c>
      <c r="B1510" t="s">
        <v>876</v>
      </c>
      <c r="C1510" t="s">
        <v>76</v>
      </c>
      <c r="D1510" t="s">
        <v>397</v>
      </c>
      <c r="E1510" t="s">
        <v>1439</v>
      </c>
      <c r="F1510" s="78">
        <v>0.31679398148148147</v>
      </c>
      <c r="G1510" t="s">
        <v>1406</v>
      </c>
      <c r="H1510" t="s">
        <v>1336</v>
      </c>
      <c r="I1510" s="88" t="str">
        <f>VLOOKUP(A1510,Base!A:B,2,0)</f>
        <v>14.185.109-8</v>
      </c>
      <c r="J1510" s="99" t="str">
        <f>VLOOKUP(A1510,Base!A:F,6,0)</f>
        <v>GUILLERMO ANTONIO  REYES  FUENZALIDA</v>
      </c>
      <c r="K1510" s="89" t="str">
        <f>IFERROR(IF(VLOOKUP(I1510,Ingreso!K:P,6,0)=0,"Sin turtno ing",VLOOKUP(I1510,Ingreso!K:P,6,0)),IF(F1510&gt;0.25,IF(F1510&lt;0.311805555555556,"Turno A",IF(F1510&gt;0.3125,IF(F1510&lt;0.354166666666667,"Turno C",IF(F1510&gt;0.583333333333333,IF(F1510&lt;0.625,"Turno B",IF(F1510&gt;0.625694444444444,IF(F1510&lt;0.8125,"Turno A",IF(F1510&gt;0.875,IF(F1510&lt;0.936805555555556,"Turno C",IF(F1510&gt;0.9375,IF(F1510&lt;0.979166666666667,"Turno B",""),"")),"")),"")),"")),"")),""))</f>
        <v>Turno C</v>
      </c>
      <c r="L1510" s="91">
        <f t="shared" si="23"/>
        <v>0.375</v>
      </c>
    </row>
    <row r="1511" spans="1:12" s="40" customFormat="1">
      <c r="A1511">
        <v>14185109</v>
      </c>
      <c r="B1511" t="s">
        <v>876</v>
      </c>
      <c r="C1511" t="s">
        <v>76</v>
      </c>
      <c r="D1511" t="s">
        <v>397</v>
      </c>
      <c r="E1511" t="s">
        <v>1439</v>
      </c>
      <c r="F1511" s="78">
        <v>0.92437499999999995</v>
      </c>
      <c r="G1511" t="s">
        <v>1405</v>
      </c>
      <c r="H1511" t="s">
        <v>1335</v>
      </c>
      <c r="I1511" s="88" t="str">
        <f>VLOOKUP(A1511,Base!A:B,2,0)</f>
        <v>14.185.109-8</v>
      </c>
      <c r="J1511" s="99" t="str">
        <f>VLOOKUP(A1511,Base!A:F,6,0)</f>
        <v>GUILLERMO ANTONIO  REYES  FUENZALIDA</v>
      </c>
      <c r="K1511" s="89" t="str">
        <f>IFERROR(IF(VLOOKUP(I1511,Ingreso!K:P,6,0)=0,"Sin turtno ing",VLOOKUP(I1511,Ingreso!K:P,6,0)),IF(F1511&gt;0.25,IF(F1511&lt;0.311805555555556,"Turno A",IF(F1511&gt;0.3125,IF(F1511&lt;0.354166666666667,"Turno C",IF(F1511&gt;0.583333333333333,IF(F1511&lt;0.625,"Turno B",IF(F1511&gt;0.625694444444444,IF(F1511&lt;0.8125,"Turno A",IF(F1511&gt;0.875,IF(F1511&lt;0.936805555555556,"Turno C",IF(F1511&gt;0.9375,IF(F1511&lt;0.979166666666667,"Turno B",""),"")),"")),"")),"")),"")),""))</f>
        <v>Turno C</v>
      </c>
      <c r="L1511" s="91">
        <f t="shared" si="23"/>
        <v>0.375</v>
      </c>
    </row>
    <row r="1512" spans="1:12" s="40" customFormat="1">
      <c r="A1512">
        <v>14193049</v>
      </c>
      <c r="B1512" t="s">
        <v>251</v>
      </c>
      <c r="C1512" t="s">
        <v>1019</v>
      </c>
      <c r="D1512" t="s">
        <v>1024</v>
      </c>
      <c r="E1512" t="s">
        <v>1440</v>
      </c>
      <c r="F1512" s="78">
        <v>0.64182870370370371</v>
      </c>
      <c r="G1512" t="s">
        <v>1406</v>
      </c>
      <c r="H1512" t="s">
        <v>1336</v>
      </c>
      <c r="I1512" s="88" t="str">
        <f>VLOOKUP(A1512,Base!A:B,2,0)</f>
        <v>14.193.049-4</v>
      </c>
      <c r="J1512" s="99" t="str">
        <f>VLOOKUP(A1512,Base!A:F,6,0)</f>
        <v>CESAR  TAPIA  IBARRA</v>
      </c>
      <c r="K1512" s="89" t="str">
        <f>IFERROR(IF(VLOOKUP(I1512,Ingreso!K:P,6,0)=0,"Sin turtno ing",VLOOKUP(I1512,Ingreso!K:P,6,0)),IF(F1512&gt;0.25,IF(F1512&lt;0.311805555555556,"Turno A",IF(F1512&gt;0.3125,IF(F1512&lt;0.354166666666667,"Turno C",IF(F1512&gt;0.583333333333333,IF(F1512&lt;0.625,"Turno B",IF(F1512&gt;0.625694444444444,IF(F1512&lt;0.8125,"Turno A",IF(F1512&gt;0.875,IF(F1512&lt;0.936805555555556,"Turno C",IF(F1512&gt;0.9375,IF(F1512&lt;0.979166666666667,"Turno B",""),"")),"")),"")),"")),"")),""))</f>
        <v>Turno A</v>
      </c>
      <c r="L1512" s="91">
        <f t="shared" si="23"/>
        <v>0.3125</v>
      </c>
    </row>
    <row r="1513" spans="1:12" s="40" customFormat="1">
      <c r="A1513">
        <v>14193049</v>
      </c>
      <c r="B1513" t="s">
        <v>251</v>
      </c>
      <c r="C1513" t="s">
        <v>1019</v>
      </c>
      <c r="D1513" t="s">
        <v>1024</v>
      </c>
      <c r="E1513" t="s">
        <v>1440</v>
      </c>
      <c r="F1513" s="78">
        <v>0.30754629629629632</v>
      </c>
      <c r="G1513" t="s">
        <v>1405</v>
      </c>
      <c r="H1513" t="s">
        <v>1335</v>
      </c>
      <c r="I1513" s="88" t="str">
        <f>VLOOKUP(A1513,Base!A:B,2,0)</f>
        <v>14.193.049-4</v>
      </c>
      <c r="J1513" s="99" t="str">
        <f>VLOOKUP(A1513,Base!A:F,6,0)</f>
        <v>CESAR  TAPIA  IBARRA</v>
      </c>
      <c r="K1513" s="89" t="str">
        <f>IFERROR(IF(VLOOKUP(I1513,Ingreso!K:P,6,0)=0,"Sin turtno ing",VLOOKUP(I1513,Ingreso!K:P,6,0)),IF(F1513&gt;0.25,IF(F1513&lt;0.311805555555556,"Turno A",IF(F1513&gt;0.3125,IF(F1513&lt;0.354166666666667,"Turno C",IF(F1513&gt;0.583333333333333,IF(F1513&lt;0.625,"Turno B",IF(F1513&gt;0.625694444444444,IF(F1513&lt;0.8125,"Turno A",IF(F1513&gt;0.875,IF(F1513&lt;0.936805555555556,"Turno C",IF(F1513&gt;0.9375,IF(F1513&lt;0.979166666666667,"Turno B",""),"")),"")),"")),"")),"")),""))</f>
        <v>Turno A</v>
      </c>
      <c r="L1513" s="91">
        <f t="shared" si="23"/>
        <v>0.3125</v>
      </c>
    </row>
    <row r="1514" spans="1:12" s="40" customFormat="1">
      <c r="A1514">
        <v>14193049</v>
      </c>
      <c r="B1514" t="s">
        <v>251</v>
      </c>
      <c r="C1514" t="s">
        <v>1019</v>
      </c>
      <c r="D1514" t="s">
        <v>1024</v>
      </c>
      <c r="E1514" t="s">
        <v>1441</v>
      </c>
      <c r="F1514" s="78">
        <v>0.64366898148148144</v>
      </c>
      <c r="G1514" t="s">
        <v>1406</v>
      </c>
      <c r="H1514" t="s">
        <v>1336</v>
      </c>
      <c r="I1514" s="88" t="str">
        <f>VLOOKUP(A1514,Base!A:B,2,0)</f>
        <v>14.193.049-4</v>
      </c>
      <c r="J1514" s="99" t="str">
        <f>VLOOKUP(A1514,Base!A:F,6,0)</f>
        <v>CESAR  TAPIA  IBARRA</v>
      </c>
      <c r="K1514" s="89" t="str">
        <f>IFERROR(IF(VLOOKUP(I1514,Ingreso!K:P,6,0)=0,"Sin turtno ing",VLOOKUP(I1514,Ingreso!K:P,6,0)),IF(F1514&gt;0.25,IF(F1514&lt;0.311805555555556,"Turno A",IF(F1514&gt;0.3125,IF(F1514&lt;0.354166666666667,"Turno C",IF(F1514&gt;0.583333333333333,IF(F1514&lt;0.625,"Turno B",IF(F1514&gt;0.625694444444444,IF(F1514&lt;0.8125,"Turno A",IF(F1514&gt;0.875,IF(F1514&lt;0.936805555555556,"Turno C",IF(F1514&gt;0.9375,IF(F1514&lt;0.979166666666667,"Turno B",""),"")),"")),"")),"")),"")),""))</f>
        <v>Turno A</v>
      </c>
      <c r="L1514" s="91">
        <f t="shared" si="23"/>
        <v>0.3125</v>
      </c>
    </row>
    <row r="1515" spans="1:12" s="40" customFormat="1">
      <c r="A1515">
        <v>14193049</v>
      </c>
      <c r="B1515" t="s">
        <v>251</v>
      </c>
      <c r="C1515" t="s">
        <v>1019</v>
      </c>
      <c r="D1515" t="s">
        <v>1024</v>
      </c>
      <c r="E1515" t="s">
        <v>1441</v>
      </c>
      <c r="F1515" s="78">
        <v>0.30569444444444444</v>
      </c>
      <c r="G1515" t="s">
        <v>1405</v>
      </c>
      <c r="H1515" t="s">
        <v>1335</v>
      </c>
      <c r="I1515" s="88" t="str">
        <f>VLOOKUP(A1515,Base!A:B,2,0)</f>
        <v>14.193.049-4</v>
      </c>
      <c r="J1515" s="99" t="str">
        <f>VLOOKUP(A1515,Base!A:F,6,0)</f>
        <v>CESAR  TAPIA  IBARRA</v>
      </c>
      <c r="K1515" s="89" t="str">
        <f>IFERROR(IF(VLOOKUP(I1515,Ingreso!K:P,6,0)=0,"Sin turtno ing",VLOOKUP(I1515,Ingreso!K:P,6,0)),IF(F1515&gt;0.25,IF(F1515&lt;0.311805555555556,"Turno A",IF(F1515&gt;0.3125,IF(F1515&lt;0.354166666666667,"Turno C",IF(F1515&gt;0.583333333333333,IF(F1515&lt;0.625,"Turno B",IF(F1515&gt;0.625694444444444,IF(F1515&lt;0.8125,"Turno A",IF(F1515&gt;0.875,IF(F1515&lt;0.936805555555556,"Turno C",IF(F1515&gt;0.9375,IF(F1515&lt;0.979166666666667,"Turno B",""),"")),"")),"")),"")),"")),""))</f>
        <v>Turno A</v>
      </c>
      <c r="L1515" s="91">
        <f t="shared" si="23"/>
        <v>0.3125</v>
      </c>
    </row>
    <row r="1516" spans="1:12" s="40" customFormat="1">
      <c r="A1516">
        <v>14193049</v>
      </c>
      <c r="B1516" t="s">
        <v>251</v>
      </c>
      <c r="C1516" t="s">
        <v>1019</v>
      </c>
      <c r="D1516" t="s">
        <v>1024</v>
      </c>
      <c r="E1516" t="s">
        <v>1437</v>
      </c>
      <c r="F1516" s="78">
        <v>0.64097222222222217</v>
      </c>
      <c r="G1516" t="s">
        <v>1406</v>
      </c>
      <c r="H1516" t="s">
        <v>1336</v>
      </c>
      <c r="I1516" s="88" t="str">
        <f>VLOOKUP(A1516,Base!A:B,2,0)</f>
        <v>14.193.049-4</v>
      </c>
      <c r="J1516" s="99" t="str">
        <f>VLOOKUP(A1516,Base!A:F,6,0)</f>
        <v>CESAR  TAPIA  IBARRA</v>
      </c>
      <c r="K1516" s="89" t="str">
        <f>IFERROR(IF(VLOOKUP(I1516,Ingreso!K:P,6,0)=0,"Sin turtno ing",VLOOKUP(I1516,Ingreso!K:P,6,0)),IF(F1516&gt;0.25,IF(F1516&lt;0.311805555555556,"Turno A",IF(F1516&gt;0.3125,IF(F1516&lt;0.354166666666667,"Turno C",IF(F1516&gt;0.583333333333333,IF(F1516&lt;0.625,"Turno B",IF(F1516&gt;0.625694444444444,IF(F1516&lt;0.8125,"Turno A",IF(F1516&gt;0.875,IF(F1516&lt;0.936805555555556,"Turno C",IF(F1516&gt;0.9375,IF(F1516&lt;0.979166666666667,"Turno B",""),"")),"")),"")),"")),"")),""))</f>
        <v>Turno A</v>
      </c>
      <c r="L1516" s="91">
        <f t="shared" si="23"/>
        <v>0.3125</v>
      </c>
    </row>
    <row r="1517" spans="1:12" s="40" customFormat="1">
      <c r="A1517">
        <v>14193049</v>
      </c>
      <c r="B1517" t="s">
        <v>251</v>
      </c>
      <c r="C1517" t="s">
        <v>1019</v>
      </c>
      <c r="D1517" t="s">
        <v>1024</v>
      </c>
      <c r="E1517" t="s">
        <v>1437</v>
      </c>
      <c r="F1517" s="78">
        <v>0.30606481481481479</v>
      </c>
      <c r="G1517" t="s">
        <v>1405</v>
      </c>
      <c r="H1517" t="s">
        <v>1335</v>
      </c>
      <c r="I1517" s="88" t="str">
        <f>VLOOKUP(A1517,Base!A:B,2,0)</f>
        <v>14.193.049-4</v>
      </c>
      <c r="J1517" s="99" t="str">
        <f>VLOOKUP(A1517,Base!A:F,6,0)</f>
        <v>CESAR  TAPIA  IBARRA</v>
      </c>
      <c r="K1517" s="89" t="str">
        <f>IFERROR(IF(VLOOKUP(I1517,Ingreso!K:P,6,0)=0,"Sin turtno ing",VLOOKUP(I1517,Ingreso!K:P,6,0)),IF(F1517&gt;0.25,IF(F1517&lt;0.311805555555556,"Turno A",IF(F1517&gt;0.3125,IF(F1517&lt;0.354166666666667,"Turno C",IF(F1517&gt;0.583333333333333,IF(F1517&lt;0.625,"Turno B",IF(F1517&gt;0.625694444444444,IF(F1517&lt;0.8125,"Turno A",IF(F1517&gt;0.875,IF(F1517&lt;0.936805555555556,"Turno C",IF(F1517&gt;0.9375,IF(F1517&lt;0.979166666666667,"Turno B",""),"")),"")),"")),"")),"")),""))</f>
        <v>Turno A</v>
      </c>
      <c r="L1517" s="91">
        <f t="shared" si="23"/>
        <v>0.3125</v>
      </c>
    </row>
    <row r="1518" spans="1:12" s="40" customFormat="1">
      <c r="A1518">
        <v>14193049</v>
      </c>
      <c r="B1518" t="s">
        <v>251</v>
      </c>
      <c r="C1518" t="s">
        <v>1019</v>
      </c>
      <c r="D1518" t="s">
        <v>1024</v>
      </c>
      <c r="E1518" t="s">
        <v>1438</v>
      </c>
      <c r="F1518" s="78">
        <v>0.63531250000000006</v>
      </c>
      <c r="G1518" t="s">
        <v>1406</v>
      </c>
      <c r="H1518" t="s">
        <v>1336</v>
      </c>
      <c r="I1518" s="88" t="str">
        <f>VLOOKUP(A1518,Base!A:B,2,0)</f>
        <v>14.193.049-4</v>
      </c>
      <c r="J1518" s="99" t="str">
        <f>VLOOKUP(A1518,Base!A:F,6,0)</f>
        <v>CESAR  TAPIA  IBARRA</v>
      </c>
      <c r="K1518" s="89" t="str">
        <f>IFERROR(IF(VLOOKUP(I1518,Ingreso!K:P,6,0)=0,"Sin turtno ing",VLOOKUP(I1518,Ingreso!K:P,6,0)),IF(F1518&gt;0.25,IF(F1518&lt;0.311805555555556,"Turno A",IF(F1518&gt;0.3125,IF(F1518&lt;0.354166666666667,"Turno C",IF(F1518&gt;0.583333333333333,IF(F1518&lt;0.625,"Turno B",IF(F1518&gt;0.625694444444444,IF(F1518&lt;0.8125,"Turno A",IF(F1518&gt;0.875,IF(F1518&lt;0.936805555555556,"Turno C",IF(F1518&gt;0.9375,IF(F1518&lt;0.979166666666667,"Turno B",""),"")),"")),"")),"")),"")),""))</f>
        <v>Turno A</v>
      </c>
      <c r="L1518" s="91">
        <f t="shared" si="23"/>
        <v>0.3125</v>
      </c>
    </row>
    <row r="1519" spans="1:12" s="40" customFormat="1">
      <c r="A1519">
        <v>14193049</v>
      </c>
      <c r="B1519" t="s">
        <v>251</v>
      </c>
      <c r="C1519" t="s">
        <v>1019</v>
      </c>
      <c r="D1519" t="s">
        <v>1024</v>
      </c>
      <c r="E1519" t="s">
        <v>1438</v>
      </c>
      <c r="F1519" s="78">
        <v>0.30936342592592592</v>
      </c>
      <c r="G1519" t="s">
        <v>1405</v>
      </c>
      <c r="H1519" t="s">
        <v>1335</v>
      </c>
      <c r="I1519" s="88" t="str">
        <f>VLOOKUP(A1519,Base!A:B,2,0)</f>
        <v>14.193.049-4</v>
      </c>
      <c r="J1519" s="99" t="str">
        <f>VLOOKUP(A1519,Base!A:F,6,0)</f>
        <v>CESAR  TAPIA  IBARRA</v>
      </c>
      <c r="K1519" s="89" t="str">
        <f>IFERROR(IF(VLOOKUP(I1519,Ingreso!K:P,6,0)=0,"Sin turtno ing",VLOOKUP(I1519,Ingreso!K:P,6,0)),IF(F1519&gt;0.25,IF(F1519&lt;0.311805555555556,"Turno A",IF(F1519&gt;0.3125,IF(F1519&lt;0.354166666666667,"Turno C",IF(F1519&gt;0.583333333333333,IF(F1519&lt;0.625,"Turno B",IF(F1519&gt;0.625694444444444,IF(F1519&lt;0.8125,"Turno A",IF(F1519&gt;0.875,IF(F1519&lt;0.936805555555556,"Turno C",IF(F1519&gt;0.9375,IF(F1519&lt;0.979166666666667,"Turno B",""),"")),"")),"")),"")),"")),""))</f>
        <v>Turno A</v>
      </c>
      <c r="L1519" s="91">
        <f t="shared" si="23"/>
        <v>0.3125</v>
      </c>
    </row>
    <row r="1520" spans="1:12" s="40" customFormat="1">
      <c r="A1520">
        <v>14193049</v>
      </c>
      <c r="B1520" t="s">
        <v>251</v>
      </c>
      <c r="C1520" t="s">
        <v>1019</v>
      </c>
      <c r="D1520" t="s">
        <v>1024</v>
      </c>
      <c r="E1520" t="s">
        <v>1439</v>
      </c>
      <c r="F1520" s="78">
        <v>0.64121527777777776</v>
      </c>
      <c r="G1520" t="s">
        <v>1406</v>
      </c>
      <c r="H1520" t="s">
        <v>1336</v>
      </c>
      <c r="I1520" s="88" t="str">
        <f>VLOOKUP(A1520,Base!A:B,2,0)</f>
        <v>14.193.049-4</v>
      </c>
      <c r="J1520" s="99" t="str">
        <f>VLOOKUP(A1520,Base!A:F,6,0)</f>
        <v>CESAR  TAPIA  IBARRA</v>
      </c>
      <c r="K1520" s="89" t="str">
        <f>IFERROR(IF(VLOOKUP(I1520,Ingreso!K:P,6,0)=0,"Sin turtno ing",VLOOKUP(I1520,Ingreso!K:P,6,0)),IF(F1520&gt;0.25,IF(F1520&lt;0.311805555555556,"Turno A",IF(F1520&gt;0.3125,IF(F1520&lt;0.354166666666667,"Turno C",IF(F1520&gt;0.583333333333333,IF(F1520&lt;0.625,"Turno B",IF(F1520&gt;0.625694444444444,IF(F1520&lt;0.8125,"Turno A",IF(F1520&gt;0.875,IF(F1520&lt;0.936805555555556,"Turno C",IF(F1520&gt;0.9375,IF(F1520&lt;0.979166666666667,"Turno B",""),"")),"")),"")),"")),"")),""))</f>
        <v>Turno A</v>
      </c>
      <c r="L1520" s="91">
        <f t="shared" si="23"/>
        <v>0.3125</v>
      </c>
    </row>
    <row r="1521" spans="1:12" s="40" customFormat="1">
      <c r="A1521">
        <v>14193049</v>
      </c>
      <c r="B1521" t="s">
        <v>251</v>
      </c>
      <c r="C1521" t="s">
        <v>1019</v>
      </c>
      <c r="D1521" t="s">
        <v>1024</v>
      </c>
      <c r="E1521" t="s">
        <v>1439</v>
      </c>
      <c r="F1521" s="78">
        <v>0.29228009259259258</v>
      </c>
      <c r="G1521" t="s">
        <v>1405</v>
      </c>
      <c r="H1521" t="s">
        <v>1335</v>
      </c>
      <c r="I1521" s="88" t="str">
        <f>VLOOKUP(A1521,Base!A:B,2,0)</f>
        <v>14.193.049-4</v>
      </c>
      <c r="J1521" s="99" t="str">
        <f>VLOOKUP(A1521,Base!A:F,6,0)</f>
        <v>CESAR  TAPIA  IBARRA</v>
      </c>
      <c r="K1521" s="89" t="str">
        <f>IFERROR(IF(VLOOKUP(I1521,Ingreso!K:P,6,0)=0,"Sin turtno ing",VLOOKUP(I1521,Ingreso!K:P,6,0)),IF(F1521&gt;0.25,IF(F1521&lt;0.311805555555556,"Turno A",IF(F1521&gt;0.3125,IF(F1521&lt;0.354166666666667,"Turno C",IF(F1521&gt;0.583333333333333,IF(F1521&lt;0.625,"Turno B",IF(F1521&gt;0.625694444444444,IF(F1521&lt;0.8125,"Turno A",IF(F1521&gt;0.875,IF(F1521&lt;0.936805555555556,"Turno C",IF(F1521&gt;0.9375,IF(F1521&lt;0.979166666666667,"Turno B",""),"")),"")),"")),"")),"")),""))</f>
        <v>Turno A</v>
      </c>
      <c r="L1521" s="91">
        <f t="shared" si="23"/>
        <v>0.3125</v>
      </c>
    </row>
    <row r="1522" spans="1:12" s="40" customFormat="1">
      <c r="A1522">
        <v>14277186</v>
      </c>
      <c r="B1522" t="s">
        <v>1418</v>
      </c>
      <c r="C1522" t="s">
        <v>232</v>
      </c>
      <c r="D1522" t="s">
        <v>352</v>
      </c>
      <c r="E1522" t="s">
        <v>1440</v>
      </c>
      <c r="F1522" s="78">
        <v>0.32283564814814814</v>
      </c>
      <c r="G1522" t="s">
        <v>1406</v>
      </c>
      <c r="H1522" t="s">
        <v>1336</v>
      </c>
      <c r="I1522" s="88" t="str">
        <f>VLOOKUP(A1522,Base!A:B,2,0)</f>
        <v>14.277.186-1</v>
      </c>
      <c r="J1522" s="99" t="str">
        <f>VLOOKUP(A1522,Base!A:F,6,0)</f>
        <v>ALEJANDRO  SANHUEZA  SOTO</v>
      </c>
      <c r="K1522" s="89" t="str">
        <f>IFERROR(IF(VLOOKUP(I1522,Ingreso!K:P,6,0)=0,"Sin turtno ing",VLOOKUP(I1522,Ingreso!K:P,6,0)),IF(F1522&gt;0.25,IF(F1522&lt;0.311805555555556,"Turno A",IF(F1522&gt;0.3125,IF(F1522&lt;0.354166666666667,"Turno C",IF(F1522&gt;0.583333333333333,IF(F1522&lt;0.625,"Turno B",IF(F1522&gt;0.625694444444444,IF(F1522&lt;0.8125,"Turno A",IF(F1522&gt;0.875,IF(F1522&lt;0.936805555555556,"Turno C",IF(F1522&gt;0.9375,IF(F1522&lt;0.979166666666667,"Turno B",""),"")),"")),"")),"")),"")),""))</f>
        <v>Turno C</v>
      </c>
      <c r="L1522" s="91">
        <f t="shared" si="23"/>
        <v>0.375</v>
      </c>
    </row>
    <row r="1523" spans="1:12" s="40" customFormat="1">
      <c r="A1523">
        <v>14277186</v>
      </c>
      <c r="B1523" t="s">
        <v>1418</v>
      </c>
      <c r="C1523" t="s">
        <v>232</v>
      </c>
      <c r="D1523" t="s">
        <v>352</v>
      </c>
      <c r="E1523" t="s">
        <v>1440</v>
      </c>
      <c r="F1523" s="78">
        <v>0.91999999999999993</v>
      </c>
      <c r="G1523" t="s">
        <v>1405</v>
      </c>
      <c r="H1523" t="s">
        <v>1335</v>
      </c>
      <c r="I1523" s="88" t="str">
        <f>VLOOKUP(A1523,Base!A:B,2,0)</f>
        <v>14.277.186-1</v>
      </c>
      <c r="J1523" s="99" t="str">
        <f>VLOOKUP(A1523,Base!A:F,6,0)</f>
        <v>ALEJANDRO  SANHUEZA  SOTO</v>
      </c>
      <c r="K1523" s="89" t="str">
        <f>IFERROR(IF(VLOOKUP(I1523,Ingreso!K:P,6,0)=0,"Sin turtno ing",VLOOKUP(I1523,Ingreso!K:P,6,0)),IF(F1523&gt;0.25,IF(F1523&lt;0.311805555555556,"Turno A",IF(F1523&gt;0.3125,IF(F1523&lt;0.354166666666667,"Turno C",IF(F1523&gt;0.583333333333333,IF(F1523&lt;0.625,"Turno B",IF(F1523&gt;0.625694444444444,IF(F1523&lt;0.8125,"Turno A",IF(F1523&gt;0.875,IF(F1523&lt;0.936805555555556,"Turno C",IF(F1523&gt;0.9375,IF(F1523&lt;0.979166666666667,"Turno B",""),"")),"")),"")),"")),"")),""))</f>
        <v>Turno C</v>
      </c>
      <c r="L1523" s="91">
        <f t="shared" si="23"/>
        <v>0.375</v>
      </c>
    </row>
    <row r="1524" spans="1:12" s="40" customFormat="1">
      <c r="A1524">
        <v>14277186</v>
      </c>
      <c r="B1524" t="s">
        <v>1418</v>
      </c>
      <c r="C1524" t="s">
        <v>232</v>
      </c>
      <c r="D1524" t="s">
        <v>352</v>
      </c>
      <c r="E1524" t="s">
        <v>1441</v>
      </c>
      <c r="F1524" s="78">
        <v>0.32266203703703705</v>
      </c>
      <c r="G1524" t="s">
        <v>1406</v>
      </c>
      <c r="H1524" t="s">
        <v>1336</v>
      </c>
      <c r="I1524" s="88" t="str">
        <f>VLOOKUP(A1524,Base!A:B,2,0)</f>
        <v>14.277.186-1</v>
      </c>
      <c r="J1524" s="99" t="str">
        <f>VLOOKUP(A1524,Base!A:F,6,0)</f>
        <v>ALEJANDRO  SANHUEZA  SOTO</v>
      </c>
      <c r="K1524" s="89" t="str">
        <f>IFERROR(IF(VLOOKUP(I1524,Ingreso!K:P,6,0)=0,"Sin turtno ing",VLOOKUP(I1524,Ingreso!K:P,6,0)),IF(F1524&gt;0.25,IF(F1524&lt;0.311805555555556,"Turno A",IF(F1524&gt;0.3125,IF(F1524&lt;0.354166666666667,"Turno C",IF(F1524&gt;0.583333333333333,IF(F1524&lt;0.625,"Turno B",IF(F1524&gt;0.625694444444444,IF(F1524&lt;0.8125,"Turno A",IF(F1524&gt;0.875,IF(F1524&lt;0.936805555555556,"Turno C",IF(F1524&gt;0.9375,IF(F1524&lt;0.979166666666667,"Turno B",""),"")),"")),"")),"")),"")),""))</f>
        <v>Turno C</v>
      </c>
      <c r="L1524" s="91">
        <f t="shared" si="23"/>
        <v>0.375</v>
      </c>
    </row>
    <row r="1525" spans="1:12" s="40" customFormat="1">
      <c r="A1525">
        <v>14277186</v>
      </c>
      <c r="B1525" t="s">
        <v>1418</v>
      </c>
      <c r="C1525" t="s">
        <v>232</v>
      </c>
      <c r="D1525" t="s">
        <v>352</v>
      </c>
      <c r="E1525" t="s">
        <v>1437</v>
      </c>
      <c r="F1525" s="78">
        <v>0.91769675925925931</v>
      </c>
      <c r="G1525" t="s">
        <v>1405</v>
      </c>
      <c r="H1525" t="s">
        <v>1335</v>
      </c>
      <c r="I1525" s="88" t="str">
        <f>VLOOKUP(A1525,Base!A:B,2,0)</f>
        <v>14.277.186-1</v>
      </c>
      <c r="J1525" s="99" t="str">
        <f>VLOOKUP(A1525,Base!A:F,6,0)</f>
        <v>ALEJANDRO  SANHUEZA  SOTO</v>
      </c>
      <c r="K1525" s="89" t="str">
        <f>IFERROR(IF(VLOOKUP(I1525,Ingreso!K:P,6,0)=0,"Sin turtno ing",VLOOKUP(I1525,Ingreso!K:P,6,0)),IF(F1525&gt;0.25,IF(F1525&lt;0.311805555555556,"Turno A",IF(F1525&gt;0.3125,IF(F1525&lt;0.354166666666667,"Turno C",IF(F1525&gt;0.583333333333333,IF(F1525&lt;0.625,"Turno B",IF(F1525&gt;0.625694444444444,IF(F1525&lt;0.8125,"Turno A",IF(F1525&gt;0.875,IF(F1525&lt;0.936805555555556,"Turno C",IF(F1525&gt;0.9375,IF(F1525&lt;0.979166666666667,"Turno B",""),"")),"")),"")),"")),"")),""))</f>
        <v>Turno C</v>
      </c>
      <c r="L1525" s="91">
        <f t="shared" si="23"/>
        <v>0.375</v>
      </c>
    </row>
    <row r="1526" spans="1:12" s="40" customFormat="1">
      <c r="A1526">
        <v>14277186</v>
      </c>
      <c r="B1526" t="s">
        <v>1418</v>
      </c>
      <c r="C1526" t="s">
        <v>232</v>
      </c>
      <c r="D1526" t="s">
        <v>352</v>
      </c>
      <c r="E1526" t="s">
        <v>1438</v>
      </c>
      <c r="F1526" s="78">
        <v>0.32016203703703705</v>
      </c>
      <c r="G1526" t="s">
        <v>1406</v>
      </c>
      <c r="H1526" t="s">
        <v>1336</v>
      </c>
      <c r="I1526" s="88" t="str">
        <f>VLOOKUP(A1526,Base!A:B,2,0)</f>
        <v>14.277.186-1</v>
      </c>
      <c r="J1526" s="99" t="str">
        <f>VLOOKUP(A1526,Base!A:F,6,0)</f>
        <v>ALEJANDRO  SANHUEZA  SOTO</v>
      </c>
      <c r="K1526" s="89" t="str">
        <f>IFERROR(IF(VLOOKUP(I1526,Ingreso!K:P,6,0)=0,"Sin turtno ing",VLOOKUP(I1526,Ingreso!K:P,6,0)),IF(F1526&gt;0.25,IF(F1526&lt;0.311805555555556,"Turno A",IF(F1526&gt;0.3125,IF(F1526&lt;0.354166666666667,"Turno C",IF(F1526&gt;0.583333333333333,IF(F1526&lt;0.625,"Turno B",IF(F1526&gt;0.625694444444444,IF(F1526&lt;0.8125,"Turno A",IF(F1526&gt;0.875,IF(F1526&lt;0.936805555555556,"Turno C",IF(F1526&gt;0.9375,IF(F1526&lt;0.979166666666667,"Turno B",""),"")),"")),"")),"")),"")),""))</f>
        <v>Turno C</v>
      </c>
      <c r="L1526" s="91">
        <f t="shared" si="23"/>
        <v>0.375</v>
      </c>
    </row>
    <row r="1527" spans="1:12" s="40" customFormat="1">
      <c r="A1527">
        <v>14277186</v>
      </c>
      <c r="B1527" t="s">
        <v>1418</v>
      </c>
      <c r="C1527" t="s">
        <v>232</v>
      </c>
      <c r="D1527" t="s">
        <v>352</v>
      </c>
      <c r="E1527" t="s">
        <v>1438</v>
      </c>
      <c r="F1527" s="78">
        <v>0.91949074074074078</v>
      </c>
      <c r="G1527" t="s">
        <v>1405</v>
      </c>
      <c r="H1527" t="s">
        <v>1335</v>
      </c>
      <c r="I1527" s="88" t="str">
        <f>VLOOKUP(A1527,Base!A:B,2,0)</f>
        <v>14.277.186-1</v>
      </c>
      <c r="J1527" s="99" t="str">
        <f>VLOOKUP(A1527,Base!A:F,6,0)</f>
        <v>ALEJANDRO  SANHUEZA  SOTO</v>
      </c>
      <c r="K1527" s="89" t="str">
        <f>IFERROR(IF(VLOOKUP(I1527,Ingreso!K:P,6,0)=0,"Sin turtno ing",VLOOKUP(I1527,Ingreso!K:P,6,0)),IF(F1527&gt;0.25,IF(F1527&lt;0.311805555555556,"Turno A",IF(F1527&gt;0.3125,IF(F1527&lt;0.354166666666667,"Turno C",IF(F1527&gt;0.583333333333333,IF(F1527&lt;0.625,"Turno B",IF(F1527&gt;0.625694444444444,IF(F1527&lt;0.8125,"Turno A",IF(F1527&gt;0.875,IF(F1527&lt;0.936805555555556,"Turno C",IF(F1527&gt;0.9375,IF(F1527&lt;0.979166666666667,"Turno B",""),"")),"")),"")),"")),"")),""))</f>
        <v>Turno C</v>
      </c>
      <c r="L1527" s="91">
        <f t="shared" si="23"/>
        <v>0.375</v>
      </c>
    </row>
    <row r="1528" spans="1:12" s="40" customFormat="1">
      <c r="A1528">
        <v>14277186</v>
      </c>
      <c r="B1528" t="s">
        <v>1418</v>
      </c>
      <c r="C1528" t="s">
        <v>232</v>
      </c>
      <c r="D1528" t="s">
        <v>352</v>
      </c>
      <c r="E1528" t="s">
        <v>1439</v>
      </c>
      <c r="F1528" s="78">
        <v>0.32391203703703703</v>
      </c>
      <c r="G1528" t="s">
        <v>1406</v>
      </c>
      <c r="H1528" t="s">
        <v>1336</v>
      </c>
      <c r="I1528" s="88" t="str">
        <f>VLOOKUP(A1528,Base!A:B,2,0)</f>
        <v>14.277.186-1</v>
      </c>
      <c r="J1528" s="99" t="str">
        <f>VLOOKUP(A1528,Base!A:F,6,0)</f>
        <v>ALEJANDRO  SANHUEZA  SOTO</v>
      </c>
      <c r="K1528" s="89" t="str">
        <f>IFERROR(IF(VLOOKUP(I1528,Ingreso!K:P,6,0)=0,"Sin turtno ing",VLOOKUP(I1528,Ingreso!K:P,6,0)),IF(F1528&gt;0.25,IF(F1528&lt;0.311805555555556,"Turno A",IF(F1528&gt;0.3125,IF(F1528&lt;0.354166666666667,"Turno C",IF(F1528&gt;0.583333333333333,IF(F1528&lt;0.625,"Turno B",IF(F1528&gt;0.625694444444444,IF(F1528&lt;0.8125,"Turno A",IF(F1528&gt;0.875,IF(F1528&lt;0.936805555555556,"Turno C",IF(F1528&gt;0.9375,IF(F1528&lt;0.979166666666667,"Turno B",""),"")),"")),"")),"")),"")),""))</f>
        <v>Turno C</v>
      </c>
      <c r="L1528" s="91">
        <f t="shared" si="23"/>
        <v>0.375</v>
      </c>
    </row>
    <row r="1529" spans="1:12" s="40" customFormat="1">
      <c r="A1529">
        <v>14277186</v>
      </c>
      <c r="B1529" t="s">
        <v>1418</v>
      </c>
      <c r="C1529" t="s">
        <v>232</v>
      </c>
      <c r="D1529" t="s">
        <v>352</v>
      </c>
      <c r="E1529" t="s">
        <v>1439</v>
      </c>
      <c r="F1529" s="78">
        <v>0.92539351851851848</v>
      </c>
      <c r="G1529" t="s">
        <v>1405</v>
      </c>
      <c r="H1529" t="s">
        <v>1335</v>
      </c>
      <c r="I1529" s="88" t="str">
        <f>VLOOKUP(A1529,Base!A:B,2,0)</f>
        <v>14.277.186-1</v>
      </c>
      <c r="J1529" s="99" t="str">
        <f>VLOOKUP(A1529,Base!A:F,6,0)</f>
        <v>ALEJANDRO  SANHUEZA  SOTO</v>
      </c>
      <c r="K1529" s="89" t="str">
        <f>IFERROR(IF(VLOOKUP(I1529,Ingreso!K:P,6,0)=0,"Sin turtno ing",VLOOKUP(I1529,Ingreso!K:P,6,0)),IF(F1529&gt;0.25,IF(F1529&lt;0.311805555555556,"Turno A",IF(F1529&gt;0.3125,IF(F1529&lt;0.354166666666667,"Turno C",IF(F1529&gt;0.583333333333333,IF(F1529&lt;0.625,"Turno B",IF(F1529&gt;0.625694444444444,IF(F1529&lt;0.8125,"Turno A",IF(F1529&gt;0.875,IF(F1529&lt;0.936805555555556,"Turno C",IF(F1529&gt;0.9375,IF(F1529&lt;0.979166666666667,"Turno B",""),"")),"")),"")),"")),"")),""))</f>
        <v>Turno C</v>
      </c>
      <c r="L1529" s="91">
        <f t="shared" si="23"/>
        <v>0.375</v>
      </c>
    </row>
    <row r="1530" spans="1:12" s="40" customFormat="1">
      <c r="A1530">
        <v>14307619</v>
      </c>
      <c r="B1530" t="s">
        <v>1116</v>
      </c>
      <c r="C1530" t="s">
        <v>149</v>
      </c>
      <c r="D1530" t="s">
        <v>150</v>
      </c>
      <c r="E1530" t="s">
        <v>1440</v>
      </c>
      <c r="F1530" s="78">
        <v>0.94868055555555564</v>
      </c>
      <c r="G1530" t="s">
        <v>1406</v>
      </c>
      <c r="H1530" t="s">
        <v>1336</v>
      </c>
      <c r="I1530" s="88" t="str">
        <f>VLOOKUP(A1530,Base!A:B,2,0)</f>
        <v>14.307.619-9</v>
      </c>
      <c r="J1530" s="99" t="str">
        <f>VLOOKUP(A1530,Base!A:F,6,0)</f>
        <v>LUIS ROBERTO  BERRIOS  LOPEZ</v>
      </c>
      <c r="K1530" s="89" t="str">
        <f>IFERROR(IF(VLOOKUP(I1530,Ingreso!K:P,6,0)=0,"Sin turtno ing",VLOOKUP(I1530,Ingreso!K:P,6,0)),IF(F1530&gt;0.25,IF(F1530&lt;0.311805555555556,"Turno A",IF(F1530&gt;0.3125,IF(F1530&lt;0.354166666666667,"Turno C",IF(F1530&gt;0.583333333333333,IF(F1530&lt;0.625,"Turno B",IF(F1530&gt;0.625694444444444,IF(F1530&lt;0.8125,"Turno A",IF(F1530&gt;0.875,IF(F1530&lt;0.936805555555556,"Turno C",IF(F1530&gt;0.9375,IF(F1530&lt;0.979166666666667,"Turno B",""),"")),"")),"")),"")),"")),""))</f>
        <v>Turno B</v>
      </c>
      <c r="L1530" s="91">
        <f t="shared" si="23"/>
        <v>0.3125</v>
      </c>
    </row>
    <row r="1531" spans="1:12" s="40" customFormat="1">
      <c r="A1531">
        <v>14307619</v>
      </c>
      <c r="B1531" t="s">
        <v>1116</v>
      </c>
      <c r="C1531" t="s">
        <v>149</v>
      </c>
      <c r="D1531" t="s">
        <v>150</v>
      </c>
      <c r="E1531" t="s">
        <v>1440</v>
      </c>
      <c r="F1531" s="78">
        <v>0.61420138888888887</v>
      </c>
      <c r="G1531" t="s">
        <v>1405</v>
      </c>
      <c r="H1531" t="s">
        <v>1335</v>
      </c>
      <c r="I1531" s="88" t="str">
        <f>VLOOKUP(A1531,Base!A:B,2,0)</f>
        <v>14.307.619-9</v>
      </c>
      <c r="J1531" s="99" t="str">
        <f>VLOOKUP(A1531,Base!A:F,6,0)</f>
        <v>LUIS ROBERTO  BERRIOS  LOPEZ</v>
      </c>
      <c r="K1531" s="89" t="str">
        <f>IFERROR(IF(VLOOKUP(I1531,Ingreso!K:P,6,0)=0,"Sin turtno ing",VLOOKUP(I1531,Ingreso!K:P,6,0)),IF(F1531&gt;0.25,IF(F1531&lt;0.311805555555556,"Turno A",IF(F1531&gt;0.3125,IF(F1531&lt;0.354166666666667,"Turno C",IF(F1531&gt;0.583333333333333,IF(F1531&lt;0.625,"Turno B",IF(F1531&gt;0.625694444444444,IF(F1531&lt;0.8125,"Turno A",IF(F1531&gt;0.875,IF(F1531&lt;0.936805555555556,"Turno C",IF(F1531&gt;0.9375,IF(F1531&lt;0.979166666666667,"Turno B",""),"")),"")),"")),"")),"")),""))</f>
        <v>Turno B</v>
      </c>
      <c r="L1531" s="91">
        <f t="shared" si="23"/>
        <v>0.3125</v>
      </c>
    </row>
    <row r="1532" spans="1:12" s="40" customFormat="1">
      <c r="A1532">
        <v>14307619</v>
      </c>
      <c r="B1532" t="s">
        <v>1116</v>
      </c>
      <c r="C1532" t="s">
        <v>149</v>
      </c>
      <c r="D1532" t="s">
        <v>150</v>
      </c>
      <c r="E1532" t="s">
        <v>1437</v>
      </c>
      <c r="F1532" s="78">
        <v>0.9477199074074073</v>
      </c>
      <c r="G1532" t="s">
        <v>1406</v>
      </c>
      <c r="H1532" t="s">
        <v>1336</v>
      </c>
      <c r="I1532" s="88" t="str">
        <f>VLOOKUP(A1532,Base!A:B,2,0)</f>
        <v>14.307.619-9</v>
      </c>
      <c r="J1532" s="99" t="str">
        <f>VLOOKUP(A1532,Base!A:F,6,0)</f>
        <v>LUIS ROBERTO  BERRIOS  LOPEZ</v>
      </c>
      <c r="K1532" s="89" t="str">
        <f>IFERROR(IF(VLOOKUP(I1532,Ingreso!K:P,6,0)=0,"Sin turtno ing",VLOOKUP(I1532,Ingreso!K:P,6,0)),IF(F1532&gt;0.25,IF(F1532&lt;0.311805555555556,"Turno A",IF(F1532&gt;0.3125,IF(F1532&lt;0.354166666666667,"Turno C",IF(F1532&gt;0.583333333333333,IF(F1532&lt;0.625,"Turno B",IF(F1532&gt;0.625694444444444,IF(F1532&lt;0.8125,"Turno A",IF(F1532&gt;0.875,IF(F1532&lt;0.936805555555556,"Turno C",IF(F1532&gt;0.9375,IF(F1532&lt;0.979166666666667,"Turno B",""),"")),"")),"")),"")),"")),""))</f>
        <v>Turno B</v>
      </c>
      <c r="L1532" s="91">
        <f t="shared" si="23"/>
        <v>0.3125</v>
      </c>
    </row>
    <row r="1533" spans="1:12" s="40" customFormat="1">
      <c r="A1533">
        <v>14307619</v>
      </c>
      <c r="B1533" t="s">
        <v>1116</v>
      </c>
      <c r="C1533" t="s">
        <v>149</v>
      </c>
      <c r="D1533" t="s">
        <v>150</v>
      </c>
      <c r="E1533" t="s">
        <v>1437</v>
      </c>
      <c r="F1533" s="78">
        <v>0.61295138888888889</v>
      </c>
      <c r="G1533" t="s">
        <v>1405</v>
      </c>
      <c r="H1533" t="s">
        <v>1335</v>
      </c>
      <c r="I1533" s="88" t="str">
        <f>VLOOKUP(A1533,Base!A:B,2,0)</f>
        <v>14.307.619-9</v>
      </c>
      <c r="J1533" s="99" t="str">
        <f>VLOOKUP(A1533,Base!A:F,6,0)</f>
        <v>LUIS ROBERTO  BERRIOS  LOPEZ</v>
      </c>
      <c r="K1533" s="89" t="str">
        <f>IFERROR(IF(VLOOKUP(I1533,Ingreso!K:P,6,0)=0,"Sin turtno ing",VLOOKUP(I1533,Ingreso!K:P,6,0)),IF(F1533&gt;0.25,IF(F1533&lt;0.311805555555556,"Turno A",IF(F1533&gt;0.3125,IF(F1533&lt;0.354166666666667,"Turno C",IF(F1533&gt;0.583333333333333,IF(F1533&lt;0.625,"Turno B",IF(F1533&gt;0.625694444444444,IF(F1533&lt;0.8125,"Turno A",IF(F1533&gt;0.875,IF(F1533&lt;0.936805555555556,"Turno C",IF(F1533&gt;0.9375,IF(F1533&lt;0.979166666666667,"Turno B",""),"")),"")),"")),"")),"")),""))</f>
        <v>Turno B</v>
      </c>
      <c r="L1533" s="91">
        <f t="shared" si="23"/>
        <v>0.3125</v>
      </c>
    </row>
    <row r="1534" spans="1:12" s="40" customFormat="1">
      <c r="A1534">
        <v>14307619</v>
      </c>
      <c r="B1534" t="s">
        <v>1116</v>
      </c>
      <c r="C1534" t="s">
        <v>149</v>
      </c>
      <c r="D1534" t="s">
        <v>150</v>
      </c>
      <c r="E1534" t="s">
        <v>1438</v>
      </c>
      <c r="F1534" s="78">
        <v>0.94976851851851851</v>
      </c>
      <c r="G1534" t="s">
        <v>1406</v>
      </c>
      <c r="H1534" t="s">
        <v>1336</v>
      </c>
      <c r="I1534" s="88" t="str">
        <f>VLOOKUP(A1534,Base!A:B,2,0)</f>
        <v>14.307.619-9</v>
      </c>
      <c r="J1534" s="99" t="str">
        <f>VLOOKUP(A1534,Base!A:F,6,0)</f>
        <v>LUIS ROBERTO  BERRIOS  LOPEZ</v>
      </c>
      <c r="K1534" s="89" t="str">
        <f>IFERROR(IF(VLOOKUP(I1534,Ingreso!K:P,6,0)=0,"Sin turtno ing",VLOOKUP(I1534,Ingreso!K:P,6,0)),IF(F1534&gt;0.25,IF(F1534&lt;0.311805555555556,"Turno A",IF(F1534&gt;0.3125,IF(F1534&lt;0.354166666666667,"Turno C",IF(F1534&gt;0.583333333333333,IF(F1534&lt;0.625,"Turno B",IF(F1534&gt;0.625694444444444,IF(F1534&lt;0.8125,"Turno A",IF(F1534&gt;0.875,IF(F1534&lt;0.936805555555556,"Turno C",IF(F1534&gt;0.9375,IF(F1534&lt;0.979166666666667,"Turno B",""),"")),"")),"")),"")),"")),""))</f>
        <v>Turno B</v>
      </c>
      <c r="L1534" s="91">
        <f t="shared" si="23"/>
        <v>0.3125</v>
      </c>
    </row>
    <row r="1535" spans="1:12" s="40" customFormat="1">
      <c r="A1535">
        <v>14307619</v>
      </c>
      <c r="B1535" t="s">
        <v>1116</v>
      </c>
      <c r="C1535" t="s">
        <v>149</v>
      </c>
      <c r="D1535" t="s">
        <v>150</v>
      </c>
      <c r="E1535" t="s">
        <v>1438</v>
      </c>
      <c r="F1535" s="78">
        <v>0.61616898148148147</v>
      </c>
      <c r="G1535" t="s">
        <v>1405</v>
      </c>
      <c r="H1535" t="s">
        <v>1335</v>
      </c>
      <c r="I1535" s="88" t="str">
        <f>VLOOKUP(A1535,Base!A:B,2,0)</f>
        <v>14.307.619-9</v>
      </c>
      <c r="J1535" s="99" t="str">
        <f>VLOOKUP(A1535,Base!A:F,6,0)</f>
        <v>LUIS ROBERTO  BERRIOS  LOPEZ</v>
      </c>
      <c r="K1535" s="89" t="str">
        <f>IFERROR(IF(VLOOKUP(I1535,Ingreso!K:P,6,0)=0,"Sin turtno ing",VLOOKUP(I1535,Ingreso!K:P,6,0)),IF(F1535&gt;0.25,IF(F1535&lt;0.311805555555556,"Turno A",IF(F1535&gt;0.3125,IF(F1535&lt;0.354166666666667,"Turno C",IF(F1535&gt;0.583333333333333,IF(F1535&lt;0.625,"Turno B",IF(F1535&gt;0.625694444444444,IF(F1535&lt;0.8125,"Turno A",IF(F1535&gt;0.875,IF(F1535&lt;0.936805555555556,"Turno C",IF(F1535&gt;0.9375,IF(F1535&lt;0.979166666666667,"Turno B",""),"")),"")),"")),"")),"")),""))</f>
        <v>Turno B</v>
      </c>
      <c r="L1535" s="91">
        <f t="shared" si="23"/>
        <v>0.3125</v>
      </c>
    </row>
    <row r="1536" spans="1:12" s="40" customFormat="1">
      <c r="A1536">
        <v>14307619</v>
      </c>
      <c r="B1536" t="s">
        <v>1116</v>
      </c>
      <c r="C1536" t="s">
        <v>149</v>
      </c>
      <c r="D1536" t="s">
        <v>150</v>
      </c>
      <c r="E1536" t="s">
        <v>1439</v>
      </c>
      <c r="F1536" s="78">
        <v>0.9497106481481481</v>
      </c>
      <c r="G1536" t="s">
        <v>1406</v>
      </c>
      <c r="H1536" t="s">
        <v>1336</v>
      </c>
      <c r="I1536" s="88" t="str">
        <f>VLOOKUP(A1536,Base!A:B,2,0)</f>
        <v>14.307.619-9</v>
      </c>
      <c r="J1536" s="99" t="str">
        <f>VLOOKUP(A1536,Base!A:F,6,0)</f>
        <v>LUIS ROBERTO  BERRIOS  LOPEZ</v>
      </c>
      <c r="K1536" s="89" t="str">
        <f>IFERROR(IF(VLOOKUP(I1536,Ingreso!K:P,6,0)=0,"Sin turtno ing",VLOOKUP(I1536,Ingreso!K:P,6,0)),IF(F1536&gt;0.25,IF(F1536&lt;0.311805555555556,"Turno A",IF(F1536&gt;0.3125,IF(F1536&lt;0.354166666666667,"Turno C",IF(F1536&gt;0.583333333333333,IF(F1536&lt;0.625,"Turno B",IF(F1536&gt;0.625694444444444,IF(F1536&lt;0.8125,"Turno A",IF(F1536&gt;0.875,IF(F1536&lt;0.936805555555556,"Turno C",IF(F1536&gt;0.9375,IF(F1536&lt;0.979166666666667,"Turno B",""),"")),"")),"")),"")),"")),""))</f>
        <v>Turno B</v>
      </c>
      <c r="L1536" s="91">
        <f t="shared" si="23"/>
        <v>0.3125</v>
      </c>
    </row>
    <row r="1537" spans="1:12" s="40" customFormat="1">
      <c r="A1537">
        <v>14307619</v>
      </c>
      <c r="B1537" t="s">
        <v>1116</v>
      </c>
      <c r="C1537" t="s">
        <v>149</v>
      </c>
      <c r="D1537" t="s">
        <v>150</v>
      </c>
      <c r="E1537" t="s">
        <v>1439</v>
      </c>
      <c r="F1537" s="78">
        <v>0.60715277777777776</v>
      </c>
      <c r="G1537" t="s">
        <v>1405</v>
      </c>
      <c r="H1537" t="s">
        <v>1335</v>
      </c>
      <c r="I1537" s="88" t="str">
        <f>VLOOKUP(A1537,Base!A:B,2,0)</f>
        <v>14.307.619-9</v>
      </c>
      <c r="J1537" s="99" t="str">
        <f>VLOOKUP(A1537,Base!A:F,6,0)</f>
        <v>LUIS ROBERTO  BERRIOS  LOPEZ</v>
      </c>
      <c r="K1537" s="89" t="str">
        <f>IFERROR(IF(VLOOKUP(I1537,Ingreso!K:P,6,0)=0,"Sin turtno ing",VLOOKUP(I1537,Ingreso!K:P,6,0)),IF(F1537&gt;0.25,IF(F1537&lt;0.311805555555556,"Turno A",IF(F1537&gt;0.3125,IF(F1537&lt;0.354166666666667,"Turno C",IF(F1537&gt;0.583333333333333,IF(F1537&lt;0.625,"Turno B",IF(F1537&gt;0.625694444444444,IF(F1537&lt;0.8125,"Turno A",IF(F1537&gt;0.875,IF(F1537&lt;0.936805555555556,"Turno C",IF(F1537&gt;0.9375,IF(F1537&lt;0.979166666666667,"Turno B",""),"")),"")),"")),"")),"")),""))</f>
        <v>Turno B</v>
      </c>
      <c r="L1537" s="91">
        <f t="shared" si="23"/>
        <v>0.3125</v>
      </c>
    </row>
    <row r="1538" spans="1:12" s="40" customFormat="1">
      <c r="A1538">
        <v>14336328</v>
      </c>
      <c r="B1538" t="s">
        <v>344</v>
      </c>
      <c r="C1538" t="s">
        <v>343</v>
      </c>
      <c r="D1538" t="s">
        <v>318</v>
      </c>
      <c r="E1538" t="s">
        <v>1440</v>
      </c>
      <c r="F1538" s="78">
        <v>0.70981481481481479</v>
      </c>
      <c r="G1538" t="s">
        <v>1406</v>
      </c>
      <c r="H1538" t="s">
        <v>1336</v>
      </c>
      <c r="I1538" s="88" t="str">
        <f>VLOOKUP(A1538,Base!A:B,2,0)</f>
        <v>14.336.328-7</v>
      </c>
      <c r="J1538" s="99" t="str">
        <f>VLOOKUP(A1538,Base!A:F,6,0)</f>
        <v>HECTOR MANUEL  DURAN  HENRIQUEZ</v>
      </c>
      <c r="K1538" s="89" t="str">
        <f>IFERROR(IF(VLOOKUP(I1538,Ingreso!K:P,6,0)=0,"Sin turtno ing",VLOOKUP(I1538,Ingreso!K:P,6,0)),IF(F1538&gt;0.25,IF(F1538&lt;0.311805555555556,"Turno A",IF(F1538&gt;0.3125,IF(F1538&lt;0.354166666666667,"Turno C",IF(F1538&gt;0.583333333333333,IF(F1538&lt;0.625,"Turno B",IF(F1538&gt;0.625694444444444,IF(F1538&lt;0.8125,"Turno A",IF(F1538&gt;0.875,IF(F1538&lt;0.936805555555556,"Turno C",IF(F1538&gt;0.9375,IF(F1538&lt;0.979166666666667,"Turno B",""),"")),"")),"")),"")),"")),""))</f>
        <v>Turno A</v>
      </c>
      <c r="L1538" s="91">
        <f t="shared" si="23"/>
        <v>0.3125</v>
      </c>
    </row>
    <row r="1539" spans="1:12" s="40" customFormat="1">
      <c r="A1539">
        <v>14336328</v>
      </c>
      <c r="B1539" t="s">
        <v>344</v>
      </c>
      <c r="C1539" t="s">
        <v>343</v>
      </c>
      <c r="D1539" t="s">
        <v>318</v>
      </c>
      <c r="E1539" t="s">
        <v>1440</v>
      </c>
      <c r="F1539" s="78">
        <v>0.29605324074074074</v>
      </c>
      <c r="G1539" t="s">
        <v>1405</v>
      </c>
      <c r="H1539" t="s">
        <v>1335</v>
      </c>
      <c r="I1539" s="88" t="str">
        <f>VLOOKUP(A1539,Base!A:B,2,0)</f>
        <v>14.336.328-7</v>
      </c>
      <c r="J1539" s="99" t="str">
        <f>VLOOKUP(A1539,Base!A:F,6,0)</f>
        <v>HECTOR MANUEL  DURAN  HENRIQUEZ</v>
      </c>
      <c r="K1539" s="89" t="str">
        <f>IFERROR(IF(VLOOKUP(I1539,Ingreso!K:P,6,0)=0,"Sin turtno ing",VLOOKUP(I1539,Ingreso!K:P,6,0)),IF(F1539&gt;0.25,IF(F1539&lt;0.311805555555556,"Turno A",IF(F1539&gt;0.3125,IF(F1539&lt;0.354166666666667,"Turno C",IF(F1539&gt;0.583333333333333,IF(F1539&lt;0.625,"Turno B",IF(F1539&gt;0.625694444444444,IF(F1539&lt;0.8125,"Turno A",IF(F1539&gt;0.875,IF(F1539&lt;0.936805555555556,"Turno C",IF(F1539&gt;0.9375,IF(F1539&lt;0.979166666666667,"Turno B",""),"")),"")),"")),"")),"")),""))</f>
        <v>Turno A</v>
      </c>
      <c r="L1539" s="91">
        <f t="shared" ref="L1539:L1602" si="24">VLOOKUP(K1539,$S$3:$T$7,2,0)</f>
        <v>0.3125</v>
      </c>
    </row>
    <row r="1540" spans="1:12" s="40" customFormat="1">
      <c r="A1540">
        <v>14336328</v>
      </c>
      <c r="B1540" t="s">
        <v>344</v>
      </c>
      <c r="C1540" t="s">
        <v>343</v>
      </c>
      <c r="D1540" t="s">
        <v>318</v>
      </c>
      <c r="E1540" t="s">
        <v>1441</v>
      </c>
      <c r="F1540" s="78">
        <v>0.71732638888888889</v>
      </c>
      <c r="G1540" t="s">
        <v>1406</v>
      </c>
      <c r="H1540" t="s">
        <v>1336</v>
      </c>
      <c r="I1540" s="88" t="str">
        <f>VLOOKUP(A1540,Base!A:B,2,0)</f>
        <v>14.336.328-7</v>
      </c>
      <c r="J1540" s="99" t="str">
        <f>VLOOKUP(A1540,Base!A:F,6,0)</f>
        <v>HECTOR MANUEL  DURAN  HENRIQUEZ</v>
      </c>
      <c r="K1540" s="89" t="str">
        <f>IFERROR(IF(VLOOKUP(I1540,Ingreso!K:P,6,0)=0,"Sin turtno ing",VLOOKUP(I1540,Ingreso!K:P,6,0)),IF(F1540&gt;0.25,IF(F1540&lt;0.311805555555556,"Turno A",IF(F1540&gt;0.3125,IF(F1540&lt;0.354166666666667,"Turno C",IF(F1540&gt;0.583333333333333,IF(F1540&lt;0.625,"Turno B",IF(F1540&gt;0.625694444444444,IF(F1540&lt;0.8125,"Turno A",IF(F1540&gt;0.875,IF(F1540&lt;0.936805555555556,"Turno C",IF(F1540&gt;0.9375,IF(F1540&lt;0.979166666666667,"Turno B",""),"")),"")),"")),"")),"")),""))</f>
        <v>Turno A</v>
      </c>
      <c r="L1540" s="91">
        <f t="shared" si="24"/>
        <v>0.3125</v>
      </c>
    </row>
    <row r="1541" spans="1:12" s="40" customFormat="1">
      <c r="A1541">
        <v>14336328</v>
      </c>
      <c r="B1541" t="s">
        <v>344</v>
      </c>
      <c r="C1541" t="s">
        <v>343</v>
      </c>
      <c r="D1541" t="s">
        <v>318</v>
      </c>
      <c r="E1541" t="s">
        <v>1441</v>
      </c>
      <c r="F1541" s="78">
        <v>0.29462962962962963</v>
      </c>
      <c r="G1541" t="s">
        <v>1405</v>
      </c>
      <c r="H1541" t="s">
        <v>1335</v>
      </c>
      <c r="I1541" s="88" t="str">
        <f>VLOOKUP(A1541,Base!A:B,2,0)</f>
        <v>14.336.328-7</v>
      </c>
      <c r="J1541" s="99" t="str">
        <f>VLOOKUP(A1541,Base!A:F,6,0)</f>
        <v>HECTOR MANUEL  DURAN  HENRIQUEZ</v>
      </c>
      <c r="K1541" s="89" t="str">
        <f>IFERROR(IF(VLOOKUP(I1541,Ingreso!K:P,6,0)=0,"Sin turtno ing",VLOOKUP(I1541,Ingreso!K:P,6,0)),IF(F1541&gt;0.25,IF(F1541&lt;0.311805555555556,"Turno A",IF(F1541&gt;0.3125,IF(F1541&lt;0.354166666666667,"Turno C",IF(F1541&gt;0.583333333333333,IF(F1541&lt;0.625,"Turno B",IF(F1541&gt;0.625694444444444,IF(F1541&lt;0.8125,"Turno A",IF(F1541&gt;0.875,IF(F1541&lt;0.936805555555556,"Turno C",IF(F1541&gt;0.9375,IF(F1541&lt;0.979166666666667,"Turno B",""),"")),"")),"")),"")),"")),""))</f>
        <v>Turno A</v>
      </c>
      <c r="L1541" s="91">
        <f t="shared" si="24"/>
        <v>0.3125</v>
      </c>
    </row>
    <row r="1542" spans="1:12" s="40" customFormat="1">
      <c r="A1542">
        <v>14336328</v>
      </c>
      <c r="B1542" t="s">
        <v>344</v>
      </c>
      <c r="C1542" t="s">
        <v>343</v>
      </c>
      <c r="D1542" t="s">
        <v>318</v>
      </c>
      <c r="E1542" t="s">
        <v>1437</v>
      </c>
      <c r="F1542" s="78">
        <v>0.7287499999999999</v>
      </c>
      <c r="G1542" t="s">
        <v>1406</v>
      </c>
      <c r="H1542" t="s">
        <v>1336</v>
      </c>
      <c r="I1542" s="88" t="str">
        <f>VLOOKUP(A1542,Base!A:B,2,0)</f>
        <v>14.336.328-7</v>
      </c>
      <c r="J1542" s="99" t="str">
        <f>VLOOKUP(A1542,Base!A:F,6,0)</f>
        <v>HECTOR MANUEL  DURAN  HENRIQUEZ</v>
      </c>
      <c r="K1542" s="89" t="str">
        <f>IFERROR(IF(VLOOKUP(I1542,Ingreso!K:P,6,0)=0,"Sin turtno ing",VLOOKUP(I1542,Ingreso!K:P,6,0)),IF(F1542&gt;0.25,IF(F1542&lt;0.311805555555556,"Turno A",IF(F1542&gt;0.3125,IF(F1542&lt;0.354166666666667,"Turno C",IF(F1542&gt;0.583333333333333,IF(F1542&lt;0.625,"Turno B",IF(F1542&gt;0.625694444444444,IF(F1542&lt;0.8125,"Turno A",IF(F1542&gt;0.875,IF(F1542&lt;0.936805555555556,"Turno C",IF(F1542&gt;0.9375,IF(F1542&lt;0.979166666666667,"Turno B",""),"")),"")),"")),"")),"")),""))</f>
        <v>Turno A</v>
      </c>
      <c r="L1542" s="91">
        <f t="shared" si="24"/>
        <v>0.3125</v>
      </c>
    </row>
    <row r="1543" spans="1:12" s="40" customFormat="1">
      <c r="A1543">
        <v>14336328</v>
      </c>
      <c r="B1543" t="s">
        <v>344</v>
      </c>
      <c r="C1543" t="s">
        <v>343</v>
      </c>
      <c r="D1543" t="s">
        <v>318</v>
      </c>
      <c r="E1543" t="s">
        <v>1437</v>
      </c>
      <c r="F1543" s="78">
        <v>0.29451388888888891</v>
      </c>
      <c r="G1543" t="s">
        <v>1405</v>
      </c>
      <c r="H1543" t="s">
        <v>1335</v>
      </c>
      <c r="I1543" s="88" t="str">
        <f>VLOOKUP(A1543,Base!A:B,2,0)</f>
        <v>14.336.328-7</v>
      </c>
      <c r="J1543" s="99" t="str">
        <f>VLOOKUP(A1543,Base!A:F,6,0)</f>
        <v>HECTOR MANUEL  DURAN  HENRIQUEZ</v>
      </c>
      <c r="K1543" s="89" t="str">
        <f>IFERROR(IF(VLOOKUP(I1543,Ingreso!K:P,6,0)=0,"Sin turtno ing",VLOOKUP(I1543,Ingreso!K:P,6,0)),IF(F1543&gt;0.25,IF(F1543&lt;0.311805555555556,"Turno A",IF(F1543&gt;0.3125,IF(F1543&lt;0.354166666666667,"Turno C",IF(F1543&gt;0.583333333333333,IF(F1543&lt;0.625,"Turno B",IF(F1543&gt;0.625694444444444,IF(F1543&lt;0.8125,"Turno A",IF(F1543&gt;0.875,IF(F1543&lt;0.936805555555556,"Turno C",IF(F1543&gt;0.9375,IF(F1543&lt;0.979166666666667,"Turno B",""),"")),"")),"")),"")),"")),""))</f>
        <v>Turno A</v>
      </c>
      <c r="L1543" s="91">
        <f t="shared" si="24"/>
        <v>0.3125</v>
      </c>
    </row>
    <row r="1544" spans="1:12" s="40" customFormat="1">
      <c r="A1544">
        <v>14336328</v>
      </c>
      <c r="B1544" t="s">
        <v>344</v>
      </c>
      <c r="C1544" t="s">
        <v>343</v>
      </c>
      <c r="D1544" t="s">
        <v>318</v>
      </c>
      <c r="E1544" t="s">
        <v>1438</v>
      </c>
      <c r="F1544" s="78">
        <v>0.71929398148148149</v>
      </c>
      <c r="G1544" t="s">
        <v>1406</v>
      </c>
      <c r="H1544" t="s">
        <v>1336</v>
      </c>
      <c r="I1544" s="88" t="str">
        <f>VLOOKUP(A1544,Base!A:B,2,0)</f>
        <v>14.336.328-7</v>
      </c>
      <c r="J1544" s="99" t="str">
        <f>VLOOKUP(A1544,Base!A:F,6,0)</f>
        <v>HECTOR MANUEL  DURAN  HENRIQUEZ</v>
      </c>
      <c r="K1544" s="89" t="str">
        <f>IFERROR(IF(VLOOKUP(I1544,Ingreso!K:P,6,0)=0,"Sin turtno ing",VLOOKUP(I1544,Ingreso!K:P,6,0)),IF(F1544&gt;0.25,IF(F1544&lt;0.311805555555556,"Turno A",IF(F1544&gt;0.3125,IF(F1544&lt;0.354166666666667,"Turno C",IF(F1544&gt;0.583333333333333,IF(F1544&lt;0.625,"Turno B",IF(F1544&gt;0.625694444444444,IF(F1544&lt;0.8125,"Turno A",IF(F1544&gt;0.875,IF(F1544&lt;0.936805555555556,"Turno C",IF(F1544&gt;0.9375,IF(F1544&lt;0.979166666666667,"Turno B",""),"")),"")),"")),"")),"")),""))</f>
        <v>Turno A</v>
      </c>
      <c r="L1544" s="91">
        <f t="shared" si="24"/>
        <v>0.3125</v>
      </c>
    </row>
    <row r="1545" spans="1:12" s="40" customFormat="1">
      <c r="A1545">
        <v>14336328</v>
      </c>
      <c r="B1545" t="s">
        <v>344</v>
      </c>
      <c r="C1545" t="s">
        <v>343</v>
      </c>
      <c r="D1545" t="s">
        <v>318</v>
      </c>
      <c r="E1545" t="s">
        <v>1438</v>
      </c>
      <c r="F1545" s="78">
        <v>0.29472222222222222</v>
      </c>
      <c r="G1545" t="s">
        <v>1405</v>
      </c>
      <c r="H1545" t="s">
        <v>1335</v>
      </c>
      <c r="I1545" s="88" t="str">
        <f>VLOOKUP(A1545,Base!A:B,2,0)</f>
        <v>14.336.328-7</v>
      </c>
      <c r="J1545" s="99" t="str">
        <f>VLOOKUP(A1545,Base!A:F,6,0)</f>
        <v>HECTOR MANUEL  DURAN  HENRIQUEZ</v>
      </c>
      <c r="K1545" s="89" t="str">
        <f>IFERROR(IF(VLOOKUP(I1545,Ingreso!K:P,6,0)=0,"Sin turtno ing",VLOOKUP(I1545,Ingreso!K:P,6,0)),IF(F1545&gt;0.25,IF(F1545&lt;0.311805555555556,"Turno A",IF(F1545&gt;0.3125,IF(F1545&lt;0.354166666666667,"Turno C",IF(F1545&gt;0.583333333333333,IF(F1545&lt;0.625,"Turno B",IF(F1545&gt;0.625694444444444,IF(F1545&lt;0.8125,"Turno A",IF(F1545&gt;0.875,IF(F1545&lt;0.936805555555556,"Turno C",IF(F1545&gt;0.9375,IF(F1545&lt;0.979166666666667,"Turno B",""),"")),"")),"")),"")),"")),""))</f>
        <v>Turno A</v>
      </c>
      <c r="L1545" s="91">
        <f t="shared" si="24"/>
        <v>0.3125</v>
      </c>
    </row>
    <row r="1546" spans="1:12" s="40" customFormat="1">
      <c r="A1546">
        <v>14336328</v>
      </c>
      <c r="B1546" t="s">
        <v>344</v>
      </c>
      <c r="C1546" t="s">
        <v>343</v>
      </c>
      <c r="D1546" t="s">
        <v>318</v>
      </c>
      <c r="E1546" t="s">
        <v>1439</v>
      </c>
      <c r="F1546" s="78">
        <v>0.72643518518518524</v>
      </c>
      <c r="G1546" t="s">
        <v>1406</v>
      </c>
      <c r="H1546" t="s">
        <v>1336</v>
      </c>
      <c r="I1546" s="88" t="str">
        <f>VLOOKUP(A1546,Base!A:B,2,0)</f>
        <v>14.336.328-7</v>
      </c>
      <c r="J1546" s="99" t="str">
        <f>VLOOKUP(A1546,Base!A:F,6,0)</f>
        <v>HECTOR MANUEL  DURAN  HENRIQUEZ</v>
      </c>
      <c r="K1546" s="89" t="str">
        <f>IFERROR(IF(VLOOKUP(I1546,Ingreso!K:P,6,0)=0,"Sin turtno ing",VLOOKUP(I1546,Ingreso!K:P,6,0)),IF(F1546&gt;0.25,IF(F1546&lt;0.311805555555556,"Turno A",IF(F1546&gt;0.3125,IF(F1546&lt;0.354166666666667,"Turno C",IF(F1546&gt;0.583333333333333,IF(F1546&lt;0.625,"Turno B",IF(F1546&gt;0.625694444444444,IF(F1546&lt;0.8125,"Turno A",IF(F1546&gt;0.875,IF(F1546&lt;0.936805555555556,"Turno C",IF(F1546&gt;0.9375,IF(F1546&lt;0.979166666666667,"Turno B",""),"")),"")),"")),"")),"")),""))</f>
        <v>Turno A</v>
      </c>
      <c r="L1546" s="91">
        <f t="shared" si="24"/>
        <v>0.3125</v>
      </c>
    </row>
    <row r="1547" spans="1:12" s="40" customFormat="1">
      <c r="A1547">
        <v>14336328</v>
      </c>
      <c r="B1547" t="s">
        <v>344</v>
      </c>
      <c r="C1547" t="s">
        <v>343</v>
      </c>
      <c r="D1547" t="s">
        <v>318</v>
      </c>
      <c r="E1547" t="s">
        <v>1439</v>
      </c>
      <c r="F1547" s="78">
        <v>0.29526620370370371</v>
      </c>
      <c r="G1547" t="s">
        <v>1405</v>
      </c>
      <c r="H1547" t="s">
        <v>1335</v>
      </c>
      <c r="I1547" s="88" t="str">
        <f>VLOOKUP(A1547,Base!A:B,2,0)</f>
        <v>14.336.328-7</v>
      </c>
      <c r="J1547" s="99" t="str">
        <f>VLOOKUP(A1547,Base!A:F,6,0)</f>
        <v>HECTOR MANUEL  DURAN  HENRIQUEZ</v>
      </c>
      <c r="K1547" s="89" t="str">
        <f>IFERROR(IF(VLOOKUP(I1547,Ingreso!K:P,6,0)=0,"Sin turtno ing",VLOOKUP(I1547,Ingreso!K:P,6,0)),IF(F1547&gt;0.25,IF(F1547&lt;0.311805555555556,"Turno A",IF(F1547&gt;0.3125,IF(F1547&lt;0.354166666666667,"Turno C",IF(F1547&gt;0.583333333333333,IF(F1547&lt;0.625,"Turno B",IF(F1547&gt;0.625694444444444,IF(F1547&lt;0.8125,"Turno A",IF(F1547&gt;0.875,IF(F1547&lt;0.936805555555556,"Turno C",IF(F1547&gt;0.9375,IF(F1547&lt;0.979166666666667,"Turno B",""),"")),"")),"")),"")),"")),""))</f>
        <v>Turno A</v>
      </c>
      <c r="L1547" s="91">
        <f t="shared" si="24"/>
        <v>0.3125</v>
      </c>
    </row>
    <row r="1548" spans="1:12" s="40" customFormat="1">
      <c r="A1548">
        <v>14336364</v>
      </c>
      <c r="B1548" t="s">
        <v>489</v>
      </c>
      <c r="C1548" t="s">
        <v>268</v>
      </c>
      <c r="D1548" t="s">
        <v>126</v>
      </c>
      <c r="E1548" t="s">
        <v>1440</v>
      </c>
      <c r="F1548" s="78">
        <v>0.30386574074074074</v>
      </c>
      <c r="G1548" t="s">
        <v>1406</v>
      </c>
      <c r="H1548" t="s">
        <v>1336</v>
      </c>
      <c r="I1548" s="88" t="str">
        <f>VLOOKUP(A1548,Base!A:B,2,0)</f>
        <v>14.336.364-3</v>
      </c>
      <c r="J1548" s="99" t="str">
        <f>VLOOKUP(A1548,Base!A:F,6,0)</f>
        <v>ARIEL A.  HERRERA  PALMA</v>
      </c>
      <c r="K1548" s="89" t="str">
        <f>IFERROR(IF(VLOOKUP(I1548,Ingreso!K:P,6,0)=0,"Sin turtno ing",VLOOKUP(I1548,Ingreso!K:P,6,0)),IF(F1548&gt;0.25,IF(F1548&lt;0.311805555555556,"Turno A",IF(F1548&gt;0.3125,IF(F1548&lt;0.354166666666667,"Turno C",IF(F1548&gt;0.583333333333333,IF(F1548&lt;0.625,"Turno B",IF(F1548&gt;0.625694444444444,IF(F1548&lt;0.8125,"Turno A",IF(F1548&gt;0.875,IF(F1548&lt;0.936805555555556,"Turno C",IF(F1548&gt;0.9375,IF(F1548&lt;0.979166666666667,"Turno B",""),"")),"")),"")),"")),"")),""))</f>
        <v>Turno C</v>
      </c>
      <c r="L1548" s="91">
        <f t="shared" si="24"/>
        <v>0.375</v>
      </c>
    </row>
    <row r="1549" spans="1:12" s="40" customFormat="1">
      <c r="A1549">
        <v>14336364</v>
      </c>
      <c r="B1549" t="s">
        <v>489</v>
      </c>
      <c r="C1549" t="s">
        <v>268</v>
      </c>
      <c r="D1549" t="s">
        <v>126</v>
      </c>
      <c r="E1549" t="s">
        <v>1440</v>
      </c>
      <c r="F1549" s="78">
        <v>0.92568287037037045</v>
      </c>
      <c r="G1549" t="s">
        <v>1405</v>
      </c>
      <c r="H1549" t="s">
        <v>1335</v>
      </c>
      <c r="I1549" s="88" t="str">
        <f>VLOOKUP(A1549,Base!A:B,2,0)</f>
        <v>14.336.364-3</v>
      </c>
      <c r="J1549" s="99" t="str">
        <f>VLOOKUP(A1549,Base!A:F,6,0)</f>
        <v>ARIEL A.  HERRERA  PALMA</v>
      </c>
      <c r="K1549" s="89" t="str">
        <f>IFERROR(IF(VLOOKUP(I1549,Ingreso!K:P,6,0)=0,"Sin turtno ing",VLOOKUP(I1549,Ingreso!K:P,6,0)),IF(F1549&gt;0.25,IF(F1549&lt;0.311805555555556,"Turno A",IF(F1549&gt;0.3125,IF(F1549&lt;0.354166666666667,"Turno C",IF(F1549&gt;0.583333333333333,IF(F1549&lt;0.625,"Turno B",IF(F1549&gt;0.625694444444444,IF(F1549&lt;0.8125,"Turno A",IF(F1549&gt;0.875,IF(F1549&lt;0.936805555555556,"Turno C",IF(F1549&gt;0.9375,IF(F1549&lt;0.979166666666667,"Turno B",""),"")),"")),"")),"")),"")),""))</f>
        <v>Turno C</v>
      </c>
      <c r="L1549" s="91">
        <f t="shared" si="24"/>
        <v>0.375</v>
      </c>
    </row>
    <row r="1550" spans="1:12" s="40" customFormat="1">
      <c r="A1550">
        <v>14336364</v>
      </c>
      <c r="B1550" t="s">
        <v>489</v>
      </c>
      <c r="C1550" t="s">
        <v>268</v>
      </c>
      <c r="D1550" t="s">
        <v>126</v>
      </c>
      <c r="E1550" t="s">
        <v>1441</v>
      </c>
      <c r="F1550" s="78">
        <v>0.31637731481481485</v>
      </c>
      <c r="G1550" t="s">
        <v>1406</v>
      </c>
      <c r="H1550" t="s">
        <v>1336</v>
      </c>
      <c r="I1550" s="88" t="str">
        <f>VLOOKUP(A1550,Base!A:B,2,0)</f>
        <v>14.336.364-3</v>
      </c>
      <c r="J1550" s="99" t="str">
        <f>VLOOKUP(A1550,Base!A:F,6,0)</f>
        <v>ARIEL A.  HERRERA  PALMA</v>
      </c>
      <c r="K1550" s="89" t="str">
        <f>IFERROR(IF(VLOOKUP(I1550,Ingreso!K:P,6,0)=0,"Sin turtno ing",VLOOKUP(I1550,Ingreso!K:P,6,0)),IF(F1550&gt;0.25,IF(F1550&lt;0.311805555555556,"Turno A",IF(F1550&gt;0.3125,IF(F1550&lt;0.354166666666667,"Turno C",IF(F1550&gt;0.583333333333333,IF(F1550&lt;0.625,"Turno B",IF(F1550&gt;0.625694444444444,IF(F1550&lt;0.8125,"Turno A",IF(F1550&gt;0.875,IF(F1550&lt;0.936805555555556,"Turno C",IF(F1550&gt;0.9375,IF(F1550&lt;0.979166666666667,"Turno B",""),"")),"")),"")),"")),"")),""))</f>
        <v>Turno C</v>
      </c>
      <c r="L1550" s="91">
        <f t="shared" si="24"/>
        <v>0.375</v>
      </c>
    </row>
    <row r="1551" spans="1:12" s="40" customFormat="1">
      <c r="A1551">
        <v>14336364</v>
      </c>
      <c r="B1551" t="s">
        <v>489</v>
      </c>
      <c r="C1551" t="s">
        <v>268</v>
      </c>
      <c r="D1551" t="s">
        <v>126</v>
      </c>
      <c r="E1551" t="s">
        <v>1442</v>
      </c>
      <c r="F1551" s="78">
        <v>0.99091435185185184</v>
      </c>
      <c r="G1551" t="s">
        <v>1405</v>
      </c>
      <c r="H1551" t="s">
        <v>1335</v>
      </c>
      <c r="I1551" s="88" t="str">
        <f>VLOOKUP(A1551,Base!A:B,2,0)</f>
        <v>14.336.364-3</v>
      </c>
      <c r="J1551" s="99" t="str">
        <f>VLOOKUP(A1551,Base!A:F,6,0)</f>
        <v>ARIEL A.  HERRERA  PALMA</v>
      </c>
      <c r="K1551" s="89" t="str">
        <f>IFERROR(IF(VLOOKUP(I1551,Ingreso!K:P,6,0)=0,"Sin turtno ing",VLOOKUP(I1551,Ingreso!K:P,6,0)),IF(F1551&gt;0.25,IF(F1551&lt;0.311805555555556,"Turno A",IF(F1551&gt;0.3125,IF(F1551&lt;0.354166666666667,"Turno C",IF(F1551&gt;0.583333333333333,IF(F1551&lt;0.625,"Turno B",IF(F1551&gt;0.625694444444444,IF(F1551&lt;0.8125,"Turno A",IF(F1551&gt;0.875,IF(F1551&lt;0.936805555555556,"Turno C",IF(F1551&gt;0.9375,IF(F1551&lt;0.979166666666667,"Turno B",""),"")),"")),"")),"")),"")),""))</f>
        <v>Turno C</v>
      </c>
      <c r="L1551" s="91">
        <f t="shared" si="24"/>
        <v>0.375</v>
      </c>
    </row>
    <row r="1552" spans="1:12" s="40" customFormat="1">
      <c r="A1552">
        <v>14336364</v>
      </c>
      <c r="B1552" t="s">
        <v>489</v>
      </c>
      <c r="C1552" t="s">
        <v>268</v>
      </c>
      <c r="D1552" t="s">
        <v>126</v>
      </c>
      <c r="E1552" t="s">
        <v>1436</v>
      </c>
      <c r="F1552" s="78">
        <v>0.9878703703703704</v>
      </c>
      <c r="G1552" t="s">
        <v>1405</v>
      </c>
      <c r="H1552" t="s">
        <v>1335</v>
      </c>
      <c r="I1552" s="88" t="str">
        <f>VLOOKUP(A1552,Base!A:B,2,0)</f>
        <v>14.336.364-3</v>
      </c>
      <c r="J1552" s="99" t="str">
        <f>VLOOKUP(A1552,Base!A:F,6,0)</f>
        <v>ARIEL A.  HERRERA  PALMA</v>
      </c>
      <c r="K1552" s="89" t="str">
        <f>IFERROR(IF(VLOOKUP(I1552,Ingreso!K:P,6,0)=0,"Sin turtno ing",VLOOKUP(I1552,Ingreso!K:P,6,0)),IF(F1552&gt;0.25,IF(F1552&lt;0.311805555555556,"Turno A",IF(F1552&gt;0.3125,IF(F1552&lt;0.354166666666667,"Turno C",IF(F1552&gt;0.583333333333333,IF(F1552&lt;0.625,"Turno B",IF(F1552&gt;0.625694444444444,IF(F1552&lt;0.8125,"Turno A",IF(F1552&gt;0.875,IF(F1552&lt;0.936805555555556,"Turno C",IF(F1552&gt;0.9375,IF(F1552&lt;0.979166666666667,"Turno B",""),"")),"")),"")),"")),"")),""))</f>
        <v>Turno C</v>
      </c>
      <c r="L1552" s="91">
        <f t="shared" si="24"/>
        <v>0.375</v>
      </c>
    </row>
    <row r="1553" spans="1:12" s="40" customFormat="1">
      <c r="A1553">
        <v>14336364</v>
      </c>
      <c r="B1553" t="s">
        <v>489</v>
      </c>
      <c r="C1553" t="s">
        <v>268</v>
      </c>
      <c r="D1553" t="s">
        <v>126</v>
      </c>
      <c r="E1553" t="s">
        <v>1437</v>
      </c>
      <c r="F1553" s="78">
        <v>0.32577546296296295</v>
      </c>
      <c r="G1553" t="s">
        <v>1406</v>
      </c>
      <c r="H1553" t="s">
        <v>1336</v>
      </c>
      <c r="I1553" s="88" t="str">
        <f>VLOOKUP(A1553,Base!A:B,2,0)</f>
        <v>14.336.364-3</v>
      </c>
      <c r="J1553" s="99" t="str">
        <f>VLOOKUP(A1553,Base!A:F,6,0)</f>
        <v>ARIEL A.  HERRERA  PALMA</v>
      </c>
      <c r="K1553" s="89" t="str">
        <f>IFERROR(IF(VLOOKUP(I1553,Ingreso!K:P,6,0)=0,"Sin turtno ing",VLOOKUP(I1553,Ingreso!K:P,6,0)),IF(F1553&gt;0.25,IF(F1553&lt;0.311805555555556,"Turno A",IF(F1553&gt;0.3125,IF(F1553&lt;0.354166666666667,"Turno C",IF(F1553&gt;0.583333333333333,IF(F1553&lt;0.625,"Turno B",IF(F1553&gt;0.625694444444444,IF(F1553&lt;0.8125,"Turno A",IF(F1553&gt;0.875,IF(F1553&lt;0.936805555555556,"Turno C",IF(F1553&gt;0.9375,IF(F1553&lt;0.979166666666667,"Turno B",""),"")),"")),"")),"")),"")),""))</f>
        <v>Turno C</v>
      </c>
      <c r="L1553" s="91">
        <f t="shared" si="24"/>
        <v>0.375</v>
      </c>
    </row>
    <row r="1554" spans="1:12" s="40" customFormat="1">
      <c r="A1554">
        <v>14336364</v>
      </c>
      <c r="B1554" t="s">
        <v>489</v>
      </c>
      <c r="C1554" t="s">
        <v>268</v>
      </c>
      <c r="D1554" t="s">
        <v>126</v>
      </c>
      <c r="E1554" t="s">
        <v>1438</v>
      </c>
      <c r="F1554" s="78">
        <v>0.76704861111111111</v>
      </c>
      <c r="G1554" t="s">
        <v>1406</v>
      </c>
      <c r="H1554" t="s">
        <v>1336</v>
      </c>
      <c r="I1554" s="88" t="str">
        <f>VLOOKUP(A1554,Base!A:B,2,0)</f>
        <v>14.336.364-3</v>
      </c>
      <c r="J1554" s="99" t="str">
        <f>VLOOKUP(A1554,Base!A:F,6,0)</f>
        <v>ARIEL A.  HERRERA  PALMA</v>
      </c>
      <c r="K1554" s="89" t="str">
        <f>IFERROR(IF(VLOOKUP(I1554,Ingreso!K:P,6,0)=0,"Sin turtno ing",VLOOKUP(I1554,Ingreso!K:P,6,0)),IF(F1554&gt;0.25,IF(F1554&lt;0.311805555555556,"Turno A",IF(F1554&gt;0.3125,IF(F1554&lt;0.354166666666667,"Turno C",IF(F1554&gt;0.583333333333333,IF(F1554&lt;0.625,"Turno B",IF(F1554&gt;0.625694444444444,IF(F1554&lt;0.8125,"Turno A",IF(F1554&gt;0.875,IF(F1554&lt;0.936805555555556,"Turno C",IF(F1554&gt;0.9375,IF(F1554&lt;0.979166666666667,"Turno B",""),"")),"")),"")),"")),"")),""))</f>
        <v>Turno C</v>
      </c>
      <c r="L1554" s="91">
        <f t="shared" si="24"/>
        <v>0.375</v>
      </c>
    </row>
    <row r="1555" spans="1:12" s="40" customFormat="1">
      <c r="A1555">
        <v>14336364</v>
      </c>
      <c r="B1555" t="s">
        <v>489</v>
      </c>
      <c r="C1555" t="s">
        <v>268</v>
      </c>
      <c r="D1555" t="s">
        <v>126</v>
      </c>
      <c r="E1555" t="s">
        <v>1438</v>
      </c>
      <c r="F1555" s="78">
        <v>0.34604166666666664</v>
      </c>
      <c r="G1555" t="s">
        <v>1405</v>
      </c>
      <c r="H1555" t="s">
        <v>1335</v>
      </c>
      <c r="I1555" s="88" t="str">
        <f>VLOOKUP(A1555,Base!A:B,2,0)</f>
        <v>14.336.364-3</v>
      </c>
      <c r="J1555" s="99" t="str">
        <f>VLOOKUP(A1555,Base!A:F,6,0)</f>
        <v>ARIEL A.  HERRERA  PALMA</v>
      </c>
      <c r="K1555" s="89" t="str">
        <f>IFERROR(IF(VLOOKUP(I1555,Ingreso!K:P,6,0)=0,"Sin turtno ing",VLOOKUP(I1555,Ingreso!K:P,6,0)),IF(F1555&gt;0.25,IF(F1555&lt;0.311805555555556,"Turno A",IF(F1555&gt;0.3125,IF(F1555&lt;0.354166666666667,"Turno C",IF(F1555&gt;0.583333333333333,IF(F1555&lt;0.625,"Turno B",IF(F1555&gt;0.625694444444444,IF(F1555&lt;0.8125,"Turno A",IF(F1555&gt;0.875,IF(F1555&lt;0.936805555555556,"Turno C",IF(F1555&gt;0.9375,IF(F1555&lt;0.979166666666667,"Turno B",""),"")),"")),"")),"")),"")),""))</f>
        <v>Turno C</v>
      </c>
      <c r="L1555" s="91">
        <f t="shared" si="24"/>
        <v>0.375</v>
      </c>
    </row>
    <row r="1556" spans="1:12" s="40" customFormat="1">
      <c r="A1556">
        <v>14336364</v>
      </c>
      <c r="B1556" t="s">
        <v>489</v>
      </c>
      <c r="C1556" t="s">
        <v>268</v>
      </c>
      <c r="D1556" t="s">
        <v>126</v>
      </c>
      <c r="E1556" t="s">
        <v>1438</v>
      </c>
      <c r="F1556" s="78">
        <v>0.92686342592592597</v>
      </c>
      <c r="G1556" t="s">
        <v>1405</v>
      </c>
      <c r="H1556" t="s">
        <v>1335</v>
      </c>
      <c r="I1556" s="88" t="str">
        <f>VLOOKUP(A1556,Base!A:B,2,0)</f>
        <v>14.336.364-3</v>
      </c>
      <c r="J1556" s="99" t="str">
        <f>VLOOKUP(A1556,Base!A:F,6,0)</f>
        <v>ARIEL A.  HERRERA  PALMA</v>
      </c>
      <c r="K1556" s="89" t="str">
        <f>IFERROR(IF(VLOOKUP(I1556,Ingreso!K:P,6,0)=0,"Sin turtno ing",VLOOKUP(I1556,Ingreso!K:P,6,0)),IF(F1556&gt;0.25,IF(F1556&lt;0.311805555555556,"Turno A",IF(F1556&gt;0.3125,IF(F1556&lt;0.354166666666667,"Turno C",IF(F1556&gt;0.583333333333333,IF(F1556&lt;0.625,"Turno B",IF(F1556&gt;0.625694444444444,IF(F1556&lt;0.8125,"Turno A",IF(F1556&gt;0.875,IF(F1556&lt;0.936805555555556,"Turno C",IF(F1556&gt;0.9375,IF(F1556&lt;0.979166666666667,"Turno B",""),"")),"")),"")),"")),"")),""))</f>
        <v>Turno C</v>
      </c>
      <c r="L1556" s="91">
        <f t="shared" si="24"/>
        <v>0.375</v>
      </c>
    </row>
    <row r="1557" spans="1:12" s="40" customFormat="1">
      <c r="A1557">
        <v>14336364</v>
      </c>
      <c r="B1557" t="s">
        <v>489</v>
      </c>
      <c r="C1557" t="s">
        <v>268</v>
      </c>
      <c r="D1557" t="s">
        <v>126</v>
      </c>
      <c r="E1557" t="s">
        <v>1439</v>
      </c>
      <c r="F1557" s="78">
        <v>0.30283564814814817</v>
      </c>
      <c r="G1557" t="s">
        <v>1406</v>
      </c>
      <c r="H1557" t="s">
        <v>1336</v>
      </c>
      <c r="I1557" s="88" t="str">
        <f>VLOOKUP(A1557,Base!A:B,2,0)</f>
        <v>14.336.364-3</v>
      </c>
      <c r="J1557" s="99" t="str">
        <f>VLOOKUP(A1557,Base!A:F,6,0)</f>
        <v>ARIEL A.  HERRERA  PALMA</v>
      </c>
      <c r="K1557" s="89" t="str">
        <f>IFERROR(IF(VLOOKUP(I1557,Ingreso!K:P,6,0)=0,"Sin turtno ing",VLOOKUP(I1557,Ingreso!K:P,6,0)),IF(F1557&gt;0.25,IF(F1557&lt;0.311805555555556,"Turno A",IF(F1557&gt;0.3125,IF(F1557&lt;0.354166666666667,"Turno C",IF(F1557&gt;0.583333333333333,IF(F1557&lt;0.625,"Turno B",IF(F1557&gt;0.625694444444444,IF(F1557&lt;0.8125,"Turno A",IF(F1557&gt;0.875,IF(F1557&lt;0.936805555555556,"Turno C",IF(F1557&gt;0.9375,IF(F1557&lt;0.979166666666667,"Turno B",""),"")),"")),"")),"")),"")),""))</f>
        <v>Turno C</v>
      </c>
      <c r="L1557" s="91">
        <f t="shared" si="24"/>
        <v>0.375</v>
      </c>
    </row>
    <row r="1558" spans="1:12" s="40" customFormat="1">
      <c r="A1558">
        <v>14336364</v>
      </c>
      <c r="B1558" t="s">
        <v>489</v>
      </c>
      <c r="C1558" t="s">
        <v>268</v>
      </c>
      <c r="D1558" t="s">
        <v>126</v>
      </c>
      <c r="E1558" t="s">
        <v>1439</v>
      </c>
      <c r="F1558" s="78">
        <v>0.92638888888888893</v>
      </c>
      <c r="G1558" t="s">
        <v>1405</v>
      </c>
      <c r="H1558" t="s">
        <v>1335</v>
      </c>
      <c r="I1558" s="88" t="str">
        <f>VLOOKUP(A1558,Base!A:B,2,0)</f>
        <v>14.336.364-3</v>
      </c>
      <c r="J1558" s="99" t="str">
        <f>VLOOKUP(A1558,Base!A:F,6,0)</f>
        <v>ARIEL A.  HERRERA  PALMA</v>
      </c>
      <c r="K1558" s="89" t="str">
        <f>IFERROR(IF(VLOOKUP(I1558,Ingreso!K:P,6,0)=0,"Sin turtno ing",VLOOKUP(I1558,Ingreso!K:P,6,0)),IF(F1558&gt;0.25,IF(F1558&lt;0.311805555555556,"Turno A",IF(F1558&gt;0.3125,IF(F1558&lt;0.354166666666667,"Turno C",IF(F1558&gt;0.583333333333333,IF(F1558&lt;0.625,"Turno B",IF(F1558&gt;0.625694444444444,IF(F1558&lt;0.8125,"Turno A",IF(F1558&gt;0.875,IF(F1558&lt;0.936805555555556,"Turno C",IF(F1558&gt;0.9375,IF(F1558&lt;0.979166666666667,"Turno B",""),"")),"")),"")),"")),"")),""))</f>
        <v>Turno C</v>
      </c>
      <c r="L1558" s="91">
        <f t="shared" si="24"/>
        <v>0.375</v>
      </c>
    </row>
    <row r="1559" spans="1:12" s="40" customFormat="1">
      <c r="A1559">
        <v>14383969</v>
      </c>
      <c r="B1559" t="s">
        <v>939</v>
      </c>
      <c r="C1559" t="s">
        <v>528</v>
      </c>
      <c r="D1559" t="s">
        <v>938</v>
      </c>
      <c r="E1559" t="s">
        <v>1440</v>
      </c>
      <c r="F1559" s="78">
        <v>0.32543981481481482</v>
      </c>
      <c r="G1559" t="s">
        <v>1406</v>
      </c>
      <c r="H1559" t="s">
        <v>1336</v>
      </c>
      <c r="I1559" s="88" t="str">
        <f>VLOOKUP(A1559,Base!A:B,2,0)</f>
        <v>14.383.969-9</v>
      </c>
      <c r="J1559" s="99" t="str">
        <f>VLOOKUP(A1559,Base!A:F,6,0)</f>
        <v>AMERICO ANDRES  RUBIO  GUZMAN</v>
      </c>
      <c r="K1559" s="89" t="str">
        <f>IFERROR(IF(VLOOKUP(I1559,Ingreso!K:P,6,0)=0,"Sin turtno ing",VLOOKUP(I1559,Ingreso!K:P,6,0)),IF(F1559&gt;0.25,IF(F1559&lt;0.311805555555556,"Turno A",IF(F1559&gt;0.3125,IF(F1559&lt;0.354166666666667,"Turno C",IF(F1559&gt;0.583333333333333,IF(F1559&lt;0.625,"Turno B",IF(F1559&gt;0.625694444444444,IF(F1559&lt;0.8125,"Turno A",IF(F1559&gt;0.875,IF(F1559&lt;0.936805555555556,"Turno C",IF(F1559&gt;0.9375,IF(F1559&lt;0.979166666666667,"Turno B",""),"")),"")),"")),"")),"")),""))</f>
        <v>Turno C</v>
      </c>
      <c r="L1559" s="91">
        <f t="shared" si="24"/>
        <v>0.375</v>
      </c>
    </row>
    <row r="1560" spans="1:12" s="40" customFormat="1">
      <c r="A1560">
        <v>14383969</v>
      </c>
      <c r="B1560" t="s">
        <v>939</v>
      </c>
      <c r="C1560" t="s">
        <v>528</v>
      </c>
      <c r="D1560" t="s">
        <v>938</v>
      </c>
      <c r="E1560" t="s">
        <v>1440</v>
      </c>
      <c r="F1560" s="78">
        <v>0.91917824074074073</v>
      </c>
      <c r="G1560" t="s">
        <v>1405</v>
      </c>
      <c r="H1560" t="s">
        <v>1335</v>
      </c>
      <c r="I1560" s="88" t="str">
        <f>VLOOKUP(A1560,Base!A:B,2,0)</f>
        <v>14.383.969-9</v>
      </c>
      <c r="J1560" s="99" t="str">
        <f>VLOOKUP(A1560,Base!A:F,6,0)</f>
        <v>AMERICO ANDRES  RUBIO  GUZMAN</v>
      </c>
      <c r="K1560" s="89" t="str">
        <f>IFERROR(IF(VLOOKUP(I1560,Ingreso!K:P,6,0)=0,"Sin turtno ing",VLOOKUP(I1560,Ingreso!K:P,6,0)),IF(F1560&gt;0.25,IF(F1560&lt;0.311805555555556,"Turno A",IF(F1560&gt;0.3125,IF(F1560&lt;0.354166666666667,"Turno C",IF(F1560&gt;0.583333333333333,IF(F1560&lt;0.625,"Turno B",IF(F1560&gt;0.625694444444444,IF(F1560&lt;0.8125,"Turno A",IF(F1560&gt;0.875,IF(F1560&lt;0.936805555555556,"Turno C",IF(F1560&gt;0.9375,IF(F1560&lt;0.979166666666667,"Turno B",""),"")),"")),"")),"")),"")),""))</f>
        <v>Turno C</v>
      </c>
      <c r="L1560" s="91">
        <f t="shared" si="24"/>
        <v>0.375</v>
      </c>
    </row>
    <row r="1561" spans="1:12" s="40" customFormat="1">
      <c r="A1561">
        <v>14383969</v>
      </c>
      <c r="B1561" t="s">
        <v>939</v>
      </c>
      <c r="C1561" t="s">
        <v>528</v>
      </c>
      <c r="D1561" t="s">
        <v>938</v>
      </c>
      <c r="E1561" t="s">
        <v>1441</v>
      </c>
      <c r="F1561" s="78">
        <v>0.32446759259259261</v>
      </c>
      <c r="G1561" t="s">
        <v>1406</v>
      </c>
      <c r="H1561" t="s">
        <v>1336</v>
      </c>
      <c r="I1561" s="88" t="str">
        <f>VLOOKUP(A1561,Base!A:B,2,0)</f>
        <v>14.383.969-9</v>
      </c>
      <c r="J1561" s="99" t="str">
        <f>VLOOKUP(A1561,Base!A:F,6,0)</f>
        <v>AMERICO ANDRES  RUBIO  GUZMAN</v>
      </c>
      <c r="K1561" s="89" t="str">
        <f>IFERROR(IF(VLOOKUP(I1561,Ingreso!K:P,6,0)=0,"Sin turtno ing",VLOOKUP(I1561,Ingreso!K:P,6,0)),IF(F1561&gt;0.25,IF(F1561&lt;0.311805555555556,"Turno A",IF(F1561&gt;0.3125,IF(F1561&lt;0.354166666666667,"Turno C",IF(F1561&gt;0.583333333333333,IF(F1561&lt;0.625,"Turno B",IF(F1561&gt;0.625694444444444,IF(F1561&lt;0.8125,"Turno A",IF(F1561&gt;0.875,IF(F1561&lt;0.936805555555556,"Turno C",IF(F1561&gt;0.9375,IF(F1561&lt;0.979166666666667,"Turno B",""),"")),"")),"")),"")),"")),""))</f>
        <v>Turno C</v>
      </c>
      <c r="L1561" s="91">
        <f t="shared" si="24"/>
        <v>0.375</v>
      </c>
    </row>
    <row r="1562" spans="1:12" s="40" customFormat="1">
      <c r="A1562">
        <v>14383969</v>
      </c>
      <c r="B1562" t="s">
        <v>939</v>
      </c>
      <c r="C1562" t="s">
        <v>528</v>
      </c>
      <c r="D1562" t="s">
        <v>938</v>
      </c>
      <c r="E1562" t="s">
        <v>1437</v>
      </c>
      <c r="F1562" s="78">
        <v>0.91921296296296295</v>
      </c>
      <c r="G1562" t="s">
        <v>1405</v>
      </c>
      <c r="H1562" t="s">
        <v>1335</v>
      </c>
      <c r="I1562" s="88" t="str">
        <f>VLOOKUP(A1562,Base!A:B,2,0)</f>
        <v>14.383.969-9</v>
      </c>
      <c r="J1562" s="99" t="str">
        <f>VLOOKUP(A1562,Base!A:F,6,0)</f>
        <v>AMERICO ANDRES  RUBIO  GUZMAN</v>
      </c>
      <c r="K1562" s="89" t="str">
        <f>IFERROR(IF(VLOOKUP(I1562,Ingreso!K:P,6,0)=0,"Sin turtno ing",VLOOKUP(I1562,Ingreso!K:P,6,0)),IF(F1562&gt;0.25,IF(F1562&lt;0.311805555555556,"Turno A",IF(F1562&gt;0.3125,IF(F1562&lt;0.354166666666667,"Turno C",IF(F1562&gt;0.583333333333333,IF(F1562&lt;0.625,"Turno B",IF(F1562&gt;0.625694444444444,IF(F1562&lt;0.8125,"Turno A",IF(F1562&gt;0.875,IF(F1562&lt;0.936805555555556,"Turno C",IF(F1562&gt;0.9375,IF(F1562&lt;0.979166666666667,"Turno B",""),"")),"")),"")),"")),"")),""))</f>
        <v>Turno C</v>
      </c>
      <c r="L1562" s="91">
        <f t="shared" si="24"/>
        <v>0.375</v>
      </c>
    </row>
    <row r="1563" spans="1:12" s="40" customFormat="1">
      <c r="A1563">
        <v>14383969</v>
      </c>
      <c r="B1563" t="s">
        <v>939</v>
      </c>
      <c r="C1563" t="s">
        <v>528</v>
      </c>
      <c r="D1563" t="s">
        <v>938</v>
      </c>
      <c r="E1563" t="s">
        <v>1438</v>
      </c>
      <c r="F1563" s="78">
        <v>0.31966435185185188</v>
      </c>
      <c r="G1563" t="s">
        <v>1406</v>
      </c>
      <c r="H1563" t="s">
        <v>1336</v>
      </c>
      <c r="I1563" s="88" t="str">
        <f>VLOOKUP(A1563,Base!A:B,2,0)</f>
        <v>14.383.969-9</v>
      </c>
      <c r="J1563" s="99" t="str">
        <f>VLOOKUP(A1563,Base!A:F,6,0)</f>
        <v>AMERICO ANDRES  RUBIO  GUZMAN</v>
      </c>
      <c r="K1563" s="89" t="str">
        <f>IFERROR(IF(VLOOKUP(I1563,Ingreso!K:P,6,0)=0,"Sin turtno ing",VLOOKUP(I1563,Ingreso!K:P,6,0)),IF(F1563&gt;0.25,IF(F1563&lt;0.311805555555556,"Turno A",IF(F1563&gt;0.3125,IF(F1563&lt;0.354166666666667,"Turno C",IF(F1563&gt;0.583333333333333,IF(F1563&lt;0.625,"Turno B",IF(F1563&gt;0.625694444444444,IF(F1563&lt;0.8125,"Turno A",IF(F1563&gt;0.875,IF(F1563&lt;0.936805555555556,"Turno C",IF(F1563&gt;0.9375,IF(F1563&lt;0.979166666666667,"Turno B",""),"")),"")),"")),"")),"")),""))</f>
        <v>Turno C</v>
      </c>
      <c r="L1563" s="91">
        <f t="shared" si="24"/>
        <v>0.375</v>
      </c>
    </row>
    <row r="1564" spans="1:12" s="40" customFormat="1">
      <c r="A1564">
        <v>14383969</v>
      </c>
      <c r="B1564" t="s">
        <v>939</v>
      </c>
      <c r="C1564" t="s">
        <v>528</v>
      </c>
      <c r="D1564" t="s">
        <v>938</v>
      </c>
      <c r="E1564" t="s">
        <v>1438</v>
      </c>
      <c r="F1564" s="78">
        <v>0.91924768518518529</v>
      </c>
      <c r="G1564" t="s">
        <v>1405</v>
      </c>
      <c r="H1564" t="s">
        <v>1335</v>
      </c>
      <c r="I1564" s="88" t="str">
        <f>VLOOKUP(A1564,Base!A:B,2,0)</f>
        <v>14.383.969-9</v>
      </c>
      <c r="J1564" s="99" t="str">
        <f>VLOOKUP(A1564,Base!A:F,6,0)</f>
        <v>AMERICO ANDRES  RUBIO  GUZMAN</v>
      </c>
      <c r="K1564" s="89" t="str">
        <f>IFERROR(IF(VLOOKUP(I1564,Ingreso!K:P,6,0)=0,"Sin turtno ing",VLOOKUP(I1564,Ingreso!K:P,6,0)),IF(F1564&gt;0.25,IF(F1564&lt;0.311805555555556,"Turno A",IF(F1564&gt;0.3125,IF(F1564&lt;0.354166666666667,"Turno C",IF(F1564&gt;0.583333333333333,IF(F1564&lt;0.625,"Turno B",IF(F1564&gt;0.625694444444444,IF(F1564&lt;0.8125,"Turno A",IF(F1564&gt;0.875,IF(F1564&lt;0.936805555555556,"Turno C",IF(F1564&gt;0.9375,IF(F1564&lt;0.979166666666667,"Turno B",""),"")),"")),"")),"")),"")),""))</f>
        <v>Turno C</v>
      </c>
      <c r="L1564" s="91">
        <f t="shared" si="24"/>
        <v>0.375</v>
      </c>
    </row>
    <row r="1565" spans="1:12" s="40" customFormat="1">
      <c r="A1565">
        <v>14383969</v>
      </c>
      <c r="B1565" t="s">
        <v>939</v>
      </c>
      <c r="C1565" t="s">
        <v>528</v>
      </c>
      <c r="D1565" t="s">
        <v>938</v>
      </c>
      <c r="E1565" t="s">
        <v>1439</v>
      </c>
      <c r="F1565" s="78">
        <v>0.32421296296296293</v>
      </c>
      <c r="G1565" t="s">
        <v>1406</v>
      </c>
      <c r="H1565" t="s">
        <v>1336</v>
      </c>
      <c r="I1565" s="88" t="str">
        <f>VLOOKUP(A1565,Base!A:B,2,0)</f>
        <v>14.383.969-9</v>
      </c>
      <c r="J1565" s="99" t="str">
        <f>VLOOKUP(A1565,Base!A:F,6,0)</f>
        <v>AMERICO ANDRES  RUBIO  GUZMAN</v>
      </c>
      <c r="K1565" s="89" t="str">
        <f>IFERROR(IF(VLOOKUP(I1565,Ingreso!K:P,6,0)=0,"Sin turtno ing",VLOOKUP(I1565,Ingreso!K:P,6,0)),IF(F1565&gt;0.25,IF(F1565&lt;0.311805555555556,"Turno A",IF(F1565&gt;0.3125,IF(F1565&lt;0.354166666666667,"Turno C",IF(F1565&gt;0.583333333333333,IF(F1565&lt;0.625,"Turno B",IF(F1565&gt;0.625694444444444,IF(F1565&lt;0.8125,"Turno A",IF(F1565&gt;0.875,IF(F1565&lt;0.936805555555556,"Turno C",IF(F1565&gt;0.9375,IF(F1565&lt;0.979166666666667,"Turno B",""),"")),"")),"")),"")),"")),""))</f>
        <v>Turno C</v>
      </c>
      <c r="L1565" s="91">
        <f t="shared" si="24"/>
        <v>0.375</v>
      </c>
    </row>
    <row r="1566" spans="1:12" s="40" customFormat="1">
      <c r="A1566">
        <v>14383969</v>
      </c>
      <c r="B1566" t="s">
        <v>939</v>
      </c>
      <c r="C1566" t="s">
        <v>528</v>
      </c>
      <c r="D1566" t="s">
        <v>938</v>
      </c>
      <c r="E1566" t="s">
        <v>1439</v>
      </c>
      <c r="F1566" s="78">
        <v>0.91841435185185183</v>
      </c>
      <c r="G1566" t="s">
        <v>1405</v>
      </c>
      <c r="H1566" t="s">
        <v>1335</v>
      </c>
      <c r="I1566" s="88" t="str">
        <f>VLOOKUP(A1566,Base!A:B,2,0)</f>
        <v>14.383.969-9</v>
      </c>
      <c r="J1566" s="99" t="str">
        <f>VLOOKUP(A1566,Base!A:F,6,0)</f>
        <v>AMERICO ANDRES  RUBIO  GUZMAN</v>
      </c>
      <c r="K1566" s="89" t="str">
        <f>IFERROR(IF(VLOOKUP(I1566,Ingreso!K:P,6,0)=0,"Sin turtno ing",VLOOKUP(I1566,Ingreso!K:P,6,0)),IF(F1566&gt;0.25,IF(F1566&lt;0.311805555555556,"Turno A",IF(F1566&gt;0.3125,IF(F1566&lt;0.354166666666667,"Turno C",IF(F1566&gt;0.583333333333333,IF(F1566&lt;0.625,"Turno B",IF(F1566&gt;0.625694444444444,IF(F1566&lt;0.8125,"Turno A",IF(F1566&gt;0.875,IF(F1566&lt;0.936805555555556,"Turno C",IF(F1566&gt;0.9375,IF(F1566&lt;0.979166666666667,"Turno B",""),"")),"")),"")),"")),"")),""))</f>
        <v>Turno C</v>
      </c>
      <c r="L1566" s="91">
        <f t="shared" si="24"/>
        <v>0.375</v>
      </c>
    </row>
    <row r="1567" spans="1:12" s="40" customFormat="1">
      <c r="A1567">
        <v>14595059</v>
      </c>
      <c r="B1567" t="s">
        <v>314</v>
      </c>
      <c r="C1567" t="s">
        <v>179</v>
      </c>
      <c r="D1567" t="s">
        <v>313</v>
      </c>
      <c r="E1567" t="s">
        <v>1440</v>
      </c>
      <c r="F1567" s="78">
        <v>0.32454861111111111</v>
      </c>
      <c r="G1567" t="s">
        <v>1406</v>
      </c>
      <c r="H1567" t="s">
        <v>1336</v>
      </c>
      <c r="I1567" s="88" t="str">
        <f>VLOOKUP(A1567,Base!A:B,2,0)</f>
        <v>14.595.059-7</v>
      </c>
      <c r="J1567" s="99" t="str">
        <f>VLOOKUP(A1567,Base!A:F,6,0)</f>
        <v>YESENIA DE LOURDES  DIAZ  GALVEZ</v>
      </c>
      <c r="K1567" s="89" t="str">
        <f>IFERROR(IF(VLOOKUP(I1567,Ingreso!K:P,6,0)=0,"Sin turtno ing",VLOOKUP(I1567,Ingreso!K:P,6,0)),IF(F1567&gt;0.25,IF(F1567&lt;0.311805555555556,"Turno A",IF(F1567&gt;0.3125,IF(F1567&lt;0.354166666666667,"Turno C",IF(F1567&gt;0.583333333333333,IF(F1567&lt;0.625,"Turno B",IF(F1567&gt;0.625694444444444,IF(F1567&lt;0.8125,"Turno A",IF(F1567&gt;0.875,IF(F1567&lt;0.936805555555556,"Turno C",IF(F1567&gt;0.9375,IF(F1567&lt;0.979166666666667,"Turno B",""),"")),"")),"")),"")),"")),""))</f>
        <v>Turno C</v>
      </c>
      <c r="L1567" s="91">
        <f t="shared" si="24"/>
        <v>0.375</v>
      </c>
    </row>
    <row r="1568" spans="1:12" s="40" customFormat="1">
      <c r="A1568">
        <v>14595059</v>
      </c>
      <c r="B1568" t="s">
        <v>314</v>
      </c>
      <c r="C1568" t="s">
        <v>179</v>
      </c>
      <c r="D1568" t="s">
        <v>313</v>
      </c>
      <c r="E1568" t="s">
        <v>1440</v>
      </c>
      <c r="F1568" s="78">
        <v>0.91907407407407404</v>
      </c>
      <c r="G1568" t="s">
        <v>1405</v>
      </c>
      <c r="H1568" t="s">
        <v>1335</v>
      </c>
      <c r="I1568" s="88" t="str">
        <f>VLOOKUP(A1568,Base!A:B,2,0)</f>
        <v>14.595.059-7</v>
      </c>
      <c r="J1568" s="99" t="str">
        <f>VLOOKUP(A1568,Base!A:F,6,0)</f>
        <v>YESENIA DE LOURDES  DIAZ  GALVEZ</v>
      </c>
      <c r="K1568" s="89" t="str">
        <f>IFERROR(IF(VLOOKUP(I1568,Ingreso!K:P,6,0)=0,"Sin turtno ing",VLOOKUP(I1568,Ingreso!K:P,6,0)),IF(F1568&gt;0.25,IF(F1568&lt;0.311805555555556,"Turno A",IF(F1568&gt;0.3125,IF(F1568&lt;0.354166666666667,"Turno C",IF(F1568&gt;0.583333333333333,IF(F1568&lt;0.625,"Turno B",IF(F1568&gt;0.625694444444444,IF(F1568&lt;0.8125,"Turno A",IF(F1568&gt;0.875,IF(F1568&lt;0.936805555555556,"Turno C",IF(F1568&gt;0.9375,IF(F1568&lt;0.979166666666667,"Turno B",""),"")),"")),"")),"")),"")),""))</f>
        <v>Turno C</v>
      </c>
      <c r="L1568" s="91">
        <f t="shared" si="24"/>
        <v>0.375</v>
      </c>
    </row>
    <row r="1569" spans="1:12" s="40" customFormat="1">
      <c r="A1569">
        <v>14595059</v>
      </c>
      <c r="B1569" t="s">
        <v>314</v>
      </c>
      <c r="C1569" t="s">
        <v>179</v>
      </c>
      <c r="D1569" t="s">
        <v>313</v>
      </c>
      <c r="E1569" t="s">
        <v>1441</v>
      </c>
      <c r="F1569" s="78">
        <v>0.32430555555555557</v>
      </c>
      <c r="G1569" t="s">
        <v>1406</v>
      </c>
      <c r="H1569" t="s">
        <v>1336</v>
      </c>
      <c r="I1569" s="88" t="str">
        <f>VLOOKUP(A1569,Base!A:B,2,0)</f>
        <v>14.595.059-7</v>
      </c>
      <c r="J1569" s="99" t="str">
        <f>VLOOKUP(A1569,Base!A:F,6,0)</f>
        <v>YESENIA DE LOURDES  DIAZ  GALVEZ</v>
      </c>
      <c r="K1569" s="89" t="str">
        <f>IFERROR(IF(VLOOKUP(I1569,Ingreso!K:P,6,0)=0,"Sin turtno ing",VLOOKUP(I1569,Ingreso!K:P,6,0)),IF(F1569&gt;0.25,IF(F1569&lt;0.311805555555556,"Turno A",IF(F1569&gt;0.3125,IF(F1569&lt;0.354166666666667,"Turno C",IF(F1569&gt;0.583333333333333,IF(F1569&lt;0.625,"Turno B",IF(F1569&gt;0.625694444444444,IF(F1569&lt;0.8125,"Turno A",IF(F1569&gt;0.875,IF(F1569&lt;0.936805555555556,"Turno C",IF(F1569&gt;0.9375,IF(F1569&lt;0.979166666666667,"Turno B",""),"")),"")),"")),"")),"")),""))</f>
        <v>Turno C</v>
      </c>
      <c r="L1569" s="91">
        <f t="shared" si="24"/>
        <v>0.375</v>
      </c>
    </row>
    <row r="1570" spans="1:12" s="40" customFormat="1">
      <c r="A1570">
        <v>14595059</v>
      </c>
      <c r="B1570" t="s">
        <v>314</v>
      </c>
      <c r="C1570" t="s">
        <v>179</v>
      </c>
      <c r="D1570" t="s">
        <v>313</v>
      </c>
      <c r="E1570" t="s">
        <v>1437</v>
      </c>
      <c r="F1570" s="78">
        <v>0.91887731481481483</v>
      </c>
      <c r="G1570" t="s">
        <v>1405</v>
      </c>
      <c r="H1570" t="s">
        <v>1335</v>
      </c>
      <c r="I1570" s="88" t="str">
        <f>VLOOKUP(A1570,Base!A:B,2,0)</f>
        <v>14.595.059-7</v>
      </c>
      <c r="J1570" s="99" t="str">
        <f>VLOOKUP(A1570,Base!A:F,6,0)</f>
        <v>YESENIA DE LOURDES  DIAZ  GALVEZ</v>
      </c>
      <c r="K1570" s="89" t="str">
        <f>IFERROR(IF(VLOOKUP(I1570,Ingreso!K:P,6,0)=0,"Sin turtno ing",VLOOKUP(I1570,Ingreso!K:P,6,0)),IF(F1570&gt;0.25,IF(F1570&lt;0.311805555555556,"Turno A",IF(F1570&gt;0.3125,IF(F1570&lt;0.354166666666667,"Turno C",IF(F1570&gt;0.583333333333333,IF(F1570&lt;0.625,"Turno B",IF(F1570&gt;0.625694444444444,IF(F1570&lt;0.8125,"Turno A",IF(F1570&gt;0.875,IF(F1570&lt;0.936805555555556,"Turno C",IF(F1570&gt;0.9375,IF(F1570&lt;0.979166666666667,"Turno B",""),"")),"")),"")),"")),"")),""))</f>
        <v>Turno C</v>
      </c>
      <c r="L1570" s="91">
        <f t="shared" si="24"/>
        <v>0.375</v>
      </c>
    </row>
    <row r="1571" spans="1:12" s="40" customFormat="1">
      <c r="A1571">
        <v>14595059</v>
      </c>
      <c r="B1571" t="s">
        <v>314</v>
      </c>
      <c r="C1571" t="s">
        <v>179</v>
      </c>
      <c r="D1571" t="s">
        <v>313</v>
      </c>
      <c r="E1571" t="s">
        <v>1438</v>
      </c>
      <c r="F1571" s="78">
        <v>0.32393518518518521</v>
      </c>
      <c r="G1571" t="s">
        <v>1406</v>
      </c>
      <c r="H1571" t="s">
        <v>1336</v>
      </c>
      <c r="I1571" s="88" t="str">
        <f>VLOOKUP(A1571,Base!A:B,2,0)</f>
        <v>14.595.059-7</v>
      </c>
      <c r="J1571" s="99" t="str">
        <f>VLOOKUP(A1571,Base!A:F,6,0)</f>
        <v>YESENIA DE LOURDES  DIAZ  GALVEZ</v>
      </c>
      <c r="K1571" s="89" t="str">
        <f>IFERROR(IF(VLOOKUP(I1571,Ingreso!K:P,6,0)=0,"Sin turtno ing",VLOOKUP(I1571,Ingreso!K:P,6,0)),IF(F1571&gt;0.25,IF(F1571&lt;0.311805555555556,"Turno A",IF(F1571&gt;0.3125,IF(F1571&lt;0.354166666666667,"Turno C",IF(F1571&gt;0.583333333333333,IF(F1571&lt;0.625,"Turno B",IF(F1571&gt;0.625694444444444,IF(F1571&lt;0.8125,"Turno A",IF(F1571&gt;0.875,IF(F1571&lt;0.936805555555556,"Turno C",IF(F1571&gt;0.9375,IF(F1571&lt;0.979166666666667,"Turno B",""),"")),"")),"")),"")),"")),""))</f>
        <v>Turno C</v>
      </c>
      <c r="L1571" s="91">
        <f t="shared" si="24"/>
        <v>0.375</v>
      </c>
    </row>
    <row r="1572" spans="1:12" s="40" customFormat="1">
      <c r="A1572">
        <v>14595059</v>
      </c>
      <c r="B1572" t="s">
        <v>314</v>
      </c>
      <c r="C1572" t="s">
        <v>179</v>
      </c>
      <c r="D1572" t="s">
        <v>313</v>
      </c>
      <c r="E1572" t="s">
        <v>1438</v>
      </c>
      <c r="F1572" s="78">
        <v>0.91895833333333332</v>
      </c>
      <c r="G1572" t="s">
        <v>1405</v>
      </c>
      <c r="H1572" t="s">
        <v>1335</v>
      </c>
      <c r="I1572" s="88" t="str">
        <f>VLOOKUP(A1572,Base!A:B,2,0)</f>
        <v>14.595.059-7</v>
      </c>
      <c r="J1572" s="99" t="str">
        <f>VLOOKUP(A1572,Base!A:F,6,0)</f>
        <v>YESENIA DE LOURDES  DIAZ  GALVEZ</v>
      </c>
      <c r="K1572" s="89" t="str">
        <f>IFERROR(IF(VLOOKUP(I1572,Ingreso!K:P,6,0)=0,"Sin turtno ing",VLOOKUP(I1572,Ingreso!K:P,6,0)),IF(F1572&gt;0.25,IF(F1572&lt;0.311805555555556,"Turno A",IF(F1572&gt;0.3125,IF(F1572&lt;0.354166666666667,"Turno C",IF(F1572&gt;0.583333333333333,IF(F1572&lt;0.625,"Turno B",IF(F1572&gt;0.625694444444444,IF(F1572&lt;0.8125,"Turno A",IF(F1572&gt;0.875,IF(F1572&lt;0.936805555555556,"Turno C",IF(F1572&gt;0.9375,IF(F1572&lt;0.979166666666667,"Turno B",""),"")),"")),"")),"")),"")),""))</f>
        <v>Turno C</v>
      </c>
      <c r="L1572" s="91">
        <f t="shared" si="24"/>
        <v>0.375</v>
      </c>
    </row>
    <row r="1573" spans="1:12" s="40" customFormat="1">
      <c r="A1573">
        <v>14595059</v>
      </c>
      <c r="B1573" t="s">
        <v>314</v>
      </c>
      <c r="C1573" t="s">
        <v>179</v>
      </c>
      <c r="D1573" t="s">
        <v>313</v>
      </c>
      <c r="E1573" t="s">
        <v>1439</v>
      </c>
      <c r="F1573" s="78">
        <v>0.32340277777777776</v>
      </c>
      <c r="G1573" t="s">
        <v>1406</v>
      </c>
      <c r="H1573" t="s">
        <v>1336</v>
      </c>
      <c r="I1573" s="88" t="str">
        <f>VLOOKUP(A1573,Base!A:B,2,0)</f>
        <v>14.595.059-7</v>
      </c>
      <c r="J1573" s="99" t="str">
        <f>VLOOKUP(A1573,Base!A:F,6,0)</f>
        <v>YESENIA DE LOURDES  DIAZ  GALVEZ</v>
      </c>
      <c r="K1573" s="89" t="str">
        <f>IFERROR(IF(VLOOKUP(I1573,Ingreso!K:P,6,0)=0,"Sin turtno ing",VLOOKUP(I1573,Ingreso!K:P,6,0)),IF(F1573&gt;0.25,IF(F1573&lt;0.311805555555556,"Turno A",IF(F1573&gt;0.3125,IF(F1573&lt;0.354166666666667,"Turno C",IF(F1573&gt;0.583333333333333,IF(F1573&lt;0.625,"Turno B",IF(F1573&gt;0.625694444444444,IF(F1573&lt;0.8125,"Turno A",IF(F1573&gt;0.875,IF(F1573&lt;0.936805555555556,"Turno C",IF(F1573&gt;0.9375,IF(F1573&lt;0.979166666666667,"Turno B",""),"")),"")),"")),"")),"")),""))</f>
        <v>Turno C</v>
      </c>
      <c r="L1573" s="91">
        <f t="shared" si="24"/>
        <v>0.375</v>
      </c>
    </row>
    <row r="1574" spans="1:12" s="40" customFormat="1">
      <c r="A1574">
        <v>14595059</v>
      </c>
      <c r="B1574" t="s">
        <v>314</v>
      </c>
      <c r="C1574" t="s">
        <v>179</v>
      </c>
      <c r="D1574" t="s">
        <v>313</v>
      </c>
      <c r="E1574" t="s">
        <v>1439</v>
      </c>
      <c r="F1574" s="78">
        <v>0.9183217592592593</v>
      </c>
      <c r="G1574" t="s">
        <v>1405</v>
      </c>
      <c r="H1574" t="s">
        <v>1335</v>
      </c>
      <c r="I1574" s="88" t="str">
        <f>VLOOKUP(A1574,Base!A:B,2,0)</f>
        <v>14.595.059-7</v>
      </c>
      <c r="J1574" s="99" t="str">
        <f>VLOOKUP(A1574,Base!A:F,6,0)</f>
        <v>YESENIA DE LOURDES  DIAZ  GALVEZ</v>
      </c>
      <c r="K1574" s="89" t="str">
        <f>IFERROR(IF(VLOOKUP(I1574,Ingreso!K:P,6,0)=0,"Sin turtno ing",VLOOKUP(I1574,Ingreso!K:P,6,0)),IF(F1574&gt;0.25,IF(F1574&lt;0.311805555555556,"Turno A",IF(F1574&gt;0.3125,IF(F1574&lt;0.354166666666667,"Turno C",IF(F1574&gt;0.583333333333333,IF(F1574&lt;0.625,"Turno B",IF(F1574&gt;0.625694444444444,IF(F1574&lt;0.8125,"Turno A",IF(F1574&gt;0.875,IF(F1574&lt;0.936805555555556,"Turno C",IF(F1574&gt;0.9375,IF(F1574&lt;0.979166666666667,"Turno B",""),"")),"")),"")),"")),"")),""))</f>
        <v>Turno C</v>
      </c>
      <c r="L1574" s="91">
        <f t="shared" si="24"/>
        <v>0.375</v>
      </c>
    </row>
    <row r="1575" spans="1:12" s="40" customFormat="1">
      <c r="A1575">
        <v>15102640</v>
      </c>
      <c r="B1575" t="s">
        <v>339</v>
      </c>
      <c r="C1575" t="s">
        <v>585</v>
      </c>
      <c r="D1575" t="s">
        <v>847</v>
      </c>
      <c r="E1575" t="s">
        <v>1440</v>
      </c>
      <c r="F1575" s="78">
        <v>0.94533564814814808</v>
      </c>
      <c r="G1575" t="s">
        <v>1406</v>
      </c>
      <c r="H1575" t="s">
        <v>1336</v>
      </c>
      <c r="I1575" s="88" t="str">
        <f>VLOOKUP(A1575,Base!A:B,2,0)</f>
        <v>15.102.640-0</v>
      </c>
      <c r="J1575" s="99" t="str">
        <f>VLOOKUP(A1575,Base!A:F,6,0)</f>
        <v>LUIS  MARDONES  ROJAS</v>
      </c>
      <c r="K1575" s="89" t="str">
        <f>IFERROR(IF(VLOOKUP(I1575,Ingreso!K:P,6,0)=0,"Sin turtno ing",VLOOKUP(I1575,Ingreso!K:P,6,0)),IF(F1575&gt;0.25,IF(F1575&lt;0.311805555555556,"Turno A",IF(F1575&gt;0.3125,IF(F1575&lt;0.354166666666667,"Turno C",IF(F1575&gt;0.583333333333333,IF(F1575&lt;0.625,"Turno B",IF(F1575&gt;0.625694444444444,IF(F1575&lt;0.8125,"Turno A",IF(F1575&gt;0.875,IF(F1575&lt;0.936805555555556,"Turno C",IF(F1575&gt;0.9375,IF(F1575&lt;0.979166666666667,"Turno B",""),"")),"")),"")),"")),"")),""))</f>
        <v>Turno B</v>
      </c>
      <c r="L1575" s="91">
        <f t="shared" si="24"/>
        <v>0.3125</v>
      </c>
    </row>
    <row r="1576" spans="1:12" s="40" customFormat="1">
      <c r="A1576">
        <v>15102640</v>
      </c>
      <c r="B1576" t="s">
        <v>339</v>
      </c>
      <c r="C1576" t="s">
        <v>585</v>
      </c>
      <c r="D1576" t="s">
        <v>847</v>
      </c>
      <c r="E1576" t="s">
        <v>1440</v>
      </c>
      <c r="F1576" s="78">
        <v>0.62223379629629627</v>
      </c>
      <c r="G1576" t="s">
        <v>1405</v>
      </c>
      <c r="H1576" t="s">
        <v>1335</v>
      </c>
      <c r="I1576" s="88" t="str">
        <f>VLOOKUP(A1576,Base!A:B,2,0)</f>
        <v>15.102.640-0</v>
      </c>
      <c r="J1576" s="99" t="str">
        <f>VLOOKUP(A1576,Base!A:F,6,0)</f>
        <v>LUIS  MARDONES  ROJAS</v>
      </c>
      <c r="K1576" s="89" t="str">
        <f>IFERROR(IF(VLOOKUP(I1576,Ingreso!K:P,6,0)=0,"Sin turtno ing",VLOOKUP(I1576,Ingreso!K:P,6,0)),IF(F1576&gt;0.25,IF(F1576&lt;0.311805555555556,"Turno A",IF(F1576&gt;0.3125,IF(F1576&lt;0.354166666666667,"Turno C",IF(F1576&gt;0.583333333333333,IF(F1576&lt;0.625,"Turno B",IF(F1576&gt;0.625694444444444,IF(F1576&lt;0.8125,"Turno A",IF(F1576&gt;0.875,IF(F1576&lt;0.936805555555556,"Turno C",IF(F1576&gt;0.9375,IF(F1576&lt;0.979166666666667,"Turno B",""),"")),"")),"")),"")),"")),""))</f>
        <v>Turno B</v>
      </c>
      <c r="L1576" s="91">
        <f t="shared" si="24"/>
        <v>0.3125</v>
      </c>
    </row>
    <row r="1577" spans="1:12" s="40" customFormat="1">
      <c r="A1577">
        <v>15102640</v>
      </c>
      <c r="B1577" t="s">
        <v>339</v>
      </c>
      <c r="C1577" t="s">
        <v>585</v>
      </c>
      <c r="D1577" t="s">
        <v>847</v>
      </c>
      <c r="E1577" t="s">
        <v>1441</v>
      </c>
      <c r="F1577" s="78">
        <v>0.95409722222222226</v>
      </c>
      <c r="G1577" t="s">
        <v>1406</v>
      </c>
      <c r="H1577" t="s">
        <v>1336</v>
      </c>
      <c r="I1577" s="88" t="str">
        <f>VLOOKUP(A1577,Base!A:B,2,0)</f>
        <v>15.102.640-0</v>
      </c>
      <c r="J1577" s="99" t="str">
        <f>VLOOKUP(A1577,Base!A:F,6,0)</f>
        <v>LUIS  MARDONES  ROJAS</v>
      </c>
      <c r="K1577" s="89" t="str">
        <f>IFERROR(IF(VLOOKUP(I1577,Ingreso!K:P,6,0)=0,"Sin turtno ing",VLOOKUP(I1577,Ingreso!K:P,6,0)),IF(F1577&gt;0.25,IF(F1577&lt;0.311805555555556,"Turno A",IF(F1577&gt;0.3125,IF(F1577&lt;0.354166666666667,"Turno C",IF(F1577&gt;0.583333333333333,IF(F1577&lt;0.625,"Turno B",IF(F1577&gt;0.625694444444444,IF(F1577&lt;0.8125,"Turno A",IF(F1577&gt;0.875,IF(F1577&lt;0.936805555555556,"Turno C",IF(F1577&gt;0.9375,IF(F1577&lt;0.979166666666667,"Turno B",""),"")),"")),"")),"")),"")),""))</f>
        <v>Turno B</v>
      </c>
      <c r="L1577" s="91">
        <f t="shared" si="24"/>
        <v>0.3125</v>
      </c>
    </row>
    <row r="1578" spans="1:12" s="40" customFormat="1">
      <c r="A1578">
        <v>15102640</v>
      </c>
      <c r="B1578" t="s">
        <v>339</v>
      </c>
      <c r="C1578" t="s">
        <v>585</v>
      </c>
      <c r="D1578" t="s">
        <v>847</v>
      </c>
      <c r="E1578" t="s">
        <v>1441</v>
      </c>
      <c r="F1578" s="78">
        <v>0.62086805555555558</v>
      </c>
      <c r="G1578" t="s">
        <v>1405</v>
      </c>
      <c r="H1578" t="s">
        <v>1335</v>
      </c>
      <c r="I1578" s="88" t="str">
        <f>VLOOKUP(A1578,Base!A:B,2,0)</f>
        <v>15.102.640-0</v>
      </c>
      <c r="J1578" s="99" t="str">
        <f>VLOOKUP(A1578,Base!A:F,6,0)</f>
        <v>LUIS  MARDONES  ROJAS</v>
      </c>
      <c r="K1578" s="89" t="str">
        <f>IFERROR(IF(VLOOKUP(I1578,Ingreso!K:P,6,0)=0,"Sin turtno ing",VLOOKUP(I1578,Ingreso!K:P,6,0)),IF(F1578&gt;0.25,IF(F1578&lt;0.311805555555556,"Turno A",IF(F1578&gt;0.3125,IF(F1578&lt;0.354166666666667,"Turno C",IF(F1578&gt;0.583333333333333,IF(F1578&lt;0.625,"Turno B",IF(F1578&gt;0.625694444444444,IF(F1578&lt;0.8125,"Turno A",IF(F1578&gt;0.875,IF(F1578&lt;0.936805555555556,"Turno C",IF(F1578&gt;0.9375,IF(F1578&lt;0.979166666666667,"Turno B",""),"")),"")),"")),"")),"")),""))</f>
        <v>Turno B</v>
      </c>
      <c r="L1578" s="91">
        <f t="shared" si="24"/>
        <v>0.3125</v>
      </c>
    </row>
    <row r="1579" spans="1:12" s="40" customFormat="1">
      <c r="A1579">
        <v>15102640</v>
      </c>
      <c r="B1579" t="s">
        <v>339</v>
      </c>
      <c r="C1579" t="s">
        <v>585</v>
      </c>
      <c r="D1579" t="s">
        <v>847</v>
      </c>
      <c r="E1579" t="s">
        <v>1437</v>
      </c>
      <c r="F1579" s="78">
        <v>0.94336805555555558</v>
      </c>
      <c r="G1579" t="s">
        <v>1406</v>
      </c>
      <c r="H1579" t="s">
        <v>1336</v>
      </c>
      <c r="I1579" s="88" t="str">
        <f>VLOOKUP(A1579,Base!A:B,2,0)</f>
        <v>15.102.640-0</v>
      </c>
      <c r="J1579" s="99" t="str">
        <f>VLOOKUP(A1579,Base!A:F,6,0)</f>
        <v>LUIS  MARDONES  ROJAS</v>
      </c>
      <c r="K1579" s="89" t="str">
        <f>IFERROR(IF(VLOOKUP(I1579,Ingreso!K:P,6,0)=0,"Sin turtno ing",VLOOKUP(I1579,Ingreso!K:P,6,0)),IF(F1579&gt;0.25,IF(F1579&lt;0.311805555555556,"Turno A",IF(F1579&gt;0.3125,IF(F1579&lt;0.354166666666667,"Turno C",IF(F1579&gt;0.583333333333333,IF(F1579&lt;0.625,"Turno B",IF(F1579&gt;0.625694444444444,IF(F1579&lt;0.8125,"Turno A",IF(F1579&gt;0.875,IF(F1579&lt;0.936805555555556,"Turno C",IF(F1579&gt;0.9375,IF(F1579&lt;0.979166666666667,"Turno B",""),"")),"")),"")),"")),"")),""))</f>
        <v>Turno B</v>
      </c>
      <c r="L1579" s="91">
        <f t="shared" si="24"/>
        <v>0.3125</v>
      </c>
    </row>
    <row r="1580" spans="1:12" s="40" customFormat="1">
      <c r="A1580">
        <v>15102640</v>
      </c>
      <c r="B1580" t="s">
        <v>339</v>
      </c>
      <c r="C1580" t="s">
        <v>585</v>
      </c>
      <c r="D1580" t="s">
        <v>847</v>
      </c>
      <c r="E1580" t="s">
        <v>1437</v>
      </c>
      <c r="F1580" s="78">
        <v>0.61788194444444444</v>
      </c>
      <c r="G1580" t="s">
        <v>1405</v>
      </c>
      <c r="H1580" t="s">
        <v>1335</v>
      </c>
      <c r="I1580" s="88" t="str">
        <f>VLOOKUP(A1580,Base!A:B,2,0)</f>
        <v>15.102.640-0</v>
      </c>
      <c r="J1580" s="99" t="str">
        <f>VLOOKUP(A1580,Base!A:F,6,0)</f>
        <v>LUIS  MARDONES  ROJAS</v>
      </c>
      <c r="K1580" s="89" t="str">
        <f>IFERROR(IF(VLOOKUP(I1580,Ingreso!K:P,6,0)=0,"Sin turtno ing",VLOOKUP(I1580,Ingreso!K:P,6,0)),IF(F1580&gt;0.25,IF(F1580&lt;0.311805555555556,"Turno A",IF(F1580&gt;0.3125,IF(F1580&lt;0.354166666666667,"Turno C",IF(F1580&gt;0.583333333333333,IF(F1580&lt;0.625,"Turno B",IF(F1580&gt;0.625694444444444,IF(F1580&lt;0.8125,"Turno A",IF(F1580&gt;0.875,IF(F1580&lt;0.936805555555556,"Turno C",IF(F1580&gt;0.9375,IF(F1580&lt;0.979166666666667,"Turno B",""),"")),"")),"")),"")),"")),""))</f>
        <v>Turno B</v>
      </c>
      <c r="L1580" s="91">
        <f t="shared" si="24"/>
        <v>0.3125</v>
      </c>
    </row>
    <row r="1581" spans="1:12" s="40" customFormat="1">
      <c r="A1581">
        <v>15102640</v>
      </c>
      <c r="B1581" t="s">
        <v>339</v>
      </c>
      <c r="C1581" t="s">
        <v>585</v>
      </c>
      <c r="D1581" t="s">
        <v>847</v>
      </c>
      <c r="E1581" t="s">
        <v>1438</v>
      </c>
      <c r="F1581" s="78">
        <v>0.94594907407407414</v>
      </c>
      <c r="G1581" t="s">
        <v>1406</v>
      </c>
      <c r="H1581" t="s">
        <v>1336</v>
      </c>
      <c r="I1581" s="88" t="str">
        <f>VLOOKUP(A1581,Base!A:B,2,0)</f>
        <v>15.102.640-0</v>
      </c>
      <c r="J1581" s="99" t="str">
        <f>VLOOKUP(A1581,Base!A:F,6,0)</f>
        <v>LUIS  MARDONES  ROJAS</v>
      </c>
      <c r="K1581" s="89" t="str">
        <f>IFERROR(IF(VLOOKUP(I1581,Ingreso!K:P,6,0)=0,"Sin turtno ing",VLOOKUP(I1581,Ingreso!K:P,6,0)),IF(F1581&gt;0.25,IF(F1581&lt;0.311805555555556,"Turno A",IF(F1581&gt;0.3125,IF(F1581&lt;0.354166666666667,"Turno C",IF(F1581&gt;0.583333333333333,IF(F1581&lt;0.625,"Turno B",IF(F1581&gt;0.625694444444444,IF(F1581&lt;0.8125,"Turno A",IF(F1581&gt;0.875,IF(F1581&lt;0.936805555555556,"Turno C",IF(F1581&gt;0.9375,IF(F1581&lt;0.979166666666667,"Turno B",""),"")),"")),"")),"")),"")),""))</f>
        <v>Turno B</v>
      </c>
      <c r="L1581" s="91">
        <f t="shared" si="24"/>
        <v>0.3125</v>
      </c>
    </row>
    <row r="1582" spans="1:12" s="40" customFormat="1">
      <c r="A1582">
        <v>15102640</v>
      </c>
      <c r="B1582" t="s">
        <v>339</v>
      </c>
      <c r="C1582" t="s">
        <v>585</v>
      </c>
      <c r="D1582" t="s">
        <v>847</v>
      </c>
      <c r="E1582" t="s">
        <v>1438</v>
      </c>
      <c r="F1582" s="78">
        <v>0.61321759259259256</v>
      </c>
      <c r="G1582" t="s">
        <v>1405</v>
      </c>
      <c r="H1582" t="s">
        <v>1335</v>
      </c>
      <c r="I1582" s="88" t="str">
        <f>VLOOKUP(A1582,Base!A:B,2,0)</f>
        <v>15.102.640-0</v>
      </c>
      <c r="J1582" s="99" t="str">
        <f>VLOOKUP(A1582,Base!A:F,6,0)</f>
        <v>LUIS  MARDONES  ROJAS</v>
      </c>
      <c r="K1582" s="89" t="str">
        <f>IFERROR(IF(VLOOKUP(I1582,Ingreso!K:P,6,0)=0,"Sin turtno ing",VLOOKUP(I1582,Ingreso!K:P,6,0)),IF(F1582&gt;0.25,IF(F1582&lt;0.311805555555556,"Turno A",IF(F1582&gt;0.3125,IF(F1582&lt;0.354166666666667,"Turno C",IF(F1582&gt;0.583333333333333,IF(F1582&lt;0.625,"Turno B",IF(F1582&gt;0.625694444444444,IF(F1582&lt;0.8125,"Turno A",IF(F1582&gt;0.875,IF(F1582&lt;0.936805555555556,"Turno C",IF(F1582&gt;0.9375,IF(F1582&lt;0.979166666666667,"Turno B",""),"")),"")),"")),"")),"")),""))</f>
        <v>Turno B</v>
      </c>
      <c r="L1582" s="91">
        <f t="shared" si="24"/>
        <v>0.3125</v>
      </c>
    </row>
    <row r="1583" spans="1:12" s="40" customFormat="1">
      <c r="A1583">
        <v>15102640</v>
      </c>
      <c r="B1583" t="s">
        <v>339</v>
      </c>
      <c r="C1583" t="s">
        <v>585</v>
      </c>
      <c r="D1583" t="s">
        <v>847</v>
      </c>
      <c r="E1583" t="s">
        <v>1439</v>
      </c>
      <c r="F1583" s="78">
        <v>0.94201388888888893</v>
      </c>
      <c r="G1583" t="s">
        <v>1406</v>
      </c>
      <c r="H1583" t="s">
        <v>1336</v>
      </c>
      <c r="I1583" s="88" t="str">
        <f>VLOOKUP(A1583,Base!A:B,2,0)</f>
        <v>15.102.640-0</v>
      </c>
      <c r="J1583" s="99" t="str">
        <f>VLOOKUP(A1583,Base!A:F,6,0)</f>
        <v>LUIS  MARDONES  ROJAS</v>
      </c>
      <c r="K1583" s="89" t="str">
        <f>IFERROR(IF(VLOOKUP(I1583,Ingreso!K:P,6,0)=0,"Sin turtno ing",VLOOKUP(I1583,Ingreso!K:P,6,0)),IF(F1583&gt;0.25,IF(F1583&lt;0.311805555555556,"Turno A",IF(F1583&gt;0.3125,IF(F1583&lt;0.354166666666667,"Turno C",IF(F1583&gt;0.583333333333333,IF(F1583&lt;0.625,"Turno B",IF(F1583&gt;0.625694444444444,IF(F1583&lt;0.8125,"Turno A",IF(F1583&gt;0.875,IF(F1583&lt;0.936805555555556,"Turno C",IF(F1583&gt;0.9375,IF(F1583&lt;0.979166666666667,"Turno B",""),"")),"")),"")),"")),"")),""))</f>
        <v>Turno B</v>
      </c>
      <c r="L1583" s="91">
        <f t="shared" si="24"/>
        <v>0.3125</v>
      </c>
    </row>
    <row r="1584" spans="1:12" s="40" customFormat="1">
      <c r="A1584">
        <v>15102640</v>
      </c>
      <c r="B1584" t="s">
        <v>339</v>
      </c>
      <c r="C1584" t="s">
        <v>585</v>
      </c>
      <c r="D1584" t="s">
        <v>847</v>
      </c>
      <c r="E1584" t="s">
        <v>1439</v>
      </c>
      <c r="F1584" s="78">
        <v>0.61499999999999999</v>
      </c>
      <c r="G1584" t="s">
        <v>1405</v>
      </c>
      <c r="H1584" t="s">
        <v>1335</v>
      </c>
      <c r="I1584" s="88" t="str">
        <f>VLOOKUP(A1584,Base!A:B,2,0)</f>
        <v>15.102.640-0</v>
      </c>
      <c r="J1584" s="99" t="str">
        <f>VLOOKUP(A1584,Base!A:F,6,0)</f>
        <v>LUIS  MARDONES  ROJAS</v>
      </c>
      <c r="K1584" s="89" t="str">
        <f>IFERROR(IF(VLOOKUP(I1584,Ingreso!K:P,6,0)=0,"Sin turtno ing",VLOOKUP(I1584,Ingreso!K:P,6,0)),IF(F1584&gt;0.25,IF(F1584&lt;0.311805555555556,"Turno A",IF(F1584&gt;0.3125,IF(F1584&lt;0.354166666666667,"Turno C",IF(F1584&gt;0.583333333333333,IF(F1584&lt;0.625,"Turno B",IF(F1584&gt;0.625694444444444,IF(F1584&lt;0.8125,"Turno A",IF(F1584&gt;0.875,IF(F1584&lt;0.936805555555556,"Turno C",IF(F1584&gt;0.9375,IF(F1584&lt;0.979166666666667,"Turno B",""),"")),"")),"")),"")),"")),""))</f>
        <v>Turno B</v>
      </c>
      <c r="L1584" s="91">
        <f t="shared" si="24"/>
        <v>0.3125</v>
      </c>
    </row>
    <row r="1585" spans="1:12" s="40" customFormat="1">
      <c r="A1585">
        <v>15327501</v>
      </c>
      <c r="B1585" t="s">
        <v>1066</v>
      </c>
      <c r="C1585" t="s">
        <v>852</v>
      </c>
      <c r="D1585" t="s">
        <v>1065</v>
      </c>
      <c r="E1585" t="s">
        <v>1440</v>
      </c>
      <c r="F1585" s="78">
        <v>0.95105324074074071</v>
      </c>
      <c r="G1585" t="s">
        <v>1406</v>
      </c>
      <c r="H1585" t="s">
        <v>1336</v>
      </c>
      <c r="I1585" s="88" t="str">
        <f>VLOOKUP(A1585,Base!A:B,2,0)</f>
        <v>15.327.501-7</v>
      </c>
      <c r="J1585" s="99" t="str">
        <f>VLOOKUP(A1585,Base!A:F,6,0)</f>
        <v>LEONARDO  VASQUEZ  MONTECINO</v>
      </c>
      <c r="K1585" s="89" t="str">
        <f>IFERROR(IF(VLOOKUP(I1585,Ingreso!K:P,6,0)=0,"Sin turtno ing",VLOOKUP(I1585,Ingreso!K:P,6,0)),IF(F1585&gt;0.25,IF(F1585&lt;0.311805555555556,"Turno A",IF(F1585&gt;0.3125,IF(F1585&lt;0.354166666666667,"Turno C",IF(F1585&gt;0.583333333333333,IF(F1585&lt;0.625,"Turno B",IF(F1585&gt;0.625694444444444,IF(F1585&lt;0.8125,"Turno A",IF(F1585&gt;0.875,IF(F1585&lt;0.936805555555556,"Turno C",IF(F1585&gt;0.9375,IF(F1585&lt;0.979166666666667,"Turno B",""),"")),"")),"")),"")),"")),""))</f>
        <v>Turno B</v>
      </c>
      <c r="L1585" s="91">
        <f t="shared" si="24"/>
        <v>0.3125</v>
      </c>
    </row>
    <row r="1586" spans="1:12" s="40" customFormat="1">
      <c r="A1586">
        <v>15327501</v>
      </c>
      <c r="B1586" t="s">
        <v>1066</v>
      </c>
      <c r="C1586" t="s">
        <v>852</v>
      </c>
      <c r="D1586" t="s">
        <v>1065</v>
      </c>
      <c r="E1586" t="s">
        <v>1440</v>
      </c>
      <c r="F1586" s="78">
        <v>0.60868055555555556</v>
      </c>
      <c r="G1586" t="s">
        <v>1405</v>
      </c>
      <c r="H1586" t="s">
        <v>1335</v>
      </c>
      <c r="I1586" s="88" t="str">
        <f>VLOOKUP(A1586,Base!A:B,2,0)</f>
        <v>15.327.501-7</v>
      </c>
      <c r="J1586" s="99" t="str">
        <f>VLOOKUP(A1586,Base!A:F,6,0)</f>
        <v>LEONARDO  VASQUEZ  MONTECINO</v>
      </c>
      <c r="K1586" s="89" t="str">
        <f>IFERROR(IF(VLOOKUP(I1586,Ingreso!K:P,6,0)=0,"Sin turtno ing",VLOOKUP(I1586,Ingreso!K:P,6,0)),IF(F1586&gt;0.25,IF(F1586&lt;0.311805555555556,"Turno A",IF(F1586&gt;0.3125,IF(F1586&lt;0.354166666666667,"Turno C",IF(F1586&gt;0.583333333333333,IF(F1586&lt;0.625,"Turno B",IF(F1586&gt;0.625694444444444,IF(F1586&lt;0.8125,"Turno A",IF(F1586&gt;0.875,IF(F1586&lt;0.936805555555556,"Turno C",IF(F1586&gt;0.9375,IF(F1586&lt;0.979166666666667,"Turno B",""),"")),"")),"")),"")),"")),""))</f>
        <v>Turno B</v>
      </c>
      <c r="L1586" s="91">
        <f t="shared" si="24"/>
        <v>0.3125</v>
      </c>
    </row>
    <row r="1587" spans="1:12" s="40" customFormat="1">
      <c r="A1587">
        <v>15327501</v>
      </c>
      <c r="B1587" t="s">
        <v>1066</v>
      </c>
      <c r="C1587" t="s">
        <v>852</v>
      </c>
      <c r="D1587" t="s">
        <v>1065</v>
      </c>
      <c r="E1587" t="s">
        <v>1441</v>
      </c>
      <c r="F1587" s="78">
        <v>0.95251157407407405</v>
      </c>
      <c r="G1587" t="s">
        <v>1406</v>
      </c>
      <c r="H1587" t="s">
        <v>1336</v>
      </c>
      <c r="I1587" s="88" t="str">
        <f>VLOOKUP(A1587,Base!A:B,2,0)</f>
        <v>15.327.501-7</v>
      </c>
      <c r="J1587" s="99" t="str">
        <f>VLOOKUP(A1587,Base!A:F,6,0)</f>
        <v>LEONARDO  VASQUEZ  MONTECINO</v>
      </c>
      <c r="K1587" s="89" t="str">
        <f>IFERROR(IF(VLOOKUP(I1587,Ingreso!K:P,6,0)=0,"Sin turtno ing",VLOOKUP(I1587,Ingreso!K:P,6,0)),IF(F1587&gt;0.25,IF(F1587&lt;0.311805555555556,"Turno A",IF(F1587&gt;0.3125,IF(F1587&lt;0.354166666666667,"Turno C",IF(F1587&gt;0.583333333333333,IF(F1587&lt;0.625,"Turno B",IF(F1587&gt;0.625694444444444,IF(F1587&lt;0.8125,"Turno A",IF(F1587&gt;0.875,IF(F1587&lt;0.936805555555556,"Turno C",IF(F1587&gt;0.9375,IF(F1587&lt;0.979166666666667,"Turno B",""),"")),"")),"")),"")),"")),""))</f>
        <v>Turno B</v>
      </c>
      <c r="L1587" s="91">
        <f t="shared" si="24"/>
        <v>0.3125</v>
      </c>
    </row>
    <row r="1588" spans="1:12" s="40" customFormat="1">
      <c r="A1588">
        <v>15327501</v>
      </c>
      <c r="B1588" t="s">
        <v>1066</v>
      </c>
      <c r="C1588" t="s">
        <v>852</v>
      </c>
      <c r="D1588" t="s">
        <v>1065</v>
      </c>
      <c r="E1588" t="s">
        <v>1441</v>
      </c>
      <c r="F1588" s="78">
        <v>0.61228009259259253</v>
      </c>
      <c r="G1588" t="s">
        <v>1405</v>
      </c>
      <c r="H1588" t="s">
        <v>1335</v>
      </c>
      <c r="I1588" s="88" t="str">
        <f>VLOOKUP(A1588,Base!A:B,2,0)</f>
        <v>15.327.501-7</v>
      </c>
      <c r="J1588" s="99" t="str">
        <f>VLOOKUP(A1588,Base!A:F,6,0)</f>
        <v>LEONARDO  VASQUEZ  MONTECINO</v>
      </c>
      <c r="K1588" s="89" t="str">
        <f>IFERROR(IF(VLOOKUP(I1588,Ingreso!K:P,6,0)=0,"Sin turtno ing",VLOOKUP(I1588,Ingreso!K:P,6,0)),IF(F1588&gt;0.25,IF(F1588&lt;0.311805555555556,"Turno A",IF(F1588&gt;0.3125,IF(F1588&lt;0.354166666666667,"Turno C",IF(F1588&gt;0.583333333333333,IF(F1588&lt;0.625,"Turno B",IF(F1588&gt;0.625694444444444,IF(F1588&lt;0.8125,"Turno A",IF(F1588&gt;0.875,IF(F1588&lt;0.936805555555556,"Turno C",IF(F1588&gt;0.9375,IF(F1588&lt;0.979166666666667,"Turno B",""),"")),"")),"")),"")),"")),""))</f>
        <v>Turno B</v>
      </c>
      <c r="L1588" s="91">
        <f t="shared" si="24"/>
        <v>0.3125</v>
      </c>
    </row>
    <row r="1589" spans="1:12" s="40" customFormat="1">
      <c r="A1589">
        <v>15327501</v>
      </c>
      <c r="B1589" t="s">
        <v>1066</v>
      </c>
      <c r="C1589" t="s">
        <v>852</v>
      </c>
      <c r="D1589" t="s">
        <v>1065</v>
      </c>
      <c r="E1589" t="s">
        <v>1437</v>
      </c>
      <c r="F1589" s="78">
        <v>0.94874999999999998</v>
      </c>
      <c r="G1589" t="s">
        <v>1406</v>
      </c>
      <c r="H1589" t="s">
        <v>1336</v>
      </c>
      <c r="I1589" s="88" t="str">
        <f>VLOOKUP(A1589,Base!A:B,2,0)</f>
        <v>15.327.501-7</v>
      </c>
      <c r="J1589" s="99" t="str">
        <f>VLOOKUP(A1589,Base!A:F,6,0)</f>
        <v>LEONARDO  VASQUEZ  MONTECINO</v>
      </c>
      <c r="K1589" s="89" t="str">
        <f>IFERROR(IF(VLOOKUP(I1589,Ingreso!K:P,6,0)=0,"Sin turtno ing",VLOOKUP(I1589,Ingreso!K:P,6,0)),IF(F1589&gt;0.25,IF(F1589&lt;0.311805555555556,"Turno A",IF(F1589&gt;0.3125,IF(F1589&lt;0.354166666666667,"Turno C",IF(F1589&gt;0.583333333333333,IF(F1589&lt;0.625,"Turno B",IF(F1589&gt;0.625694444444444,IF(F1589&lt;0.8125,"Turno A",IF(F1589&gt;0.875,IF(F1589&lt;0.936805555555556,"Turno C",IF(F1589&gt;0.9375,IF(F1589&lt;0.979166666666667,"Turno B",""),"")),"")),"")),"")),"")),""))</f>
        <v>Turno B</v>
      </c>
      <c r="L1589" s="91">
        <f t="shared" si="24"/>
        <v>0.3125</v>
      </c>
    </row>
    <row r="1590" spans="1:12" s="40" customFormat="1">
      <c r="A1590">
        <v>15327501</v>
      </c>
      <c r="B1590" t="s">
        <v>1066</v>
      </c>
      <c r="C1590" t="s">
        <v>852</v>
      </c>
      <c r="D1590" t="s">
        <v>1065</v>
      </c>
      <c r="E1590" t="s">
        <v>1437</v>
      </c>
      <c r="F1590" s="78">
        <v>0.60584490740740737</v>
      </c>
      <c r="G1590" t="s">
        <v>1405</v>
      </c>
      <c r="H1590" t="s">
        <v>1335</v>
      </c>
      <c r="I1590" s="88" t="str">
        <f>VLOOKUP(A1590,Base!A:B,2,0)</f>
        <v>15.327.501-7</v>
      </c>
      <c r="J1590" s="99" t="str">
        <f>VLOOKUP(A1590,Base!A:F,6,0)</f>
        <v>LEONARDO  VASQUEZ  MONTECINO</v>
      </c>
      <c r="K1590" s="89" t="str">
        <f>IFERROR(IF(VLOOKUP(I1590,Ingreso!K:P,6,0)=0,"Sin turtno ing",VLOOKUP(I1590,Ingreso!K:P,6,0)),IF(F1590&gt;0.25,IF(F1590&lt;0.311805555555556,"Turno A",IF(F1590&gt;0.3125,IF(F1590&lt;0.354166666666667,"Turno C",IF(F1590&gt;0.583333333333333,IF(F1590&lt;0.625,"Turno B",IF(F1590&gt;0.625694444444444,IF(F1590&lt;0.8125,"Turno A",IF(F1590&gt;0.875,IF(F1590&lt;0.936805555555556,"Turno C",IF(F1590&gt;0.9375,IF(F1590&lt;0.979166666666667,"Turno B",""),"")),"")),"")),"")),"")),""))</f>
        <v>Turno B</v>
      </c>
      <c r="L1590" s="91">
        <f t="shared" si="24"/>
        <v>0.3125</v>
      </c>
    </row>
    <row r="1591" spans="1:12" s="40" customFormat="1">
      <c r="A1591">
        <v>15327501</v>
      </c>
      <c r="B1591" t="s">
        <v>1066</v>
      </c>
      <c r="C1591" t="s">
        <v>852</v>
      </c>
      <c r="D1591" t="s">
        <v>1065</v>
      </c>
      <c r="E1591" t="s">
        <v>1438</v>
      </c>
      <c r="F1591" s="78">
        <v>0.94821759259259253</v>
      </c>
      <c r="G1591" t="s">
        <v>1406</v>
      </c>
      <c r="H1591" t="s">
        <v>1336</v>
      </c>
      <c r="I1591" s="88" t="str">
        <f>VLOOKUP(A1591,Base!A:B,2,0)</f>
        <v>15.327.501-7</v>
      </c>
      <c r="J1591" s="99" t="str">
        <f>VLOOKUP(A1591,Base!A:F,6,0)</f>
        <v>LEONARDO  VASQUEZ  MONTECINO</v>
      </c>
      <c r="K1591" s="89" t="str">
        <f>IFERROR(IF(VLOOKUP(I1591,Ingreso!K:P,6,0)=0,"Sin turtno ing",VLOOKUP(I1591,Ingreso!K:P,6,0)),IF(F1591&gt;0.25,IF(F1591&lt;0.311805555555556,"Turno A",IF(F1591&gt;0.3125,IF(F1591&lt;0.354166666666667,"Turno C",IF(F1591&gt;0.583333333333333,IF(F1591&lt;0.625,"Turno B",IF(F1591&gt;0.625694444444444,IF(F1591&lt;0.8125,"Turno A",IF(F1591&gt;0.875,IF(F1591&lt;0.936805555555556,"Turno C",IF(F1591&gt;0.9375,IF(F1591&lt;0.979166666666667,"Turno B",""),"")),"")),"")),"")),"")),""))</f>
        <v>Turno B</v>
      </c>
      <c r="L1591" s="91">
        <f t="shared" si="24"/>
        <v>0.3125</v>
      </c>
    </row>
    <row r="1592" spans="1:12" s="40" customFormat="1">
      <c r="A1592">
        <v>15327501</v>
      </c>
      <c r="B1592" t="s">
        <v>1066</v>
      </c>
      <c r="C1592" t="s">
        <v>852</v>
      </c>
      <c r="D1592" t="s">
        <v>1065</v>
      </c>
      <c r="E1592" t="s">
        <v>1438</v>
      </c>
      <c r="F1592" s="78">
        <v>0.60667824074074073</v>
      </c>
      <c r="G1592" t="s">
        <v>1405</v>
      </c>
      <c r="H1592" t="s">
        <v>1335</v>
      </c>
      <c r="I1592" s="88" t="str">
        <f>VLOOKUP(A1592,Base!A:B,2,0)</f>
        <v>15.327.501-7</v>
      </c>
      <c r="J1592" s="99" t="str">
        <f>VLOOKUP(A1592,Base!A:F,6,0)</f>
        <v>LEONARDO  VASQUEZ  MONTECINO</v>
      </c>
      <c r="K1592" s="89" t="str">
        <f>IFERROR(IF(VLOOKUP(I1592,Ingreso!K:P,6,0)=0,"Sin turtno ing",VLOOKUP(I1592,Ingreso!K:P,6,0)),IF(F1592&gt;0.25,IF(F1592&lt;0.311805555555556,"Turno A",IF(F1592&gt;0.3125,IF(F1592&lt;0.354166666666667,"Turno C",IF(F1592&gt;0.583333333333333,IF(F1592&lt;0.625,"Turno B",IF(F1592&gt;0.625694444444444,IF(F1592&lt;0.8125,"Turno A",IF(F1592&gt;0.875,IF(F1592&lt;0.936805555555556,"Turno C",IF(F1592&gt;0.9375,IF(F1592&lt;0.979166666666667,"Turno B",""),"")),"")),"")),"")),"")),""))</f>
        <v>Turno B</v>
      </c>
      <c r="L1592" s="91">
        <f t="shared" si="24"/>
        <v>0.3125</v>
      </c>
    </row>
    <row r="1593" spans="1:12" s="40" customFormat="1">
      <c r="A1593">
        <v>15327501</v>
      </c>
      <c r="B1593" t="s">
        <v>1066</v>
      </c>
      <c r="C1593" t="s">
        <v>852</v>
      </c>
      <c r="D1593" t="s">
        <v>1065</v>
      </c>
      <c r="E1593" t="s">
        <v>1439</v>
      </c>
      <c r="F1593" s="78">
        <v>0.95075231481481481</v>
      </c>
      <c r="G1593" t="s">
        <v>1406</v>
      </c>
      <c r="H1593" t="s">
        <v>1336</v>
      </c>
      <c r="I1593" s="88" t="str">
        <f>VLOOKUP(A1593,Base!A:B,2,0)</f>
        <v>15.327.501-7</v>
      </c>
      <c r="J1593" s="99" t="str">
        <f>VLOOKUP(A1593,Base!A:F,6,0)</f>
        <v>LEONARDO  VASQUEZ  MONTECINO</v>
      </c>
      <c r="K1593" s="89" t="str">
        <f>IFERROR(IF(VLOOKUP(I1593,Ingreso!K:P,6,0)=0,"Sin turtno ing",VLOOKUP(I1593,Ingreso!K:P,6,0)),IF(F1593&gt;0.25,IF(F1593&lt;0.311805555555556,"Turno A",IF(F1593&gt;0.3125,IF(F1593&lt;0.354166666666667,"Turno C",IF(F1593&gt;0.583333333333333,IF(F1593&lt;0.625,"Turno B",IF(F1593&gt;0.625694444444444,IF(F1593&lt;0.8125,"Turno A",IF(F1593&gt;0.875,IF(F1593&lt;0.936805555555556,"Turno C",IF(F1593&gt;0.9375,IF(F1593&lt;0.979166666666667,"Turno B",""),"")),"")),"")),"")),"")),""))</f>
        <v>Turno B</v>
      </c>
      <c r="L1593" s="91">
        <f t="shared" si="24"/>
        <v>0.3125</v>
      </c>
    </row>
    <row r="1594" spans="1:12" s="40" customFormat="1">
      <c r="A1594">
        <v>15327501</v>
      </c>
      <c r="B1594" t="s">
        <v>1066</v>
      </c>
      <c r="C1594" t="s">
        <v>852</v>
      </c>
      <c r="D1594" t="s">
        <v>1065</v>
      </c>
      <c r="E1594" t="s">
        <v>1439</v>
      </c>
      <c r="F1594" s="78">
        <v>0.60393518518518519</v>
      </c>
      <c r="G1594" t="s">
        <v>1405</v>
      </c>
      <c r="H1594" t="s">
        <v>1335</v>
      </c>
      <c r="I1594" s="88" t="str">
        <f>VLOOKUP(A1594,Base!A:B,2,0)</f>
        <v>15.327.501-7</v>
      </c>
      <c r="J1594" s="99" t="str">
        <f>VLOOKUP(A1594,Base!A:F,6,0)</f>
        <v>LEONARDO  VASQUEZ  MONTECINO</v>
      </c>
      <c r="K1594" s="89" t="str">
        <f>IFERROR(IF(VLOOKUP(I1594,Ingreso!K:P,6,0)=0,"Sin turtno ing",VLOOKUP(I1594,Ingreso!K:P,6,0)),IF(F1594&gt;0.25,IF(F1594&lt;0.311805555555556,"Turno A",IF(F1594&gt;0.3125,IF(F1594&lt;0.354166666666667,"Turno C",IF(F1594&gt;0.583333333333333,IF(F1594&lt;0.625,"Turno B",IF(F1594&gt;0.625694444444444,IF(F1594&lt;0.8125,"Turno A",IF(F1594&gt;0.875,IF(F1594&lt;0.936805555555556,"Turno C",IF(F1594&gt;0.9375,IF(F1594&lt;0.979166666666667,"Turno B",""),"")),"")),"")),"")),"")),""))</f>
        <v>Turno B</v>
      </c>
      <c r="L1594" s="91">
        <f t="shared" si="24"/>
        <v>0.3125</v>
      </c>
    </row>
    <row r="1595" spans="1:12" s="40" customFormat="1">
      <c r="A1595">
        <v>15391242</v>
      </c>
      <c r="B1595" t="s">
        <v>1419</v>
      </c>
      <c r="C1595" t="s">
        <v>469</v>
      </c>
      <c r="D1595" t="s">
        <v>1280</v>
      </c>
      <c r="E1595" t="s">
        <v>1407</v>
      </c>
      <c r="F1595" s="78">
        <v>0</v>
      </c>
      <c r="G1595"/>
      <c r="H1595"/>
      <c r="I1595" s="88" t="str">
        <f>VLOOKUP(A1595,Base!A:B,2,0)</f>
        <v>15.391.242-4</v>
      </c>
      <c r="J1595" s="99" t="str">
        <f>VLOOKUP(A1595,Base!A:F,6,0)</f>
        <v>JUAN  GUERRERO  MALIO</v>
      </c>
      <c r="K1595" s="89" t="str">
        <f>IFERROR(IF(VLOOKUP(I1595,Ingreso!K:P,6,0)=0,"Sin turtno ing",VLOOKUP(I1595,Ingreso!K:P,6,0)),IF(F1595&gt;0.25,IF(F1595&lt;0.311805555555556,"Turno A",IF(F1595&gt;0.3125,IF(F1595&lt;0.354166666666667,"Turno C",IF(F1595&gt;0.583333333333333,IF(F1595&lt;0.625,"Turno B",IF(F1595&gt;0.625694444444444,IF(F1595&lt;0.8125,"Turno A",IF(F1595&gt;0.875,IF(F1595&lt;0.936805555555556,"Turno C",IF(F1595&gt;0.9375,IF(F1595&lt;0.979166666666667,"Turno B",""),"")),"")),"")),"")),"")),""))</f>
        <v/>
      </c>
      <c r="L1595" s="91" t="e">
        <f t="shared" si="24"/>
        <v>#N/A</v>
      </c>
    </row>
    <row r="1596" spans="1:12" s="40" customFormat="1">
      <c r="A1596">
        <v>15391242</v>
      </c>
      <c r="B1596" t="s">
        <v>1419</v>
      </c>
      <c r="C1596" t="s">
        <v>469</v>
      </c>
      <c r="D1596" t="s">
        <v>1280</v>
      </c>
      <c r="E1596" t="s">
        <v>1437</v>
      </c>
      <c r="F1596" s="78">
        <v>0.62780092592592596</v>
      </c>
      <c r="G1596" t="s">
        <v>1406</v>
      </c>
      <c r="H1596" t="s">
        <v>1336</v>
      </c>
      <c r="I1596" s="88" t="str">
        <f>VLOOKUP(A1596,Base!A:B,2,0)</f>
        <v>15.391.242-4</v>
      </c>
      <c r="J1596" s="99" t="str">
        <f>VLOOKUP(A1596,Base!A:F,6,0)</f>
        <v>JUAN  GUERRERO  MALIO</v>
      </c>
      <c r="K1596" s="89" t="str">
        <f>IFERROR(IF(VLOOKUP(I1596,Ingreso!K:P,6,0)=0,"Sin turtno ing",VLOOKUP(I1596,Ingreso!K:P,6,0)),IF(F1596&gt;0.25,IF(F1596&lt;0.311805555555556,"Turno A",IF(F1596&gt;0.3125,IF(F1596&lt;0.354166666666667,"Turno C",IF(F1596&gt;0.583333333333333,IF(F1596&lt;0.625,"Turno B",IF(F1596&gt;0.625694444444444,IF(F1596&lt;0.8125,"Turno A",IF(F1596&gt;0.875,IF(F1596&lt;0.936805555555556,"Turno C",IF(F1596&gt;0.9375,IF(F1596&lt;0.979166666666667,"Turno B",""),"")),"")),"")),"")),"")),""))</f>
        <v>Turno A</v>
      </c>
      <c r="L1596" s="91">
        <f t="shared" si="24"/>
        <v>0.3125</v>
      </c>
    </row>
    <row r="1597" spans="1:12" s="40" customFormat="1">
      <c r="A1597">
        <v>15391242</v>
      </c>
      <c r="B1597" t="s">
        <v>1419</v>
      </c>
      <c r="C1597" t="s">
        <v>469</v>
      </c>
      <c r="D1597" t="s">
        <v>1280</v>
      </c>
      <c r="E1597" t="s">
        <v>1437</v>
      </c>
      <c r="F1597" s="78">
        <v>0.28902777777777777</v>
      </c>
      <c r="G1597" t="s">
        <v>1405</v>
      </c>
      <c r="H1597" t="s">
        <v>1335</v>
      </c>
      <c r="I1597" s="88" t="str">
        <f>VLOOKUP(A1597,Base!A:B,2,0)</f>
        <v>15.391.242-4</v>
      </c>
      <c r="J1597" s="99" t="str">
        <f>VLOOKUP(A1597,Base!A:F,6,0)</f>
        <v>JUAN  GUERRERO  MALIO</v>
      </c>
      <c r="K1597" s="89" t="str">
        <f>IFERROR(IF(VLOOKUP(I1597,Ingreso!K:P,6,0)=0,"Sin turtno ing",VLOOKUP(I1597,Ingreso!K:P,6,0)),IF(F1597&gt;0.25,IF(F1597&lt;0.311805555555556,"Turno A",IF(F1597&gt;0.3125,IF(F1597&lt;0.354166666666667,"Turno C",IF(F1597&gt;0.583333333333333,IF(F1597&lt;0.625,"Turno B",IF(F1597&gt;0.625694444444444,IF(F1597&lt;0.8125,"Turno A",IF(F1597&gt;0.875,IF(F1597&lt;0.936805555555556,"Turno C",IF(F1597&gt;0.9375,IF(F1597&lt;0.979166666666667,"Turno B",""),"")),"")),"")),"")),"")),""))</f>
        <v>Turno A</v>
      </c>
      <c r="L1597" s="91">
        <f t="shared" si="24"/>
        <v>0.3125</v>
      </c>
    </row>
    <row r="1598" spans="1:12" s="40" customFormat="1">
      <c r="A1598">
        <v>15391242</v>
      </c>
      <c r="B1598" t="s">
        <v>1419</v>
      </c>
      <c r="C1598" t="s">
        <v>469</v>
      </c>
      <c r="D1598" t="s">
        <v>1280</v>
      </c>
      <c r="E1598" t="s">
        <v>1438</v>
      </c>
      <c r="F1598" s="78">
        <v>0.62725694444444446</v>
      </c>
      <c r="G1598" t="s">
        <v>1406</v>
      </c>
      <c r="H1598" t="s">
        <v>1336</v>
      </c>
      <c r="I1598" s="88" t="str">
        <f>VLOOKUP(A1598,Base!A:B,2,0)</f>
        <v>15.391.242-4</v>
      </c>
      <c r="J1598" s="99" t="str">
        <f>VLOOKUP(A1598,Base!A:F,6,0)</f>
        <v>JUAN  GUERRERO  MALIO</v>
      </c>
      <c r="K1598" s="89" t="str">
        <f>IFERROR(IF(VLOOKUP(I1598,Ingreso!K:P,6,0)=0,"Sin turtno ing",VLOOKUP(I1598,Ingreso!K:P,6,0)),IF(F1598&gt;0.25,IF(F1598&lt;0.311805555555556,"Turno A",IF(F1598&gt;0.3125,IF(F1598&lt;0.354166666666667,"Turno C",IF(F1598&gt;0.583333333333333,IF(F1598&lt;0.625,"Turno B",IF(F1598&gt;0.625694444444444,IF(F1598&lt;0.8125,"Turno A",IF(F1598&gt;0.875,IF(F1598&lt;0.936805555555556,"Turno C",IF(F1598&gt;0.9375,IF(F1598&lt;0.979166666666667,"Turno B",""),"")),"")),"")),"")),"")),""))</f>
        <v>Turno A</v>
      </c>
      <c r="L1598" s="91">
        <f t="shared" si="24"/>
        <v>0.3125</v>
      </c>
    </row>
    <row r="1599" spans="1:12" s="40" customFormat="1">
      <c r="A1599">
        <v>15391242</v>
      </c>
      <c r="B1599" t="s">
        <v>1419</v>
      </c>
      <c r="C1599" t="s">
        <v>469</v>
      </c>
      <c r="D1599" t="s">
        <v>1280</v>
      </c>
      <c r="E1599" t="s">
        <v>1438</v>
      </c>
      <c r="F1599" s="78">
        <v>0.30623842592592593</v>
      </c>
      <c r="G1599" t="s">
        <v>1405</v>
      </c>
      <c r="H1599" t="s">
        <v>1335</v>
      </c>
      <c r="I1599" s="88" t="str">
        <f>VLOOKUP(A1599,Base!A:B,2,0)</f>
        <v>15.391.242-4</v>
      </c>
      <c r="J1599" s="99" t="str">
        <f>VLOOKUP(A1599,Base!A:F,6,0)</f>
        <v>JUAN  GUERRERO  MALIO</v>
      </c>
      <c r="K1599" s="89" t="str">
        <f>IFERROR(IF(VLOOKUP(I1599,Ingreso!K:P,6,0)=0,"Sin turtno ing",VLOOKUP(I1599,Ingreso!K:P,6,0)),IF(F1599&gt;0.25,IF(F1599&lt;0.311805555555556,"Turno A",IF(F1599&gt;0.3125,IF(F1599&lt;0.354166666666667,"Turno C",IF(F1599&gt;0.583333333333333,IF(F1599&lt;0.625,"Turno B",IF(F1599&gt;0.625694444444444,IF(F1599&lt;0.8125,"Turno A",IF(F1599&gt;0.875,IF(F1599&lt;0.936805555555556,"Turno C",IF(F1599&gt;0.9375,IF(F1599&lt;0.979166666666667,"Turno B",""),"")),"")),"")),"")),"")),""))</f>
        <v>Turno A</v>
      </c>
      <c r="L1599" s="91">
        <f t="shared" si="24"/>
        <v>0.3125</v>
      </c>
    </row>
    <row r="1600" spans="1:12" s="40" customFormat="1">
      <c r="A1600">
        <v>15391242</v>
      </c>
      <c r="B1600" t="s">
        <v>1419</v>
      </c>
      <c r="C1600" t="s">
        <v>469</v>
      </c>
      <c r="D1600" t="s">
        <v>1280</v>
      </c>
      <c r="E1600" t="s">
        <v>1439</v>
      </c>
      <c r="F1600" s="78">
        <v>0.31556712962962963</v>
      </c>
      <c r="G1600" t="s">
        <v>1405</v>
      </c>
      <c r="H1600" t="s">
        <v>1335</v>
      </c>
      <c r="I1600" s="88" t="str">
        <f>VLOOKUP(A1600,Base!A:B,2,0)</f>
        <v>15.391.242-4</v>
      </c>
      <c r="J1600" s="99" t="str">
        <f>VLOOKUP(A1600,Base!A:F,6,0)</f>
        <v>JUAN  GUERRERO  MALIO</v>
      </c>
      <c r="K1600" s="89" t="str">
        <f>IFERROR(IF(VLOOKUP(I1600,Ingreso!K:P,6,0)=0,"Sin turtno ing",VLOOKUP(I1600,Ingreso!K:P,6,0)),IF(F1600&gt;0.25,IF(F1600&lt;0.311805555555556,"Turno A",IF(F1600&gt;0.3125,IF(F1600&lt;0.354166666666667,"Turno C",IF(F1600&gt;0.583333333333333,IF(F1600&lt;0.625,"Turno B",IF(F1600&gt;0.625694444444444,IF(F1600&lt;0.8125,"Turno A",IF(F1600&gt;0.875,IF(F1600&lt;0.936805555555556,"Turno C",IF(F1600&gt;0.9375,IF(F1600&lt;0.979166666666667,"Turno B",""),"")),"")),"")),"")),"")),""))</f>
        <v>Turno C</v>
      </c>
      <c r="L1600" s="91">
        <f t="shared" si="24"/>
        <v>0.375</v>
      </c>
    </row>
    <row r="1601" spans="1:12" s="40" customFormat="1">
      <c r="A1601">
        <v>15436097</v>
      </c>
      <c r="B1601" t="s">
        <v>339</v>
      </c>
      <c r="C1601" t="s">
        <v>403</v>
      </c>
      <c r="D1601" t="s">
        <v>179</v>
      </c>
      <c r="E1601" t="s">
        <v>1440</v>
      </c>
      <c r="F1601" s="78">
        <v>0.33045138888888886</v>
      </c>
      <c r="G1601" t="s">
        <v>1406</v>
      </c>
      <c r="H1601" t="s">
        <v>1336</v>
      </c>
      <c r="I1601" s="88" t="str">
        <f>VLOOKUP(A1601,Base!A:B,2,0)</f>
        <v>15.436.097-2</v>
      </c>
      <c r="J1601" s="99" t="str">
        <f>VLOOKUP(A1601,Base!A:F,6,0)</f>
        <v>LUIS  VALENZUELA  DIAZ</v>
      </c>
      <c r="K1601" s="89" t="str">
        <f>IFERROR(IF(VLOOKUP(I1601,Ingreso!K:P,6,0)=0,"Sin turtno ing",VLOOKUP(I1601,Ingreso!K:P,6,0)),IF(F1601&gt;0.25,IF(F1601&lt;0.311805555555556,"Turno A",IF(F1601&gt;0.3125,IF(F1601&lt;0.354166666666667,"Turno C",IF(F1601&gt;0.583333333333333,IF(F1601&lt;0.625,"Turno B",IF(F1601&gt;0.625694444444444,IF(F1601&lt;0.8125,"Turno A",IF(F1601&gt;0.875,IF(F1601&lt;0.936805555555556,"Turno C",IF(F1601&gt;0.9375,IF(F1601&lt;0.979166666666667,"Turno B",""),"")),"")),"")),"")),"")),""))</f>
        <v>Turno C</v>
      </c>
      <c r="L1601" s="91">
        <f t="shared" si="24"/>
        <v>0.375</v>
      </c>
    </row>
    <row r="1602" spans="1:12" s="40" customFormat="1">
      <c r="A1602">
        <v>15436097</v>
      </c>
      <c r="B1602" t="s">
        <v>339</v>
      </c>
      <c r="C1602" t="s">
        <v>403</v>
      </c>
      <c r="D1602" t="s">
        <v>179</v>
      </c>
      <c r="E1602" t="s">
        <v>1440</v>
      </c>
      <c r="F1602" s="78">
        <v>0.92054398148148142</v>
      </c>
      <c r="G1602" t="s">
        <v>1405</v>
      </c>
      <c r="H1602" t="s">
        <v>1335</v>
      </c>
      <c r="I1602" s="88" t="str">
        <f>VLOOKUP(A1602,Base!A:B,2,0)</f>
        <v>15.436.097-2</v>
      </c>
      <c r="J1602" s="99" t="str">
        <f>VLOOKUP(A1602,Base!A:F,6,0)</f>
        <v>LUIS  VALENZUELA  DIAZ</v>
      </c>
      <c r="K1602" s="89" t="str">
        <f>IFERROR(IF(VLOOKUP(I1602,Ingreso!K:P,6,0)=0,"Sin turtno ing",VLOOKUP(I1602,Ingreso!K:P,6,0)),IF(F1602&gt;0.25,IF(F1602&lt;0.311805555555556,"Turno A",IF(F1602&gt;0.3125,IF(F1602&lt;0.354166666666667,"Turno C",IF(F1602&gt;0.583333333333333,IF(F1602&lt;0.625,"Turno B",IF(F1602&gt;0.625694444444444,IF(F1602&lt;0.8125,"Turno A",IF(F1602&gt;0.875,IF(F1602&lt;0.936805555555556,"Turno C",IF(F1602&gt;0.9375,IF(F1602&lt;0.979166666666667,"Turno B",""),"")),"")),"")),"")),"")),""))</f>
        <v>Turno C</v>
      </c>
      <c r="L1602" s="91">
        <f t="shared" si="24"/>
        <v>0.375</v>
      </c>
    </row>
    <row r="1603" spans="1:12" s="40" customFormat="1">
      <c r="A1603">
        <v>15436097</v>
      </c>
      <c r="B1603" t="s">
        <v>339</v>
      </c>
      <c r="C1603" t="s">
        <v>403</v>
      </c>
      <c r="D1603" t="s">
        <v>179</v>
      </c>
      <c r="E1603" t="s">
        <v>1441</v>
      </c>
      <c r="F1603" s="78">
        <v>0.32914351851851853</v>
      </c>
      <c r="G1603" t="s">
        <v>1406</v>
      </c>
      <c r="H1603" t="s">
        <v>1336</v>
      </c>
      <c r="I1603" s="88" t="str">
        <f>VLOOKUP(A1603,Base!A:B,2,0)</f>
        <v>15.436.097-2</v>
      </c>
      <c r="J1603" s="99" t="str">
        <f>VLOOKUP(A1603,Base!A:F,6,0)</f>
        <v>LUIS  VALENZUELA  DIAZ</v>
      </c>
      <c r="K1603" s="89" t="str">
        <f>IFERROR(IF(VLOOKUP(I1603,Ingreso!K:P,6,0)=0,"Sin turtno ing",VLOOKUP(I1603,Ingreso!K:P,6,0)),IF(F1603&gt;0.25,IF(F1603&lt;0.311805555555556,"Turno A",IF(F1603&gt;0.3125,IF(F1603&lt;0.354166666666667,"Turno C",IF(F1603&gt;0.583333333333333,IF(F1603&lt;0.625,"Turno B",IF(F1603&gt;0.625694444444444,IF(F1603&lt;0.8125,"Turno A",IF(F1603&gt;0.875,IF(F1603&lt;0.936805555555556,"Turno C",IF(F1603&gt;0.9375,IF(F1603&lt;0.979166666666667,"Turno B",""),"")),"")),"")),"")),"")),""))</f>
        <v>Turno C</v>
      </c>
      <c r="L1603" s="91">
        <f t="shared" ref="L1603:L1666" si="25">VLOOKUP(K1603,$S$3:$T$7,2,0)</f>
        <v>0.375</v>
      </c>
    </row>
    <row r="1604" spans="1:12" s="40" customFormat="1">
      <c r="A1604">
        <v>15436097</v>
      </c>
      <c r="B1604" t="s">
        <v>339</v>
      </c>
      <c r="C1604" t="s">
        <v>403</v>
      </c>
      <c r="D1604" t="s">
        <v>179</v>
      </c>
      <c r="E1604" t="s">
        <v>1437</v>
      </c>
      <c r="F1604" s="78">
        <v>0.91732638888888884</v>
      </c>
      <c r="G1604" t="s">
        <v>1405</v>
      </c>
      <c r="H1604" t="s">
        <v>1335</v>
      </c>
      <c r="I1604" s="88" t="str">
        <f>VLOOKUP(A1604,Base!A:B,2,0)</f>
        <v>15.436.097-2</v>
      </c>
      <c r="J1604" s="99" t="str">
        <f>VLOOKUP(A1604,Base!A:F,6,0)</f>
        <v>LUIS  VALENZUELA  DIAZ</v>
      </c>
      <c r="K1604" s="89" t="str">
        <f>IFERROR(IF(VLOOKUP(I1604,Ingreso!K:P,6,0)=0,"Sin turtno ing",VLOOKUP(I1604,Ingreso!K:P,6,0)),IF(F1604&gt;0.25,IF(F1604&lt;0.311805555555556,"Turno A",IF(F1604&gt;0.3125,IF(F1604&lt;0.354166666666667,"Turno C",IF(F1604&gt;0.583333333333333,IF(F1604&lt;0.625,"Turno B",IF(F1604&gt;0.625694444444444,IF(F1604&lt;0.8125,"Turno A",IF(F1604&gt;0.875,IF(F1604&lt;0.936805555555556,"Turno C",IF(F1604&gt;0.9375,IF(F1604&lt;0.979166666666667,"Turno B",""),"")),"")),"")),"")),"")),""))</f>
        <v>Turno C</v>
      </c>
      <c r="L1604" s="91">
        <f t="shared" si="25"/>
        <v>0.375</v>
      </c>
    </row>
    <row r="1605" spans="1:12" s="40" customFormat="1">
      <c r="A1605">
        <v>15436097</v>
      </c>
      <c r="B1605" t="s">
        <v>339</v>
      </c>
      <c r="C1605" t="s">
        <v>403</v>
      </c>
      <c r="D1605" t="s">
        <v>179</v>
      </c>
      <c r="E1605" t="s">
        <v>1438</v>
      </c>
      <c r="F1605" s="78">
        <v>0.33688657407407407</v>
      </c>
      <c r="G1605" t="s">
        <v>1406</v>
      </c>
      <c r="H1605" t="s">
        <v>1336</v>
      </c>
      <c r="I1605" s="88" t="str">
        <f>VLOOKUP(A1605,Base!A:B,2,0)</f>
        <v>15.436.097-2</v>
      </c>
      <c r="J1605" s="99" t="str">
        <f>VLOOKUP(A1605,Base!A:F,6,0)</f>
        <v>LUIS  VALENZUELA  DIAZ</v>
      </c>
      <c r="K1605" s="89" t="str">
        <f>IFERROR(IF(VLOOKUP(I1605,Ingreso!K:P,6,0)=0,"Sin turtno ing",VLOOKUP(I1605,Ingreso!K:P,6,0)),IF(F1605&gt;0.25,IF(F1605&lt;0.311805555555556,"Turno A",IF(F1605&gt;0.3125,IF(F1605&lt;0.354166666666667,"Turno C",IF(F1605&gt;0.583333333333333,IF(F1605&lt;0.625,"Turno B",IF(F1605&gt;0.625694444444444,IF(F1605&lt;0.8125,"Turno A",IF(F1605&gt;0.875,IF(F1605&lt;0.936805555555556,"Turno C",IF(F1605&gt;0.9375,IF(F1605&lt;0.979166666666667,"Turno B",""),"")),"")),"")),"")),"")),""))</f>
        <v>Turno C</v>
      </c>
      <c r="L1605" s="91">
        <f t="shared" si="25"/>
        <v>0.375</v>
      </c>
    </row>
    <row r="1606" spans="1:12" s="40" customFormat="1">
      <c r="A1606">
        <v>15436097</v>
      </c>
      <c r="B1606" t="s">
        <v>339</v>
      </c>
      <c r="C1606" t="s">
        <v>403</v>
      </c>
      <c r="D1606" t="s">
        <v>179</v>
      </c>
      <c r="E1606" t="s">
        <v>1438</v>
      </c>
      <c r="F1606" s="78">
        <v>0.95305555555555566</v>
      </c>
      <c r="G1606" t="s">
        <v>1405</v>
      </c>
      <c r="H1606" t="s">
        <v>1335</v>
      </c>
      <c r="I1606" s="88" t="str">
        <f>VLOOKUP(A1606,Base!A:B,2,0)</f>
        <v>15.436.097-2</v>
      </c>
      <c r="J1606" s="99" t="str">
        <f>VLOOKUP(A1606,Base!A:F,6,0)</f>
        <v>LUIS  VALENZUELA  DIAZ</v>
      </c>
      <c r="K1606" s="89" t="str">
        <f>IFERROR(IF(VLOOKUP(I1606,Ingreso!K:P,6,0)=0,"Sin turtno ing",VLOOKUP(I1606,Ingreso!K:P,6,0)),IF(F1606&gt;0.25,IF(F1606&lt;0.311805555555556,"Turno A",IF(F1606&gt;0.3125,IF(F1606&lt;0.354166666666667,"Turno C",IF(F1606&gt;0.583333333333333,IF(F1606&lt;0.625,"Turno B",IF(F1606&gt;0.625694444444444,IF(F1606&lt;0.8125,"Turno A",IF(F1606&gt;0.875,IF(F1606&lt;0.936805555555556,"Turno C",IF(F1606&gt;0.9375,IF(F1606&lt;0.979166666666667,"Turno B",""),"")),"")),"")),"")),"")),""))</f>
        <v>Turno B</v>
      </c>
      <c r="L1606" s="91">
        <f t="shared" si="25"/>
        <v>0.3125</v>
      </c>
    </row>
    <row r="1607" spans="1:12" s="40" customFormat="1">
      <c r="A1607">
        <v>15436097</v>
      </c>
      <c r="B1607" t="s">
        <v>339</v>
      </c>
      <c r="C1607" t="s">
        <v>403</v>
      </c>
      <c r="D1607" t="s">
        <v>179</v>
      </c>
      <c r="E1607" t="s">
        <v>1439</v>
      </c>
      <c r="F1607" s="78">
        <v>0.32843749999999999</v>
      </c>
      <c r="G1607" t="s">
        <v>1406</v>
      </c>
      <c r="H1607" t="s">
        <v>1336</v>
      </c>
      <c r="I1607" s="88" t="str">
        <f>VLOOKUP(A1607,Base!A:B,2,0)</f>
        <v>15.436.097-2</v>
      </c>
      <c r="J1607" s="99" t="str">
        <f>VLOOKUP(A1607,Base!A:F,6,0)</f>
        <v>LUIS  VALENZUELA  DIAZ</v>
      </c>
      <c r="K1607" s="89" t="str">
        <f>IFERROR(IF(VLOOKUP(I1607,Ingreso!K:P,6,0)=0,"Sin turtno ing",VLOOKUP(I1607,Ingreso!K:P,6,0)),IF(F1607&gt;0.25,IF(F1607&lt;0.311805555555556,"Turno A",IF(F1607&gt;0.3125,IF(F1607&lt;0.354166666666667,"Turno C",IF(F1607&gt;0.583333333333333,IF(F1607&lt;0.625,"Turno B",IF(F1607&gt;0.625694444444444,IF(F1607&lt;0.8125,"Turno A",IF(F1607&gt;0.875,IF(F1607&lt;0.936805555555556,"Turno C",IF(F1607&gt;0.9375,IF(F1607&lt;0.979166666666667,"Turno B",""),"")),"")),"")),"")),"")),""))</f>
        <v>Turno C</v>
      </c>
      <c r="L1607" s="91">
        <f t="shared" si="25"/>
        <v>0.375</v>
      </c>
    </row>
    <row r="1608" spans="1:12" s="40" customFormat="1">
      <c r="A1608">
        <v>15436097</v>
      </c>
      <c r="B1608" t="s">
        <v>339</v>
      </c>
      <c r="C1608" t="s">
        <v>403</v>
      </c>
      <c r="D1608" t="s">
        <v>179</v>
      </c>
      <c r="E1608" t="s">
        <v>1439</v>
      </c>
      <c r="F1608" s="78">
        <v>0.91887731481481483</v>
      </c>
      <c r="G1608" t="s">
        <v>1405</v>
      </c>
      <c r="H1608" t="s">
        <v>1335</v>
      </c>
      <c r="I1608" s="88" t="str">
        <f>VLOOKUP(A1608,Base!A:B,2,0)</f>
        <v>15.436.097-2</v>
      </c>
      <c r="J1608" s="99" t="str">
        <f>VLOOKUP(A1608,Base!A:F,6,0)</f>
        <v>LUIS  VALENZUELA  DIAZ</v>
      </c>
      <c r="K1608" s="89" t="str">
        <f>IFERROR(IF(VLOOKUP(I1608,Ingreso!K:P,6,0)=0,"Sin turtno ing",VLOOKUP(I1608,Ingreso!K:P,6,0)),IF(F1608&gt;0.25,IF(F1608&lt;0.311805555555556,"Turno A",IF(F1608&gt;0.3125,IF(F1608&lt;0.354166666666667,"Turno C",IF(F1608&gt;0.583333333333333,IF(F1608&lt;0.625,"Turno B",IF(F1608&gt;0.625694444444444,IF(F1608&lt;0.8125,"Turno A",IF(F1608&gt;0.875,IF(F1608&lt;0.936805555555556,"Turno C",IF(F1608&gt;0.9375,IF(F1608&lt;0.979166666666667,"Turno B",""),"")),"")),"")),"")),"")),""))</f>
        <v>Turno C</v>
      </c>
      <c r="L1608" s="91">
        <f t="shared" si="25"/>
        <v>0.375</v>
      </c>
    </row>
    <row r="1609" spans="1:12" s="40" customFormat="1">
      <c r="A1609">
        <v>15437429</v>
      </c>
      <c r="B1609" t="s">
        <v>682</v>
      </c>
      <c r="C1609" t="s">
        <v>680</v>
      </c>
      <c r="D1609" t="s">
        <v>681</v>
      </c>
      <c r="E1609" t="s">
        <v>1440</v>
      </c>
      <c r="F1609" s="78">
        <v>0.72956018518518517</v>
      </c>
      <c r="G1609" t="s">
        <v>1406</v>
      </c>
      <c r="H1609" t="s">
        <v>1336</v>
      </c>
      <c r="I1609" s="88" t="str">
        <f>VLOOKUP(A1609,Base!A:B,2,0)</f>
        <v>15.437.429-9</v>
      </c>
      <c r="J1609" s="99" t="str">
        <f>VLOOKUP(A1609,Base!A:F,6,0)</f>
        <v>JULIO  NADEAU  JOFRE</v>
      </c>
      <c r="K1609" s="89" t="str">
        <f>IFERROR(IF(VLOOKUP(I1609,Ingreso!K:P,6,0)=0,"Sin turtno ing",VLOOKUP(I1609,Ingreso!K:P,6,0)),IF(F1609&gt;0.25,IF(F1609&lt;0.311805555555556,"Turno A",IF(F1609&gt;0.3125,IF(F1609&lt;0.354166666666667,"Turno C",IF(F1609&gt;0.583333333333333,IF(F1609&lt;0.625,"Turno B",IF(F1609&gt;0.625694444444444,IF(F1609&lt;0.8125,"Turno A",IF(F1609&gt;0.875,IF(F1609&lt;0.936805555555556,"Turno C",IF(F1609&gt;0.9375,IF(F1609&lt;0.979166666666667,"Turno B",""),"")),"")),"")),"")),"")),""))</f>
        <v>Turno A</v>
      </c>
      <c r="L1609" s="91">
        <f t="shared" si="25"/>
        <v>0.3125</v>
      </c>
    </row>
    <row r="1610" spans="1:12" s="40" customFormat="1">
      <c r="A1610">
        <v>15437429</v>
      </c>
      <c r="B1610" t="s">
        <v>682</v>
      </c>
      <c r="C1610" t="s">
        <v>680</v>
      </c>
      <c r="D1610" t="s">
        <v>681</v>
      </c>
      <c r="E1610" t="s">
        <v>1440</v>
      </c>
      <c r="F1610" s="78">
        <v>0.36358796296296297</v>
      </c>
      <c r="G1610" t="s">
        <v>1405</v>
      </c>
      <c r="H1610" t="s">
        <v>1335</v>
      </c>
      <c r="I1610" s="88" t="str">
        <f>VLOOKUP(A1610,Base!A:B,2,0)</f>
        <v>15.437.429-9</v>
      </c>
      <c r="J1610" s="99" t="str">
        <f>VLOOKUP(A1610,Base!A:F,6,0)</f>
        <v>JULIO  NADEAU  JOFRE</v>
      </c>
      <c r="K1610" s="89" t="str">
        <f>IFERROR(IF(VLOOKUP(I1610,Ingreso!K:P,6,0)=0,"Sin turtno ing",VLOOKUP(I1610,Ingreso!K:P,6,0)),IF(F1610&gt;0.25,IF(F1610&lt;0.311805555555556,"Turno A",IF(F1610&gt;0.3125,IF(F1610&lt;0.354166666666667,"Turno C",IF(F1610&gt;0.583333333333333,IF(F1610&lt;0.625,"Turno B",IF(F1610&gt;0.625694444444444,IF(F1610&lt;0.8125,"Turno A",IF(F1610&gt;0.875,IF(F1610&lt;0.936805555555556,"Turno C",IF(F1610&gt;0.9375,IF(F1610&lt;0.979166666666667,"Turno B",""),"")),"")),"")),"")),"")),""))</f>
        <v/>
      </c>
      <c r="L1610" s="91" t="e">
        <f t="shared" si="25"/>
        <v>#N/A</v>
      </c>
    </row>
    <row r="1611" spans="1:12" s="40" customFormat="1">
      <c r="A1611">
        <v>15437429</v>
      </c>
      <c r="B1611" t="s">
        <v>682</v>
      </c>
      <c r="C1611" t="s">
        <v>680</v>
      </c>
      <c r="D1611" t="s">
        <v>681</v>
      </c>
      <c r="E1611" t="s">
        <v>1437</v>
      </c>
      <c r="F1611" s="78">
        <v>0.73313657407407407</v>
      </c>
      <c r="G1611" t="s">
        <v>1406</v>
      </c>
      <c r="H1611" t="s">
        <v>1336</v>
      </c>
      <c r="I1611" s="88" t="str">
        <f>VLOOKUP(A1611,Base!A:B,2,0)</f>
        <v>15.437.429-9</v>
      </c>
      <c r="J1611" s="99" t="str">
        <f>VLOOKUP(A1611,Base!A:F,6,0)</f>
        <v>JULIO  NADEAU  JOFRE</v>
      </c>
      <c r="K1611" s="89" t="str">
        <f>IFERROR(IF(VLOOKUP(I1611,Ingreso!K:P,6,0)=0,"Sin turtno ing",VLOOKUP(I1611,Ingreso!K:P,6,0)),IF(F1611&gt;0.25,IF(F1611&lt;0.311805555555556,"Turno A",IF(F1611&gt;0.3125,IF(F1611&lt;0.354166666666667,"Turno C",IF(F1611&gt;0.583333333333333,IF(F1611&lt;0.625,"Turno B",IF(F1611&gt;0.625694444444444,IF(F1611&lt;0.8125,"Turno A",IF(F1611&gt;0.875,IF(F1611&lt;0.936805555555556,"Turno C",IF(F1611&gt;0.9375,IF(F1611&lt;0.979166666666667,"Turno B",""),"")),"")),"")),"")),"")),""))</f>
        <v>Turno A</v>
      </c>
      <c r="L1611" s="91">
        <f t="shared" si="25"/>
        <v>0.3125</v>
      </c>
    </row>
    <row r="1612" spans="1:12" s="40" customFormat="1">
      <c r="A1612">
        <v>15437429</v>
      </c>
      <c r="B1612" t="s">
        <v>682</v>
      </c>
      <c r="C1612" t="s">
        <v>680</v>
      </c>
      <c r="D1612" t="s">
        <v>681</v>
      </c>
      <c r="E1612" t="s">
        <v>1437</v>
      </c>
      <c r="F1612" s="78">
        <v>0.35537037037037034</v>
      </c>
      <c r="G1612" t="s">
        <v>1405</v>
      </c>
      <c r="H1612" t="s">
        <v>1335</v>
      </c>
      <c r="I1612" s="88" t="str">
        <f>VLOOKUP(A1612,Base!A:B,2,0)</f>
        <v>15.437.429-9</v>
      </c>
      <c r="J1612" s="99" t="str">
        <f>VLOOKUP(A1612,Base!A:F,6,0)</f>
        <v>JULIO  NADEAU  JOFRE</v>
      </c>
      <c r="K1612" s="89" t="str">
        <f>IFERROR(IF(VLOOKUP(I1612,Ingreso!K:P,6,0)=0,"Sin turtno ing",VLOOKUP(I1612,Ingreso!K:P,6,0)),IF(F1612&gt;0.25,IF(F1612&lt;0.311805555555556,"Turno A",IF(F1612&gt;0.3125,IF(F1612&lt;0.354166666666667,"Turno C",IF(F1612&gt;0.583333333333333,IF(F1612&lt;0.625,"Turno B",IF(F1612&gt;0.625694444444444,IF(F1612&lt;0.8125,"Turno A",IF(F1612&gt;0.875,IF(F1612&lt;0.936805555555556,"Turno C",IF(F1612&gt;0.9375,IF(F1612&lt;0.979166666666667,"Turno B",""),"")),"")),"")),"")),"")),""))</f>
        <v/>
      </c>
      <c r="L1612" s="91" t="e">
        <f t="shared" si="25"/>
        <v>#N/A</v>
      </c>
    </row>
    <row r="1613" spans="1:12" s="40" customFormat="1">
      <c r="A1613">
        <v>15437429</v>
      </c>
      <c r="B1613" t="s">
        <v>682</v>
      </c>
      <c r="C1613" t="s">
        <v>680</v>
      </c>
      <c r="D1613" t="s">
        <v>681</v>
      </c>
      <c r="E1613" t="s">
        <v>1438</v>
      </c>
      <c r="F1613" s="78">
        <v>0.73130787037037026</v>
      </c>
      <c r="G1613" t="s">
        <v>1406</v>
      </c>
      <c r="H1613" t="s">
        <v>1336</v>
      </c>
      <c r="I1613" s="88" t="str">
        <f>VLOOKUP(A1613,Base!A:B,2,0)</f>
        <v>15.437.429-9</v>
      </c>
      <c r="J1613" s="99" t="str">
        <f>VLOOKUP(A1613,Base!A:F,6,0)</f>
        <v>JULIO  NADEAU  JOFRE</v>
      </c>
      <c r="K1613" s="89" t="str">
        <f>IFERROR(IF(VLOOKUP(I1613,Ingreso!K:P,6,0)=0,"Sin turtno ing",VLOOKUP(I1613,Ingreso!K:P,6,0)),IF(F1613&gt;0.25,IF(F1613&lt;0.311805555555556,"Turno A",IF(F1613&gt;0.3125,IF(F1613&lt;0.354166666666667,"Turno C",IF(F1613&gt;0.583333333333333,IF(F1613&lt;0.625,"Turno B",IF(F1613&gt;0.625694444444444,IF(F1613&lt;0.8125,"Turno A",IF(F1613&gt;0.875,IF(F1613&lt;0.936805555555556,"Turno C",IF(F1613&gt;0.9375,IF(F1613&lt;0.979166666666667,"Turno B",""),"")),"")),"")),"")),"")),""))</f>
        <v>Turno A</v>
      </c>
      <c r="L1613" s="91">
        <f t="shared" si="25"/>
        <v>0.3125</v>
      </c>
    </row>
    <row r="1614" spans="1:12" s="40" customFormat="1">
      <c r="A1614">
        <v>15437429</v>
      </c>
      <c r="B1614" t="s">
        <v>682</v>
      </c>
      <c r="C1614" t="s">
        <v>680</v>
      </c>
      <c r="D1614" t="s">
        <v>681</v>
      </c>
      <c r="E1614" t="s">
        <v>1438</v>
      </c>
      <c r="F1614" s="78">
        <v>0.35976851851851849</v>
      </c>
      <c r="G1614" t="s">
        <v>1405</v>
      </c>
      <c r="H1614" t="s">
        <v>1335</v>
      </c>
      <c r="I1614" s="88" t="str">
        <f>VLOOKUP(A1614,Base!A:B,2,0)</f>
        <v>15.437.429-9</v>
      </c>
      <c r="J1614" s="99" t="str">
        <f>VLOOKUP(A1614,Base!A:F,6,0)</f>
        <v>JULIO  NADEAU  JOFRE</v>
      </c>
      <c r="K1614" s="89" t="str">
        <f>IFERROR(IF(VLOOKUP(I1614,Ingreso!K:P,6,0)=0,"Sin turtno ing",VLOOKUP(I1614,Ingreso!K:P,6,0)),IF(F1614&gt;0.25,IF(F1614&lt;0.311805555555556,"Turno A",IF(F1614&gt;0.3125,IF(F1614&lt;0.354166666666667,"Turno C",IF(F1614&gt;0.583333333333333,IF(F1614&lt;0.625,"Turno B",IF(F1614&gt;0.625694444444444,IF(F1614&lt;0.8125,"Turno A",IF(F1614&gt;0.875,IF(F1614&lt;0.936805555555556,"Turno C",IF(F1614&gt;0.9375,IF(F1614&lt;0.979166666666667,"Turno B",""),"")),"")),"")),"")),"")),""))</f>
        <v/>
      </c>
      <c r="L1614" s="91" t="e">
        <f t="shared" si="25"/>
        <v>#N/A</v>
      </c>
    </row>
    <row r="1615" spans="1:12" s="40" customFormat="1">
      <c r="A1615">
        <v>15437429</v>
      </c>
      <c r="B1615" t="s">
        <v>682</v>
      </c>
      <c r="C1615" t="s">
        <v>680</v>
      </c>
      <c r="D1615" t="s">
        <v>681</v>
      </c>
      <c r="E1615" t="s">
        <v>1439</v>
      </c>
      <c r="F1615" s="78">
        <v>0.73473379629629632</v>
      </c>
      <c r="G1615" t="s">
        <v>1406</v>
      </c>
      <c r="H1615" t="s">
        <v>1336</v>
      </c>
      <c r="I1615" s="88" t="str">
        <f>VLOOKUP(A1615,Base!A:B,2,0)</f>
        <v>15.437.429-9</v>
      </c>
      <c r="J1615" s="99" t="str">
        <f>VLOOKUP(A1615,Base!A:F,6,0)</f>
        <v>JULIO  NADEAU  JOFRE</v>
      </c>
      <c r="K1615" s="89" t="str">
        <f>IFERROR(IF(VLOOKUP(I1615,Ingreso!K:P,6,0)=0,"Sin turtno ing",VLOOKUP(I1615,Ingreso!K:P,6,0)),IF(F1615&gt;0.25,IF(F1615&lt;0.311805555555556,"Turno A",IF(F1615&gt;0.3125,IF(F1615&lt;0.354166666666667,"Turno C",IF(F1615&gt;0.583333333333333,IF(F1615&lt;0.625,"Turno B",IF(F1615&gt;0.625694444444444,IF(F1615&lt;0.8125,"Turno A",IF(F1615&gt;0.875,IF(F1615&lt;0.936805555555556,"Turno C",IF(F1615&gt;0.9375,IF(F1615&lt;0.979166666666667,"Turno B",""),"")),"")),"")),"")),"")),""))</f>
        <v>Turno A</v>
      </c>
      <c r="L1615" s="91">
        <f t="shared" si="25"/>
        <v>0.3125</v>
      </c>
    </row>
    <row r="1616" spans="1:12" s="40" customFormat="1">
      <c r="A1616">
        <v>15437429</v>
      </c>
      <c r="B1616" t="s">
        <v>682</v>
      </c>
      <c r="C1616" t="s">
        <v>680</v>
      </c>
      <c r="D1616" t="s">
        <v>681</v>
      </c>
      <c r="E1616" t="s">
        <v>1439</v>
      </c>
      <c r="F1616" s="78">
        <v>0.35736111111111107</v>
      </c>
      <c r="G1616" t="s">
        <v>1405</v>
      </c>
      <c r="H1616" t="s">
        <v>1335</v>
      </c>
      <c r="I1616" s="88" t="str">
        <f>VLOOKUP(A1616,Base!A:B,2,0)</f>
        <v>15.437.429-9</v>
      </c>
      <c r="J1616" s="99" t="str">
        <f>VLOOKUP(A1616,Base!A:F,6,0)</f>
        <v>JULIO  NADEAU  JOFRE</v>
      </c>
      <c r="K1616" s="89" t="str">
        <f>IFERROR(IF(VLOOKUP(I1616,Ingreso!K:P,6,0)=0,"Sin turtno ing",VLOOKUP(I1616,Ingreso!K:P,6,0)),IF(F1616&gt;0.25,IF(F1616&lt;0.311805555555556,"Turno A",IF(F1616&gt;0.3125,IF(F1616&lt;0.354166666666667,"Turno C",IF(F1616&gt;0.583333333333333,IF(F1616&lt;0.625,"Turno B",IF(F1616&gt;0.625694444444444,IF(F1616&lt;0.8125,"Turno A",IF(F1616&gt;0.875,IF(F1616&lt;0.936805555555556,"Turno C",IF(F1616&gt;0.9375,IF(F1616&lt;0.979166666666667,"Turno B",""),"")),"")),"")),"")),"")),""))</f>
        <v/>
      </c>
      <c r="L1616" s="91" t="e">
        <f t="shared" si="25"/>
        <v>#N/A</v>
      </c>
    </row>
    <row r="1617" spans="1:12" s="40" customFormat="1">
      <c r="A1617">
        <v>15439409</v>
      </c>
      <c r="B1617" t="s">
        <v>1121</v>
      </c>
      <c r="C1617" t="s">
        <v>1120</v>
      </c>
      <c r="D1617" t="s">
        <v>925</v>
      </c>
      <c r="E1617" t="s">
        <v>1440</v>
      </c>
      <c r="F1617" s="78">
        <v>0.46428240740740739</v>
      </c>
      <c r="G1617" t="s">
        <v>1406</v>
      </c>
      <c r="H1617" t="s">
        <v>1336</v>
      </c>
      <c r="I1617" s="88" t="str">
        <f>VLOOKUP(A1617,Base!A:B,2,0)</f>
        <v>15.439.409-5</v>
      </c>
      <c r="J1617" s="99" t="str">
        <f>VLOOKUP(A1617,Base!A:F,6,0)</f>
        <v>MARICEL ANDREA  BRAVO  SALAMANCA</v>
      </c>
      <c r="K1617" s="89" t="str">
        <f>IFERROR(IF(VLOOKUP(I1617,Ingreso!K:P,6,0)=0,"Sin turtno ing",VLOOKUP(I1617,Ingreso!K:P,6,0)),IF(F1617&gt;0.25,IF(F1617&lt;0.311805555555556,"Turno A",IF(F1617&gt;0.3125,IF(F1617&lt;0.354166666666667,"Turno C",IF(F1617&gt;0.583333333333333,IF(F1617&lt;0.625,"Turno B",IF(F1617&gt;0.625694444444444,IF(F1617&lt;0.8125,"Turno A",IF(F1617&gt;0.875,IF(F1617&lt;0.936805555555556,"Turno C",IF(F1617&gt;0.9375,IF(F1617&lt;0.979166666666667,"Turno B",""),"")),"")),"")),"")),"")),""))</f>
        <v/>
      </c>
      <c r="L1617" s="91" t="e">
        <f t="shared" si="25"/>
        <v>#N/A</v>
      </c>
    </row>
    <row r="1618" spans="1:12" s="40" customFormat="1">
      <c r="A1618">
        <v>15439409</v>
      </c>
      <c r="B1618" t="s">
        <v>1121</v>
      </c>
      <c r="C1618" t="s">
        <v>1120</v>
      </c>
      <c r="D1618" t="s">
        <v>925</v>
      </c>
      <c r="E1618" t="s">
        <v>1440</v>
      </c>
      <c r="F1618" s="78">
        <v>0.30715277777777777</v>
      </c>
      <c r="G1618" t="s">
        <v>1405</v>
      </c>
      <c r="H1618" t="s">
        <v>1335</v>
      </c>
      <c r="I1618" s="88" t="str">
        <f>VLOOKUP(A1618,Base!A:B,2,0)</f>
        <v>15.439.409-5</v>
      </c>
      <c r="J1618" s="99" t="str">
        <f>VLOOKUP(A1618,Base!A:F,6,0)</f>
        <v>MARICEL ANDREA  BRAVO  SALAMANCA</v>
      </c>
      <c r="K1618" s="89" t="str">
        <f>IFERROR(IF(VLOOKUP(I1618,Ingreso!K:P,6,0)=0,"Sin turtno ing",VLOOKUP(I1618,Ingreso!K:P,6,0)),IF(F1618&gt;0.25,IF(F1618&lt;0.311805555555556,"Turno A",IF(F1618&gt;0.3125,IF(F1618&lt;0.354166666666667,"Turno C",IF(F1618&gt;0.583333333333333,IF(F1618&lt;0.625,"Turno B",IF(F1618&gt;0.625694444444444,IF(F1618&lt;0.8125,"Turno A",IF(F1618&gt;0.875,IF(F1618&lt;0.936805555555556,"Turno C",IF(F1618&gt;0.9375,IF(F1618&lt;0.979166666666667,"Turno B",""),"")),"")),"")),"")),"")),""))</f>
        <v>Turno A</v>
      </c>
      <c r="L1618" s="91">
        <f t="shared" si="25"/>
        <v>0.3125</v>
      </c>
    </row>
    <row r="1619" spans="1:12" s="40" customFormat="1">
      <c r="A1619">
        <v>15439409</v>
      </c>
      <c r="B1619" t="s">
        <v>1121</v>
      </c>
      <c r="C1619" t="s">
        <v>1120</v>
      </c>
      <c r="D1619" t="s">
        <v>925</v>
      </c>
      <c r="E1619" t="s">
        <v>1437</v>
      </c>
      <c r="F1619" s="78">
        <v>0.49905092592592593</v>
      </c>
      <c r="G1619" t="s">
        <v>1406</v>
      </c>
      <c r="H1619" t="s">
        <v>1336</v>
      </c>
      <c r="I1619" s="88" t="str">
        <f>VLOOKUP(A1619,Base!A:B,2,0)</f>
        <v>15.439.409-5</v>
      </c>
      <c r="J1619" s="99" t="str">
        <f>VLOOKUP(A1619,Base!A:F,6,0)</f>
        <v>MARICEL ANDREA  BRAVO  SALAMANCA</v>
      </c>
      <c r="K1619" s="89" t="str">
        <f>IFERROR(IF(VLOOKUP(I1619,Ingreso!K:P,6,0)=0,"Sin turtno ing",VLOOKUP(I1619,Ingreso!K:P,6,0)),IF(F1619&gt;0.25,IF(F1619&lt;0.311805555555556,"Turno A",IF(F1619&gt;0.3125,IF(F1619&lt;0.354166666666667,"Turno C",IF(F1619&gt;0.583333333333333,IF(F1619&lt;0.625,"Turno B",IF(F1619&gt;0.625694444444444,IF(F1619&lt;0.8125,"Turno A",IF(F1619&gt;0.875,IF(F1619&lt;0.936805555555556,"Turno C",IF(F1619&gt;0.9375,IF(F1619&lt;0.979166666666667,"Turno B",""),"")),"")),"")),"")),"")),""))</f>
        <v/>
      </c>
      <c r="L1619" s="91" t="e">
        <f t="shared" si="25"/>
        <v>#N/A</v>
      </c>
    </row>
    <row r="1620" spans="1:12" s="40" customFormat="1">
      <c r="A1620">
        <v>15439409</v>
      </c>
      <c r="B1620" t="s">
        <v>1121</v>
      </c>
      <c r="C1620" t="s">
        <v>1120</v>
      </c>
      <c r="D1620" t="s">
        <v>925</v>
      </c>
      <c r="E1620" t="s">
        <v>1437</v>
      </c>
      <c r="F1620" s="78">
        <v>0.30162037037037037</v>
      </c>
      <c r="G1620" t="s">
        <v>1405</v>
      </c>
      <c r="H1620" t="s">
        <v>1335</v>
      </c>
      <c r="I1620" s="88" t="str">
        <f>VLOOKUP(A1620,Base!A:B,2,0)</f>
        <v>15.439.409-5</v>
      </c>
      <c r="J1620" s="99" t="str">
        <f>VLOOKUP(A1620,Base!A:F,6,0)</f>
        <v>MARICEL ANDREA  BRAVO  SALAMANCA</v>
      </c>
      <c r="K1620" s="89" t="str">
        <f>IFERROR(IF(VLOOKUP(I1620,Ingreso!K:P,6,0)=0,"Sin turtno ing",VLOOKUP(I1620,Ingreso!K:P,6,0)),IF(F1620&gt;0.25,IF(F1620&lt;0.311805555555556,"Turno A",IF(F1620&gt;0.3125,IF(F1620&lt;0.354166666666667,"Turno C",IF(F1620&gt;0.583333333333333,IF(F1620&lt;0.625,"Turno B",IF(F1620&gt;0.625694444444444,IF(F1620&lt;0.8125,"Turno A",IF(F1620&gt;0.875,IF(F1620&lt;0.936805555555556,"Turno C",IF(F1620&gt;0.9375,IF(F1620&lt;0.979166666666667,"Turno B",""),"")),"")),"")),"")),"")),""))</f>
        <v>Turno A</v>
      </c>
      <c r="L1620" s="91">
        <f t="shared" si="25"/>
        <v>0.3125</v>
      </c>
    </row>
    <row r="1621" spans="1:12" s="40" customFormat="1">
      <c r="A1621">
        <v>15439409</v>
      </c>
      <c r="B1621" t="s">
        <v>1121</v>
      </c>
      <c r="C1621" t="s">
        <v>1120</v>
      </c>
      <c r="D1621" t="s">
        <v>925</v>
      </c>
      <c r="E1621" t="s">
        <v>1438</v>
      </c>
      <c r="F1621" s="78">
        <v>0.63375000000000004</v>
      </c>
      <c r="G1621" t="s">
        <v>1406</v>
      </c>
      <c r="H1621" t="s">
        <v>1336</v>
      </c>
      <c r="I1621" s="88" t="str">
        <f>VLOOKUP(A1621,Base!A:B,2,0)</f>
        <v>15.439.409-5</v>
      </c>
      <c r="J1621" s="99" t="str">
        <f>VLOOKUP(A1621,Base!A:F,6,0)</f>
        <v>MARICEL ANDREA  BRAVO  SALAMANCA</v>
      </c>
      <c r="K1621" s="89" t="str">
        <f>IFERROR(IF(VLOOKUP(I1621,Ingreso!K:P,6,0)=0,"Sin turtno ing",VLOOKUP(I1621,Ingreso!K:P,6,0)),IF(F1621&gt;0.25,IF(F1621&lt;0.311805555555556,"Turno A",IF(F1621&gt;0.3125,IF(F1621&lt;0.354166666666667,"Turno C",IF(F1621&gt;0.583333333333333,IF(F1621&lt;0.625,"Turno B",IF(F1621&gt;0.625694444444444,IF(F1621&lt;0.8125,"Turno A",IF(F1621&gt;0.875,IF(F1621&lt;0.936805555555556,"Turno C",IF(F1621&gt;0.9375,IF(F1621&lt;0.979166666666667,"Turno B",""),"")),"")),"")),"")),"")),""))</f>
        <v>Turno A</v>
      </c>
      <c r="L1621" s="91">
        <f t="shared" si="25"/>
        <v>0.3125</v>
      </c>
    </row>
    <row r="1622" spans="1:12" s="40" customFormat="1">
      <c r="A1622">
        <v>15439409</v>
      </c>
      <c r="B1622" t="s">
        <v>1121</v>
      </c>
      <c r="C1622" t="s">
        <v>1120</v>
      </c>
      <c r="D1622" t="s">
        <v>925</v>
      </c>
      <c r="E1622" t="s">
        <v>1438</v>
      </c>
      <c r="F1622" s="78">
        <v>0.29063657407407406</v>
      </c>
      <c r="G1622" t="s">
        <v>1405</v>
      </c>
      <c r="H1622" t="s">
        <v>1335</v>
      </c>
      <c r="I1622" s="88" t="str">
        <f>VLOOKUP(A1622,Base!A:B,2,0)</f>
        <v>15.439.409-5</v>
      </c>
      <c r="J1622" s="99" t="str">
        <f>VLOOKUP(A1622,Base!A:F,6,0)</f>
        <v>MARICEL ANDREA  BRAVO  SALAMANCA</v>
      </c>
      <c r="K1622" s="89" t="str">
        <f>IFERROR(IF(VLOOKUP(I1622,Ingreso!K:P,6,0)=0,"Sin turtno ing",VLOOKUP(I1622,Ingreso!K:P,6,0)),IF(F1622&gt;0.25,IF(F1622&lt;0.311805555555556,"Turno A",IF(F1622&gt;0.3125,IF(F1622&lt;0.354166666666667,"Turno C",IF(F1622&gt;0.583333333333333,IF(F1622&lt;0.625,"Turno B",IF(F1622&gt;0.625694444444444,IF(F1622&lt;0.8125,"Turno A",IF(F1622&gt;0.875,IF(F1622&lt;0.936805555555556,"Turno C",IF(F1622&gt;0.9375,IF(F1622&lt;0.979166666666667,"Turno B",""),"")),"")),"")),"")),"")),""))</f>
        <v>Turno A</v>
      </c>
      <c r="L1622" s="91">
        <f t="shared" si="25"/>
        <v>0.3125</v>
      </c>
    </row>
    <row r="1623" spans="1:12" s="40" customFormat="1">
      <c r="A1623">
        <v>15439409</v>
      </c>
      <c r="B1623" t="s">
        <v>1121</v>
      </c>
      <c r="C1623" t="s">
        <v>1120</v>
      </c>
      <c r="D1623" t="s">
        <v>925</v>
      </c>
      <c r="E1623" t="s">
        <v>1439</v>
      </c>
      <c r="F1623" s="78">
        <v>0.63457175925925924</v>
      </c>
      <c r="G1623" t="s">
        <v>1406</v>
      </c>
      <c r="H1623" t="s">
        <v>1336</v>
      </c>
      <c r="I1623" s="88" t="str">
        <f>VLOOKUP(A1623,Base!A:B,2,0)</f>
        <v>15.439.409-5</v>
      </c>
      <c r="J1623" s="99" t="str">
        <f>VLOOKUP(A1623,Base!A:F,6,0)</f>
        <v>MARICEL ANDREA  BRAVO  SALAMANCA</v>
      </c>
      <c r="K1623" s="89" t="str">
        <f>IFERROR(IF(VLOOKUP(I1623,Ingreso!K:P,6,0)=0,"Sin turtno ing",VLOOKUP(I1623,Ingreso!K:P,6,0)),IF(F1623&gt;0.25,IF(F1623&lt;0.311805555555556,"Turno A",IF(F1623&gt;0.3125,IF(F1623&lt;0.354166666666667,"Turno C",IF(F1623&gt;0.583333333333333,IF(F1623&lt;0.625,"Turno B",IF(F1623&gt;0.625694444444444,IF(F1623&lt;0.8125,"Turno A",IF(F1623&gt;0.875,IF(F1623&lt;0.936805555555556,"Turno C",IF(F1623&gt;0.9375,IF(F1623&lt;0.979166666666667,"Turno B",""),"")),"")),"")),"")),"")),""))</f>
        <v>Turno A</v>
      </c>
      <c r="L1623" s="91">
        <f t="shared" si="25"/>
        <v>0.3125</v>
      </c>
    </row>
    <row r="1624" spans="1:12" s="40" customFormat="1">
      <c r="A1624">
        <v>15439409</v>
      </c>
      <c r="B1624" t="s">
        <v>1121</v>
      </c>
      <c r="C1624" t="s">
        <v>1120</v>
      </c>
      <c r="D1624" t="s">
        <v>925</v>
      </c>
      <c r="E1624" t="s">
        <v>1439</v>
      </c>
      <c r="F1624" s="78">
        <v>0.30368055555555556</v>
      </c>
      <c r="G1624" t="s">
        <v>1405</v>
      </c>
      <c r="H1624" t="s">
        <v>1335</v>
      </c>
      <c r="I1624" s="88" t="str">
        <f>VLOOKUP(A1624,Base!A:B,2,0)</f>
        <v>15.439.409-5</v>
      </c>
      <c r="J1624" s="99" t="str">
        <f>VLOOKUP(A1624,Base!A:F,6,0)</f>
        <v>MARICEL ANDREA  BRAVO  SALAMANCA</v>
      </c>
      <c r="K1624" s="89" t="str">
        <f>IFERROR(IF(VLOOKUP(I1624,Ingreso!K:P,6,0)=0,"Sin turtno ing",VLOOKUP(I1624,Ingreso!K:P,6,0)),IF(F1624&gt;0.25,IF(F1624&lt;0.311805555555556,"Turno A",IF(F1624&gt;0.3125,IF(F1624&lt;0.354166666666667,"Turno C",IF(F1624&gt;0.583333333333333,IF(F1624&lt;0.625,"Turno B",IF(F1624&gt;0.625694444444444,IF(F1624&lt;0.8125,"Turno A",IF(F1624&gt;0.875,IF(F1624&lt;0.936805555555556,"Turno C",IF(F1624&gt;0.9375,IF(F1624&lt;0.979166666666667,"Turno B",""),"")),"")),"")),"")),"")),""))</f>
        <v>Turno A</v>
      </c>
      <c r="L1624" s="91">
        <f t="shared" si="25"/>
        <v>0.3125</v>
      </c>
    </row>
    <row r="1625" spans="1:12" s="40" customFormat="1">
      <c r="A1625">
        <v>15441831</v>
      </c>
      <c r="B1625" t="s">
        <v>1238</v>
      </c>
      <c r="C1625" t="s">
        <v>1236</v>
      </c>
      <c r="D1625" t="s">
        <v>1237</v>
      </c>
      <c r="E1625" t="s">
        <v>1440</v>
      </c>
      <c r="F1625" s="78">
        <v>0.95142361111111118</v>
      </c>
      <c r="G1625" t="s">
        <v>1406</v>
      </c>
      <c r="H1625" t="s">
        <v>1336</v>
      </c>
      <c r="I1625" s="88" t="str">
        <f>VLOOKUP(A1625,Base!A:B,2,0)</f>
        <v>15.441.831-8</v>
      </c>
      <c r="J1625" s="99" t="str">
        <f>VLOOKUP(A1625,Base!A:F,6,0)</f>
        <v>ROBERTO MARIO  VALDERRAMA  CAÑAS</v>
      </c>
      <c r="K1625" s="89" t="str">
        <f>IFERROR(IF(VLOOKUP(I1625,Ingreso!K:P,6,0)=0,"Sin turtno ing",VLOOKUP(I1625,Ingreso!K:P,6,0)),IF(F1625&gt;0.25,IF(F1625&lt;0.311805555555556,"Turno A",IF(F1625&gt;0.3125,IF(F1625&lt;0.354166666666667,"Turno C",IF(F1625&gt;0.583333333333333,IF(F1625&lt;0.625,"Turno B",IF(F1625&gt;0.625694444444444,IF(F1625&lt;0.8125,"Turno A",IF(F1625&gt;0.875,IF(F1625&lt;0.936805555555556,"Turno C",IF(F1625&gt;0.9375,IF(F1625&lt;0.979166666666667,"Turno B",""),"")),"")),"")),"")),"")),""))</f>
        <v>Turno A</v>
      </c>
      <c r="L1625" s="91">
        <f t="shared" si="25"/>
        <v>0.3125</v>
      </c>
    </row>
    <row r="1626" spans="1:12" s="40" customFormat="1">
      <c r="A1626">
        <v>15441831</v>
      </c>
      <c r="B1626" t="s">
        <v>1238</v>
      </c>
      <c r="C1626" t="s">
        <v>1236</v>
      </c>
      <c r="D1626" t="s">
        <v>1237</v>
      </c>
      <c r="E1626" t="s">
        <v>1440</v>
      </c>
      <c r="F1626" s="78">
        <v>0.48994212962962963</v>
      </c>
      <c r="G1626" t="s">
        <v>1405</v>
      </c>
      <c r="H1626" t="s">
        <v>1335</v>
      </c>
      <c r="I1626" s="88" t="str">
        <f>VLOOKUP(A1626,Base!A:B,2,0)</f>
        <v>15.441.831-8</v>
      </c>
      <c r="J1626" s="99" t="str">
        <f>VLOOKUP(A1626,Base!A:F,6,0)</f>
        <v>ROBERTO MARIO  VALDERRAMA  CAÑAS</v>
      </c>
      <c r="K1626" s="89" t="str">
        <f>IFERROR(IF(VLOOKUP(I1626,Ingreso!K:P,6,0)=0,"Sin turtno ing",VLOOKUP(I1626,Ingreso!K:P,6,0)),IF(F1626&gt;0.25,IF(F1626&lt;0.311805555555556,"Turno A",IF(F1626&gt;0.3125,IF(F1626&lt;0.354166666666667,"Turno C",IF(F1626&gt;0.583333333333333,IF(F1626&lt;0.625,"Turno B",IF(F1626&gt;0.625694444444444,IF(F1626&lt;0.8125,"Turno A",IF(F1626&gt;0.875,IF(F1626&lt;0.936805555555556,"Turno C",IF(F1626&gt;0.9375,IF(F1626&lt;0.979166666666667,"Turno B",""),"")),"")),"")),"")),"")),""))</f>
        <v>Turno A</v>
      </c>
      <c r="L1626" s="91">
        <f t="shared" si="25"/>
        <v>0.3125</v>
      </c>
    </row>
    <row r="1627" spans="1:12" s="40" customFormat="1">
      <c r="A1627">
        <v>15441831</v>
      </c>
      <c r="B1627" t="s">
        <v>1238</v>
      </c>
      <c r="C1627" t="s">
        <v>1236</v>
      </c>
      <c r="D1627" t="s">
        <v>1237</v>
      </c>
      <c r="E1627" t="s">
        <v>1441</v>
      </c>
      <c r="F1627" s="78">
        <v>0.95915509259259257</v>
      </c>
      <c r="G1627" t="s">
        <v>1406</v>
      </c>
      <c r="H1627" t="s">
        <v>1336</v>
      </c>
      <c r="I1627" s="88" t="str">
        <f>VLOOKUP(A1627,Base!A:B,2,0)</f>
        <v>15.441.831-8</v>
      </c>
      <c r="J1627" s="99" t="str">
        <f>VLOOKUP(A1627,Base!A:F,6,0)</f>
        <v>ROBERTO MARIO  VALDERRAMA  CAÑAS</v>
      </c>
      <c r="K1627" s="89" t="str">
        <f>IFERROR(IF(VLOOKUP(I1627,Ingreso!K:P,6,0)=0,"Sin turtno ing",VLOOKUP(I1627,Ingreso!K:P,6,0)),IF(F1627&gt;0.25,IF(F1627&lt;0.311805555555556,"Turno A",IF(F1627&gt;0.3125,IF(F1627&lt;0.354166666666667,"Turno C",IF(F1627&gt;0.583333333333333,IF(F1627&lt;0.625,"Turno B",IF(F1627&gt;0.625694444444444,IF(F1627&lt;0.8125,"Turno A",IF(F1627&gt;0.875,IF(F1627&lt;0.936805555555556,"Turno C",IF(F1627&gt;0.9375,IF(F1627&lt;0.979166666666667,"Turno B",""),"")),"")),"")),"")),"")),""))</f>
        <v>Turno A</v>
      </c>
      <c r="L1627" s="91">
        <f t="shared" si="25"/>
        <v>0.3125</v>
      </c>
    </row>
    <row r="1628" spans="1:12" s="40" customFormat="1">
      <c r="A1628">
        <v>15441831</v>
      </c>
      <c r="B1628" t="s">
        <v>1238</v>
      </c>
      <c r="C1628" t="s">
        <v>1236</v>
      </c>
      <c r="D1628" t="s">
        <v>1237</v>
      </c>
      <c r="E1628" t="s">
        <v>1441</v>
      </c>
      <c r="F1628" s="78">
        <v>0.52128472222222222</v>
      </c>
      <c r="G1628" t="s">
        <v>1405</v>
      </c>
      <c r="H1628" t="s">
        <v>1335</v>
      </c>
      <c r="I1628" s="88" t="str">
        <f>VLOOKUP(A1628,Base!A:B,2,0)</f>
        <v>15.441.831-8</v>
      </c>
      <c r="J1628" s="99" t="str">
        <f>VLOOKUP(A1628,Base!A:F,6,0)</f>
        <v>ROBERTO MARIO  VALDERRAMA  CAÑAS</v>
      </c>
      <c r="K1628" s="89" t="str">
        <f>IFERROR(IF(VLOOKUP(I1628,Ingreso!K:P,6,0)=0,"Sin turtno ing",VLOOKUP(I1628,Ingreso!K:P,6,0)),IF(F1628&gt;0.25,IF(F1628&lt;0.311805555555556,"Turno A",IF(F1628&gt;0.3125,IF(F1628&lt;0.354166666666667,"Turno C",IF(F1628&gt;0.583333333333333,IF(F1628&lt;0.625,"Turno B",IF(F1628&gt;0.625694444444444,IF(F1628&lt;0.8125,"Turno A",IF(F1628&gt;0.875,IF(F1628&lt;0.936805555555556,"Turno C",IF(F1628&gt;0.9375,IF(F1628&lt;0.979166666666667,"Turno B",""),"")),"")),"")),"")),"")),""))</f>
        <v>Turno A</v>
      </c>
      <c r="L1628" s="91">
        <f t="shared" si="25"/>
        <v>0.3125</v>
      </c>
    </row>
    <row r="1629" spans="1:12" s="40" customFormat="1">
      <c r="A1629">
        <v>15444116</v>
      </c>
      <c r="B1629" t="s">
        <v>1420</v>
      </c>
      <c r="C1629" t="s">
        <v>1421</v>
      </c>
      <c r="D1629" t="s">
        <v>1156</v>
      </c>
      <c r="E1629" t="s">
        <v>1440</v>
      </c>
      <c r="F1629" s="78">
        <v>0.94995370370370369</v>
      </c>
      <c r="G1629" t="s">
        <v>1406</v>
      </c>
      <c r="H1629" t="s">
        <v>1336</v>
      </c>
      <c r="I1629" s="88" t="str">
        <f>VLOOKUP(A1629,Base!A:B,2,0)</f>
        <v>15444116-6</v>
      </c>
      <c r="J1629" s="99" t="str">
        <f>VLOOKUP(A1629,Base!A:F,6,0)</f>
        <v>MANUEL  MAULEN   GUTIERREZ</v>
      </c>
      <c r="K1629" s="89" t="str">
        <f>IFERROR(IF(VLOOKUP(I1629,Ingreso!K:P,6,0)=0,"Sin turtno ing",VLOOKUP(I1629,Ingreso!K:P,6,0)),IF(F1629&gt;0.25,IF(F1629&lt;0.311805555555556,"Turno A",IF(F1629&gt;0.3125,IF(F1629&lt;0.354166666666667,"Turno C",IF(F1629&gt;0.583333333333333,IF(F1629&lt;0.625,"Turno B",IF(F1629&gt;0.625694444444444,IF(F1629&lt;0.8125,"Turno A",IF(F1629&gt;0.875,IF(F1629&lt;0.936805555555556,"Turno C",IF(F1629&gt;0.9375,IF(F1629&lt;0.979166666666667,"Turno B",""),"")),"")),"")),"")),"")),""))</f>
        <v>Turno B</v>
      </c>
      <c r="L1629" s="91">
        <f t="shared" si="25"/>
        <v>0.3125</v>
      </c>
    </row>
    <row r="1630" spans="1:12" s="40" customFormat="1">
      <c r="A1630">
        <v>15444116</v>
      </c>
      <c r="B1630" t="s">
        <v>1420</v>
      </c>
      <c r="C1630" t="s">
        <v>1421</v>
      </c>
      <c r="D1630" t="s">
        <v>1156</v>
      </c>
      <c r="E1630" t="s">
        <v>1440</v>
      </c>
      <c r="F1630" s="78">
        <v>0.61024305555555558</v>
      </c>
      <c r="G1630" t="s">
        <v>1405</v>
      </c>
      <c r="H1630" t="s">
        <v>1335</v>
      </c>
      <c r="I1630" s="88" t="str">
        <f>VLOOKUP(A1630,Base!A:B,2,0)</f>
        <v>15444116-6</v>
      </c>
      <c r="J1630" s="99" t="str">
        <f>VLOOKUP(A1630,Base!A:F,6,0)</f>
        <v>MANUEL  MAULEN   GUTIERREZ</v>
      </c>
      <c r="K1630" s="89" t="str">
        <f>IFERROR(IF(VLOOKUP(I1630,Ingreso!K:P,6,0)=0,"Sin turtno ing",VLOOKUP(I1630,Ingreso!K:P,6,0)),IF(F1630&gt;0.25,IF(F1630&lt;0.311805555555556,"Turno A",IF(F1630&gt;0.3125,IF(F1630&lt;0.354166666666667,"Turno C",IF(F1630&gt;0.583333333333333,IF(F1630&lt;0.625,"Turno B",IF(F1630&gt;0.625694444444444,IF(F1630&lt;0.8125,"Turno A",IF(F1630&gt;0.875,IF(F1630&lt;0.936805555555556,"Turno C",IF(F1630&gt;0.9375,IF(F1630&lt;0.979166666666667,"Turno B",""),"")),"")),"")),"")),"")),""))</f>
        <v>Turno B</v>
      </c>
      <c r="L1630" s="91">
        <f t="shared" si="25"/>
        <v>0.3125</v>
      </c>
    </row>
    <row r="1631" spans="1:12" s="40" customFormat="1">
      <c r="A1631">
        <v>15444116</v>
      </c>
      <c r="B1631" t="s">
        <v>1420</v>
      </c>
      <c r="C1631" t="s">
        <v>1421</v>
      </c>
      <c r="D1631" t="s">
        <v>1156</v>
      </c>
      <c r="E1631" t="s">
        <v>1441</v>
      </c>
      <c r="F1631" s="78">
        <v>0.64002314814814809</v>
      </c>
      <c r="G1631" t="s">
        <v>1406</v>
      </c>
      <c r="H1631" t="s">
        <v>1336</v>
      </c>
      <c r="I1631" s="88" t="str">
        <f>VLOOKUP(A1631,Base!A:B,2,0)</f>
        <v>15444116-6</v>
      </c>
      <c r="J1631" s="99" t="str">
        <f>VLOOKUP(A1631,Base!A:F,6,0)</f>
        <v>MANUEL  MAULEN   GUTIERREZ</v>
      </c>
      <c r="K1631" s="89" t="str">
        <f>IFERROR(IF(VLOOKUP(I1631,Ingreso!K:P,6,0)=0,"Sin turtno ing",VLOOKUP(I1631,Ingreso!K:P,6,0)),IF(F1631&gt;0.25,IF(F1631&lt;0.311805555555556,"Turno A",IF(F1631&gt;0.3125,IF(F1631&lt;0.354166666666667,"Turno C",IF(F1631&gt;0.583333333333333,IF(F1631&lt;0.625,"Turno B",IF(F1631&gt;0.625694444444444,IF(F1631&lt;0.8125,"Turno A",IF(F1631&gt;0.875,IF(F1631&lt;0.936805555555556,"Turno C",IF(F1631&gt;0.9375,IF(F1631&lt;0.979166666666667,"Turno B",""),"")),"")),"")),"")),"")),""))</f>
        <v>Turno A</v>
      </c>
      <c r="L1631" s="91">
        <f t="shared" si="25"/>
        <v>0.3125</v>
      </c>
    </row>
    <row r="1632" spans="1:12" s="40" customFormat="1">
      <c r="A1632">
        <v>15444116</v>
      </c>
      <c r="B1632" t="s">
        <v>1420</v>
      </c>
      <c r="C1632" t="s">
        <v>1421</v>
      </c>
      <c r="D1632" t="s">
        <v>1156</v>
      </c>
      <c r="E1632" t="s">
        <v>1441</v>
      </c>
      <c r="F1632" s="78">
        <v>0.2900462962962963</v>
      </c>
      <c r="G1632" t="s">
        <v>1405</v>
      </c>
      <c r="H1632" t="s">
        <v>1335</v>
      </c>
      <c r="I1632" s="88" t="str">
        <f>VLOOKUP(A1632,Base!A:B,2,0)</f>
        <v>15444116-6</v>
      </c>
      <c r="J1632" s="99" t="str">
        <f>VLOOKUP(A1632,Base!A:F,6,0)</f>
        <v>MANUEL  MAULEN   GUTIERREZ</v>
      </c>
      <c r="K1632" s="89" t="str">
        <f>IFERROR(IF(VLOOKUP(I1632,Ingreso!K:P,6,0)=0,"Sin turtno ing",VLOOKUP(I1632,Ingreso!K:P,6,0)),IF(F1632&gt;0.25,IF(F1632&lt;0.311805555555556,"Turno A",IF(F1632&gt;0.3125,IF(F1632&lt;0.354166666666667,"Turno C",IF(F1632&gt;0.583333333333333,IF(F1632&lt;0.625,"Turno B",IF(F1632&gt;0.625694444444444,IF(F1632&lt;0.8125,"Turno A",IF(F1632&gt;0.875,IF(F1632&lt;0.936805555555556,"Turno C",IF(F1632&gt;0.9375,IF(F1632&lt;0.979166666666667,"Turno B",""),"")),"")),"")),"")),"")),""))</f>
        <v>Turno A</v>
      </c>
      <c r="L1632" s="91">
        <f t="shared" si="25"/>
        <v>0.3125</v>
      </c>
    </row>
    <row r="1633" spans="1:12" s="40" customFormat="1">
      <c r="A1633">
        <v>15444116</v>
      </c>
      <c r="B1633" t="s">
        <v>1420</v>
      </c>
      <c r="C1633" t="s">
        <v>1421</v>
      </c>
      <c r="D1633" t="s">
        <v>1156</v>
      </c>
      <c r="E1633" t="s">
        <v>1437</v>
      </c>
      <c r="F1633" s="78">
        <v>0.94815972222222233</v>
      </c>
      <c r="G1633" t="s">
        <v>1406</v>
      </c>
      <c r="H1633" t="s">
        <v>1336</v>
      </c>
      <c r="I1633" s="88" t="str">
        <f>VLOOKUP(A1633,Base!A:B,2,0)</f>
        <v>15444116-6</v>
      </c>
      <c r="J1633" s="99" t="str">
        <f>VLOOKUP(A1633,Base!A:F,6,0)</f>
        <v>MANUEL  MAULEN   GUTIERREZ</v>
      </c>
      <c r="K1633" s="89" t="str">
        <f>IFERROR(IF(VLOOKUP(I1633,Ingreso!K:P,6,0)=0,"Sin turtno ing",VLOOKUP(I1633,Ingreso!K:P,6,0)),IF(F1633&gt;0.25,IF(F1633&lt;0.311805555555556,"Turno A",IF(F1633&gt;0.3125,IF(F1633&lt;0.354166666666667,"Turno C",IF(F1633&gt;0.583333333333333,IF(F1633&lt;0.625,"Turno B",IF(F1633&gt;0.625694444444444,IF(F1633&lt;0.8125,"Turno A",IF(F1633&gt;0.875,IF(F1633&lt;0.936805555555556,"Turno C",IF(F1633&gt;0.9375,IF(F1633&lt;0.979166666666667,"Turno B",""),"")),"")),"")),"")),"")),""))</f>
        <v>Turno B</v>
      </c>
      <c r="L1633" s="91">
        <f t="shared" si="25"/>
        <v>0.3125</v>
      </c>
    </row>
    <row r="1634" spans="1:12" s="40" customFormat="1">
      <c r="A1634">
        <v>15444116</v>
      </c>
      <c r="B1634" t="s">
        <v>1420</v>
      </c>
      <c r="C1634" t="s">
        <v>1421</v>
      </c>
      <c r="D1634" t="s">
        <v>1156</v>
      </c>
      <c r="E1634" t="s">
        <v>1437</v>
      </c>
      <c r="F1634" s="78">
        <v>0.6048958333333333</v>
      </c>
      <c r="G1634" t="s">
        <v>1405</v>
      </c>
      <c r="H1634" t="s">
        <v>1335</v>
      </c>
      <c r="I1634" s="88" t="str">
        <f>VLOOKUP(A1634,Base!A:B,2,0)</f>
        <v>15444116-6</v>
      </c>
      <c r="J1634" s="99" t="str">
        <f>VLOOKUP(A1634,Base!A:F,6,0)</f>
        <v>MANUEL  MAULEN   GUTIERREZ</v>
      </c>
      <c r="K1634" s="89" t="str">
        <f>IFERROR(IF(VLOOKUP(I1634,Ingreso!K:P,6,0)=0,"Sin turtno ing",VLOOKUP(I1634,Ingreso!K:P,6,0)),IF(F1634&gt;0.25,IF(F1634&lt;0.311805555555556,"Turno A",IF(F1634&gt;0.3125,IF(F1634&lt;0.354166666666667,"Turno C",IF(F1634&gt;0.583333333333333,IF(F1634&lt;0.625,"Turno B",IF(F1634&gt;0.625694444444444,IF(F1634&lt;0.8125,"Turno A",IF(F1634&gt;0.875,IF(F1634&lt;0.936805555555556,"Turno C",IF(F1634&gt;0.9375,IF(F1634&lt;0.979166666666667,"Turno B",""),"")),"")),"")),"")),"")),""))</f>
        <v>Turno B</v>
      </c>
      <c r="L1634" s="91">
        <f t="shared" si="25"/>
        <v>0.3125</v>
      </c>
    </row>
    <row r="1635" spans="1:12" s="40" customFormat="1">
      <c r="A1635">
        <v>15444116</v>
      </c>
      <c r="B1635" t="s">
        <v>1420</v>
      </c>
      <c r="C1635" t="s">
        <v>1421</v>
      </c>
      <c r="D1635" t="s">
        <v>1156</v>
      </c>
      <c r="E1635" t="s">
        <v>1438</v>
      </c>
      <c r="F1635" s="78">
        <v>0.94923611111111106</v>
      </c>
      <c r="G1635" t="s">
        <v>1406</v>
      </c>
      <c r="H1635" t="s">
        <v>1336</v>
      </c>
      <c r="I1635" s="88" t="str">
        <f>VLOOKUP(A1635,Base!A:B,2,0)</f>
        <v>15444116-6</v>
      </c>
      <c r="J1635" s="99" t="str">
        <f>VLOOKUP(A1635,Base!A:F,6,0)</f>
        <v>MANUEL  MAULEN   GUTIERREZ</v>
      </c>
      <c r="K1635" s="89" t="str">
        <f>IFERROR(IF(VLOOKUP(I1635,Ingreso!K:P,6,0)=0,"Sin turtno ing",VLOOKUP(I1635,Ingreso!K:P,6,0)),IF(F1635&gt;0.25,IF(F1635&lt;0.311805555555556,"Turno A",IF(F1635&gt;0.3125,IF(F1635&lt;0.354166666666667,"Turno C",IF(F1635&gt;0.583333333333333,IF(F1635&lt;0.625,"Turno B",IF(F1635&gt;0.625694444444444,IF(F1635&lt;0.8125,"Turno A",IF(F1635&gt;0.875,IF(F1635&lt;0.936805555555556,"Turno C",IF(F1635&gt;0.9375,IF(F1635&lt;0.979166666666667,"Turno B",""),"")),"")),"")),"")),"")),""))</f>
        <v>Turno B</v>
      </c>
      <c r="L1635" s="91">
        <f t="shared" si="25"/>
        <v>0.3125</v>
      </c>
    </row>
    <row r="1636" spans="1:12" s="40" customFormat="1">
      <c r="A1636">
        <v>15444116</v>
      </c>
      <c r="B1636" t="s">
        <v>1420</v>
      </c>
      <c r="C1636" t="s">
        <v>1421</v>
      </c>
      <c r="D1636" t="s">
        <v>1156</v>
      </c>
      <c r="E1636" t="s">
        <v>1438</v>
      </c>
      <c r="F1636" s="78">
        <v>0.60363425925925929</v>
      </c>
      <c r="G1636" t="s">
        <v>1405</v>
      </c>
      <c r="H1636" t="s">
        <v>1335</v>
      </c>
      <c r="I1636" s="88" t="str">
        <f>VLOOKUP(A1636,Base!A:B,2,0)</f>
        <v>15444116-6</v>
      </c>
      <c r="J1636" s="99" t="str">
        <f>VLOOKUP(A1636,Base!A:F,6,0)</f>
        <v>MANUEL  MAULEN   GUTIERREZ</v>
      </c>
      <c r="K1636" s="89" t="str">
        <f>IFERROR(IF(VLOOKUP(I1636,Ingreso!K:P,6,0)=0,"Sin turtno ing",VLOOKUP(I1636,Ingreso!K:P,6,0)),IF(F1636&gt;0.25,IF(F1636&lt;0.311805555555556,"Turno A",IF(F1636&gt;0.3125,IF(F1636&lt;0.354166666666667,"Turno C",IF(F1636&gt;0.583333333333333,IF(F1636&lt;0.625,"Turno B",IF(F1636&gt;0.625694444444444,IF(F1636&lt;0.8125,"Turno A",IF(F1636&gt;0.875,IF(F1636&lt;0.936805555555556,"Turno C",IF(F1636&gt;0.9375,IF(F1636&lt;0.979166666666667,"Turno B",""),"")),"")),"")),"")),"")),""))</f>
        <v>Turno B</v>
      </c>
      <c r="L1636" s="91">
        <f t="shared" si="25"/>
        <v>0.3125</v>
      </c>
    </row>
    <row r="1637" spans="1:12" s="40" customFormat="1">
      <c r="A1637">
        <v>15444116</v>
      </c>
      <c r="B1637" t="s">
        <v>1420</v>
      </c>
      <c r="C1637" t="s">
        <v>1421</v>
      </c>
      <c r="D1637" t="s">
        <v>1156</v>
      </c>
      <c r="E1637" t="s">
        <v>1439</v>
      </c>
      <c r="F1637" s="78">
        <v>0.95118055555555558</v>
      </c>
      <c r="G1637" t="s">
        <v>1406</v>
      </c>
      <c r="H1637" t="s">
        <v>1336</v>
      </c>
      <c r="I1637" s="88" t="str">
        <f>VLOOKUP(A1637,Base!A:B,2,0)</f>
        <v>15444116-6</v>
      </c>
      <c r="J1637" s="99" t="str">
        <f>VLOOKUP(A1637,Base!A:F,6,0)</f>
        <v>MANUEL  MAULEN   GUTIERREZ</v>
      </c>
      <c r="K1637" s="89" t="str">
        <f>IFERROR(IF(VLOOKUP(I1637,Ingreso!K:P,6,0)=0,"Sin turtno ing",VLOOKUP(I1637,Ingreso!K:P,6,0)),IF(F1637&gt;0.25,IF(F1637&lt;0.311805555555556,"Turno A",IF(F1637&gt;0.3125,IF(F1637&lt;0.354166666666667,"Turno C",IF(F1637&gt;0.583333333333333,IF(F1637&lt;0.625,"Turno B",IF(F1637&gt;0.625694444444444,IF(F1637&lt;0.8125,"Turno A",IF(F1637&gt;0.875,IF(F1637&lt;0.936805555555556,"Turno C",IF(F1637&gt;0.9375,IF(F1637&lt;0.979166666666667,"Turno B",""),"")),"")),"")),"")),"")),""))</f>
        <v>Turno B</v>
      </c>
      <c r="L1637" s="91">
        <f t="shared" si="25"/>
        <v>0.3125</v>
      </c>
    </row>
    <row r="1638" spans="1:12" s="40" customFormat="1">
      <c r="A1638">
        <v>15444116</v>
      </c>
      <c r="B1638" t="s">
        <v>1420</v>
      </c>
      <c r="C1638" t="s">
        <v>1421</v>
      </c>
      <c r="D1638" t="s">
        <v>1156</v>
      </c>
      <c r="E1638" t="s">
        <v>1439</v>
      </c>
      <c r="F1638" s="78">
        <v>0.60969907407407409</v>
      </c>
      <c r="G1638" t="s">
        <v>1405</v>
      </c>
      <c r="H1638" t="s">
        <v>1335</v>
      </c>
      <c r="I1638" s="88" t="str">
        <f>VLOOKUP(A1638,Base!A:B,2,0)</f>
        <v>15444116-6</v>
      </c>
      <c r="J1638" s="99" t="str">
        <f>VLOOKUP(A1638,Base!A:F,6,0)</f>
        <v>MANUEL  MAULEN   GUTIERREZ</v>
      </c>
      <c r="K1638" s="89" t="str">
        <f>IFERROR(IF(VLOOKUP(I1638,Ingreso!K:P,6,0)=0,"Sin turtno ing",VLOOKUP(I1638,Ingreso!K:P,6,0)),IF(F1638&gt;0.25,IF(F1638&lt;0.311805555555556,"Turno A",IF(F1638&gt;0.3125,IF(F1638&lt;0.354166666666667,"Turno C",IF(F1638&gt;0.583333333333333,IF(F1638&lt;0.625,"Turno B",IF(F1638&gt;0.625694444444444,IF(F1638&lt;0.8125,"Turno A",IF(F1638&gt;0.875,IF(F1638&lt;0.936805555555556,"Turno C",IF(F1638&gt;0.9375,IF(F1638&lt;0.979166666666667,"Turno B",""),"")),"")),"")),"")),"")),""))</f>
        <v>Turno B</v>
      </c>
      <c r="L1638" s="91">
        <f t="shared" si="25"/>
        <v>0.3125</v>
      </c>
    </row>
    <row r="1639" spans="1:12" s="40" customFormat="1">
      <c r="A1639">
        <v>15444698</v>
      </c>
      <c r="B1639" t="s">
        <v>864</v>
      </c>
      <c r="C1639" t="s">
        <v>862</v>
      </c>
      <c r="D1639" t="s">
        <v>863</v>
      </c>
      <c r="E1639" t="s">
        <v>1440</v>
      </c>
      <c r="F1639" s="78">
        <v>0.3157638888888889</v>
      </c>
      <c r="G1639" t="s">
        <v>1406</v>
      </c>
      <c r="H1639" t="s">
        <v>1336</v>
      </c>
      <c r="I1639" s="88" t="str">
        <f>VLOOKUP(A1639,Base!A:B,2,0)</f>
        <v>15.444.698-2</v>
      </c>
      <c r="J1639" s="99" t="str">
        <f>VLOOKUP(A1639,Base!A:F,6,0)</f>
        <v>MAURICIO ALEJANDRO  RETAMAL  ACUÑA</v>
      </c>
      <c r="K1639" s="89" t="str">
        <f>IFERROR(IF(VLOOKUP(I1639,Ingreso!K:P,6,0)=0,"Sin turtno ing",VLOOKUP(I1639,Ingreso!K:P,6,0)),IF(F1639&gt;0.25,IF(F1639&lt;0.311805555555556,"Turno A",IF(F1639&gt;0.3125,IF(F1639&lt;0.354166666666667,"Turno C",IF(F1639&gt;0.583333333333333,IF(F1639&lt;0.625,"Turno B",IF(F1639&gt;0.625694444444444,IF(F1639&lt;0.8125,"Turno A",IF(F1639&gt;0.875,IF(F1639&lt;0.936805555555556,"Turno C",IF(F1639&gt;0.9375,IF(F1639&lt;0.979166666666667,"Turno B",""),"")),"")),"")),"")),"")),""))</f>
        <v>Turno C</v>
      </c>
      <c r="L1639" s="91">
        <f t="shared" si="25"/>
        <v>0.375</v>
      </c>
    </row>
    <row r="1640" spans="1:12" s="40" customFormat="1">
      <c r="A1640">
        <v>15444698</v>
      </c>
      <c r="B1640" t="s">
        <v>864</v>
      </c>
      <c r="C1640" t="s">
        <v>862</v>
      </c>
      <c r="D1640" t="s">
        <v>863</v>
      </c>
      <c r="E1640" t="s">
        <v>1440</v>
      </c>
      <c r="F1640" s="78">
        <v>0.91950231481481481</v>
      </c>
      <c r="G1640" t="s">
        <v>1405</v>
      </c>
      <c r="H1640" t="s">
        <v>1335</v>
      </c>
      <c r="I1640" s="88" t="str">
        <f>VLOOKUP(A1640,Base!A:B,2,0)</f>
        <v>15.444.698-2</v>
      </c>
      <c r="J1640" s="99" t="str">
        <f>VLOOKUP(A1640,Base!A:F,6,0)</f>
        <v>MAURICIO ALEJANDRO  RETAMAL  ACUÑA</v>
      </c>
      <c r="K1640" s="89" t="str">
        <f>IFERROR(IF(VLOOKUP(I1640,Ingreso!K:P,6,0)=0,"Sin turtno ing",VLOOKUP(I1640,Ingreso!K:P,6,0)),IF(F1640&gt;0.25,IF(F1640&lt;0.311805555555556,"Turno A",IF(F1640&gt;0.3125,IF(F1640&lt;0.354166666666667,"Turno C",IF(F1640&gt;0.583333333333333,IF(F1640&lt;0.625,"Turno B",IF(F1640&gt;0.625694444444444,IF(F1640&lt;0.8125,"Turno A",IF(F1640&gt;0.875,IF(F1640&lt;0.936805555555556,"Turno C",IF(F1640&gt;0.9375,IF(F1640&lt;0.979166666666667,"Turno B",""),"")),"")),"")),"")),"")),""))</f>
        <v>Turno C</v>
      </c>
      <c r="L1640" s="91">
        <f t="shared" si="25"/>
        <v>0.375</v>
      </c>
    </row>
    <row r="1641" spans="1:12" s="40" customFormat="1">
      <c r="A1641">
        <v>15444698</v>
      </c>
      <c r="B1641" t="s">
        <v>864</v>
      </c>
      <c r="C1641" t="s">
        <v>862</v>
      </c>
      <c r="D1641" t="s">
        <v>863</v>
      </c>
      <c r="E1641" t="s">
        <v>1441</v>
      </c>
      <c r="F1641" s="78">
        <v>0.32096064814814812</v>
      </c>
      <c r="G1641" t="s">
        <v>1406</v>
      </c>
      <c r="H1641" t="s">
        <v>1336</v>
      </c>
      <c r="I1641" s="88" t="str">
        <f>VLOOKUP(A1641,Base!A:B,2,0)</f>
        <v>15.444.698-2</v>
      </c>
      <c r="J1641" s="99" t="str">
        <f>VLOOKUP(A1641,Base!A:F,6,0)</f>
        <v>MAURICIO ALEJANDRO  RETAMAL  ACUÑA</v>
      </c>
      <c r="K1641" s="89" t="str">
        <f>IFERROR(IF(VLOOKUP(I1641,Ingreso!K:P,6,0)=0,"Sin turtno ing",VLOOKUP(I1641,Ingreso!K:P,6,0)),IF(F1641&gt;0.25,IF(F1641&lt;0.311805555555556,"Turno A",IF(F1641&gt;0.3125,IF(F1641&lt;0.354166666666667,"Turno C",IF(F1641&gt;0.583333333333333,IF(F1641&lt;0.625,"Turno B",IF(F1641&gt;0.625694444444444,IF(F1641&lt;0.8125,"Turno A",IF(F1641&gt;0.875,IF(F1641&lt;0.936805555555556,"Turno C",IF(F1641&gt;0.9375,IF(F1641&lt;0.979166666666667,"Turno B",""),"")),"")),"")),"")),"")),""))</f>
        <v>Turno C</v>
      </c>
      <c r="L1641" s="91">
        <f t="shared" si="25"/>
        <v>0.375</v>
      </c>
    </row>
    <row r="1642" spans="1:12" s="40" customFormat="1">
      <c r="A1642">
        <v>15444698</v>
      </c>
      <c r="B1642" t="s">
        <v>864</v>
      </c>
      <c r="C1642" t="s">
        <v>862</v>
      </c>
      <c r="D1642" t="s">
        <v>863</v>
      </c>
      <c r="E1642" t="s">
        <v>1436</v>
      </c>
      <c r="F1642" s="78">
        <v>0.99324074074074076</v>
      </c>
      <c r="G1642" t="s">
        <v>1405</v>
      </c>
      <c r="H1642" t="s">
        <v>1335</v>
      </c>
      <c r="I1642" s="88" t="str">
        <f>VLOOKUP(A1642,Base!A:B,2,0)</f>
        <v>15.444.698-2</v>
      </c>
      <c r="J1642" s="99" t="str">
        <f>VLOOKUP(A1642,Base!A:F,6,0)</f>
        <v>MAURICIO ALEJANDRO  RETAMAL  ACUÑA</v>
      </c>
      <c r="K1642" s="89" t="str">
        <f>IFERROR(IF(VLOOKUP(I1642,Ingreso!K:P,6,0)=0,"Sin turtno ing",VLOOKUP(I1642,Ingreso!K:P,6,0)),IF(F1642&gt;0.25,IF(F1642&lt;0.311805555555556,"Turno A",IF(F1642&gt;0.3125,IF(F1642&lt;0.354166666666667,"Turno C",IF(F1642&gt;0.583333333333333,IF(F1642&lt;0.625,"Turno B",IF(F1642&gt;0.625694444444444,IF(F1642&lt;0.8125,"Turno A",IF(F1642&gt;0.875,IF(F1642&lt;0.936805555555556,"Turno C",IF(F1642&gt;0.9375,IF(F1642&lt;0.979166666666667,"Turno B",""),"")),"")),"")),"")),"")),""))</f>
        <v>Turno C</v>
      </c>
      <c r="L1642" s="91">
        <f t="shared" si="25"/>
        <v>0.375</v>
      </c>
    </row>
    <row r="1643" spans="1:12" s="40" customFormat="1">
      <c r="A1643">
        <v>15444698</v>
      </c>
      <c r="B1643" t="s">
        <v>864</v>
      </c>
      <c r="C1643" t="s">
        <v>862</v>
      </c>
      <c r="D1643" t="s">
        <v>863</v>
      </c>
      <c r="E1643" t="s">
        <v>1437</v>
      </c>
      <c r="F1643" s="78">
        <v>0.31362268518518516</v>
      </c>
      <c r="G1643" t="s">
        <v>1406</v>
      </c>
      <c r="H1643" t="s">
        <v>1336</v>
      </c>
      <c r="I1643" s="88" t="str">
        <f>VLOOKUP(A1643,Base!A:B,2,0)</f>
        <v>15.444.698-2</v>
      </c>
      <c r="J1643" s="99" t="str">
        <f>VLOOKUP(A1643,Base!A:F,6,0)</f>
        <v>MAURICIO ALEJANDRO  RETAMAL  ACUÑA</v>
      </c>
      <c r="K1643" s="89" t="str">
        <f>IFERROR(IF(VLOOKUP(I1643,Ingreso!K:P,6,0)=0,"Sin turtno ing",VLOOKUP(I1643,Ingreso!K:P,6,0)),IF(F1643&gt;0.25,IF(F1643&lt;0.311805555555556,"Turno A",IF(F1643&gt;0.3125,IF(F1643&lt;0.354166666666667,"Turno C",IF(F1643&gt;0.583333333333333,IF(F1643&lt;0.625,"Turno B",IF(F1643&gt;0.625694444444444,IF(F1643&lt;0.8125,"Turno A",IF(F1643&gt;0.875,IF(F1643&lt;0.936805555555556,"Turno C",IF(F1643&gt;0.9375,IF(F1643&lt;0.979166666666667,"Turno B",""),"")),"")),"")),"")),"")),""))</f>
        <v>Turno C</v>
      </c>
      <c r="L1643" s="91">
        <f t="shared" si="25"/>
        <v>0.375</v>
      </c>
    </row>
    <row r="1644" spans="1:12" s="40" customFormat="1">
      <c r="A1644">
        <v>15444698</v>
      </c>
      <c r="B1644" t="s">
        <v>864</v>
      </c>
      <c r="C1644" t="s">
        <v>862</v>
      </c>
      <c r="D1644" t="s">
        <v>863</v>
      </c>
      <c r="E1644" t="s">
        <v>1437</v>
      </c>
      <c r="F1644" s="78">
        <v>0.91959490740740746</v>
      </c>
      <c r="G1644" t="s">
        <v>1405</v>
      </c>
      <c r="H1644" t="s">
        <v>1335</v>
      </c>
      <c r="I1644" s="88" t="str">
        <f>VLOOKUP(A1644,Base!A:B,2,0)</f>
        <v>15.444.698-2</v>
      </c>
      <c r="J1644" s="99" t="str">
        <f>VLOOKUP(A1644,Base!A:F,6,0)</f>
        <v>MAURICIO ALEJANDRO  RETAMAL  ACUÑA</v>
      </c>
      <c r="K1644" s="89" t="str">
        <f>IFERROR(IF(VLOOKUP(I1644,Ingreso!K:P,6,0)=0,"Sin turtno ing",VLOOKUP(I1644,Ingreso!K:P,6,0)),IF(F1644&gt;0.25,IF(F1644&lt;0.311805555555556,"Turno A",IF(F1644&gt;0.3125,IF(F1644&lt;0.354166666666667,"Turno C",IF(F1644&gt;0.583333333333333,IF(F1644&lt;0.625,"Turno B",IF(F1644&gt;0.625694444444444,IF(F1644&lt;0.8125,"Turno A",IF(F1644&gt;0.875,IF(F1644&lt;0.936805555555556,"Turno C",IF(F1644&gt;0.9375,IF(F1644&lt;0.979166666666667,"Turno B",""),"")),"")),"")),"")),"")),""))</f>
        <v>Turno C</v>
      </c>
      <c r="L1644" s="91">
        <f t="shared" si="25"/>
        <v>0.375</v>
      </c>
    </row>
    <row r="1645" spans="1:12" s="40" customFormat="1">
      <c r="A1645">
        <v>15444698</v>
      </c>
      <c r="B1645" t="s">
        <v>864</v>
      </c>
      <c r="C1645" t="s">
        <v>862</v>
      </c>
      <c r="D1645" t="s">
        <v>863</v>
      </c>
      <c r="E1645" t="s">
        <v>1438</v>
      </c>
      <c r="F1645" s="78">
        <v>0.31618055555555552</v>
      </c>
      <c r="G1645" t="s">
        <v>1406</v>
      </c>
      <c r="H1645" t="s">
        <v>1336</v>
      </c>
      <c r="I1645" s="88" t="str">
        <f>VLOOKUP(A1645,Base!A:B,2,0)</f>
        <v>15.444.698-2</v>
      </c>
      <c r="J1645" s="99" t="str">
        <f>VLOOKUP(A1645,Base!A:F,6,0)</f>
        <v>MAURICIO ALEJANDRO  RETAMAL  ACUÑA</v>
      </c>
      <c r="K1645" s="89" t="str">
        <f>IFERROR(IF(VLOOKUP(I1645,Ingreso!K:P,6,0)=0,"Sin turtno ing",VLOOKUP(I1645,Ingreso!K:P,6,0)),IF(F1645&gt;0.25,IF(F1645&lt;0.311805555555556,"Turno A",IF(F1645&gt;0.3125,IF(F1645&lt;0.354166666666667,"Turno C",IF(F1645&gt;0.583333333333333,IF(F1645&lt;0.625,"Turno B",IF(F1645&gt;0.625694444444444,IF(F1645&lt;0.8125,"Turno A",IF(F1645&gt;0.875,IF(F1645&lt;0.936805555555556,"Turno C",IF(F1645&gt;0.9375,IF(F1645&lt;0.979166666666667,"Turno B",""),"")),"")),"")),"")),"")),""))</f>
        <v>Turno C</v>
      </c>
      <c r="L1645" s="91">
        <f t="shared" si="25"/>
        <v>0.375</v>
      </c>
    </row>
    <row r="1646" spans="1:12" s="40" customFormat="1">
      <c r="A1646">
        <v>15444698</v>
      </c>
      <c r="B1646" t="s">
        <v>864</v>
      </c>
      <c r="C1646" t="s">
        <v>862</v>
      </c>
      <c r="D1646" t="s">
        <v>863</v>
      </c>
      <c r="E1646" t="s">
        <v>1438</v>
      </c>
      <c r="F1646" s="78">
        <v>0.91984953703703709</v>
      </c>
      <c r="G1646" t="s">
        <v>1405</v>
      </c>
      <c r="H1646" t="s">
        <v>1335</v>
      </c>
      <c r="I1646" s="88" t="str">
        <f>VLOOKUP(A1646,Base!A:B,2,0)</f>
        <v>15.444.698-2</v>
      </c>
      <c r="J1646" s="99" t="str">
        <f>VLOOKUP(A1646,Base!A:F,6,0)</f>
        <v>MAURICIO ALEJANDRO  RETAMAL  ACUÑA</v>
      </c>
      <c r="K1646" s="89" t="str">
        <f>IFERROR(IF(VLOOKUP(I1646,Ingreso!K:P,6,0)=0,"Sin turtno ing",VLOOKUP(I1646,Ingreso!K:P,6,0)),IF(F1646&gt;0.25,IF(F1646&lt;0.311805555555556,"Turno A",IF(F1646&gt;0.3125,IF(F1646&lt;0.354166666666667,"Turno C",IF(F1646&gt;0.583333333333333,IF(F1646&lt;0.625,"Turno B",IF(F1646&gt;0.625694444444444,IF(F1646&lt;0.8125,"Turno A",IF(F1646&gt;0.875,IF(F1646&lt;0.936805555555556,"Turno C",IF(F1646&gt;0.9375,IF(F1646&lt;0.979166666666667,"Turno B",""),"")),"")),"")),"")),"")),""))</f>
        <v>Turno C</v>
      </c>
      <c r="L1646" s="91">
        <f t="shared" si="25"/>
        <v>0.375</v>
      </c>
    </row>
    <row r="1647" spans="1:12" s="40" customFormat="1">
      <c r="A1647">
        <v>15444698</v>
      </c>
      <c r="B1647" t="s">
        <v>864</v>
      </c>
      <c r="C1647" t="s">
        <v>862</v>
      </c>
      <c r="D1647" t="s">
        <v>863</v>
      </c>
      <c r="E1647" t="s">
        <v>1439</v>
      </c>
      <c r="F1647" s="78">
        <v>0.31131944444444443</v>
      </c>
      <c r="G1647" t="s">
        <v>1406</v>
      </c>
      <c r="H1647" t="s">
        <v>1336</v>
      </c>
      <c r="I1647" s="88" t="str">
        <f>VLOOKUP(A1647,Base!A:B,2,0)</f>
        <v>15.444.698-2</v>
      </c>
      <c r="J1647" s="99" t="str">
        <f>VLOOKUP(A1647,Base!A:F,6,0)</f>
        <v>MAURICIO ALEJANDRO  RETAMAL  ACUÑA</v>
      </c>
      <c r="K1647" s="89" t="str">
        <f>IFERROR(IF(VLOOKUP(I1647,Ingreso!K:P,6,0)=0,"Sin turtno ing",VLOOKUP(I1647,Ingreso!K:P,6,0)),IF(F1647&gt;0.25,IF(F1647&lt;0.311805555555556,"Turno A",IF(F1647&gt;0.3125,IF(F1647&lt;0.354166666666667,"Turno C",IF(F1647&gt;0.583333333333333,IF(F1647&lt;0.625,"Turno B",IF(F1647&gt;0.625694444444444,IF(F1647&lt;0.8125,"Turno A",IF(F1647&gt;0.875,IF(F1647&lt;0.936805555555556,"Turno C",IF(F1647&gt;0.9375,IF(F1647&lt;0.979166666666667,"Turno B",""),"")),"")),"")),"")),"")),""))</f>
        <v>Turno C</v>
      </c>
      <c r="L1647" s="91">
        <f t="shared" si="25"/>
        <v>0.375</v>
      </c>
    </row>
    <row r="1648" spans="1:12" s="40" customFormat="1">
      <c r="A1648">
        <v>15444698</v>
      </c>
      <c r="B1648" t="s">
        <v>864</v>
      </c>
      <c r="C1648" t="s">
        <v>862</v>
      </c>
      <c r="D1648" t="s">
        <v>863</v>
      </c>
      <c r="E1648" t="s">
        <v>1439</v>
      </c>
      <c r="F1648" s="78">
        <v>0.91909722222222223</v>
      </c>
      <c r="G1648" t="s">
        <v>1405</v>
      </c>
      <c r="H1648" t="s">
        <v>1335</v>
      </c>
      <c r="I1648" s="88" t="str">
        <f>VLOOKUP(A1648,Base!A:B,2,0)</f>
        <v>15.444.698-2</v>
      </c>
      <c r="J1648" s="99" t="str">
        <f>VLOOKUP(A1648,Base!A:F,6,0)</f>
        <v>MAURICIO ALEJANDRO  RETAMAL  ACUÑA</v>
      </c>
      <c r="K1648" s="89" t="str">
        <f>IFERROR(IF(VLOOKUP(I1648,Ingreso!K:P,6,0)=0,"Sin turtno ing",VLOOKUP(I1648,Ingreso!K:P,6,0)),IF(F1648&gt;0.25,IF(F1648&lt;0.311805555555556,"Turno A",IF(F1648&gt;0.3125,IF(F1648&lt;0.354166666666667,"Turno C",IF(F1648&gt;0.583333333333333,IF(F1648&lt;0.625,"Turno B",IF(F1648&gt;0.625694444444444,IF(F1648&lt;0.8125,"Turno A",IF(F1648&gt;0.875,IF(F1648&lt;0.936805555555556,"Turno C",IF(F1648&gt;0.9375,IF(F1648&lt;0.979166666666667,"Turno B",""),"")),"")),"")),"")),"")),""))</f>
        <v>Turno C</v>
      </c>
      <c r="L1648" s="91">
        <f t="shared" si="25"/>
        <v>0.375</v>
      </c>
    </row>
    <row r="1649" spans="1:12" s="40" customFormat="1">
      <c r="A1649">
        <v>15444951</v>
      </c>
      <c r="B1649" t="s">
        <v>820</v>
      </c>
      <c r="C1649" t="s">
        <v>814</v>
      </c>
      <c r="D1649" t="s">
        <v>114</v>
      </c>
      <c r="E1649" t="s">
        <v>1440</v>
      </c>
      <c r="F1649" s="78">
        <v>0.31695601851851851</v>
      </c>
      <c r="G1649" t="s">
        <v>1406</v>
      </c>
      <c r="H1649" t="s">
        <v>1336</v>
      </c>
      <c r="I1649" s="88" t="str">
        <f>VLOOKUP(A1649,Base!A:B,2,0)</f>
        <v>15.444.951-5</v>
      </c>
      <c r="J1649" s="99" t="str">
        <f>VLOOKUP(A1649,Base!A:F,6,0)</f>
        <v>MIGUEL ANTONIO  PLAZA  ARAYA</v>
      </c>
      <c r="K1649" s="89" t="str">
        <f>IFERROR(IF(VLOOKUP(I1649,Ingreso!K:P,6,0)=0,"Sin turtno ing",VLOOKUP(I1649,Ingreso!K:P,6,0)),IF(F1649&gt;0.25,IF(F1649&lt;0.311805555555556,"Turno A",IF(F1649&gt;0.3125,IF(F1649&lt;0.354166666666667,"Turno C",IF(F1649&gt;0.583333333333333,IF(F1649&lt;0.625,"Turno B",IF(F1649&gt;0.625694444444444,IF(F1649&lt;0.8125,"Turno A",IF(F1649&gt;0.875,IF(F1649&lt;0.936805555555556,"Turno C",IF(F1649&gt;0.9375,IF(F1649&lt;0.979166666666667,"Turno B",""),"")),"")),"")),"")),"")),""))</f>
        <v>Turno C</v>
      </c>
      <c r="L1649" s="91">
        <f t="shared" si="25"/>
        <v>0.375</v>
      </c>
    </row>
    <row r="1650" spans="1:12" s="40" customFormat="1">
      <c r="A1650">
        <v>15444951</v>
      </c>
      <c r="B1650" t="s">
        <v>820</v>
      </c>
      <c r="C1650" t="s">
        <v>814</v>
      </c>
      <c r="D1650" t="s">
        <v>114</v>
      </c>
      <c r="E1650" t="s">
        <v>1440</v>
      </c>
      <c r="F1650" s="78">
        <v>0.92644675925925923</v>
      </c>
      <c r="G1650" t="s">
        <v>1405</v>
      </c>
      <c r="H1650" t="s">
        <v>1335</v>
      </c>
      <c r="I1650" s="88" t="str">
        <f>VLOOKUP(A1650,Base!A:B,2,0)</f>
        <v>15.444.951-5</v>
      </c>
      <c r="J1650" s="99" t="str">
        <f>VLOOKUP(A1650,Base!A:F,6,0)</f>
        <v>MIGUEL ANTONIO  PLAZA  ARAYA</v>
      </c>
      <c r="K1650" s="89" t="str">
        <f>IFERROR(IF(VLOOKUP(I1650,Ingreso!K:P,6,0)=0,"Sin turtno ing",VLOOKUP(I1650,Ingreso!K:P,6,0)),IF(F1650&gt;0.25,IF(F1650&lt;0.311805555555556,"Turno A",IF(F1650&gt;0.3125,IF(F1650&lt;0.354166666666667,"Turno C",IF(F1650&gt;0.583333333333333,IF(F1650&lt;0.625,"Turno B",IF(F1650&gt;0.625694444444444,IF(F1650&lt;0.8125,"Turno A",IF(F1650&gt;0.875,IF(F1650&lt;0.936805555555556,"Turno C",IF(F1650&gt;0.9375,IF(F1650&lt;0.979166666666667,"Turno B",""),"")),"")),"")),"")),"")),""))</f>
        <v>Turno C</v>
      </c>
      <c r="L1650" s="91">
        <f t="shared" si="25"/>
        <v>0.375</v>
      </c>
    </row>
    <row r="1651" spans="1:12" s="40" customFormat="1">
      <c r="A1651">
        <v>15444951</v>
      </c>
      <c r="B1651" t="s">
        <v>820</v>
      </c>
      <c r="C1651" t="s">
        <v>814</v>
      </c>
      <c r="D1651" t="s">
        <v>114</v>
      </c>
      <c r="E1651" t="s">
        <v>1441</v>
      </c>
      <c r="F1651" s="78">
        <v>0.31934027777777779</v>
      </c>
      <c r="G1651" t="s">
        <v>1406</v>
      </c>
      <c r="H1651" t="s">
        <v>1336</v>
      </c>
      <c r="I1651" s="88" t="str">
        <f>VLOOKUP(A1651,Base!A:B,2,0)</f>
        <v>15.444.951-5</v>
      </c>
      <c r="J1651" s="99" t="str">
        <f>VLOOKUP(A1651,Base!A:F,6,0)</f>
        <v>MIGUEL ANTONIO  PLAZA  ARAYA</v>
      </c>
      <c r="K1651" s="89" t="str">
        <f>IFERROR(IF(VLOOKUP(I1651,Ingreso!K:P,6,0)=0,"Sin turtno ing",VLOOKUP(I1651,Ingreso!K:P,6,0)),IF(F1651&gt;0.25,IF(F1651&lt;0.311805555555556,"Turno A",IF(F1651&gt;0.3125,IF(F1651&lt;0.354166666666667,"Turno C",IF(F1651&gt;0.583333333333333,IF(F1651&lt;0.625,"Turno B",IF(F1651&gt;0.625694444444444,IF(F1651&lt;0.8125,"Turno A",IF(F1651&gt;0.875,IF(F1651&lt;0.936805555555556,"Turno C",IF(F1651&gt;0.9375,IF(F1651&lt;0.979166666666667,"Turno B",""),"")),"")),"")),"")),"")),""))</f>
        <v>Turno C</v>
      </c>
      <c r="L1651" s="91">
        <f t="shared" si="25"/>
        <v>0.375</v>
      </c>
    </row>
    <row r="1652" spans="1:12" s="40" customFormat="1">
      <c r="A1652">
        <v>15444951</v>
      </c>
      <c r="B1652" t="s">
        <v>820</v>
      </c>
      <c r="C1652" t="s">
        <v>814</v>
      </c>
      <c r="D1652" t="s">
        <v>114</v>
      </c>
      <c r="E1652" t="s">
        <v>1437</v>
      </c>
      <c r="F1652" s="78">
        <v>0.92761574074074071</v>
      </c>
      <c r="G1652" t="s">
        <v>1405</v>
      </c>
      <c r="H1652" t="s">
        <v>1335</v>
      </c>
      <c r="I1652" s="88" t="str">
        <f>VLOOKUP(A1652,Base!A:B,2,0)</f>
        <v>15.444.951-5</v>
      </c>
      <c r="J1652" s="99" t="str">
        <f>VLOOKUP(A1652,Base!A:F,6,0)</f>
        <v>MIGUEL ANTONIO  PLAZA  ARAYA</v>
      </c>
      <c r="K1652" s="89" t="str">
        <f>IFERROR(IF(VLOOKUP(I1652,Ingreso!K:P,6,0)=0,"Sin turtno ing",VLOOKUP(I1652,Ingreso!K:P,6,0)),IF(F1652&gt;0.25,IF(F1652&lt;0.311805555555556,"Turno A",IF(F1652&gt;0.3125,IF(F1652&lt;0.354166666666667,"Turno C",IF(F1652&gt;0.583333333333333,IF(F1652&lt;0.625,"Turno B",IF(F1652&gt;0.625694444444444,IF(F1652&lt;0.8125,"Turno A",IF(F1652&gt;0.875,IF(F1652&lt;0.936805555555556,"Turno C",IF(F1652&gt;0.9375,IF(F1652&lt;0.979166666666667,"Turno B",""),"")),"")),"")),"")),"")),""))</f>
        <v>Turno C</v>
      </c>
      <c r="L1652" s="91">
        <f t="shared" si="25"/>
        <v>0.375</v>
      </c>
    </row>
    <row r="1653" spans="1:12" s="40" customFormat="1">
      <c r="A1653">
        <v>15444951</v>
      </c>
      <c r="B1653" t="s">
        <v>820</v>
      </c>
      <c r="C1653" t="s">
        <v>814</v>
      </c>
      <c r="D1653" t="s">
        <v>114</v>
      </c>
      <c r="E1653" t="s">
        <v>1438</v>
      </c>
      <c r="F1653" s="78">
        <v>0.32932870370370371</v>
      </c>
      <c r="G1653" t="s">
        <v>1406</v>
      </c>
      <c r="H1653" t="s">
        <v>1336</v>
      </c>
      <c r="I1653" s="88" t="str">
        <f>VLOOKUP(A1653,Base!A:B,2,0)</f>
        <v>15.444.951-5</v>
      </c>
      <c r="J1653" s="99" t="str">
        <f>VLOOKUP(A1653,Base!A:F,6,0)</f>
        <v>MIGUEL ANTONIO  PLAZA  ARAYA</v>
      </c>
      <c r="K1653" s="89" t="str">
        <f>IFERROR(IF(VLOOKUP(I1653,Ingreso!K:P,6,0)=0,"Sin turtno ing",VLOOKUP(I1653,Ingreso!K:P,6,0)),IF(F1653&gt;0.25,IF(F1653&lt;0.311805555555556,"Turno A",IF(F1653&gt;0.3125,IF(F1653&lt;0.354166666666667,"Turno C",IF(F1653&gt;0.583333333333333,IF(F1653&lt;0.625,"Turno B",IF(F1653&gt;0.625694444444444,IF(F1653&lt;0.8125,"Turno A",IF(F1653&gt;0.875,IF(F1653&lt;0.936805555555556,"Turno C",IF(F1653&gt;0.9375,IF(F1653&lt;0.979166666666667,"Turno B",""),"")),"")),"")),"")),"")),""))</f>
        <v>Turno C</v>
      </c>
      <c r="L1653" s="91">
        <f t="shared" si="25"/>
        <v>0.375</v>
      </c>
    </row>
    <row r="1654" spans="1:12" s="40" customFormat="1">
      <c r="A1654">
        <v>15444951</v>
      </c>
      <c r="B1654" t="s">
        <v>820</v>
      </c>
      <c r="C1654" t="s">
        <v>814</v>
      </c>
      <c r="D1654" t="s">
        <v>114</v>
      </c>
      <c r="E1654" t="s">
        <v>1438</v>
      </c>
      <c r="F1654" s="78">
        <v>0.93575231481481491</v>
      </c>
      <c r="G1654" t="s">
        <v>1405</v>
      </c>
      <c r="H1654" t="s">
        <v>1335</v>
      </c>
      <c r="I1654" s="88" t="str">
        <f>VLOOKUP(A1654,Base!A:B,2,0)</f>
        <v>15.444.951-5</v>
      </c>
      <c r="J1654" s="99" t="str">
        <f>VLOOKUP(A1654,Base!A:F,6,0)</f>
        <v>MIGUEL ANTONIO  PLAZA  ARAYA</v>
      </c>
      <c r="K1654" s="89" t="str">
        <f>IFERROR(IF(VLOOKUP(I1654,Ingreso!K:P,6,0)=0,"Sin turtno ing",VLOOKUP(I1654,Ingreso!K:P,6,0)),IF(F1654&gt;0.25,IF(F1654&lt;0.311805555555556,"Turno A",IF(F1654&gt;0.3125,IF(F1654&lt;0.354166666666667,"Turno C",IF(F1654&gt;0.583333333333333,IF(F1654&lt;0.625,"Turno B",IF(F1654&gt;0.625694444444444,IF(F1654&lt;0.8125,"Turno A",IF(F1654&gt;0.875,IF(F1654&lt;0.936805555555556,"Turno C",IF(F1654&gt;0.9375,IF(F1654&lt;0.979166666666667,"Turno B",""),"")),"")),"")),"")),"")),""))</f>
        <v>Turno C</v>
      </c>
      <c r="L1654" s="91">
        <f t="shared" si="25"/>
        <v>0.375</v>
      </c>
    </row>
    <row r="1655" spans="1:12" s="40" customFormat="1">
      <c r="A1655">
        <v>15444951</v>
      </c>
      <c r="B1655" t="s">
        <v>820</v>
      </c>
      <c r="C1655" t="s">
        <v>814</v>
      </c>
      <c r="D1655" t="s">
        <v>114</v>
      </c>
      <c r="E1655" t="s">
        <v>1439</v>
      </c>
      <c r="F1655" s="78">
        <v>0.33612268518518523</v>
      </c>
      <c r="G1655" t="s">
        <v>1406</v>
      </c>
      <c r="H1655" t="s">
        <v>1336</v>
      </c>
      <c r="I1655" s="88" t="str">
        <f>VLOOKUP(A1655,Base!A:B,2,0)</f>
        <v>15.444.951-5</v>
      </c>
      <c r="J1655" s="99" t="str">
        <f>VLOOKUP(A1655,Base!A:F,6,0)</f>
        <v>MIGUEL ANTONIO  PLAZA  ARAYA</v>
      </c>
      <c r="K1655" s="89" t="str">
        <f>IFERROR(IF(VLOOKUP(I1655,Ingreso!K:P,6,0)=0,"Sin turtno ing",VLOOKUP(I1655,Ingreso!K:P,6,0)),IF(F1655&gt;0.25,IF(F1655&lt;0.311805555555556,"Turno A",IF(F1655&gt;0.3125,IF(F1655&lt;0.354166666666667,"Turno C",IF(F1655&gt;0.583333333333333,IF(F1655&lt;0.625,"Turno B",IF(F1655&gt;0.625694444444444,IF(F1655&lt;0.8125,"Turno A",IF(F1655&gt;0.875,IF(F1655&lt;0.936805555555556,"Turno C",IF(F1655&gt;0.9375,IF(F1655&lt;0.979166666666667,"Turno B",""),"")),"")),"")),"")),"")),""))</f>
        <v>Turno C</v>
      </c>
      <c r="L1655" s="91">
        <f t="shared" si="25"/>
        <v>0.375</v>
      </c>
    </row>
    <row r="1656" spans="1:12" s="40" customFormat="1">
      <c r="A1656">
        <v>15444951</v>
      </c>
      <c r="B1656" t="s">
        <v>820</v>
      </c>
      <c r="C1656" t="s">
        <v>814</v>
      </c>
      <c r="D1656" t="s">
        <v>114</v>
      </c>
      <c r="E1656" t="s">
        <v>1439</v>
      </c>
      <c r="F1656" s="78">
        <v>0.94243055555555555</v>
      </c>
      <c r="G1656" t="s">
        <v>1405</v>
      </c>
      <c r="H1656" t="s">
        <v>1335</v>
      </c>
      <c r="I1656" s="88" t="str">
        <f>VLOOKUP(A1656,Base!A:B,2,0)</f>
        <v>15.444.951-5</v>
      </c>
      <c r="J1656" s="99" t="str">
        <f>VLOOKUP(A1656,Base!A:F,6,0)</f>
        <v>MIGUEL ANTONIO  PLAZA  ARAYA</v>
      </c>
      <c r="K1656" s="89" t="str">
        <f>IFERROR(IF(VLOOKUP(I1656,Ingreso!K:P,6,0)=0,"Sin turtno ing",VLOOKUP(I1656,Ingreso!K:P,6,0)),IF(F1656&gt;0.25,IF(F1656&lt;0.311805555555556,"Turno A",IF(F1656&gt;0.3125,IF(F1656&lt;0.354166666666667,"Turno C",IF(F1656&gt;0.583333333333333,IF(F1656&lt;0.625,"Turno B",IF(F1656&gt;0.625694444444444,IF(F1656&lt;0.8125,"Turno A",IF(F1656&gt;0.875,IF(F1656&lt;0.936805555555556,"Turno C",IF(F1656&gt;0.9375,IF(F1656&lt;0.979166666666667,"Turno B",""),"")),"")),"")),"")),"")),""))</f>
        <v>Turno C</v>
      </c>
      <c r="L1656" s="91">
        <f t="shared" si="25"/>
        <v>0.375</v>
      </c>
    </row>
    <row r="1657" spans="1:12" s="40" customFormat="1">
      <c r="A1657">
        <v>15445100</v>
      </c>
      <c r="B1657" t="s">
        <v>749</v>
      </c>
      <c r="C1657" t="s">
        <v>1175</v>
      </c>
      <c r="D1657" t="s">
        <v>595</v>
      </c>
      <c r="E1657" t="s">
        <v>1440</v>
      </c>
      <c r="F1657" s="78">
        <v>0.32412037037037039</v>
      </c>
      <c r="G1657" t="s">
        <v>1406</v>
      </c>
      <c r="H1657" t="s">
        <v>1336</v>
      </c>
      <c r="I1657" s="88" t="str">
        <f>VLOOKUP(A1657,Base!A:B,2,0)</f>
        <v>15.445.100-5</v>
      </c>
      <c r="J1657" s="99" t="str">
        <f>VLOOKUP(A1657,Base!A:F,6,0)</f>
        <v>FELIPE ANDRES  MACAYA  MOSCOSO</v>
      </c>
      <c r="K1657" s="89" t="str">
        <f>IFERROR(IF(VLOOKUP(I1657,Ingreso!K:P,6,0)=0,"Sin turtno ing",VLOOKUP(I1657,Ingreso!K:P,6,0)),IF(F1657&gt;0.25,IF(F1657&lt;0.311805555555556,"Turno A",IF(F1657&gt;0.3125,IF(F1657&lt;0.354166666666667,"Turno C",IF(F1657&gt;0.583333333333333,IF(F1657&lt;0.625,"Turno B",IF(F1657&gt;0.625694444444444,IF(F1657&lt;0.8125,"Turno A",IF(F1657&gt;0.875,IF(F1657&lt;0.936805555555556,"Turno C",IF(F1657&gt;0.9375,IF(F1657&lt;0.979166666666667,"Turno B",""),"")),"")),"")),"")),"")),""))</f>
        <v>Turno C</v>
      </c>
      <c r="L1657" s="91">
        <f t="shared" si="25"/>
        <v>0.375</v>
      </c>
    </row>
    <row r="1658" spans="1:12" s="40" customFormat="1">
      <c r="A1658">
        <v>15445100</v>
      </c>
      <c r="B1658" t="s">
        <v>749</v>
      </c>
      <c r="C1658" t="s">
        <v>1175</v>
      </c>
      <c r="D1658" t="s">
        <v>595</v>
      </c>
      <c r="E1658" t="s">
        <v>1440</v>
      </c>
      <c r="F1658" s="78">
        <v>0.9194444444444444</v>
      </c>
      <c r="G1658" t="s">
        <v>1405</v>
      </c>
      <c r="H1658" t="s">
        <v>1335</v>
      </c>
      <c r="I1658" s="88" t="str">
        <f>VLOOKUP(A1658,Base!A:B,2,0)</f>
        <v>15.445.100-5</v>
      </c>
      <c r="J1658" s="99" t="str">
        <f>VLOOKUP(A1658,Base!A:F,6,0)</f>
        <v>FELIPE ANDRES  MACAYA  MOSCOSO</v>
      </c>
      <c r="K1658" s="89" t="str">
        <f>IFERROR(IF(VLOOKUP(I1658,Ingreso!K:P,6,0)=0,"Sin turtno ing",VLOOKUP(I1658,Ingreso!K:P,6,0)),IF(F1658&gt;0.25,IF(F1658&lt;0.311805555555556,"Turno A",IF(F1658&gt;0.3125,IF(F1658&lt;0.354166666666667,"Turno C",IF(F1658&gt;0.583333333333333,IF(F1658&lt;0.625,"Turno B",IF(F1658&gt;0.625694444444444,IF(F1658&lt;0.8125,"Turno A",IF(F1658&gt;0.875,IF(F1658&lt;0.936805555555556,"Turno C",IF(F1658&gt;0.9375,IF(F1658&lt;0.979166666666667,"Turno B",""),"")),"")),"")),"")),"")),""))</f>
        <v>Turno C</v>
      </c>
      <c r="L1658" s="91">
        <f t="shared" si="25"/>
        <v>0.375</v>
      </c>
    </row>
    <row r="1659" spans="1:12" s="40" customFormat="1">
      <c r="A1659">
        <v>15445100</v>
      </c>
      <c r="B1659" t="s">
        <v>749</v>
      </c>
      <c r="C1659" t="s">
        <v>1175</v>
      </c>
      <c r="D1659" t="s">
        <v>595</v>
      </c>
      <c r="E1659" t="s">
        <v>1441</v>
      </c>
      <c r="F1659" s="78">
        <v>0.32774305555555555</v>
      </c>
      <c r="G1659" t="s">
        <v>1406</v>
      </c>
      <c r="H1659" t="s">
        <v>1336</v>
      </c>
      <c r="I1659" s="88" t="str">
        <f>VLOOKUP(A1659,Base!A:B,2,0)</f>
        <v>15.445.100-5</v>
      </c>
      <c r="J1659" s="99" t="str">
        <f>VLOOKUP(A1659,Base!A:F,6,0)</f>
        <v>FELIPE ANDRES  MACAYA  MOSCOSO</v>
      </c>
      <c r="K1659" s="89" t="str">
        <f>IFERROR(IF(VLOOKUP(I1659,Ingreso!K:P,6,0)=0,"Sin turtno ing",VLOOKUP(I1659,Ingreso!K:P,6,0)),IF(F1659&gt;0.25,IF(F1659&lt;0.311805555555556,"Turno A",IF(F1659&gt;0.3125,IF(F1659&lt;0.354166666666667,"Turno C",IF(F1659&gt;0.583333333333333,IF(F1659&lt;0.625,"Turno B",IF(F1659&gt;0.625694444444444,IF(F1659&lt;0.8125,"Turno A",IF(F1659&gt;0.875,IF(F1659&lt;0.936805555555556,"Turno C",IF(F1659&gt;0.9375,IF(F1659&lt;0.979166666666667,"Turno B",""),"")),"")),"")),"")),"")),""))</f>
        <v>Turno C</v>
      </c>
      <c r="L1659" s="91">
        <f t="shared" si="25"/>
        <v>0.375</v>
      </c>
    </row>
    <row r="1660" spans="1:12" s="40" customFormat="1">
      <c r="A1660">
        <v>15445100</v>
      </c>
      <c r="B1660" t="s">
        <v>749</v>
      </c>
      <c r="C1660" t="s">
        <v>1175</v>
      </c>
      <c r="D1660" t="s">
        <v>595</v>
      </c>
      <c r="E1660" t="s">
        <v>1437</v>
      </c>
      <c r="F1660" s="78">
        <v>0.91967592592592595</v>
      </c>
      <c r="G1660" t="s">
        <v>1405</v>
      </c>
      <c r="H1660" t="s">
        <v>1335</v>
      </c>
      <c r="I1660" s="88" t="str">
        <f>VLOOKUP(A1660,Base!A:B,2,0)</f>
        <v>15.445.100-5</v>
      </c>
      <c r="J1660" s="99" t="str">
        <f>VLOOKUP(A1660,Base!A:F,6,0)</f>
        <v>FELIPE ANDRES  MACAYA  MOSCOSO</v>
      </c>
      <c r="K1660" s="89" t="str">
        <f>IFERROR(IF(VLOOKUP(I1660,Ingreso!K:P,6,0)=0,"Sin turtno ing",VLOOKUP(I1660,Ingreso!K:P,6,0)),IF(F1660&gt;0.25,IF(F1660&lt;0.311805555555556,"Turno A",IF(F1660&gt;0.3125,IF(F1660&lt;0.354166666666667,"Turno C",IF(F1660&gt;0.583333333333333,IF(F1660&lt;0.625,"Turno B",IF(F1660&gt;0.625694444444444,IF(F1660&lt;0.8125,"Turno A",IF(F1660&gt;0.875,IF(F1660&lt;0.936805555555556,"Turno C",IF(F1660&gt;0.9375,IF(F1660&lt;0.979166666666667,"Turno B",""),"")),"")),"")),"")),"")),""))</f>
        <v>Turno C</v>
      </c>
      <c r="L1660" s="91">
        <f t="shared" si="25"/>
        <v>0.375</v>
      </c>
    </row>
    <row r="1661" spans="1:12" s="40" customFormat="1">
      <c r="A1661">
        <v>15445100</v>
      </c>
      <c r="B1661" t="s">
        <v>749</v>
      </c>
      <c r="C1661" t="s">
        <v>1175</v>
      </c>
      <c r="D1661" t="s">
        <v>595</v>
      </c>
      <c r="E1661" t="s">
        <v>1438</v>
      </c>
      <c r="F1661" s="78">
        <v>0.32265046296296296</v>
      </c>
      <c r="G1661" t="s">
        <v>1406</v>
      </c>
      <c r="H1661" t="s">
        <v>1336</v>
      </c>
      <c r="I1661" s="88" t="str">
        <f>VLOOKUP(A1661,Base!A:B,2,0)</f>
        <v>15.445.100-5</v>
      </c>
      <c r="J1661" s="99" t="str">
        <f>VLOOKUP(A1661,Base!A:F,6,0)</f>
        <v>FELIPE ANDRES  MACAYA  MOSCOSO</v>
      </c>
      <c r="K1661" s="89" t="str">
        <f>IFERROR(IF(VLOOKUP(I1661,Ingreso!K:P,6,0)=0,"Sin turtno ing",VLOOKUP(I1661,Ingreso!K:P,6,0)),IF(F1661&gt;0.25,IF(F1661&lt;0.311805555555556,"Turno A",IF(F1661&gt;0.3125,IF(F1661&lt;0.354166666666667,"Turno C",IF(F1661&gt;0.583333333333333,IF(F1661&lt;0.625,"Turno B",IF(F1661&gt;0.625694444444444,IF(F1661&lt;0.8125,"Turno A",IF(F1661&gt;0.875,IF(F1661&lt;0.936805555555556,"Turno C",IF(F1661&gt;0.9375,IF(F1661&lt;0.979166666666667,"Turno B",""),"")),"")),"")),"")),"")),""))</f>
        <v>Turno C</v>
      </c>
      <c r="L1661" s="91">
        <f t="shared" si="25"/>
        <v>0.375</v>
      </c>
    </row>
    <row r="1662" spans="1:12" s="40" customFormat="1">
      <c r="A1662">
        <v>15445100</v>
      </c>
      <c r="B1662" t="s">
        <v>749</v>
      </c>
      <c r="C1662" t="s">
        <v>1175</v>
      </c>
      <c r="D1662" t="s">
        <v>595</v>
      </c>
      <c r="E1662" t="s">
        <v>1438</v>
      </c>
      <c r="F1662" s="78">
        <v>0.92971064814814808</v>
      </c>
      <c r="G1662" t="s">
        <v>1405</v>
      </c>
      <c r="H1662" t="s">
        <v>1335</v>
      </c>
      <c r="I1662" s="88" t="str">
        <f>VLOOKUP(A1662,Base!A:B,2,0)</f>
        <v>15.445.100-5</v>
      </c>
      <c r="J1662" s="99" t="str">
        <f>VLOOKUP(A1662,Base!A:F,6,0)</f>
        <v>FELIPE ANDRES  MACAYA  MOSCOSO</v>
      </c>
      <c r="K1662" s="89" t="str">
        <f>IFERROR(IF(VLOOKUP(I1662,Ingreso!K:P,6,0)=0,"Sin turtno ing",VLOOKUP(I1662,Ingreso!K:P,6,0)),IF(F1662&gt;0.25,IF(F1662&lt;0.311805555555556,"Turno A",IF(F1662&gt;0.3125,IF(F1662&lt;0.354166666666667,"Turno C",IF(F1662&gt;0.583333333333333,IF(F1662&lt;0.625,"Turno B",IF(F1662&gt;0.625694444444444,IF(F1662&lt;0.8125,"Turno A",IF(F1662&gt;0.875,IF(F1662&lt;0.936805555555556,"Turno C",IF(F1662&gt;0.9375,IF(F1662&lt;0.979166666666667,"Turno B",""),"")),"")),"")),"")),"")),""))</f>
        <v>Turno C</v>
      </c>
      <c r="L1662" s="91">
        <f t="shared" si="25"/>
        <v>0.375</v>
      </c>
    </row>
    <row r="1663" spans="1:12" s="40" customFormat="1">
      <c r="A1663">
        <v>15445100</v>
      </c>
      <c r="B1663" t="s">
        <v>749</v>
      </c>
      <c r="C1663" t="s">
        <v>1175</v>
      </c>
      <c r="D1663" t="s">
        <v>595</v>
      </c>
      <c r="E1663" t="s">
        <v>1439</v>
      </c>
      <c r="F1663" s="78">
        <v>0.32878472222222221</v>
      </c>
      <c r="G1663" t="s">
        <v>1406</v>
      </c>
      <c r="H1663" t="s">
        <v>1336</v>
      </c>
      <c r="I1663" s="88" t="str">
        <f>VLOOKUP(A1663,Base!A:B,2,0)</f>
        <v>15.445.100-5</v>
      </c>
      <c r="J1663" s="99" t="str">
        <f>VLOOKUP(A1663,Base!A:F,6,0)</f>
        <v>FELIPE ANDRES  MACAYA  MOSCOSO</v>
      </c>
      <c r="K1663" s="89" t="str">
        <f>IFERROR(IF(VLOOKUP(I1663,Ingreso!K:P,6,0)=0,"Sin turtno ing",VLOOKUP(I1663,Ingreso!K:P,6,0)),IF(F1663&gt;0.25,IF(F1663&lt;0.311805555555556,"Turno A",IF(F1663&gt;0.3125,IF(F1663&lt;0.354166666666667,"Turno C",IF(F1663&gt;0.583333333333333,IF(F1663&lt;0.625,"Turno B",IF(F1663&gt;0.625694444444444,IF(F1663&lt;0.8125,"Turno A",IF(F1663&gt;0.875,IF(F1663&lt;0.936805555555556,"Turno C",IF(F1663&gt;0.9375,IF(F1663&lt;0.979166666666667,"Turno B",""),"")),"")),"")),"")),"")),""))</f>
        <v>Turno C</v>
      </c>
      <c r="L1663" s="91">
        <f t="shared" si="25"/>
        <v>0.375</v>
      </c>
    </row>
    <row r="1664" spans="1:12" s="40" customFormat="1">
      <c r="A1664">
        <v>15445100</v>
      </c>
      <c r="B1664" t="s">
        <v>749</v>
      </c>
      <c r="C1664" t="s">
        <v>1175</v>
      </c>
      <c r="D1664" t="s">
        <v>595</v>
      </c>
      <c r="E1664" t="s">
        <v>1439</v>
      </c>
      <c r="F1664" s="78">
        <v>0.92045138888888889</v>
      </c>
      <c r="G1664" t="s">
        <v>1405</v>
      </c>
      <c r="H1664" t="s">
        <v>1335</v>
      </c>
      <c r="I1664" s="88" t="str">
        <f>VLOOKUP(A1664,Base!A:B,2,0)</f>
        <v>15.445.100-5</v>
      </c>
      <c r="J1664" s="99" t="str">
        <f>VLOOKUP(A1664,Base!A:F,6,0)</f>
        <v>FELIPE ANDRES  MACAYA  MOSCOSO</v>
      </c>
      <c r="K1664" s="89" t="str">
        <f>IFERROR(IF(VLOOKUP(I1664,Ingreso!K:P,6,0)=0,"Sin turtno ing",VLOOKUP(I1664,Ingreso!K:P,6,0)),IF(F1664&gt;0.25,IF(F1664&lt;0.311805555555556,"Turno A",IF(F1664&gt;0.3125,IF(F1664&lt;0.354166666666667,"Turno C",IF(F1664&gt;0.583333333333333,IF(F1664&lt;0.625,"Turno B",IF(F1664&gt;0.625694444444444,IF(F1664&lt;0.8125,"Turno A",IF(F1664&gt;0.875,IF(F1664&lt;0.936805555555556,"Turno C",IF(F1664&gt;0.9375,IF(F1664&lt;0.979166666666667,"Turno B",""),"")),"")),"")),"")),"")),""))</f>
        <v>Turno C</v>
      </c>
      <c r="L1664" s="91">
        <f t="shared" si="25"/>
        <v>0.375</v>
      </c>
    </row>
    <row r="1665" spans="1:12" s="40" customFormat="1">
      <c r="A1665">
        <v>15449281</v>
      </c>
      <c r="B1665" t="s">
        <v>1151</v>
      </c>
      <c r="C1665" t="s">
        <v>343</v>
      </c>
      <c r="D1665" t="s">
        <v>765</v>
      </c>
      <c r="E1665" t="s">
        <v>1440</v>
      </c>
      <c r="F1665" s="78">
        <v>0.71197916666666661</v>
      </c>
      <c r="G1665" t="s">
        <v>1406</v>
      </c>
      <c r="H1665" t="s">
        <v>1336</v>
      </c>
      <c r="I1665" s="88" t="str">
        <f>VLOOKUP(A1665,Base!A:B,2,0)</f>
        <v>15.449.281-K</v>
      </c>
      <c r="J1665" s="99" t="str">
        <f>VLOOKUP(A1665,Base!A:F,6,0)</f>
        <v>ROBERTO FABIAN  DURAN  MIRANDA</v>
      </c>
      <c r="K1665" s="89" t="str">
        <f>IFERROR(IF(VLOOKUP(I1665,Ingreso!K:P,6,0)=0,"Sin turtno ing",VLOOKUP(I1665,Ingreso!K:P,6,0)),IF(F1665&gt;0.25,IF(F1665&lt;0.311805555555556,"Turno A",IF(F1665&gt;0.3125,IF(F1665&lt;0.354166666666667,"Turno C",IF(F1665&gt;0.583333333333333,IF(F1665&lt;0.625,"Turno B",IF(F1665&gt;0.625694444444444,IF(F1665&lt;0.8125,"Turno A",IF(F1665&gt;0.875,IF(F1665&lt;0.936805555555556,"Turno C",IF(F1665&gt;0.9375,IF(F1665&lt;0.979166666666667,"Turno B",""),"")),"")),"")),"")),"")),""))</f>
        <v>Turno A</v>
      </c>
      <c r="L1665" s="91">
        <f t="shared" si="25"/>
        <v>0.3125</v>
      </c>
    </row>
    <row r="1666" spans="1:12" s="40" customFormat="1">
      <c r="A1666">
        <v>15449281</v>
      </c>
      <c r="B1666" t="s">
        <v>1151</v>
      </c>
      <c r="C1666" t="s">
        <v>343</v>
      </c>
      <c r="D1666" t="s">
        <v>765</v>
      </c>
      <c r="E1666" t="s">
        <v>1440</v>
      </c>
      <c r="F1666" s="78">
        <v>0.2940625</v>
      </c>
      <c r="G1666" t="s">
        <v>1405</v>
      </c>
      <c r="H1666" t="s">
        <v>1335</v>
      </c>
      <c r="I1666" s="88" t="str">
        <f>VLOOKUP(A1666,Base!A:B,2,0)</f>
        <v>15.449.281-K</v>
      </c>
      <c r="J1666" s="99" t="str">
        <f>VLOOKUP(A1666,Base!A:F,6,0)</f>
        <v>ROBERTO FABIAN  DURAN  MIRANDA</v>
      </c>
      <c r="K1666" s="89" t="str">
        <f>IFERROR(IF(VLOOKUP(I1666,Ingreso!K:P,6,0)=0,"Sin turtno ing",VLOOKUP(I1666,Ingreso!K:P,6,0)),IF(F1666&gt;0.25,IF(F1666&lt;0.311805555555556,"Turno A",IF(F1666&gt;0.3125,IF(F1666&lt;0.354166666666667,"Turno C",IF(F1666&gt;0.583333333333333,IF(F1666&lt;0.625,"Turno B",IF(F1666&gt;0.625694444444444,IF(F1666&lt;0.8125,"Turno A",IF(F1666&gt;0.875,IF(F1666&lt;0.936805555555556,"Turno C",IF(F1666&gt;0.9375,IF(F1666&lt;0.979166666666667,"Turno B",""),"")),"")),"")),"")),"")),""))</f>
        <v>Turno A</v>
      </c>
      <c r="L1666" s="91">
        <f t="shared" si="25"/>
        <v>0.3125</v>
      </c>
    </row>
    <row r="1667" spans="1:12" s="40" customFormat="1">
      <c r="A1667">
        <v>15449281</v>
      </c>
      <c r="B1667" t="s">
        <v>1151</v>
      </c>
      <c r="C1667" t="s">
        <v>343</v>
      </c>
      <c r="D1667" t="s">
        <v>765</v>
      </c>
      <c r="E1667" t="s">
        <v>1441</v>
      </c>
      <c r="F1667" s="78">
        <v>0.7072222222222222</v>
      </c>
      <c r="G1667" t="s">
        <v>1406</v>
      </c>
      <c r="H1667" t="s">
        <v>1336</v>
      </c>
      <c r="I1667" s="88" t="str">
        <f>VLOOKUP(A1667,Base!A:B,2,0)</f>
        <v>15.449.281-K</v>
      </c>
      <c r="J1667" s="99" t="str">
        <f>VLOOKUP(A1667,Base!A:F,6,0)</f>
        <v>ROBERTO FABIAN  DURAN  MIRANDA</v>
      </c>
      <c r="K1667" s="89" t="str">
        <f>IFERROR(IF(VLOOKUP(I1667,Ingreso!K:P,6,0)=0,"Sin turtno ing",VLOOKUP(I1667,Ingreso!K:P,6,0)),IF(F1667&gt;0.25,IF(F1667&lt;0.311805555555556,"Turno A",IF(F1667&gt;0.3125,IF(F1667&lt;0.354166666666667,"Turno C",IF(F1667&gt;0.583333333333333,IF(F1667&lt;0.625,"Turno B",IF(F1667&gt;0.625694444444444,IF(F1667&lt;0.8125,"Turno A",IF(F1667&gt;0.875,IF(F1667&lt;0.936805555555556,"Turno C",IF(F1667&gt;0.9375,IF(F1667&lt;0.979166666666667,"Turno B",""),"")),"")),"")),"")),"")),""))</f>
        <v>Turno A</v>
      </c>
      <c r="L1667" s="91">
        <f t="shared" ref="L1667:L1730" si="26">VLOOKUP(K1667,$S$3:$T$7,2,0)</f>
        <v>0.3125</v>
      </c>
    </row>
    <row r="1668" spans="1:12" s="40" customFormat="1">
      <c r="A1668">
        <v>15449281</v>
      </c>
      <c r="B1668" t="s">
        <v>1151</v>
      </c>
      <c r="C1668" t="s">
        <v>343</v>
      </c>
      <c r="D1668" t="s">
        <v>765</v>
      </c>
      <c r="E1668" t="s">
        <v>1441</v>
      </c>
      <c r="F1668" s="78">
        <v>0.30633101851851852</v>
      </c>
      <c r="G1668" t="s">
        <v>1405</v>
      </c>
      <c r="H1668" t="s">
        <v>1335</v>
      </c>
      <c r="I1668" s="88" t="str">
        <f>VLOOKUP(A1668,Base!A:B,2,0)</f>
        <v>15.449.281-K</v>
      </c>
      <c r="J1668" s="99" t="str">
        <f>VLOOKUP(A1668,Base!A:F,6,0)</f>
        <v>ROBERTO FABIAN  DURAN  MIRANDA</v>
      </c>
      <c r="K1668" s="89" t="str">
        <f>IFERROR(IF(VLOOKUP(I1668,Ingreso!K:P,6,0)=0,"Sin turtno ing",VLOOKUP(I1668,Ingreso!K:P,6,0)),IF(F1668&gt;0.25,IF(F1668&lt;0.311805555555556,"Turno A",IF(F1668&gt;0.3125,IF(F1668&lt;0.354166666666667,"Turno C",IF(F1668&gt;0.583333333333333,IF(F1668&lt;0.625,"Turno B",IF(F1668&gt;0.625694444444444,IF(F1668&lt;0.8125,"Turno A",IF(F1668&gt;0.875,IF(F1668&lt;0.936805555555556,"Turno C",IF(F1668&gt;0.9375,IF(F1668&lt;0.979166666666667,"Turno B",""),"")),"")),"")),"")),"")),""))</f>
        <v>Turno A</v>
      </c>
      <c r="L1668" s="91">
        <f t="shared" si="26"/>
        <v>0.3125</v>
      </c>
    </row>
    <row r="1669" spans="1:12" s="40" customFormat="1">
      <c r="A1669">
        <v>15449281</v>
      </c>
      <c r="B1669" t="s">
        <v>1151</v>
      </c>
      <c r="C1669" t="s">
        <v>343</v>
      </c>
      <c r="D1669" t="s">
        <v>765</v>
      </c>
      <c r="E1669" t="s">
        <v>1437</v>
      </c>
      <c r="F1669" s="78">
        <v>0.7283680555555555</v>
      </c>
      <c r="G1669" t="s">
        <v>1406</v>
      </c>
      <c r="H1669" t="s">
        <v>1336</v>
      </c>
      <c r="I1669" s="88" t="str">
        <f>VLOOKUP(A1669,Base!A:B,2,0)</f>
        <v>15.449.281-K</v>
      </c>
      <c r="J1669" s="99" t="str">
        <f>VLOOKUP(A1669,Base!A:F,6,0)</f>
        <v>ROBERTO FABIAN  DURAN  MIRANDA</v>
      </c>
      <c r="K1669" s="89" t="str">
        <f>IFERROR(IF(VLOOKUP(I1669,Ingreso!K:P,6,0)=0,"Sin turtno ing",VLOOKUP(I1669,Ingreso!K:P,6,0)),IF(F1669&gt;0.25,IF(F1669&lt;0.311805555555556,"Turno A",IF(F1669&gt;0.3125,IF(F1669&lt;0.354166666666667,"Turno C",IF(F1669&gt;0.583333333333333,IF(F1669&lt;0.625,"Turno B",IF(F1669&gt;0.625694444444444,IF(F1669&lt;0.8125,"Turno A",IF(F1669&gt;0.875,IF(F1669&lt;0.936805555555556,"Turno C",IF(F1669&gt;0.9375,IF(F1669&lt;0.979166666666667,"Turno B",""),"")),"")),"")),"")),"")),""))</f>
        <v>Turno A</v>
      </c>
      <c r="L1669" s="91">
        <f t="shared" si="26"/>
        <v>0.3125</v>
      </c>
    </row>
    <row r="1670" spans="1:12" s="40" customFormat="1">
      <c r="A1670">
        <v>15449281</v>
      </c>
      <c r="B1670" t="s">
        <v>1151</v>
      </c>
      <c r="C1670" t="s">
        <v>343</v>
      </c>
      <c r="D1670" t="s">
        <v>765</v>
      </c>
      <c r="E1670" t="s">
        <v>1437</v>
      </c>
      <c r="F1670" s="78">
        <v>0.29300925925925925</v>
      </c>
      <c r="G1670" t="s">
        <v>1405</v>
      </c>
      <c r="H1670" t="s">
        <v>1335</v>
      </c>
      <c r="I1670" s="88" t="str">
        <f>VLOOKUP(A1670,Base!A:B,2,0)</f>
        <v>15.449.281-K</v>
      </c>
      <c r="J1670" s="99" t="str">
        <f>VLOOKUP(A1670,Base!A:F,6,0)</f>
        <v>ROBERTO FABIAN  DURAN  MIRANDA</v>
      </c>
      <c r="K1670" s="89" t="str">
        <f>IFERROR(IF(VLOOKUP(I1670,Ingreso!K:P,6,0)=0,"Sin turtno ing",VLOOKUP(I1670,Ingreso!K:P,6,0)),IF(F1670&gt;0.25,IF(F1670&lt;0.311805555555556,"Turno A",IF(F1670&gt;0.3125,IF(F1670&lt;0.354166666666667,"Turno C",IF(F1670&gt;0.583333333333333,IF(F1670&lt;0.625,"Turno B",IF(F1670&gt;0.625694444444444,IF(F1670&lt;0.8125,"Turno A",IF(F1670&gt;0.875,IF(F1670&lt;0.936805555555556,"Turno C",IF(F1670&gt;0.9375,IF(F1670&lt;0.979166666666667,"Turno B",""),"")),"")),"")),"")),"")),""))</f>
        <v>Turno A</v>
      </c>
      <c r="L1670" s="91">
        <f t="shared" si="26"/>
        <v>0.3125</v>
      </c>
    </row>
    <row r="1671" spans="1:12" s="40" customFormat="1">
      <c r="A1671">
        <v>15449281</v>
      </c>
      <c r="B1671" t="s">
        <v>1151</v>
      </c>
      <c r="C1671" t="s">
        <v>343</v>
      </c>
      <c r="D1671" t="s">
        <v>765</v>
      </c>
      <c r="E1671" t="s">
        <v>1438</v>
      </c>
      <c r="F1671" s="78">
        <v>0.72487268518518511</v>
      </c>
      <c r="G1671" t="s">
        <v>1406</v>
      </c>
      <c r="H1671" t="s">
        <v>1336</v>
      </c>
      <c r="I1671" s="88" t="str">
        <f>VLOOKUP(A1671,Base!A:B,2,0)</f>
        <v>15.449.281-K</v>
      </c>
      <c r="J1671" s="99" t="str">
        <f>VLOOKUP(A1671,Base!A:F,6,0)</f>
        <v>ROBERTO FABIAN  DURAN  MIRANDA</v>
      </c>
      <c r="K1671" s="89" t="str">
        <f>IFERROR(IF(VLOOKUP(I1671,Ingreso!K:P,6,0)=0,"Sin turtno ing",VLOOKUP(I1671,Ingreso!K:P,6,0)),IF(F1671&gt;0.25,IF(F1671&lt;0.311805555555556,"Turno A",IF(F1671&gt;0.3125,IF(F1671&lt;0.354166666666667,"Turno C",IF(F1671&gt;0.583333333333333,IF(F1671&lt;0.625,"Turno B",IF(F1671&gt;0.625694444444444,IF(F1671&lt;0.8125,"Turno A",IF(F1671&gt;0.875,IF(F1671&lt;0.936805555555556,"Turno C",IF(F1671&gt;0.9375,IF(F1671&lt;0.979166666666667,"Turno B",""),"")),"")),"")),"")),"")),""))</f>
        <v>Turno A</v>
      </c>
      <c r="L1671" s="91">
        <f t="shared" si="26"/>
        <v>0.3125</v>
      </c>
    </row>
    <row r="1672" spans="1:12" s="40" customFormat="1">
      <c r="A1672">
        <v>15449281</v>
      </c>
      <c r="B1672" t="s">
        <v>1151</v>
      </c>
      <c r="C1672" t="s">
        <v>343</v>
      </c>
      <c r="D1672" t="s">
        <v>765</v>
      </c>
      <c r="E1672" t="s">
        <v>1438</v>
      </c>
      <c r="F1672" s="78">
        <v>0.29370370370370369</v>
      </c>
      <c r="G1672" t="s">
        <v>1405</v>
      </c>
      <c r="H1672" t="s">
        <v>1335</v>
      </c>
      <c r="I1672" s="88" t="str">
        <f>VLOOKUP(A1672,Base!A:B,2,0)</f>
        <v>15.449.281-K</v>
      </c>
      <c r="J1672" s="99" t="str">
        <f>VLOOKUP(A1672,Base!A:F,6,0)</f>
        <v>ROBERTO FABIAN  DURAN  MIRANDA</v>
      </c>
      <c r="K1672" s="89" t="str">
        <f>IFERROR(IF(VLOOKUP(I1672,Ingreso!K:P,6,0)=0,"Sin turtno ing",VLOOKUP(I1672,Ingreso!K:P,6,0)),IF(F1672&gt;0.25,IF(F1672&lt;0.311805555555556,"Turno A",IF(F1672&gt;0.3125,IF(F1672&lt;0.354166666666667,"Turno C",IF(F1672&gt;0.583333333333333,IF(F1672&lt;0.625,"Turno B",IF(F1672&gt;0.625694444444444,IF(F1672&lt;0.8125,"Turno A",IF(F1672&gt;0.875,IF(F1672&lt;0.936805555555556,"Turno C",IF(F1672&gt;0.9375,IF(F1672&lt;0.979166666666667,"Turno B",""),"")),"")),"")),"")),"")),""))</f>
        <v>Turno A</v>
      </c>
      <c r="L1672" s="91">
        <f t="shared" si="26"/>
        <v>0.3125</v>
      </c>
    </row>
    <row r="1673" spans="1:12" s="40" customFormat="1">
      <c r="A1673">
        <v>15449281</v>
      </c>
      <c r="B1673" t="s">
        <v>1151</v>
      </c>
      <c r="C1673" t="s">
        <v>343</v>
      </c>
      <c r="D1673" t="s">
        <v>765</v>
      </c>
      <c r="E1673" t="s">
        <v>1439</v>
      </c>
      <c r="F1673" s="78">
        <v>0.73133101851851856</v>
      </c>
      <c r="G1673" t="s">
        <v>1406</v>
      </c>
      <c r="H1673" t="s">
        <v>1336</v>
      </c>
      <c r="I1673" s="88" t="str">
        <f>VLOOKUP(A1673,Base!A:B,2,0)</f>
        <v>15.449.281-K</v>
      </c>
      <c r="J1673" s="99" t="str">
        <f>VLOOKUP(A1673,Base!A:F,6,0)</f>
        <v>ROBERTO FABIAN  DURAN  MIRANDA</v>
      </c>
      <c r="K1673" s="89" t="str">
        <f>IFERROR(IF(VLOOKUP(I1673,Ingreso!K:P,6,0)=0,"Sin turtno ing",VLOOKUP(I1673,Ingreso!K:P,6,0)),IF(F1673&gt;0.25,IF(F1673&lt;0.311805555555556,"Turno A",IF(F1673&gt;0.3125,IF(F1673&lt;0.354166666666667,"Turno C",IF(F1673&gt;0.583333333333333,IF(F1673&lt;0.625,"Turno B",IF(F1673&gt;0.625694444444444,IF(F1673&lt;0.8125,"Turno A",IF(F1673&gt;0.875,IF(F1673&lt;0.936805555555556,"Turno C",IF(F1673&gt;0.9375,IF(F1673&lt;0.979166666666667,"Turno B",""),"")),"")),"")),"")),"")),""))</f>
        <v>Turno A</v>
      </c>
      <c r="L1673" s="91">
        <f t="shared" si="26"/>
        <v>0.3125</v>
      </c>
    </row>
    <row r="1674" spans="1:12" s="40" customFormat="1">
      <c r="A1674">
        <v>15449281</v>
      </c>
      <c r="B1674" t="s">
        <v>1151</v>
      </c>
      <c r="C1674" t="s">
        <v>343</v>
      </c>
      <c r="D1674" t="s">
        <v>765</v>
      </c>
      <c r="E1674" t="s">
        <v>1439</v>
      </c>
      <c r="F1674" s="78">
        <v>0.29362268518518519</v>
      </c>
      <c r="G1674" t="s">
        <v>1405</v>
      </c>
      <c r="H1674" t="s">
        <v>1335</v>
      </c>
      <c r="I1674" s="88" t="str">
        <f>VLOOKUP(A1674,Base!A:B,2,0)</f>
        <v>15.449.281-K</v>
      </c>
      <c r="J1674" s="99" t="str">
        <f>VLOOKUP(A1674,Base!A:F,6,0)</f>
        <v>ROBERTO FABIAN  DURAN  MIRANDA</v>
      </c>
      <c r="K1674" s="89" t="str">
        <f>IFERROR(IF(VLOOKUP(I1674,Ingreso!K:P,6,0)=0,"Sin turtno ing",VLOOKUP(I1674,Ingreso!K:P,6,0)),IF(F1674&gt;0.25,IF(F1674&lt;0.311805555555556,"Turno A",IF(F1674&gt;0.3125,IF(F1674&lt;0.354166666666667,"Turno C",IF(F1674&gt;0.583333333333333,IF(F1674&lt;0.625,"Turno B",IF(F1674&gt;0.625694444444444,IF(F1674&lt;0.8125,"Turno A",IF(F1674&gt;0.875,IF(F1674&lt;0.936805555555556,"Turno C",IF(F1674&gt;0.9375,IF(F1674&lt;0.979166666666667,"Turno B",""),"")),"")),"")),"")),"")),""))</f>
        <v>Turno A</v>
      </c>
      <c r="L1674" s="91">
        <f t="shared" si="26"/>
        <v>0.3125</v>
      </c>
    </row>
    <row r="1675" spans="1:12" s="40" customFormat="1">
      <c r="A1675">
        <v>15533689</v>
      </c>
      <c r="B1675" t="s">
        <v>802</v>
      </c>
      <c r="C1675" t="s">
        <v>343</v>
      </c>
      <c r="D1675" t="s">
        <v>1120</v>
      </c>
      <c r="E1675" t="s">
        <v>1440</v>
      </c>
      <c r="F1675" s="78">
        <v>0.57702546296296298</v>
      </c>
      <c r="G1675" t="s">
        <v>1406</v>
      </c>
      <c r="H1675" t="s">
        <v>1336</v>
      </c>
      <c r="I1675" s="88" t="str">
        <f>VLOOKUP(A1675,Base!A:B,2,0)</f>
        <v>15.533.689-7</v>
      </c>
      <c r="J1675" s="99" t="str">
        <f>VLOOKUP(A1675,Base!A:F,6,0)</f>
        <v>ROBERTO  DURAN  BRAVO</v>
      </c>
      <c r="K1675" s="89" t="str">
        <f>IFERROR(IF(VLOOKUP(I1675,Ingreso!K:P,6,0)=0,"Sin turtno ing",VLOOKUP(I1675,Ingreso!K:P,6,0)),IF(F1675&gt;0.25,IF(F1675&lt;0.311805555555556,"Turno A",IF(F1675&gt;0.3125,IF(F1675&lt;0.354166666666667,"Turno C",IF(F1675&gt;0.583333333333333,IF(F1675&lt;0.625,"Turno B",IF(F1675&gt;0.625694444444444,IF(F1675&lt;0.8125,"Turno A",IF(F1675&gt;0.875,IF(F1675&lt;0.936805555555556,"Turno C",IF(F1675&gt;0.9375,IF(F1675&lt;0.979166666666667,"Turno B",""),"")),"")),"")),"")),"")),""))</f>
        <v>Turno A</v>
      </c>
      <c r="L1675" s="91">
        <f t="shared" si="26"/>
        <v>0.3125</v>
      </c>
    </row>
    <row r="1676" spans="1:12" s="40" customFormat="1">
      <c r="A1676">
        <v>15533689</v>
      </c>
      <c r="B1676" t="s">
        <v>802</v>
      </c>
      <c r="C1676" t="s">
        <v>343</v>
      </c>
      <c r="D1676" t="s">
        <v>1120</v>
      </c>
      <c r="E1676" t="s">
        <v>1440</v>
      </c>
      <c r="F1676" s="78">
        <v>0.29975694444444445</v>
      </c>
      <c r="G1676" t="s">
        <v>1405</v>
      </c>
      <c r="H1676" t="s">
        <v>1335</v>
      </c>
      <c r="I1676" s="88" t="str">
        <f>VLOOKUP(A1676,Base!A:B,2,0)</f>
        <v>15.533.689-7</v>
      </c>
      <c r="J1676" s="99" t="str">
        <f>VLOOKUP(A1676,Base!A:F,6,0)</f>
        <v>ROBERTO  DURAN  BRAVO</v>
      </c>
      <c r="K1676" s="89" t="str">
        <f>IFERROR(IF(VLOOKUP(I1676,Ingreso!K:P,6,0)=0,"Sin turtno ing",VLOOKUP(I1676,Ingreso!K:P,6,0)),IF(F1676&gt;0.25,IF(F1676&lt;0.311805555555556,"Turno A",IF(F1676&gt;0.3125,IF(F1676&lt;0.354166666666667,"Turno C",IF(F1676&gt;0.583333333333333,IF(F1676&lt;0.625,"Turno B",IF(F1676&gt;0.625694444444444,IF(F1676&lt;0.8125,"Turno A",IF(F1676&gt;0.875,IF(F1676&lt;0.936805555555556,"Turno C",IF(F1676&gt;0.9375,IF(F1676&lt;0.979166666666667,"Turno B",""),"")),"")),"")),"")),"")),""))</f>
        <v>Turno A</v>
      </c>
      <c r="L1676" s="91">
        <f t="shared" si="26"/>
        <v>0.3125</v>
      </c>
    </row>
    <row r="1677" spans="1:12" s="40" customFormat="1">
      <c r="A1677">
        <v>15533689</v>
      </c>
      <c r="B1677" t="s">
        <v>802</v>
      </c>
      <c r="C1677" t="s">
        <v>343</v>
      </c>
      <c r="D1677" t="s">
        <v>1120</v>
      </c>
      <c r="E1677" t="s">
        <v>1441</v>
      </c>
      <c r="F1677" s="78">
        <v>0.80980324074074073</v>
      </c>
      <c r="G1677" t="s">
        <v>1406</v>
      </c>
      <c r="H1677" t="s">
        <v>1336</v>
      </c>
      <c r="I1677" s="88" t="str">
        <f>VLOOKUP(A1677,Base!A:B,2,0)</f>
        <v>15.533.689-7</v>
      </c>
      <c r="J1677" s="99" t="str">
        <f>VLOOKUP(A1677,Base!A:F,6,0)</f>
        <v>ROBERTO  DURAN  BRAVO</v>
      </c>
      <c r="K1677" s="89" t="str">
        <f>IFERROR(IF(VLOOKUP(I1677,Ingreso!K:P,6,0)=0,"Sin turtno ing",VLOOKUP(I1677,Ingreso!K:P,6,0)),IF(F1677&gt;0.25,IF(F1677&lt;0.311805555555556,"Turno A",IF(F1677&gt;0.3125,IF(F1677&lt;0.354166666666667,"Turno C",IF(F1677&gt;0.583333333333333,IF(F1677&lt;0.625,"Turno B",IF(F1677&gt;0.625694444444444,IF(F1677&lt;0.8125,"Turno A",IF(F1677&gt;0.875,IF(F1677&lt;0.936805555555556,"Turno C",IF(F1677&gt;0.9375,IF(F1677&lt;0.979166666666667,"Turno B",""),"")),"")),"")),"")),"")),""))</f>
        <v>Turno A</v>
      </c>
      <c r="L1677" s="91">
        <f t="shared" si="26"/>
        <v>0.3125</v>
      </c>
    </row>
    <row r="1678" spans="1:12" s="40" customFormat="1">
      <c r="A1678">
        <v>15533689</v>
      </c>
      <c r="B1678" t="s">
        <v>802</v>
      </c>
      <c r="C1678" t="s">
        <v>343</v>
      </c>
      <c r="D1678" t="s">
        <v>1120</v>
      </c>
      <c r="E1678" t="s">
        <v>1441</v>
      </c>
      <c r="F1678" s="78">
        <v>0.29853009259259261</v>
      </c>
      <c r="G1678" t="s">
        <v>1405</v>
      </c>
      <c r="H1678" t="s">
        <v>1335</v>
      </c>
      <c r="I1678" s="88" t="str">
        <f>VLOOKUP(A1678,Base!A:B,2,0)</f>
        <v>15.533.689-7</v>
      </c>
      <c r="J1678" s="99" t="str">
        <f>VLOOKUP(A1678,Base!A:F,6,0)</f>
        <v>ROBERTO  DURAN  BRAVO</v>
      </c>
      <c r="K1678" s="89" t="str">
        <f>IFERROR(IF(VLOOKUP(I1678,Ingreso!K:P,6,0)=0,"Sin turtno ing",VLOOKUP(I1678,Ingreso!K:P,6,0)),IF(F1678&gt;0.25,IF(F1678&lt;0.311805555555556,"Turno A",IF(F1678&gt;0.3125,IF(F1678&lt;0.354166666666667,"Turno C",IF(F1678&gt;0.583333333333333,IF(F1678&lt;0.625,"Turno B",IF(F1678&gt;0.625694444444444,IF(F1678&lt;0.8125,"Turno A",IF(F1678&gt;0.875,IF(F1678&lt;0.936805555555556,"Turno C",IF(F1678&gt;0.9375,IF(F1678&lt;0.979166666666667,"Turno B",""),"")),"")),"")),"")),"")),""))</f>
        <v>Turno A</v>
      </c>
      <c r="L1678" s="91">
        <f t="shared" si="26"/>
        <v>0.3125</v>
      </c>
    </row>
    <row r="1679" spans="1:12" s="40" customFormat="1">
      <c r="A1679">
        <v>15533689</v>
      </c>
      <c r="B1679" t="s">
        <v>802</v>
      </c>
      <c r="C1679" t="s">
        <v>343</v>
      </c>
      <c r="D1679" t="s">
        <v>1120</v>
      </c>
      <c r="E1679" t="s">
        <v>1438</v>
      </c>
      <c r="F1679" s="78">
        <v>0.7362037037037038</v>
      </c>
      <c r="G1679" t="s">
        <v>1406</v>
      </c>
      <c r="H1679" t="s">
        <v>1336</v>
      </c>
      <c r="I1679" s="88" t="str">
        <f>VLOOKUP(A1679,Base!A:B,2,0)</f>
        <v>15.533.689-7</v>
      </c>
      <c r="J1679" s="99" t="str">
        <f>VLOOKUP(A1679,Base!A:F,6,0)</f>
        <v>ROBERTO  DURAN  BRAVO</v>
      </c>
      <c r="K1679" s="89" t="str">
        <f>IFERROR(IF(VLOOKUP(I1679,Ingreso!K:P,6,0)=0,"Sin turtno ing",VLOOKUP(I1679,Ingreso!K:P,6,0)),IF(F1679&gt;0.25,IF(F1679&lt;0.311805555555556,"Turno A",IF(F1679&gt;0.3125,IF(F1679&lt;0.354166666666667,"Turno C",IF(F1679&gt;0.583333333333333,IF(F1679&lt;0.625,"Turno B",IF(F1679&gt;0.625694444444444,IF(F1679&lt;0.8125,"Turno A",IF(F1679&gt;0.875,IF(F1679&lt;0.936805555555556,"Turno C",IF(F1679&gt;0.9375,IF(F1679&lt;0.979166666666667,"Turno B",""),"")),"")),"")),"")),"")),""))</f>
        <v>Turno A</v>
      </c>
      <c r="L1679" s="91">
        <f t="shared" si="26"/>
        <v>0.3125</v>
      </c>
    </row>
    <row r="1680" spans="1:12" s="40" customFormat="1">
      <c r="A1680">
        <v>15533689</v>
      </c>
      <c r="B1680" t="s">
        <v>802</v>
      </c>
      <c r="C1680" t="s">
        <v>343</v>
      </c>
      <c r="D1680" t="s">
        <v>1120</v>
      </c>
      <c r="E1680" t="s">
        <v>1438</v>
      </c>
      <c r="F1680" s="78">
        <v>0.30766203703703704</v>
      </c>
      <c r="G1680" t="s">
        <v>1405</v>
      </c>
      <c r="H1680" t="s">
        <v>1335</v>
      </c>
      <c r="I1680" s="88" t="str">
        <f>VLOOKUP(A1680,Base!A:B,2,0)</f>
        <v>15.533.689-7</v>
      </c>
      <c r="J1680" s="99" t="str">
        <f>VLOOKUP(A1680,Base!A:F,6,0)</f>
        <v>ROBERTO  DURAN  BRAVO</v>
      </c>
      <c r="K1680" s="89" t="str">
        <f>IFERROR(IF(VLOOKUP(I1680,Ingreso!K:P,6,0)=0,"Sin turtno ing",VLOOKUP(I1680,Ingreso!K:P,6,0)),IF(F1680&gt;0.25,IF(F1680&lt;0.311805555555556,"Turno A",IF(F1680&gt;0.3125,IF(F1680&lt;0.354166666666667,"Turno C",IF(F1680&gt;0.583333333333333,IF(F1680&lt;0.625,"Turno B",IF(F1680&gt;0.625694444444444,IF(F1680&lt;0.8125,"Turno A",IF(F1680&gt;0.875,IF(F1680&lt;0.936805555555556,"Turno C",IF(F1680&gt;0.9375,IF(F1680&lt;0.979166666666667,"Turno B",""),"")),"")),"")),"")),"")),""))</f>
        <v>Turno A</v>
      </c>
      <c r="L1680" s="91">
        <f t="shared" si="26"/>
        <v>0.3125</v>
      </c>
    </row>
    <row r="1681" spans="1:12" s="40" customFormat="1">
      <c r="A1681">
        <v>15533689</v>
      </c>
      <c r="B1681" t="s">
        <v>802</v>
      </c>
      <c r="C1681" t="s">
        <v>343</v>
      </c>
      <c r="D1681" t="s">
        <v>1120</v>
      </c>
      <c r="E1681" t="s">
        <v>1439</v>
      </c>
      <c r="F1681" s="78">
        <v>0.67910879629629628</v>
      </c>
      <c r="G1681" t="s">
        <v>1406</v>
      </c>
      <c r="H1681" t="s">
        <v>1336</v>
      </c>
      <c r="I1681" s="88" t="str">
        <f>VLOOKUP(A1681,Base!A:B,2,0)</f>
        <v>15.533.689-7</v>
      </c>
      <c r="J1681" s="99" t="str">
        <f>VLOOKUP(A1681,Base!A:F,6,0)</f>
        <v>ROBERTO  DURAN  BRAVO</v>
      </c>
      <c r="K1681" s="89" t="str">
        <f>IFERROR(IF(VLOOKUP(I1681,Ingreso!K:P,6,0)=0,"Sin turtno ing",VLOOKUP(I1681,Ingreso!K:P,6,0)),IF(F1681&gt;0.25,IF(F1681&lt;0.311805555555556,"Turno A",IF(F1681&gt;0.3125,IF(F1681&lt;0.354166666666667,"Turno C",IF(F1681&gt;0.583333333333333,IF(F1681&lt;0.625,"Turno B",IF(F1681&gt;0.625694444444444,IF(F1681&lt;0.8125,"Turno A",IF(F1681&gt;0.875,IF(F1681&lt;0.936805555555556,"Turno C",IF(F1681&gt;0.9375,IF(F1681&lt;0.979166666666667,"Turno B",""),"")),"")),"")),"")),"")),""))</f>
        <v>Turno A</v>
      </c>
      <c r="L1681" s="91">
        <f t="shared" si="26"/>
        <v>0.3125</v>
      </c>
    </row>
    <row r="1682" spans="1:12" s="40" customFormat="1">
      <c r="A1682">
        <v>15533689</v>
      </c>
      <c r="B1682" t="s">
        <v>802</v>
      </c>
      <c r="C1682" t="s">
        <v>343</v>
      </c>
      <c r="D1682" t="s">
        <v>1120</v>
      </c>
      <c r="E1682" t="s">
        <v>1439</v>
      </c>
      <c r="F1682" s="78">
        <v>0.30885416666666665</v>
      </c>
      <c r="G1682" t="s">
        <v>1405</v>
      </c>
      <c r="H1682" t="s">
        <v>1335</v>
      </c>
      <c r="I1682" s="88" t="str">
        <f>VLOOKUP(A1682,Base!A:B,2,0)</f>
        <v>15.533.689-7</v>
      </c>
      <c r="J1682" s="99" t="str">
        <f>VLOOKUP(A1682,Base!A:F,6,0)</f>
        <v>ROBERTO  DURAN  BRAVO</v>
      </c>
      <c r="K1682" s="89" t="str">
        <f>IFERROR(IF(VLOOKUP(I1682,Ingreso!K:P,6,0)=0,"Sin turtno ing",VLOOKUP(I1682,Ingreso!K:P,6,0)),IF(F1682&gt;0.25,IF(F1682&lt;0.311805555555556,"Turno A",IF(F1682&gt;0.3125,IF(F1682&lt;0.354166666666667,"Turno C",IF(F1682&gt;0.583333333333333,IF(F1682&lt;0.625,"Turno B",IF(F1682&gt;0.625694444444444,IF(F1682&lt;0.8125,"Turno A",IF(F1682&gt;0.875,IF(F1682&lt;0.936805555555556,"Turno C",IF(F1682&gt;0.9375,IF(F1682&lt;0.979166666666667,"Turno B",""),"")),"")),"")),"")),"")),""))</f>
        <v>Turno A</v>
      </c>
      <c r="L1682" s="91">
        <f t="shared" si="26"/>
        <v>0.3125</v>
      </c>
    </row>
    <row r="1683" spans="1:12" s="40" customFormat="1">
      <c r="A1683">
        <v>15702200</v>
      </c>
      <c r="B1683" t="s">
        <v>251</v>
      </c>
      <c r="C1683" t="s">
        <v>244</v>
      </c>
      <c r="D1683" t="s">
        <v>61</v>
      </c>
      <c r="E1683" t="s">
        <v>1440</v>
      </c>
      <c r="F1683" s="78">
        <v>0.32550925925925928</v>
      </c>
      <c r="G1683" t="s">
        <v>1406</v>
      </c>
      <c r="H1683" t="s">
        <v>1336</v>
      </c>
      <c r="I1683" s="88" t="str">
        <f>VLOOKUP(A1683,Base!A:B,2,0)</f>
        <v>15.702.200-8</v>
      </c>
      <c r="J1683" s="99" t="str">
        <f>VLOOKUP(A1683,Base!A:F,6,0)</f>
        <v>CESAR  CERNA  VARGAS</v>
      </c>
      <c r="K1683" s="89" t="str">
        <f>IFERROR(IF(VLOOKUP(I1683,Ingreso!K:P,6,0)=0,"Sin turtno ing",VLOOKUP(I1683,Ingreso!K:P,6,0)),IF(F1683&gt;0.25,IF(F1683&lt;0.311805555555556,"Turno A",IF(F1683&gt;0.3125,IF(F1683&lt;0.354166666666667,"Turno C",IF(F1683&gt;0.583333333333333,IF(F1683&lt;0.625,"Turno B",IF(F1683&gt;0.625694444444444,IF(F1683&lt;0.8125,"Turno A",IF(F1683&gt;0.875,IF(F1683&lt;0.936805555555556,"Turno C",IF(F1683&gt;0.9375,IF(F1683&lt;0.979166666666667,"Turno B",""),"")),"")),"")),"")),"")),""))</f>
        <v>Turno C</v>
      </c>
      <c r="L1683" s="91">
        <f t="shared" si="26"/>
        <v>0.375</v>
      </c>
    </row>
    <row r="1684" spans="1:12" s="40" customFormat="1">
      <c r="A1684">
        <v>15702200</v>
      </c>
      <c r="B1684" t="s">
        <v>251</v>
      </c>
      <c r="C1684" t="s">
        <v>244</v>
      </c>
      <c r="D1684" t="s">
        <v>61</v>
      </c>
      <c r="E1684" t="s">
        <v>1440</v>
      </c>
      <c r="F1684" s="78">
        <v>0.9130787037037037</v>
      </c>
      <c r="G1684" t="s">
        <v>1405</v>
      </c>
      <c r="H1684" t="s">
        <v>1335</v>
      </c>
      <c r="I1684" s="88" t="str">
        <f>VLOOKUP(A1684,Base!A:B,2,0)</f>
        <v>15.702.200-8</v>
      </c>
      <c r="J1684" s="99" t="str">
        <f>VLOOKUP(A1684,Base!A:F,6,0)</f>
        <v>CESAR  CERNA  VARGAS</v>
      </c>
      <c r="K1684" s="89" t="str">
        <f>IFERROR(IF(VLOOKUP(I1684,Ingreso!K:P,6,0)=0,"Sin turtno ing",VLOOKUP(I1684,Ingreso!K:P,6,0)),IF(F1684&gt;0.25,IF(F1684&lt;0.311805555555556,"Turno A",IF(F1684&gt;0.3125,IF(F1684&lt;0.354166666666667,"Turno C",IF(F1684&gt;0.583333333333333,IF(F1684&lt;0.625,"Turno B",IF(F1684&gt;0.625694444444444,IF(F1684&lt;0.8125,"Turno A",IF(F1684&gt;0.875,IF(F1684&lt;0.936805555555556,"Turno C",IF(F1684&gt;0.9375,IF(F1684&lt;0.979166666666667,"Turno B",""),"")),"")),"")),"")),"")),""))</f>
        <v>Turno C</v>
      </c>
      <c r="L1684" s="91">
        <f t="shared" si="26"/>
        <v>0.375</v>
      </c>
    </row>
    <row r="1685" spans="1:12" s="40" customFormat="1">
      <c r="A1685">
        <v>15702200</v>
      </c>
      <c r="B1685" t="s">
        <v>251</v>
      </c>
      <c r="C1685" t="s">
        <v>244</v>
      </c>
      <c r="D1685" t="s">
        <v>61</v>
      </c>
      <c r="E1685" t="s">
        <v>1441</v>
      </c>
      <c r="F1685" s="78">
        <v>0.32796296296296296</v>
      </c>
      <c r="G1685" t="s">
        <v>1406</v>
      </c>
      <c r="H1685" t="s">
        <v>1336</v>
      </c>
      <c r="I1685" s="88" t="str">
        <f>VLOOKUP(A1685,Base!A:B,2,0)</f>
        <v>15.702.200-8</v>
      </c>
      <c r="J1685" s="99" t="str">
        <f>VLOOKUP(A1685,Base!A:F,6,0)</f>
        <v>CESAR  CERNA  VARGAS</v>
      </c>
      <c r="K1685" s="89" t="str">
        <f>IFERROR(IF(VLOOKUP(I1685,Ingreso!K:P,6,0)=0,"Sin turtno ing",VLOOKUP(I1685,Ingreso!K:P,6,0)),IF(F1685&gt;0.25,IF(F1685&lt;0.311805555555556,"Turno A",IF(F1685&gt;0.3125,IF(F1685&lt;0.354166666666667,"Turno C",IF(F1685&gt;0.583333333333333,IF(F1685&lt;0.625,"Turno B",IF(F1685&gt;0.625694444444444,IF(F1685&lt;0.8125,"Turno A",IF(F1685&gt;0.875,IF(F1685&lt;0.936805555555556,"Turno C",IF(F1685&gt;0.9375,IF(F1685&lt;0.979166666666667,"Turno B",""),"")),"")),"")),"")),"")),""))</f>
        <v>Turno C</v>
      </c>
      <c r="L1685" s="91">
        <f t="shared" si="26"/>
        <v>0.375</v>
      </c>
    </row>
    <row r="1686" spans="1:12" s="40" customFormat="1">
      <c r="A1686">
        <v>15702200</v>
      </c>
      <c r="B1686" t="s">
        <v>251</v>
      </c>
      <c r="C1686" t="s">
        <v>244</v>
      </c>
      <c r="D1686" t="s">
        <v>61</v>
      </c>
      <c r="E1686" t="s">
        <v>1438</v>
      </c>
      <c r="F1686" s="78">
        <v>0.916875</v>
      </c>
      <c r="G1686" t="s">
        <v>1405</v>
      </c>
      <c r="H1686" t="s">
        <v>1335</v>
      </c>
      <c r="I1686" s="88" t="str">
        <f>VLOOKUP(A1686,Base!A:B,2,0)</f>
        <v>15.702.200-8</v>
      </c>
      <c r="J1686" s="99" t="str">
        <f>VLOOKUP(A1686,Base!A:F,6,0)</f>
        <v>CESAR  CERNA  VARGAS</v>
      </c>
      <c r="K1686" s="89" t="str">
        <f>IFERROR(IF(VLOOKUP(I1686,Ingreso!K:P,6,0)=0,"Sin turtno ing",VLOOKUP(I1686,Ingreso!K:P,6,0)),IF(F1686&gt;0.25,IF(F1686&lt;0.311805555555556,"Turno A",IF(F1686&gt;0.3125,IF(F1686&lt;0.354166666666667,"Turno C",IF(F1686&gt;0.583333333333333,IF(F1686&lt;0.625,"Turno B",IF(F1686&gt;0.625694444444444,IF(F1686&lt;0.8125,"Turno A",IF(F1686&gt;0.875,IF(F1686&lt;0.936805555555556,"Turno C",IF(F1686&gt;0.9375,IF(F1686&lt;0.979166666666667,"Turno B",""),"")),"")),"")),"")),"")),""))</f>
        <v>Turno C</v>
      </c>
      <c r="L1686" s="91">
        <f t="shared" si="26"/>
        <v>0.375</v>
      </c>
    </row>
    <row r="1687" spans="1:12" s="40" customFormat="1">
      <c r="A1687">
        <v>15702200</v>
      </c>
      <c r="B1687" t="s">
        <v>251</v>
      </c>
      <c r="C1687" t="s">
        <v>244</v>
      </c>
      <c r="D1687" t="s">
        <v>61</v>
      </c>
      <c r="E1687" t="s">
        <v>1439</v>
      </c>
      <c r="F1687" s="78">
        <v>0.32884259259259258</v>
      </c>
      <c r="G1687" t="s">
        <v>1406</v>
      </c>
      <c r="H1687" t="s">
        <v>1336</v>
      </c>
      <c r="I1687" s="88" t="str">
        <f>VLOOKUP(A1687,Base!A:B,2,0)</f>
        <v>15.702.200-8</v>
      </c>
      <c r="J1687" s="99" t="str">
        <f>VLOOKUP(A1687,Base!A:F,6,0)</f>
        <v>CESAR  CERNA  VARGAS</v>
      </c>
      <c r="K1687" s="89" t="str">
        <f>IFERROR(IF(VLOOKUP(I1687,Ingreso!K:P,6,0)=0,"Sin turtno ing",VLOOKUP(I1687,Ingreso!K:P,6,0)),IF(F1687&gt;0.25,IF(F1687&lt;0.311805555555556,"Turno A",IF(F1687&gt;0.3125,IF(F1687&lt;0.354166666666667,"Turno C",IF(F1687&gt;0.583333333333333,IF(F1687&lt;0.625,"Turno B",IF(F1687&gt;0.625694444444444,IF(F1687&lt;0.8125,"Turno A",IF(F1687&gt;0.875,IF(F1687&lt;0.936805555555556,"Turno C",IF(F1687&gt;0.9375,IF(F1687&lt;0.979166666666667,"Turno B",""),"")),"")),"")),"")),"")),""))</f>
        <v>Turno C</v>
      </c>
      <c r="L1687" s="91">
        <f t="shared" si="26"/>
        <v>0.375</v>
      </c>
    </row>
    <row r="1688" spans="1:12" s="40" customFormat="1">
      <c r="A1688">
        <v>15702200</v>
      </c>
      <c r="B1688" t="s">
        <v>251</v>
      </c>
      <c r="C1688" t="s">
        <v>244</v>
      </c>
      <c r="D1688" t="s">
        <v>61</v>
      </c>
      <c r="E1688" t="s">
        <v>1439</v>
      </c>
      <c r="F1688" s="78">
        <v>0.91353009259259255</v>
      </c>
      <c r="G1688" t="s">
        <v>1405</v>
      </c>
      <c r="H1688" t="s">
        <v>1335</v>
      </c>
      <c r="I1688" s="88" t="str">
        <f>VLOOKUP(A1688,Base!A:B,2,0)</f>
        <v>15.702.200-8</v>
      </c>
      <c r="J1688" s="99" t="str">
        <f>VLOOKUP(A1688,Base!A:F,6,0)</f>
        <v>CESAR  CERNA  VARGAS</v>
      </c>
      <c r="K1688" s="89" t="str">
        <f>IFERROR(IF(VLOOKUP(I1688,Ingreso!K:P,6,0)=0,"Sin turtno ing",VLOOKUP(I1688,Ingreso!K:P,6,0)),IF(F1688&gt;0.25,IF(F1688&lt;0.311805555555556,"Turno A",IF(F1688&gt;0.3125,IF(F1688&lt;0.354166666666667,"Turno C",IF(F1688&gt;0.583333333333333,IF(F1688&lt;0.625,"Turno B",IF(F1688&gt;0.625694444444444,IF(F1688&lt;0.8125,"Turno A",IF(F1688&gt;0.875,IF(F1688&lt;0.936805555555556,"Turno C",IF(F1688&gt;0.9375,IF(F1688&lt;0.979166666666667,"Turno B",""),"")),"")),"")),"")),"")),""))</f>
        <v>Turno C</v>
      </c>
      <c r="L1688" s="91">
        <f t="shared" si="26"/>
        <v>0.375</v>
      </c>
    </row>
    <row r="1689" spans="1:12" s="40" customFormat="1">
      <c r="A1689">
        <v>15786314</v>
      </c>
      <c r="B1689" t="s">
        <v>496</v>
      </c>
      <c r="C1689" t="s">
        <v>126</v>
      </c>
      <c r="D1689" t="s">
        <v>191</v>
      </c>
      <c r="E1689" t="s">
        <v>1440</v>
      </c>
      <c r="F1689" s="78">
        <v>0.93768518518518518</v>
      </c>
      <c r="G1689" t="s">
        <v>1406</v>
      </c>
      <c r="H1689" t="s">
        <v>1336</v>
      </c>
      <c r="I1689" s="88" t="str">
        <f>VLOOKUP(A1689,Base!A:B,2,0)</f>
        <v>15.786.314-2</v>
      </c>
      <c r="J1689" s="99" t="str">
        <f>VLOOKUP(A1689,Base!A:F,6,0)</f>
        <v>JUAN PABLO  PALMA  VERA</v>
      </c>
      <c r="K1689" s="89" t="str">
        <f>IFERROR(IF(VLOOKUP(I1689,Ingreso!K:P,6,0)=0,"Sin turtno ing",VLOOKUP(I1689,Ingreso!K:P,6,0)),IF(F1689&gt;0.25,IF(F1689&lt;0.311805555555556,"Turno A",IF(F1689&gt;0.3125,IF(F1689&lt;0.354166666666667,"Turno C",IF(F1689&gt;0.583333333333333,IF(F1689&lt;0.625,"Turno B",IF(F1689&gt;0.625694444444444,IF(F1689&lt;0.8125,"Turno A",IF(F1689&gt;0.875,IF(F1689&lt;0.936805555555556,"Turno C",IF(F1689&gt;0.9375,IF(F1689&lt;0.979166666666667,"Turno B",""),"")),"")),"")),"")),"")),""))</f>
        <v>Turno B</v>
      </c>
      <c r="L1689" s="91">
        <f t="shared" si="26"/>
        <v>0.3125</v>
      </c>
    </row>
    <row r="1690" spans="1:12" s="40" customFormat="1">
      <c r="A1690">
        <v>15786314</v>
      </c>
      <c r="B1690" t="s">
        <v>496</v>
      </c>
      <c r="C1690" t="s">
        <v>126</v>
      </c>
      <c r="D1690" t="s">
        <v>191</v>
      </c>
      <c r="E1690" t="s">
        <v>1440</v>
      </c>
      <c r="F1690" s="78">
        <v>0.60474537037037035</v>
      </c>
      <c r="G1690" t="s">
        <v>1405</v>
      </c>
      <c r="H1690" t="s">
        <v>1335</v>
      </c>
      <c r="I1690" s="88" t="str">
        <f>VLOOKUP(A1690,Base!A:B,2,0)</f>
        <v>15.786.314-2</v>
      </c>
      <c r="J1690" s="99" t="str">
        <f>VLOOKUP(A1690,Base!A:F,6,0)</f>
        <v>JUAN PABLO  PALMA  VERA</v>
      </c>
      <c r="K1690" s="89" t="str">
        <f>IFERROR(IF(VLOOKUP(I1690,Ingreso!K:P,6,0)=0,"Sin turtno ing",VLOOKUP(I1690,Ingreso!K:P,6,0)),IF(F1690&gt;0.25,IF(F1690&lt;0.311805555555556,"Turno A",IF(F1690&gt;0.3125,IF(F1690&lt;0.354166666666667,"Turno C",IF(F1690&gt;0.583333333333333,IF(F1690&lt;0.625,"Turno B",IF(F1690&gt;0.625694444444444,IF(F1690&lt;0.8125,"Turno A",IF(F1690&gt;0.875,IF(F1690&lt;0.936805555555556,"Turno C",IF(F1690&gt;0.9375,IF(F1690&lt;0.979166666666667,"Turno B",""),"")),"")),"")),"")),"")),""))</f>
        <v>Turno B</v>
      </c>
      <c r="L1690" s="91">
        <f t="shared" si="26"/>
        <v>0.3125</v>
      </c>
    </row>
    <row r="1691" spans="1:12" s="40" customFormat="1">
      <c r="A1691">
        <v>15786314</v>
      </c>
      <c r="B1691" t="s">
        <v>496</v>
      </c>
      <c r="C1691" t="s">
        <v>126</v>
      </c>
      <c r="D1691" t="s">
        <v>191</v>
      </c>
      <c r="E1691" t="s">
        <v>1441</v>
      </c>
      <c r="F1691" s="78">
        <v>0.94384259259259251</v>
      </c>
      <c r="G1691" t="s">
        <v>1406</v>
      </c>
      <c r="H1691" t="s">
        <v>1336</v>
      </c>
      <c r="I1691" s="88" t="str">
        <f>VLOOKUP(A1691,Base!A:B,2,0)</f>
        <v>15.786.314-2</v>
      </c>
      <c r="J1691" s="99" t="str">
        <f>VLOOKUP(A1691,Base!A:F,6,0)</f>
        <v>JUAN PABLO  PALMA  VERA</v>
      </c>
      <c r="K1691" s="89" t="str">
        <f>IFERROR(IF(VLOOKUP(I1691,Ingreso!K:P,6,0)=0,"Sin turtno ing",VLOOKUP(I1691,Ingreso!K:P,6,0)),IF(F1691&gt;0.25,IF(F1691&lt;0.311805555555556,"Turno A",IF(F1691&gt;0.3125,IF(F1691&lt;0.354166666666667,"Turno C",IF(F1691&gt;0.583333333333333,IF(F1691&lt;0.625,"Turno B",IF(F1691&gt;0.625694444444444,IF(F1691&lt;0.8125,"Turno A",IF(F1691&gt;0.875,IF(F1691&lt;0.936805555555556,"Turno C",IF(F1691&gt;0.9375,IF(F1691&lt;0.979166666666667,"Turno B",""),"")),"")),"")),"")),"")),""))</f>
        <v>Turno B</v>
      </c>
      <c r="L1691" s="91">
        <f t="shared" si="26"/>
        <v>0.3125</v>
      </c>
    </row>
    <row r="1692" spans="1:12" s="40" customFormat="1">
      <c r="A1692">
        <v>15786314</v>
      </c>
      <c r="B1692" t="s">
        <v>496</v>
      </c>
      <c r="C1692" t="s">
        <v>126</v>
      </c>
      <c r="D1692" t="s">
        <v>191</v>
      </c>
      <c r="E1692" t="s">
        <v>1441</v>
      </c>
      <c r="F1692" s="78">
        <v>0.62004629629629626</v>
      </c>
      <c r="G1692" t="s">
        <v>1405</v>
      </c>
      <c r="H1692" t="s">
        <v>1335</v>
      </c>
      <c r="I1692" s="88" t="str">
        <f>VLOOKUP(A1692,Base!A:B,2,0)</f>
        <v>15.786.314-2</v>
      </c>
      <c r="J1692" s="99" t="str">
        <f>VLOOKUP(A1692,Base!A:F,6,0)</f>
        <v>JUAN PABLO  PALMA  VERA</v>
      </c>
      <c r="K1692" s="89" t="str">
        <f>IFERROR(IF(VLOOKUP(I1692,Ingreso!K:P,6,0)=0,"Sin turtno ing",VLOOKUP(I1692,Ingreso!K:P,6,0)),IF(F1692&gt;0.25,IF(F1692&lt;0.311805555555556,"Turno A",IF(F1692&gt;0.3125,IF(F1692&lt;0.354166666666667,"Turno C",IF(F1692&gt;0.583333333333333,IF(F1692&lt;0.625,"Turno B",IF(F1692&gt;0.625694444444444,IF(F1692&lt;0.8125,"Turno A",IF(F1692&gt;0.875,IF(F1692&lt;0.936805555555556,"Turno C",IF(F1692&gt;0.9375,IF(F1692&lt;0.979166666666667,"Turno B",""),"")),"")),"")),"")),"")),""))</f>
        <v>Turno B</v>
      </c>
      <c r="L1692" s="91">
        <f t="shared" si="26"/>
        <v>0.3125</v>
      </c>
    </row>
    <row r="1693" spans="1:12" s="40" customFormat="1">
      <c r="A1693">
        <v>15786314</v>
      </c>
      <c r="B1693" t="s">
        <v>496</v>
      </c>
      <c r="C1693" t="s">
        <v>126</v>
      </c>
      <c r="D1693" t="s">
        <v>191</v>
      </c>
      <c r="E1693" t="s">
        <v>1438</v>
      </c>
      <c r="F1693" s="78">
        <v>0.93894675925925919</v>
      </c>
      <c r="G1693" t="s">
        <v>1406</v>
      </c>
      <c r="H1693" t="s">
        <v>1336</v>
      </c>
      <c r="I1693" s="88" t="str">
        <f>VLOOKUP(A1693,Base!A:B,2,0)</f>
        <v>15.786.314-2</v>
      </c>
      <c r="J1693" s="99" t="str">
        <f>VLOOKUP(A1693,Base!A:F,6,0)</f>
        <v>JUAN PABLO  PALMA  VERA</v>
      </c>
      <c r="K1693" s="89" t="str">
        <f>IFERROR(IF(VLOOKUP(I1693,Ingreso!K:P,6,0)=0,"Sin turtno ing",VLOOKUP(I1693,Ingreso!K:P,6,0)),IF(F1693&gt;0.25,IF(F1693&lt;0.311805555555556,"Turno A",IF(F1693&gt;0.3125,IF(F1693&lt;0.354166666666667,"Turno C",IF(F1693&gt;0.583333333333333,IF(F1693&lt;0.625,"Turno B",IF(F1693&gt;0.625694444444444,IF(F1693&lt;0.8125,"Turno A",IF(F1693&gt;0.875,IF(F1693&lt;0.936805555555556,"Turno C",IF(F1693&gt;0.9375,IF(F1693&lt;0.979166666666667,"Turno B",""),"")),"")),"")),"")),"")),""))</f>
        <v>Turno B</v>
      </c>
      <c r="L1693" s="91">
        <f t="shared" si="26"/>
        <v>0.3125</v>
      </c>
    </row>
    <row r="1694" spans="1:12" s="40" customFormat="1">
      <c r="A1694">
        <v>15786314</v>
      </c>
      <c r="B1694" t="s">
        <v>496</v>
      </c>
      <c r="C1694" t="s">
        <v>126</v>
      </c>
      <c r="D1694" t="s">
        <v>191</v>
      </c>
      <c r="E1694" t="s">
        <v>1438</v>
      </c>
      <c r="F1694" s="78">
        <v>0.63425925925925919</v>
      </c>
      <c r="G1694" t="s">
        <v>1405</v>
      </c>
      <c r="H1694" t="s">
        <v>1335</v>
      </c>
      <c r="I1694" s="88" t="str">
        <f>VLOOKUP(A1694,Base!A:B,2,0)</f>
        <v>15.786.314-2</v>
      </c>
      <c r="J1694" s="99" t="str">
        <f>VLOOKUP(A1694,Base!A:F,6,0)</f>
        <v>JUAN PABLO  PALMA  VERA</v>
      </c>
      <c r="K1694" s="89" t="str">
        <f>IFERROR(IF(VLOOKUP(I1694,Ingreso!K:P,6,0)=0,"Sin turtno ing",VLOOKUP(I1694,Ingreso!K:P,6,0)),IF(F1694&gt;0.25,IF(F1694&lt;0.311805555555556,"Turno A",IF(F1694&gt;0.3125,IF(F1694&lt;0.354166666666667,"Turno C",IF(F1694&gt;0.583333333333333,IF(F1694&lt;0.625,"Turno B",IF(F1694&gt;0.625694444444444,IF(F1694&lt;0.8125,"Turno A",IF(F1694&gt;0.875,IF(F1694&lt;0.936805555555556,"Turno C",IF(F1694&gt;0.9375,IF(F1694&lt;0.979166666666667,"Turno B",""),"")),"")),"")),"")),"")),""))</f>
        <v>Turno A</v>
      </c>
      <c r="L1694" s="91">
        <f t="shared" si="26"/>
        <v>0.3125</v>
      </c>
    </row>
    <row r="1695" spans="1:12" s="40" customFormat="1">
      <c r="A1695">
        <v>15786314</v>
      </c>
      <c r="B1695" t="s">
        <v>496</v>
      </c>
      <c r="C1695" t="s">
        <v>126</v>
      </c>
      <c r="D1695" t="s">
        <v>191</v>
      </c>
      <c r="E1695" t="s">
        <v>1439</v>
      </c>
      <c r="F1695" s="78">
        <v>0.93768518518518518</v>
      </c>
      <c r="G1695" t="s">
        <v>1406</v>
      </c>
      <c r="H1695" t="s">
        <v>1336</v>
      </c>
      <c r="I1695" s="88" t="str">
        <f>VLOOKUP(A1695,Base!A:B,2,0)</f>
        <v>15.786.314-2</v>
      </c>
      <c r="J1695" s="99" t="str">
        <f>VLOOKUP(A1695,Base!A:F,6,0)</f>
        <v>JUAN PABLO  PALMA  VERA</v>
      </c>
      <c r="K1695" s="89" t="str">
        <f>IFERROR(IF(VLOOKUP(I1695,Ingreso!K:P,6,0)=0,"Sin turtno ing",VLOOKUP(I1695,Ingreso!K:P,6,0)),IF(F1695&gt;0.25,IF(F1695&lt;0.311805555555556,"Turno A",IF(F1695&gt;0.3125,IF(F1695&lt;0.354166666666667,"Turno C",IF(F1695&gt;0.583333333333333,IF(F1695&lt;0.625,"Turno B",IF(F1695&gt;0.625694444444444,IF(F1695&lt;0.8125,"Turno A",IF(F1695&gt;0.875,IF(F1695&lt;0.936805555555556,"Turno C",IF(F1695&gt;0.9375,IF(F1695&lt;0.979166666666667,"Turno B",""),"")),"")),"")),"")),"")),""))</f>
        <v>Turno B</v>
      </c>
      <c r="L1695" s="91">
        <f t="shared" si="26"/>
        <v>0.3125</v>
      </c>
    </row>
    <row r="1696" spans="1:12" s="40" customFormat="1">
      <c r="A1696">
        <v>15786314</v>
      </c>
      <c r="B1696" t="s">
        <v>496</v>
      </c>
      <c r="C1696" t="s">
        <v>126</v>
      </c>
      <c r="D1696" t="s">
        <v>191</v>
      </c>
      <c r="E1696" t="s">
        <v>1439</v>
      </c>
      <c r="F1696" s="78">
        <v>0.60401620370370368</v>
      </c>
      <c r="G1696" t="s">
        <v>1405</v>
      </c>
      <c r="H1696" t="s">
        <v>1335</v>
      </c>
      <c r="I1696" s="88" t="str">
        <f>VLOOKUP(A1696,Base!A:B,2,0)</f>
        <v>15.786.314-2</v>
      </c>
      <c r="J1696" s="99" t="str">
        <f>VLOOKUP(A1696,Base!A:F,6,0)</f>
        <v>JUAN PABLO  PALMA  VERA</v>
      </c>
      <c r="K1696" s="89" t="str">
        <f>IFERROR(IF(VLOOKUP(I1696,Ingreso!K:P,6,0)=0,"Sin turtno ing",VLOOKUP(I1696,Ingreso!K:P,6,0)),IF(F1696&gt;0.25,IF(F1696&lt;0.311805555555556,"Turno A",IF(F1696&gt;0.3125,IF(F1696&lt;0.354166666666667,"Turno C",IF(F1696&gt;0.583333333333333,IF(F1696&lt;0.625,"Turno B",IF(F1696&gt;0.625694444444444,IF(F1696&lt;0.8125,"Turno A",IF(F1696&gt;0.875,IF(F1696&lt;0.936805555555556,"Turno C",IF(F1696&gt;0.9375,IF(F1696&lt;0.979166666666667,"Turno B",""),"")),"")),"")),"")),"")),""))</f>
        <v>Turno B</v>
      </c>
      <c r="L1696" s="91">
        <f t="shared" si="26"/>
        <v>0.3125</v>
      </c>
    </row>
    <row r="1697" spans="1:12" s="40" customFormat="1">
      <c r="A1697">
        <v>15823421</v>
      </c>
      <c r="B1697" t="s">
        <v>723</v>
      </c>
      <c r="C1697" t="s">
        <v>722</v>
      </c>
      <c r="D1697" t="s">
        <v>722</v>
      </c>
      <c r="E1697" t="s">
        <v>1440</v>
      </c>
      <c r="F1697" s="78">
        <v>0.32611111111111107</v>
      </c>
      <c r="G1697" t="s">
        <v>1406</v>
      </c>
      <c r="H1697" t="s">
        <v>1336</v>
      </c>
      <c r="I1697" s="88" t="str">
        <f>VLOOKUP(A1697,Base!A:B,2,0)</f>
        <v>15.823.421-1</v>
      </c>
      <c r="J1697" s="99" t="str">
        <f>VLOOKUP(A1697,Base!A:F,6,0)</f>
        <v>ALEXIS  ORIAS  ORIAS</v>
      </c>
      <c r="K1697" s="89" t="str">
        <f>IFERROR(IF(VLOOKUP(I1697,Ingreso!K:P,6,0)=0,"Sin turtno ing",VLOOKUP(I1697,Ingreso!K:P,6,0)),IF(F1697&gt;0.25,IF(F1697&lt;0.311805555555556,"Turno A",IF(F1697&gt;0.3125,IF(F1697&lt;0.354166666666667,"Turno C",IF(F1697&gt;0.583333333333333,IF(F1697&lt;0.625,"Turno B",IF(F1697&gt;0.625694444444444,IF(F1697&lt;0.8125,"Turno A",IF(F1697&gt;0.875,IF(F1697&lt;0.936805555555556,"Turno C",IF(F1697&gt;0.9375,IF(F1697&lt;0.979166666666667,"Turno B",""),"")),"")),"")),"")),"")),""))</f>
        <v>Turno C</v>
      </c>
      <c r="L1697" s="91">
        <f t="shared" si="26"/>
        <v>0.375</v>
      </c>
    </row>
    <row r="1698" spans="1:12" s="40" customFormat="1">
      <c r="A1698">
        <v>15823421</v>
      </c>
      <c r="B1698" t="s">
        <v>723</v>
      </c>
      <c r="C1698" t="s">
        <v>722</v>
      </c>
      <c r="D1698" t="s">
        <v>722</v>
      </c>
      <c r="E1698" t="s">
        <v>1440</v>
      </c>
      <c r="F1698" s="78">
        <v>0.96353009259259259</v>
      </c>
      <c r="G1698" t="s">
        <v>1405</v>
      </c>
      <c r="H1698" t="s">
        <v>1335</v>
      </c>
      <c r="I1698" s="88" t="str">
        <f>VLOOKUP(A1698,Base!A:B,2,0)</f>
        <v>15.823.421-1</v>
      </c>
      <c r="J1698" s="99" t="str">
        <f>VLOOKUP(A1698,Base!A:F,6,0)</f>
        <v>ALEXIS  ORIAS  ORIAS</v>
      </c>
      <c r="K1698" s="89" t="str">
        <f>IFERROR(IF(VLOOKUP(I1698,Ingreso!K:P,6,0)=0,"Sin turtno ing",VLOOKUP(I1698,Ingreso!K:P,6,0)),IF(F1698&gt;0.25,IF(F1698&lt;0.311805555555556,"Turno A",IF(F1698&gt;0.3125,IF(F1698&lt;0.354166666666667,"Turno C",IF(F1698&gt;0.583333333333333,IF(F1698&lt;0.625,"Turno B",IF(F1698&gt;0.625694444444444,IF(F1698&lt;0.8125,"Turno A",IF(F1698&gt;0.875,IF(F1698&lt;0.936805555555556,"Turno C",IF(F1698&gt;0.9375,IF(F1698&lt;0.979166666666667,"Turno B",""),"")),"")),"")),"")),"")),""))</f>
        <v>Turno B</v>
      </c>
      <c r="L1698" s="91">
        <f t="shared" si="26"/>
        <v>0.3125</v>
      </c>
    </row>
    <row r="1699" spans="1:12" s="40" customFormat="1">
      <c r="A1699">
        <v>15823421</v>
      </c>
      <c r="B1699" t="s">
        <v>723</v>
      </c>
      <c r="C1699" t="s">
        <v>722</v>
      </c>
      <c r="D1699" t="s">
        <v>722</v>
      </c>
      <c r="E1699" t="s">
        <v>1441</v>
      </c>
      <c r="F1699" s="78">
        <v>0.3263888888888889</v>
      </c>
      <c r="G1699" t="s">
        <v>1406</v>
      </c>
      <c r="H1699" t="s">
        <v>1336</v>
      </c>
      <c r="I1699" s="88" t="str">
        <f>VLOOKUP(A1699,Base!A:B,2,0)</f>
        <v>15.823.421-1</v>
      </c>
      <c r="J1699" s="99" t="str">
        <f>VLOOKUP(A1699,Base!A:F,6,0)</f>
        <v>ALEXIS  ORIAS  ORIAS</v>
      </c>
      <c r="K1699" s="89" t="str">
        <f>IFERROR(IF(VLOOKUP(I1699,Ingreso!K:P,6,0)=0,"Sin turtno ing",VLOOKUP(I1699,Ingreso!K:P,6,0)),IF(F1699&gt;0.25,IF(F1699&lt;0.311805555555556,"Turno A",IF(F1699&gt;0.3125,IF(F1699&lt;0.354166666666667,"Turno C",IF(F1699&gt;0.583333333333333,IF(F1699&lt;0.625,"Turno B",IF(F1699&gt;0.625694444444444,IF(F1699&lt;0.8125,"Turno A",IF(F1699&gt;0.875,IF(F1699&lt;0.936805555555556,"Turno C",IF(F1699&gt;0.9375,IF(F1699&lt;0.979166666666667,"Turno B",""),"")),"")),"")),"")),"")),""))</f>
        <v>Turno C</v>
      </c>
      <c r="L1699" s="91">
        <f t="shared" si="26"/>
        <v>0.375</v>
      </c>
    </row>
    <row r="1700" spans="1:12" s="40" customFormat="1">
      <c r="A1700">
        <v>15823421</v>
      </c>
      <c r="B1700" t="s">
        <v>723</v>
      </c>
      <c r="C1700" t="s">
        <v>722</v>
      </c>
      <c r="D1700" t="s">
        <v>722</v>
      </c>
      <c r="E1700" t="s">
        <v>1437</v>
      </c>
      <c r="F1700" s="78">
        <v>0.91737268518518522</v>
      </c>
      <c r="G1700" t="s">
        <v>1405</v>
      </c>
      <c r="H1700" t="s">
        <v>1335</v>
      </c>
      <c r="I1700" s="88" t="str">
        <f>VLOOKUP(A1700,Base!A:B,2,0)</f>
        <v>15.823.421-1</v>
      </c>
      <c r="J1700" s="99" t="str">
        <f>VLOOKUP(A1700,Base!A:F,6,0)</f>
        <v>ALEXIS  ORIAS  ORIAS</v>
      </c>
      <c r="K1700" s="89" t="str">
        <f>IFERROR(IF(VLOOKUP(I1700,Ingreso!K:P,6,0)=0,"Sin turtno ing",VLOOKUP(I1700,Ingreso!K:P,6,0)),IF(F1700&gt;0.25,IF(F1700&lt;0.311805555555556,"Turno A",IF(F1700&gt;0.3125,IF(F1700&lt;0.354166666666667,"Turno C",IF(F1700&gt;0.583333333333333,IF(F1700&lt;0.625,"Turno B",IF(F1700&gt;0.625694444444444,IF(F1700&lt;0.8125,"Turno A",IF(F1700&gt;0.875,IF(F1700&lt;0.936805555555556,"Turno C",IF(F1700&gt;0.9375,IF(F1700&lt;0.979166666666667,"Turno B",""),"")),"")),"")),"")),"")),""))</f>
        <v>Turno C</v>
      </c>
      <c r="L1700" s="91">
        <f t="shared" si="26"/>
        <v>0.375</v>
      </c>
    </row>
    <row r="1701" spans="1:12" s="40" customFormat="1">
      <c r="A1701">
        <v>15823421</v>
      </c>
      <c r="B1701" t="s">
        <v>723</v>
      </c>
      <c r="C1701" t="s">
        <v>722</v>
      </c>
      <c r="D1701" t="s">
        <v>722</v>
      </c>
      <c r="E1701" t="s">
        <v>1438</v>
      </c>
      <c r="F1701" s="78">
        <v>0.32098379629629631</v>
      </c>
      <c r="G1701" t="s">
        <v>1406</v>
      </c>
      <c r="H1701" t="s">
        <v>1336</v>
      </c>
      <c r="I1701" s="88" t="str">
        <f>VLOOKUP(A1701,Base!A:B,2,0)</f>
        <v>15.823.421-1</v>
      </c>
      <c r="J1701" s="99" t="str">
        <f>VLOOKUP(A1701,Base!A:F,6,0)</f>
        <v>ALEXIS  ORIAS  ORIAS</v>
      </c>
      <c r="K1701" s="89" t="str">
        <f>IFERROR(IF(VLOOKUP(I1701,Ingreso!K:P,6,0)=0,"Sin turtno ing",VLOOKUP(I1701,Ingreso!K:P,6,0)),IF(F1701&gt;0.25,IF(F1701&lt;0.311805555555556,"Turno A",IF(F1701&gt;0.3125,IF(F1701&lt;0.354166666666667,"Turno C",IF(F1701&gt;0.583333333333333,IF(F1701&lt;0.625,"Turno B",IF(F1701&gt;0.625694444444444,IF(F1701&lt;0.8125,"Turno A",IF(F1701&gt;0.875,IF(F1701&lt;0.936805555555556,"Turno C",IF(F1701&gt;0.9375,IF(F1701&lt;0.979166666666667,"Turno B",""),"")),"")),"")),"")),"")),""))</f>
        <v>Turno C</v>
      </c>
      <c r="L1701" s="91">
        <f t="shared" si="26"/>
        <v>0.375</v>
      </c>
    </row>
    <row r="1702" spans="1:12" s="40" customFormat="1">
      <c r="A1702">
        <v>15823421</v>
      </c>
      <c r="B1702" t="s">
        <v>723</v>
      </c>
      <c r="C1702" t="s">
        <v>722</v>
      </c>
      <c r="D1702" t="s">
        <v>722</v>
      </c>
      <c r="E1702" t="s">
        <v>1438</v>
      </c>
      <c r="F1702" s="78">
        <v>0.9723032407407407</v>
      </c>
      <c r="G1702" t="s">
        <v>1405</v>
      </c>
      <c r="H1702" t="s">
        <v>1335</v>
      </c>
      <c r="I1702" s="88" t="str">
        <f>VLOOKUP(A1702,Base!A:B,2,0)</f>
        <v>15.823.421-1</v>
      </c>
      <c r="J1702" s="99" t="str">
        <f>VLOOKUP(A1702,Base!A:F,6,0)</f>
        <v>ALEXIS  ORIAS  ORIAS</v>
      </c>
      <c r="K1702" s="89" t="str">
        <f>IFERROR(IF(VLOOKUP(I1702,Ingreso!K:P,6,0)=0,"Sin turtno ing",VLOOKUP(I1702,Ingreso!K:P,6,0)),IF(F1702&gt;0.25,IF(F1702&lt;0.311805555555556,"Turno A",IF(F1702&gt;0.3125,IF(F1702&lt;0.354166666666667,"Turno C",IF(F1702&gt;0.583333333333333,IF(F1702&lt;0.625,"Turno B",IF(F1702&gt;0.625694444444444,IF(F1702&lt;0.8125,"Turno A",IF(F1702&gt;0.875,IF(F1702&lt;0.936805555555556,"Turno C",IF(F1702&gt;0.9375,IF(F1702&lt;0.979166666666667,"Turno B",""),"")),"")),"")),"")),"")),""))</f>
        <v>Turno B</v>
      </c>
      <c r="L1702" s="91">
        <f t="shared" si="26"/>
        <v>0.3125</v>
      </c>
    </row>
    <row r="1703" spans="1:12" s="40" customFormat="1">
      <c r="A1703">
        <v>15823421</v>
      </c>
      <c r="B1703" t="s">
        <v>723</v>
      </c>
      <c r="C1703" t="s">
        <v>722</v>
      </c>
      <c r="D1703" t="s">
        <v>722</v>
      </c>
      <c r="E1703" t="s">
        <v>1439</v>
      </c>
      <c r="F1703" s="78">
        <v>0.32858796296296294</v>
      </c>
      <c r="G1703" t="s">
        <v>1406</v>
      </c>
      <c r="H1703" t="s">
        <v>1336</v>
      </c>
      <c r="I1703" s="88" t="str">
        <f>VLOOKUP(A1703,Base!A:B,2,0)</f>
        <v>15.823.421-1</v>
      </c>
      <c r="J1703" s="99" t="str">
        <f>VLOOKUP(A1703,Base!A:F,6,0)</f>
        <v>ALEXIS  ORIAS  ORIAS</v>
      </c>
      <c r="K1703" s="89" t="str">
        <f>IFERROR(IF(VLOOKUP(I1703,Ingreso!K:P,6,0)=0,"Sin turtno ing",VLOOKUP(I1703,Ingreso!K:P,6,0)),IF(F1703&gt;0.25,IF(F1703&lt;0.311805555555556,"Turno A",IF(F1703&gt;0.3125,IF(F1703&lt;0.354166666666667,"Turno C",IF(F1703&gt;0.583333333333333,IF(F1703&lt;0.625,"Turno B",IF(F1703&gt;0.625694444444444,IF(F1703&lt;0.8125,"Turno A",IF(F1703&gt;0.875,IF(F1703&lt;0.936805555555556,"Turno C",IF(F1703&gt;0.9375,IF(F1703&lt;0.979166666666667,"Turno B",""),"")),"")),"")),"")),"")),""))</f>
        <v>Turno C</v>
      </c>
      <c r="L1703" s="91">
        <f t="shared" si="26"/>
        <v>0.375</v>
      </c>
    </row>
    <row r="1704" spans="1:12" s="40" customFormat="1">
      <c r="A1704">
        <v>15823421</v>
      </c>
      <c r="B1704" t="s">
        <v>723</v>
      </c>
      <c r="C1704" t="s">
        <v>722</v>
      </c>
      <c r="D1704" t="s">
        <v>722</v>
      </c>
      <c r="E1704" t="s">
        <v>1439</v>
      </c>
      <c r="F1704" s="78">
        <v>0.95163194444444443</v>
      </c>
      <c r="G1704" t="s">
        <v>1405</v>
      </c>
      <c r="H1704" t="s">
        <v>1335</v>
      </c>
      <c r="I1704" s="88" t="str">
        <f>VLOOKUP(A1704,Base!A:B,2,0)</f>
        <v>15.823.421-1</v>
      </c>
      <c r="J1704" s="99" t="str">
        <f>VLOOKUP(A1704,Base!A:F,6,0)</f>
        <v>ALEXIS  ORIAS  ORIAS</v>
      </c>
      <c r="K1704" s="89" t="str">
        <f>IFERROR(IF(VLOOKUP(I1704,Ingreso!K:P,6,0)=0,"Sin turtno ing",VLOOKUP(I1704,Ingreso!K:P,6,0)),IF(F1704&gt;0.25,IF(F1704&lt;0.311805555555556,"Turno A",IF(F1704&gt;0.3125,IF(F1704&lt;0.354166666666667,"Turno C",IF(F1704&gt;0.583333333333333,IF(F1704&lt;0.625,"Turno B",IF(F1704&gt;0.625694444444444,IF(F1704&lt;0.8125,"Turno A",IF(F1704&gt;0.875,IF(F1704&lt;0.936805555555556,"Turno C",IF(F1704&gt;0.9375,IF(F1704&lt;0.979166666666667,"Turno B",""),"")),"")),"")),"")),"")),""))</f>
        <v>Turno B</v>
      </c>
      <c r="L1704" s="91">
        <f t="shared" si="26"/>
        <v>0.3125</v>
      </c>
    </row>
    <row r="1705" spans="1:12" s="40" customFormat="1">
      <c r="A1705">
        <v>15891790</v>
      </c>
      <c r="B1705" t="s">
        <v>133</v>
      </c>
      <c r="C1705" t="s">
        <v>960</v>
      </c>
      <c r="D1705" t="s">
        <v>968</v>
      </c>
      <c r="E1705" t="s">
        <v>1440</v>
      </c>
      <c r="F1705" s="78">
        <v>0.71418981481481481</v>
      </c>
      <c r="G1705" t="s">
        <v>1406</v>
      </c>
      <c r="H1705" t="s">
        <v>1336</v>
      </c>
      <c r="I1705" s="88" t="str">
        <f>VLOOKUP(A1705,Base!A:B,2,0)</f>
        <v>15.891.790-4</v>
      </c>
      <c r="J1705" s="99" t="str">
        <f>VLOOKUP(A1705,Base!A:F,6,0)</f>
        <v>LUIS ALBERTO  SALINAS  SALDIAS</v>
      </c>
      <c r="K1705" s="89" t="str">
        <f>IFERROR(IF(VLOOKUP(I1705,Ingreso!K:P,6,0)=0,"Sin turtno ing",VLOOKUP(I1705,Ingreso!K:P,6,0)),IF(F1705&gt;0.25,IF(F1705&lt;0.311805555555556,"Turno A",IF(F1705&gt;0.3125,IF(F1705&lt;0.354166666666667,"Turno C",IF(F1705&gt;0.583333333333333,IF(F1705&lt;0.625,"Turno B",IF(F1705&gt;0.625694444444444,IF(F1705&lt;0.8125,"Turno A",IF(F1705&gt;0.875,IF(F1705&lt;0.936805555555556,"Turno C",IF(F1705&gt;0.9375,IF(F1705&lt;0.979166666666667,"Turno B",""),"")),"")),"")),"")),"")),""))</f>
        <v>Turno A</v>
      </c>
      <c r="L1705" s="91">
        <f t="shared" si="26"/>
        <v>0.3125</v>
      </c>
    </row>
    <row r="1706" spans="1:12" s="40" customFormat="1">
      <c r="A1706">
        <v>15891790</v>
      </c>
      <c r="B1706" t="s">
        <v>133</v>
      </c>
      <c r="C1706" t="s">
        <v>960</v>
      </c>
      <c r="D1706" t="s">
        <v>968</v>
      </c>
      <c r="E1706" t="s">
        <v>1440</v>
      </c>
      <c r="F1706" s="78">
        <v>0.31085648148148148</v>
      </c>
      <c r="G1706" t="s">
        <v>1405</v>
      </c>
      <c r="H1706" t="s">
        <v>1335</v>
      </c>
      <c r="I1706" s="88" t="str">
        <f>VLOOKUP(A1706,Base!A:B,2,0)</f>
        <v>15.891.790-4</v>
      </c>
      <c r="J1706" s="99" t="str">
        <f>VLOOKUP(A1706,Base!A:F,6,0)</f>
        <v>LUIS ALBERTO  SALINAS  SALDIAS</v>
      </c>
      <c r="K1706" s="89" t="str">
        <f>IFERROR(IF(VLOOKUP(I1706,Ingreso!K:P,6,0)=0,"Sin turtno ing",VLOOKUP(I1706,Ingreso!K:P,6,0)),IF(F1706&gt;0.25,IF(F1706&lt;0.311805555555556,"Turno A",IF(F1706&gt;0.3125,IF(F1706&lt;0.354166666666667,"Turno C",IF(F1706&gt;0.583333333333333,IF(F1706&lt;0.625,"Turno B",IF(F1706&gt;0.625694444444444,IF(F1706&lt;0.8125,"Turno A",IF(F1706&gt;0.875,IF(F1706&lt;0.936805555555556,"Turno C",IF(F1706&gt;0.9375,IF(F1706&lt;0.979166666666667,"Turno B",""),"")),"")),"")),"")),"")),""))</f>
        <v>Turno A</v>
      </c>
      <c r="L1706" s="91">
        <f t="shared" si="26"/>
        <v>0.3125</v>
      </c>
    </row>
    <row r="1707" spans="1:12" s="40" customFormat="1">
      <c r="A1707">
        <v>15891790</v>
      </c>
      <c r="B1707" t="s">
        <v>133</v>
      </c>
      <c r="C1707" t="s">
        <v>960</v>
      </c>
      <c r="D1707" t="s">
        <v>968</v>
      </c>
      <c r="E1707" t="s">
        <v>1441</v>
      </c>
      <c r="F1707" s="78">
        <v>0.63063657407407414</v>
      </c>
      <c r="G1707" t="s">
        <v>1406</v>
      </c>
      <c r="H1707" t="s">
        <v>1336</v>
      </c>
      <c r="I1707" s="88" t="str">
        <f>VLOOKUP(A1707,Base!A:B,2,0)</f>
        <v>15.891.790-4</v>
      </c>
      <c r="J1707" s="99" t="str">
        <f>VLOOKUP(A1707,Base!A:F,6,0)</f>
        <v>LUIS ALBERTO  SALINAS  SALDIAS</v>
      </c>
      <c r="K1707" s="89" t="str">
        <f>IFERROR(IF(VLOOKUP(I1707,Ingreso!K:P,6,0)=0,"Sin turtno ing",VLOOKUP(I1707,Ingreso!K:P,6,0)),IF(F1707&gt;0.25,IF(F1707&lt;0.311805555555556,"Turno A",IF(F1707&gt;0.3125,IF(F1707&lt;0.354166666666667,"Turno C",IF(F1707&gt;0.583333333333333,IF(F1707&lt;0.625,"Turno B",IF(F1707&gt;0.625694444444444,IF(F1707&lt;0.8125,"Turno A",IF(F1707&gt;0.875,IF(F1707&lt;0.936805555555556,"Turno C",IF(F1707&gt;0.9375,IF(F1707&lt;0.979166666666667,"Turno B",""),"")),"")),"")),"")),"")),""))</f>
        <v>Turno A</v>
      </c>
      <c r="L1707" s="91">
        <f t="shared" si="26"/>
        <v>0.3125</v>
      </c>
    </row>
    <row r="1708" spans="1:12" s="40" customFormat="1">
      <c r="A1708">
        <v>15891790</v>
      </c>
      <c r="B1708" t="s">
        <v>133</v>
      </c>
      <c r="C1708" t="s">
        <v>960</v>
      </c>
      <c r="D1708" t="s">
        <v>968</v>
      </c>
      <c r="E1708" t="s">
        <v>1441</v>
      </c>
      <c r="F1708" s="78">
        <v>0.34748842592592594</v>
      </c>
      <c r="G1708" t="s">
        <v>1405</v>
      </c>
      <c r="H1708" t="s">
        <v>1335</v>
      </c>
      <c r="I1708" s="88" t="str">
        <f>VLOOKUP(A1708,Base!A:B,2,0)</f>
        <v>15.891.790-4</v>
      </c>
      <c r="J1708" s="99" t="str">
        <f>VLOOKUP(A1708,Base!A:F,6,0)</f>
        <v>LUIS ALBERTO  SALINAS  SALDIAS</v>
      </c>
      <c r="K1708" s="89" t="str">
        <f>IFERROR(IF(VLOOKUP(I1708,Ingreso!K:P,6,0)=0,"Sin turtno ing",VLOOKUP(I1708,Ingreso!K:P,6,0)),IF(F1708&gt;0.25,IF(F1708&lt;0.311805555555556,"Turno A",IF(F1708&gt;0.3125,IF(F1708&lt;0.354166666666667,"Turno C",IF(F1708&gt;0.583333333333333,IF(F1708&lt;0.625,"Turno B",IF(F1708&gt;0.625694444444444,IF(F1708&lt;0.8125,"Turno A",IF(F1708&gt;0.875,IF(F1708&lt;0.936805555555556,"Turno C",IF(F1708&gt;0.9375,IF(F1708&lt;0.979166666666667,"Turno B",""),"")),"")),"")),"")),"")),""))</f>
        <v>Turno C</v>
      </c>
      <c r="L1708" s="91">
        <f t="shared" si="26"/>
        <v>0.375</v>
      </c>
    </row>
    <row r="1709" spans="1:12" s="40" customFormat="1">
      <c r="A1709">
        <v>15891790</v>
      </c>
      <c r="B1709" t="s">
        <v>133</v>
      </c>
      <c r="C1709" t="s">
        <v>960</v>
      </c>
      <c r="D1709" t="s">
        <v>968</v>
      </c>
      <c r="E1709" t="s">
        <v>1437</v>
      </c>
      <c r="F1709" s="78">
        <v>0.73280092592592594</v>
      </c>
      <c r="G1709" t="s">
        <v>1406</v>
      </c>
      <c r="H1709" t="s">
        <v>1336</v>
      </c>
      <c r="I1709" s="88" t="str">
        <f>VLOOKUP(A1709,Base!A:B,2,0)</f>
        <v>15.891.790-4</v>
      </c>
      <c r="J1709" s="99" t="str">
        <f>VLOOKUP(A1709,Base!A:F,6,0)</f>
        <v>LUIS ALBERTO  SALINAS  SALDIAS</v>
      </c>
      <c r="K1709" s="89" t="str">
        <f>IFERROR(IF(VLOOKUP(I1709,Ingreso!K:P,6,0)=0,"Sin turtno ing",VLOOKUP(I1709,Ingreso!K:P,6,0)),IF(F1709&gt;0.25,IF(F1709&lt;0.311805555555556,"Turno A",IF(F1709&gt;0.3125,IF(F1709&lt;0.354166666666667,"Turno C",IF(F1709&gt;0.583333333333333,IF(F1709&lt;0.625,"Turno B",IF(F1709&gt;0.625694444444444,IF(F1709&lt;0.8125,"Turno A",IF(F1709&gt;0.875,IF(F1709&lt;0.936805555555556,"Turno C",IF(F1709&gt;0.9375,IF(F1709&lt;0.979166666666667,"Turno B",""),"")),"")),"")),"")),"")),""))</f>
        <v>Turno A</v>
      </c>
      <c r="L1709" s="91">
        <f t="shared" si="26"/>
        <v>0.3125</v>
      </c>
    </row>
    <row r="1710" spans="1:12" s="40" customFormat="1">
      <c r="A1710">
        <v>15891790</v>
      </c>
      <c r="B1710" t="s">
        <v>133</v>
      </c>
      <c r="C1710" t="s">
        <v>960</v>
      </c>
      <c r="D1710" t="s">
        <v>968</v>
      </c>
      <c r="E1710" t="s">
        <v>1437</v>
      </c>
      <c r="F1710" s="78">
        <v>0.31165509259259261</v>
      </c>
      <c r="G1710" t="s">
        <v>1405</v>
      </c>
      <c r="H1710" t="s">
        <v>1335</v>
      </c>
      <c r="I1710" s="88" t="str">
        <f>VLOOKUP(A1710,Base!A:B,2,0)</f>
        <v>15.891.790-4</v>
      </c>
      <c r="J1710" s="99" t="str">
        <f>VLOOKUP(A1710,Base!A:F,6,0)</f>
        <v>LUIS ALBERTO  SALINAS  SALDIAS</v>
      </c>
      <c r="K1710" s="89" t="str">
        <f>IFERROR(IF(VLOOKUP(I1710,Ingreso!K:P,6,0)=0,"Sin turtno ing",VLOOKUP(I1710,Ingreso!K:P,6,0)),IF(F1710&gt;0.25,IF(F1710&lt;0.311805555555556,"Turno A",IF(F1710&gt;0.3125,IF(F1710&lt;0.354166666666667,"Turno C",IF(F1710&gt;0.583333333333333,IF(F1710&lt;0.625,"Turno B",IF(F1710&gt;0.625694444444444,IF(F1710&lt;0.8125,"Turno A",IF(F1710&gt;0.875,IF(F1710&lt;0.936805555555556,"Turno C",IF(F1710&gt;0.9375,IF(F1710&lt;0.979166666666667,"Turno B",""),"")),"")),"")),"")),"")),""))</f>
        <v>Turno A</v>
      </c>
      <c r="L1710" s="91">
        <f t="shared" si="26"/>
        <v>0.3125</v>
      </c>
    </row>
    <row r="1711" spans="1:12" s="40" customFormat="1">
      <c r="A1711">
        <v>15891790</v>
      </c>
      <c r="B1711" t="s">
        <v>133</v>
      </c>
      <c r="C1711" t="s">
        <v>960</v>
      </c>
      <c r="D1711" t="s">
        <v>968</v>
      </c>
      <c r="E1711" t="s">
        <v>1438</v>
      </c>
      <c r="F1711" s="78">
        <v>0.7034259259259259</v>
      </c>
      <c r="G1711" t="s">
        <v>1406</v>
      </c>
      <c r="H1711" t="s">
        <v>1336</v>
      </c>
      <c r="I1711" s="88" t="str">
        <f>VLOOKUP(A1711,Base!A:B,2,0)</f>
        <v>15.891.790-4</v>
      </c>
      <c r="J1711" s="99" t="str">
        <f>VLOOKUP(A1711,Base!A:F,6,0)</f>
        <v>LUIS ALBERTO  SALINAS  SALDIAS</v>
      </c>
      <c r="K1711" s="89" t="str">
        <f>IFERROR(IF(VLOOKUP(I1711,Ingreso!K:P,6,0)=0,"Sin turtno ing",VLOOKUP(I1711,Ingreso!K:P,6,0)),IF(F1711&gt;0.25,IF(F1711&lt;0.311805555555556,"Turno A",IF(F1711&gt;0.3125,IF(F1711&lt;0.354166666666667,"Turno C",IF(F1711&gt;0.583333333333333,IF(F1711&lt;0.625,"Turno B",IF(F1711&gt;0.625694444444444,IF(F1711&lt;0.8125,"Turno A",IF(F1711&gt;0.875,IF(F1711&lt;0.936805555555556,"Turno C",IF(F1711&gt;0.9375,IF(F1711&lt;0.979166666666667,"Turno B",""),"")),"")),"")),"")),"")),""))</f>
        <v>Turno A</v>
      </c>
      <c r="L1711" s="91">
        <f t="shared" si="26"/>
        <v>0.3125</v>
      </c>
    </row>
    <row r="1712" spans="1:12" s="40" customFormat="1">
      <c r="A1712">
        <v>15891790</v>
      </c>
      <c r="B1712" t="s">
        <v>133</v>
      </c>
      <c r="C1712" t="s">
        <v>960</v>
      </c>
      <c r="D1712" t="s">
        <v>968</v>
      </c>
      <c r="E1712" t="s">
        <v>1438</v>
      </c>
      <c r="F1712" s="78">
        <v>0.29170138888888891</v>
      </c>
      <c r="G1712" t="s">
        <v>1405</v>
      </c>
      <c r="H1712" t="s">
        <v>1335</v>
      </c>
      <c r="I1712" s="88" t="str">
        <f>VLOOKUP(A1712,Base!A:B,2,0)</f>
        <v>15.891.790-4</v>
      </c>
      <c r="J1712" s="99" t="str">
        <f>VLOOKUP(A1712,Base!A:F,6,0)</f>
        <v>LUIS ALBERTO  SALINAS  SALDIAS</v>
      </c>
      <c r="K1712" s="89" t="str">
        <f>IFERROR(IF(VLOOKUP(I1712,Ingreso!K:P,6,0)=0,"Sin turtno ing",VLOOKUP(I1712,Ingreso!K:P,6,0)),IF(F1712&gt;0.25,IF(F1712&lt;0.311805555555556,"Turno A",IF(F1712&gt;0.3125,IF(F1712&lt;0.354166666666667,"Turno C",IF(F1712&gt;0.583333333333333,IF(F1712&lt;0.625,"Turno B",IF(F1712&gt;0.625694444444444,IF(F1712&lt;0.8125,"Turno A",IF(F1712&gt;0.875,IF(F1712&lt;0.936805555555556,"Turno C",IF(F1712&gt;0.9375,IF(F1712&lt;0.979166666666667,"Turno B",""),"")),"")),"")),"")),"")),""))</f>
        <v>Turno A</v>
      </c>
      <c r="L1712" s="91">
        <f t="shared" si="26"/>
        <v>0.3125</v>
      </c>
    </row>
    <row r="1713" spans="1:12" s="40" customFormat="1">
      <c r="A1713">
        <v>15891790</v>
      </c>
      <c r="B1713" t="s">
        <v>133</v>
      </c>
      <c r="C1713" t="s">
        <v>960</v>
      </c>
      <c r="D1713" t="s">
        <v>968</v>
      </c>
      <c r="E1713" t="s">
        <v>1439</v>
      </c>
      <c r="F1713" s="78">
        <v>0.63016203703703699</v>
      </c>
      <c r="G1713" t="s">
        <v>1406</v>
      </c>
      <c r="H1713" t="s">
        <v>1336</v>
      </c>
      <c r="I1713" s="88" t="str">
        <f>VLOOKUP(A1713,Base!A:B,2,0)</f>
        <v>15.891.790-4</v>
      </c>
      <c r="J1713" s="99" t="str">
        <f>VLOOKUP(A1713,Base!A:F,6,0)</f>
        <v>LUIS ALBERTO  SALINAS  SALDIAS</v>
      </c>
      <c r="K1713" s="89" t="str">
        <f>IFERROR(IF(VLOOKUP(I1713,Ingreso!K:P,6,0)=0,"Sin turtno ing",VLOOKUP(I1713,Ingreso!K:P,6,0)),IF(F1713&gt;0.25,IF(F1713&lt;0.311805555555556,"Turno A",IF(F1713&gt;0.3125,IF(F1713&lt;0.354166666666667,"Turno C",IF(F1713&gt;0.583333333333333,IF(F1713&lt;0.625,"Turno B",IF(F1713&gt;0.625694444444444,IF(F1713&lt;0.8125,"Turno A",IF(F1713&gt;0.875,IF(F1713&lt;0.936805555555556,"Turno C",IF(F1713&gt;0.9375,IF(F1713&lt;0.979166666666667,"Turno B",""),"")),"")),"")),"")),"")),""))</f>
        <v>Turno A</v>
      </c>
      <c r="L1713" s="91">
        <f t="shared" si="26"/>
        <v>0.3125</v>
      </c>
    </row>
    <row r="1714" spans="1:12" s="40" customFormat="1">
      <c r="A1714">
        <v>15891790</v>
      </c>
      <c r="B1714" t="s">
        <v>133</v>
      </c>
      <c r="C1714" t="s">
        <v>960</v>
      </c>
      <c r="D1714" t="s">
        <v>968</v>
      </c>
      <c r="E1714" t="s">
        <v>1439</v>
      </c>
      <c r="F1714" s="78">
        <v>0.31078703703703703</v>
      </c>
      <c r="G1714" t="s">
        <v>1405</v>
      </c>
      <c r="H1714" t="s">
        <v>1335</v>
      </c>
      <c r="I1714" s="88" t="str">
        <f>VLOOKUP(A1714,Base!A:B,2,0)</f>
        <v>15.891.790-4</v>
      </c>
      <c r="J1714" s="99" t="str">
        <f>VLOOKUP(A1714,Base!A:F,6,0)</f>
        <v>LUIS ALBERTO  SALINAS  SALDIAS</v>
      </c>
      <c r="K1714" s="89" t="str">
        <f>IFERROR(IF(VLOOKUP(I1714,Ingreso!K:P,6,0)=0,"Sin turtno ing",VLOOKUP(I1714,Ingreso!K:P,6,0)),IF(F1714&gt;0.25,IF(F1714&lt;0.311805555555556,"Turno A",IF(F1714&gt;0.3125,IF(F1714&lt;0.354166666666667,"Turno C",IF(F1714&gt;0.583333333333333,IF(F1714&lt;0.625,"Turno B",IF(F1714&gt;0.625694444444444,IF(F1714&lt;0.8125,"Turno A",IF(F1714&gt;0.875,IF(F1714&lt;0.936805555555556,"Turno C",IF(F1714&gt;0.9375,IF(F1714&lt;0.979166666666667,"Turno B",""),"")),"")),"")),"")),"")),""))</f>
        <v>Turno A</v>
      </c>
      <c r="L1714" s="91">
        <f t="shared" si="26"/>
        <v>0.3125</v>
      </c>
    </row>
    <row r="1715" spans="1:12" s="40" customFormat="1">
      <c r="A1715">
        <v>15899732</v>
      </c>
      <c r="B1715" t="s">
        <v>516</v>
      </c>
      <c r="C1715" t="s">
        <v>515</v>
      </c>
      <c r="D1715" t="s">
        <v>61</v>
      </c>
      <c r="E1715" t="s">
        <v>1440</v>
      </c>
      <c r="F1715" s="78">
        <v>0.32748842592592592</v>
      </c>
      <c r="G1715" t="s">
        <v>1406</v>
      </c>
      <c r="H1715" t="s">
        <v>1336</v>
      </c>
      <c r="I1715" s="88" t="str">
        <f>VLOOKUP(A1715,Base!A:B,2,0)</f>
        <v>15.899.732-0</v>
      </c>
      <c r="J1715" s="99" t="str">
        <f>VLOOKUP(A1715,Base!A:F,6,0)</f>
        <v>ALEJANDRO ANDRES  JAQUE  VARGAS</v>
      </c>
      <c r="K1715" s="89" t="str">
        <f>IFERROR(IF(VLOOKUP(I1715,Ingreso!K:P,6,0)=0,"Sin turtno ing",VLOOKUP(I1715,Ingreso!K:P,6,0)),IF(F1715&gt;0.25,IF(F1715&lt;0.311805555555556,"Turno A",IF(F1715&gt;0.3125,IF(F1715&lt;0.354166666666667,"Turno C",IF(F1715&gt;0.583333333333333,IF(F1715&lt;0.625,"Turno B",IF(F1715&gt;0.625694444444444,IF(F1715&lt;0.8125,"Turno A",IF(F1715&gt;0.875,IF(F1715&lt;0.936805555555556,"Turno C",IF(F1715&gt;0.9375,IF(F1715&lt;0.979166666666667,"Turno B",""),"")),"")),"")),"")),"")),""))</f>
        <v>Turno C</v>
      </c>
      <c r="L1715" s="91">
        <f t="shared" si="26"/>
        <v>0.375</v>
      </c>
    </row>
    <row r="1716" spans="1:12" s="40" customFormat="1">
      <c r="A1716">
        <v>15899732</v>
      </c>
      <c r="B1716" t="s">
        <v>516</v>
      </c>
      <c r="C1716" t="s">
        <v>515</v>
      </c>
      <c r="D1716" t="s">
        <v>61</v>
      </c>
      <c r="E1716" t="s">
        <v>1440</v>
      </c>
      <c r="F1716" s="78">
        <v>0.91984953703703709</v>
      </c>
      <c r="G1716" t="s">
        <v>1405</v>
      </c>
      <c r="H1716" t="s">
        <v>1335</v>
      </c>
      <c r="I1716" s="88" t="str">
        <f>VLOOKUP(A1716,Base!A:B,2,0)</f>
        <v>15.899.732-0</v>
      </c>
      <c r="J1716" s="99" t="str">
        <f>VLOOKUP(A1716,Base!A:F,6,0)</f>
        <v>ALEJANDRO ANDRES  JAQUE  VARGAS</v>
      </c>
      <c r="K1716" s="89" t="str">
        <f>IFERROR(IF(VLOOKUP(I1716,Ingreso!K:P,6,0)=0,"Sin turtno ing",VLOOKUP(I1716,Ingreso!K:P,6,0)),IF(F1716&gt;0.25,IF(F1716&lt;0.311805555555556,"Turno A",IF(F1716&gt;0.3125,IF(F1716&lt;0.354166666666667,"Turno C",IF(F1716&gt;0.583333333333333,IF(F1716&lt;0.625,"Turno B",IF(F1716&gt;0.625694444444444,IF(F1716&lt;0.8125,"Turno A",IF(F1716&gt;0.875,IF(F1716&lt;0.936805555555556,"Turno C",IF(F1716&gt;0.9375,IF(F1716&lt;0.979166666666667,"Turno B",""),"")),"")),"")),"")),"")),""))</f>
        <v>Turno C</v>
      </c>
      <c r="L1716" s="91">
        <f t="shared" si="26"/>
        <v>0.375</v>
      </c>
    </row>
    <row r="1717" spans="1:12" s="40" customFormat="1">
      <c r="A1717">
        <v>15899732</v>
      </c>
      <c r="B1717" t="s">
        <v>516</v>
      </c>
      <c r="C1717" t="s">
        <v>515</v>
      </c>
      <c r="D1717" t="s">
        <v>61</v>
      </c>
      <c r="E1717" t="s">
        <v>1441</v>
      </c>
      <c r="F1717" s="78">
        <v>0.32972222222222219</v>
      </c>
      <c r="G1717" t="s">
        <v>1406</v>
      </c>
      <c r="H1717" t="s">
        <v>1336</v>
      </c>
      <c r="I1717" s="88" t="str">
        <f>VLOOKUP(A1717,Base!A:B,2,0)</f>
        <v>15.899.732-0</v>
      </c>
      <c r="J1717" s="99" t="str">
        <f>VLOOKUP(A1717,Base!A:F,6,0)</f>
        <v>ALEJANDRO ANDRES  JAQUE  VARGAS</v>
      </c>
      <c r="K1717" s="89" t="str">
        <f>IFERROR(IF(VLOOKUP(I1717,Ingreso!K:P,6,0)=0,"Sin turtno ing",VLOOKUP(I1717,Ingreso!K:P,6,0)),IF(F1717&gt;0.25,IF(F1717&lt;0.311805555555556,"Turno A",IF(F1717&gt;0.3125,IF(F1717&lt;0.354166666666667,"Turno C",IF(F1717&gt;0.583333333333333,IF(F1717&lt;0.625,"Turno B",IF(F1717&gt;0.625694444444444,IF(F1717&lt;0.8125,"Turno A",IF(F1717&gt;0.875,IF(F1717&lt;0.936805555555556,"Turno C",IF(F1717&gt;0.9375,IF(F1717&lt;0.979166666666667,"Turno B",""),"")),"")),"")),"")),"")),""))</f>
        <v>Turno C</v>
      </c>
      <c r="L1717" s="91">
        <f t="shared" si="26"/>
        <v>0.375</v>
      </c>
    </row>
    <row r="1718" spans="1:12" s="40" customFormat="1">
      <c r="A1718">
        <v>15899732</v>
      </c>
      <c r="B1718" t="s">
        <v>516</v>
      </c>
      <c r="C1718" t="s">
        <v>515</v>
      </c>
      <c r="D1718" t="s">
        <v>61</v>
      </c>
      <c r="E1718" t="s">
        <v>1437</v>
      </c>
      <c r="F1718" s="78">
        <v>0.91740740740740734</v>
      </c>
      <c r="G1718" t="s">
        <v>1405</v>
      </c>
      <c r="H1718" t="s">
        <v>1335</v>
      </c>
      <c r="I1718" s="88" t="str">
        <f>VLOOKUP(A1718,Base!A:B,2,0)</f>
        <v>15.899.732-0</v>
      </c>
      <c r="J1718" s="99" t="str">
        <f>VLOOKUP(A1718,Base!A:F,6,0)</f>
        <v>ALEJANDRO ANDRES  JAQUE  VARGAS</v>
      </c>
      <c r="K1718" s="89" t="str">
        <f>IFERROR(IF(VLOOKUP(I1718,Ingreso!K:P,6,0)=0,"Sin turtno ing",VLOOKUP(I1718,Ingreso!K:P,6,0)),IF(F1718&gt;0.25,IF(F1718&lt;0.311805555555556,"Turno A",IF(F1718&gt;0.3125,IF(F1718&lt;0.354166666666667,"Turno C",IF(F1718&gt;0.583333333333333,IF(F1718&lt;0.625,"Turno B",IF(F1718&gt;0.625694444444444,IF(F1718&lt;0.8125,"Turno A",IF(F1718&gt;0.875,IF(F1718&lt;0.936805555555556,"Turno C",IF(F1718&gt;0.9375,IF(F1718&lt;0.979166666666667,"Turno B",""),"")),"")),"")),"")),"")),""))</f>
        <v>Turno C</v>
      </c>
      <c r="L1718" s="91">
        <f t="shared" si="26"/>
        <v>0.375</v>
      </c>
    </row>
    <row r="1719" spans="1:12" s="40" customFormat="1">
      <c r="A1719">
        <v>15899732</v>
      </c>
      <c r="B1719" t="s">
        <v>516</v>
      </c>
      <c r="C1719" t="s">
        <v>515</v>
      </c>
      <c r="D1719" t="s">
        <v>61</v>
      </c>
      <c r="E1719" t="s">
        <v>1438</v>
      </c>
      <c r="F1719" s="78">
        <v>0.32436342592592593</v>
      </c>
      <c r="G1719" t="s">
        <v>1406</v>
      </c>
      <c r="H1719" t="s">
        <v>1336</v>
      </c>
      <c r="I1719" s="88" t="str">
        <f>VLOOKUP(A1719,Base!A:B,2,0)</f>
        <v>15.899.732-0</v>
      </c>
      <c r="J1719" s="99" t="str">
        <f>VLOOKUP(A1719,Base!A:F,6,0)</f>
        <v>ALEJANDRO ANDRES  JAQUE  VARGAS</v>
      </c>
      <c r="K1719" s="89" t="str">
        <f>IFERROR(IF(VLOOKUP(I1719,Ingreso!K:P,6,0)=0,"Sin turtno ing",VLOOKUP(I1719,Ingreso!K:P,6,0)),IF(F1719&gt;0.25,IF(F1719&lt;0.311805555555556,"Turno A",IF(F1719&gt;0.3125,IF(F1719&lt;0.354166666666667,"Turno C",IF(F1719&gt;0.583333333333333,IF(F1719&lt;0.625,"Turno B",IF(F1719&gt;0.625694444444444,IF(F1719&lt;0.8125,"Turno A",IF(F1719&gt;0.875,IF(F1719&lt;0.936805555555556,"Turno C",IF(F1719&gt;0.9375,IF(F1719&lt;0.979166666666667,"Turno B",""),"")),"")),"")),"")),"")),""))</f>
        <v>Turno C</v>
      </c>
      <c r="L1719" s="91">
        <f t="shared" si="26"/>
        <v>0.375</v>
      </c>
    </row>
    <row r="1720" spans="1:12" s="40" customFormat="1">
      <c r="A1720">
        <v>15899732</v>
      </c>
      <c r="B1720" t="s">
        <v>516</v>
      </c>
      <c r="C1720" t="s">
        <v>515</v>
      </c>
      <c r="D1720" t="s">
        <v>61</v>
      </c>
      <c r="E1720" t="s">
        <v>1438</v>
      </c>
      <c r="F1720" s="78">
        <v>0.93136574074074074</v>
      </c>
      <c r="G1720" t="s">
        <v>1405</v>
      </c>
      <c r="H1720" t="s">
        <v>1335</v>
      </c>
      <c r="I1720" s="88" t="str">
        <f>VLOOKUP(A1720,Base!A:B,2,0)</f>
        <v>15.899.732-0</v>
      </c>
      <c r="J1720" s="99" t="str">
        <f>VLOOKUP(A1720,Base!A:F,6,0)</f>
        <v>ALEJANDRO ANDRES  JAQUE  VARGAS</v>
      </c>
      <c r="K1720" s="89" t="str">
        <f>IFERROR(IF(VLOOKUP(I1720,Ingreso!K:P,6,0)=0,"Sin turtno ing",VLOOKUP(I1720,Ingreso!K:P,6,0)),IF(F1720&gt;0.25,IF(F1720&lt;0.311805555555556,"Turno A",IF(F1720&gt;0.3125,IF(F1720&lt;0.354166666666667,"Turno C",IF(F1720&gt;0.583333333333333,IF(F1720&lt;0.625,"Turno B",IF(F1720&gt;0.625694444444444,IF(F1720&lt;0.8125,"Turno A",IF(F1720&gt;0.875,IF(F1720&lt;0.936805555555556,"Turno C",IF(F1720&gt;0.9375,IF(F1720&lt;0.979166666666667,"Turno B",""),"")),"")),"")),"")),"")),""))</f>
        <v>Turno C</v>
      </c>
      <c r="L1720" s="91">
        <f t="shared" si="26"/>
        <v>0.375</v>
      </c>
    </row>
    <row r="1721" spans="1:12" s="40" customFormat="1">
      <c r="A1721">
        <v>15899732</v>
      </c>
      <c r="B1721" t="s">
        <v>516</v>
      </c>
      <c r="C1721" t="s">
        <v>515</v>
      </c>
      <c r="D1721" t="s">
        <v>61</v>
      </c>
      <c r="E1721" t="s">
        <v>1439</v>
      </c>
      <c r="F1721" s="78">
        <v>0.33059027777777777</v>
      </c>
      <c r="G1721" t="s">
        <v>1406</v>
      </c>
      <c r="H1721" t="s">
        <v>1336</v>
      </c>
      <c r="I1721" s="88" t="str">
        <f>VLOOKUP(A1721,Base!A:B,2,0)</f>
        <v>15.899.732-0</v>
      </c>
      <c r="J1721" s="99" t="str">
        <f>VLOOKUP(A1721,Base!A:F,6,0)</f>
        <v>ALEJANDRO ANDRES  JAQUE  VARGAS</v>
      </c>
      <c r="K1721" s="89" t="str">
        <f>IFERROR(IF(VLOOKUP(I1721,Ingreso!K:P,6,0)=0,"Sin turtno ing",VLOOKUP(I1721,Ingreso!K:P,6,0)),IF(F1721&gt;0.25,IF(F1721&lt;0.311805555555556,"Turno A",IF(F1721&gt;0.3125,IF(F1721&lt;0.354166666666667,"Turno C",IF(F1721&gt;0.583333333333333,IF(F1721&lt;0.625,"Turno B",IF(F1721&gt;0.625694444444444,IF(F1721&lt;0.8125,"Turno A",IF(F1721&gt;0.875,IF(F1721&lt;0.936805555555556,"Turno C",IF(F1721&gt;0.9375,IF(F1721&lt;0.979166666666667,"Turno B",""),"")),"")),"")),"")),"")),""))</f>
        <v>Turno C</v>
      </c>
      <c r="L1721" s="91">
        <f t="shared" si="26"/>
        <v>0.375</v>
      </c>
    </row>
    <row r="1722" spans="1:12" s="40" customFormat="1">
      <c r="A1722">
        <v>15899732</v>
      </c>
      <c r="B1722" t="s">
        <v>516</v>
      </c>
      <c r="C1722" t="s">
        <v>515</v>
      </c>
      <c r="D1722" t="s">
        <v>61</v>
      </c>
      <c r="E1722" t="s">
        <v>1439</v>
      </c>
      <c r="F1722" s="78">
        <v>0.91740740740740734</v>
      </c>
      <c r="G1722" t="s">
        <v>1405</v>
      </c>
      <c r="H1722" t="s">
        <v>1335</v>
      </c>
      <c r="I1722" s="88" t="str">
        <f>VLOOKUP(A1722,Base!A:B,2,0)</f>
        <v>15.899.732-0</v>
      </c>
      <c r="J1722" s="99" t="str">
        <f>VLOOKUP(A1722,Base!A:F,6,0)</f>
        <v>ALEJANDRO ANDRES  JAQUE  VARGAS</v>
      </c>
      <c r="K1722" s="89" t="str">
        <f>IFERROR(IF(VLOOKUP(I1722,Ingreso!K:P,6,0)=0,"Sin turtno ing",VLOOKUP(I1722,Ingreso!K:P,6,0)),IF(F1722&gt;0.25,IF(F1722&lt;0.311805555555556,"Turno A",IF(F1722&gt;0.3125,IF(F1722&lt;0.354166666666667,"Turno C",IF(F1722&gt;0.583333333333333,IF(F1722&lt;0.625,"Turno B",IF(F1722&gt;0.625694444444444,IF(F1722&lt;0.8125,"Turno A",IF(F1722&gt;0.875,IF(F1722&lt;0.936805555555556,"Turno C",IF(F1722&gt;0.9375,IF(F1722&lt;0.979166666666667,"Turno B",""),"")),"")),"")),"")),"")),""))</f>
        <v>Turno C</v>
      </c>
      <c r="L1722" s="91">
        <f t="shared" si="26"/>
        <v>0.375</v>
      </c>
    </row>
    <row r="1723" spans="1:12" s="40" customFormat="1">
      <c r="A1723">
        <v>16029464</v>
      </c>
      <c r="B1723" t="s">
        <v>880</v>
      </c>
      <c r="C1723" t="s">
        <v>76</v>
      </c>
      <c r="D1723" t="s">
        <v>313</v>
      </c>
      <c r="E1723" t="s">
        <v>1440</v>
      </c>
      <c r="F1723" s="78">
        <v>0.72921296296296301</v>
      </c>
      <c r="G1723" t="s">
        <v>1406</v>
      </c>
      <c r="H1723" t="s">
        <v>1336</v>
      </c>
      <c r="I1723" s="88" t="str">
        <f>VLOOKUP(A1723,Base!A:B,2,0)</f>
        <v>16.029.464-7</v>
      </c>
      <c r="J1723" s="99" t="str">
        <f>VLOOKUP(A1723,Base!A:F,6,0)</f>
        <v>VICTOR  REYES  GALVEZ</v>
      </c>
      <c r="K1723" s="89" t="str">
        <f>IFERROR(IF(VLOOKUP(I1723,Ingreso!K:P,6,0)=0,"Sin turtno ing",VLOOKUP(I1723,Ingreso!K:P,6,0)),IF(F1723&gt;0.25,IF(F1723&lt;0.311805555555556,"Turno A",IF(F1723&gt;0.3125,IF(F1723&lt;0.354166666666667,"Turno C",IF(F1723&gt;0.583333333333333,IF(F1723&lt;0.625,"Turno B",IF(F1723&gt;0.625694444444444,IF(F1723&lt;0.8125,"Turno A",IF(F1723&gt;0.875,IF(F1723&lt;0.936805555555556,"Turno C",IF(F1723&gt;0.9375,IF(F1723&lt;0.979166666666667,"Turno B",""),"")),"")),"")),"")),"")),""))</f>
        <v>Turno A</v>
      </c>
      <c r="L1723" s="91">
        <f t="shared" si="26"/>
        <v>0.3125</v>
      </c>
    </row>
    <row r="1724" spans="1:12" s="40" customFormat="1">
      <c r="A1724">
        <v>16029464</v>
      </c>
      <c r="B1724" t="s">
        <v>880</v>
      </c>
      <c r="C1724" t="s">
        <v>76</v>
      </c>
      <c r="D1724" t="s">
        <v>313</v>
      </c>
      <c r="E1724" t="s">
        <v>1440</v>
      </c>
      <c r="F1724" s="78">
        <v>0.29447916666666668</v>
      </c>
      <c r="G1724" t="s">
        <v>1405</v>
      </c>
      <c r="H1724" t="s">
        <v>1335</v>
      </c>
      <c r="I1724" s="88" t="str">
        <f>VLOOKUP(A1724,Base!A:B,2,0)</f>
        <v>16.029.464-7</v>
      </c>
      <c r="J1724" s="99" t="str">
        <f>VLOOKUP(A1724,Base!A:F,6,0)</f>
        <v>VICTOR  REYES  GALVEZ</v>
      </c>
      <c r="K1724" s="89" t="str">
        <f>IFERROR(IF(VLOOKUP(I1724,Ingreso!K:P,6,0)=0,"Sin turtno ing",VLOOKUP(I1724,Ingreso!K:P,6,0)),IF(F1724&gt;0.25,IF(F1724&lt;0.311805555555556,"Turno A",IF(F1724&gt;0.3125,IF(F1724&lt;0.354166666666667,"Turno C",IF(F1724&gt;0.583333333333333,IF(F1724&lt;0.625,"Turno B",IF(F1724&gt;0.625694444444444,IF(F1724&lt;0.8125,"Turno A",IF(F1724&gt;0.875,IF(F1724&lt;0.936805555555556,"Turno C",IF(F1724&gt;0.9375,IF(F1724&lt;0.979166666666667,"Turno B",""),"")),"")),"")),"")),"")),""))</f>
        <v>Turno A</v>
      </c>
      <c r="L1724" s="91">
        <f t="shared" si="26"/>
        <v>0.3125</v>
      </c>
    </row>
    <row r="1725" spans="1:12" s="40" customFormat="1">
      <c r="A1725">
        <v>16029464</v>
      </c>
      <c r="B1725" t="s">
        <v>880</v>
      </c>
      <c r="C1725" t="s">
        <v>76</v>
      </c>
      <c r="D1725" t="s">
        <v>313</v>
      </c>
      <c r="E1725" t="s">
        <v>1441</v>
      </c>
      <c r="F1725" s="78">
        <v>0.63101851851851853</v>
      </c>
      <c r="G1725" t="s">
        <v>1406</v>
      </c>
      <c r="H1725" t="s">
        <v>1336</v>
      </c>
      <c r="I1725" s="88" t="str">
        <f>VLOOKUP(A1725,Base!A:B,2,0)</f>
        <v>16.029.464-7</v>
      </c>
      <c r="J1725" s="99" t="str">
        <f>VLOOKUP(A1725,Base!A:F,6,0)</f>
        <v>VICTOR  REYES  GALVEZ</v>
      </c>
      <c r="K1725" s="89" t="str">
        <f>IFERROR(IF(VLOOKUP(I1725,Ingreso!K:P,6,0)=0,"Sin turtno ing",VLOOKUP(I1725,Ingreso!K:P,6,0)),IF(F1725&gt;0.25,IF(F1725&lt;0.311805555555556,"Turno A",IF(F1725&gt;0.3125,IF(F1725&lt;0.354166666666667,"Turno C",IF(F1725&gt;0.583333333333333,IF(F1725&lt;0.625,"Turno B",IF(F1725&gt;0.625694444444444,IF(F1725&lt;0.8125,"Turno A",IF(F1725&gt;0.875,IF(F1725&lt;0.936805555555556,"Turno C",IF(F1725&gt;0.9375,IF(F1725&lt;0.979166666666667,"Turno B",""),"")),"")),"")),"")),"")),""))</f>
        <v>Turno A</v>
      </c>
      <c r="L1725" s="91">
        <f t="shared" si="26"/>
        <v>0.3125</v>
      </c>
    </row>
    <row r="1726" spans="1:12" s="40" customFormat="1">
      <c r="A1726">
        <v>16029464</v>
      </c>
      <c r="B1726" t="s">
        <v>880</v>
      </c>
      <c r="C1726" t="s">
        <v>76</v>
      </c>
      <c r="D1726" t="s">
        <v>313</v>
      </c>
      <c r="E1726" t="s">
        <v>1441</v>
      </c>
      <c r="F1726" s="78">
        <v>0.29401620370370368</v>
      </c>
      <c r="G1726" t="s">
        <v>1405</v>
      </c>
      <c r="H1726" t="s">
        <v>1335</v>
      </c>
      <c r="I1726" s="88" t="str">
        <f>VLOOKUP(A1726,Base!A:B,2,0)</f>
        <v>16.029.464-7</v>
      </c>
      <c r="J1726" s="99" t="str">
        <f>VLOOKUP(A1726,Base!A:F,6,0)</f>
        <v>VICTOR  REYES  GALVEZ</v>
      </c>
      <c r="K1726" s="89" t="str">
        <f>IFERROR(IF(VLOOKUP(I1726,Ingreso!K:P,6,0)=0,"Sin turtno ing",VLOOKUP(I1726,Ingreso!K:P,6,0)),IF(F1726&gt;0.25,IF(F1726&lt;0.311805555555556,"Turno A",IF(F1726&gt;0.3125,IF(F1726&lt;0.354166666666667,"Turno C",IF(F1726&gt;0.583333333333333,IF(F1726&lt;0.625,"Turno B",IF(F1726&gt;0.625694444444444,IF(F1726&lt;0.8125,"Turno A",IF(F1726&gt;0.875,IF(F1726&lt;0.936805555555556,"Turno C",IF(F1726&gt;0.9375,IF(F1726&lt;0.979166666666667,"Turno B",""),"")),"")),"")),"")),"")),""))</f>
        <v>Turno A</v>
      </c>
      <c r="L1726" s="91">
        <f t="shared" si="26"/>
        <v>0.3125</v>
      </c>
    </row>
    <row r="1727" spans="1:12" s="40" customFormat="1">
      <c r="A1727">
        <v>16029464</v>
      </c>
      <c r="B1727" t="s">
        <v>880</v>
      </c>
      <c r="C1727" t="s">
        <v>76</v>
      </c>
      <c r="D1727" t="s">
        <v>313</v>
      </c>
      <c r="E1727" t="s">
        <v>1437</v>
      </c>
      <c r="F1727" s="78">
        <v>0.73116898148148157</v>
      </c>
      <c r="G1727" t="s">
        <v>1406</v>
      </c>
      <c r="H1727" t="s">
        <v>1336</v>
      </c>
      <c r="I1727" s="88" t="str">
        <f>VLOOKUP(A1727,Base!A:B,2,0)</f>
        <v>16.029.464-7</v>
      </c>
      <c r="J1727" s="99" t="str">
        <f>VLOOKUP(A1727,Base!A:F,6,0)</f>
        <v>VICTOR  REYES  GALVEZ</v>
      </c>
      <c r="K1727" s="89" t="str">
        <f>IFERROR(IF(VLOOKUP(I1727,Ingreso!K:P,6,0)=0,"Sin turtno ing",VLOOKUP(I1727,Ingreso!K:P,6,0)),IF(F1727&gt;0.25,IF(F1727&lt;0.311805555555556,"Turno A",IF(F1727&gt;0.3125,IF(F1727&lt;0.354166666666667,"Turno C",IF(F1727&gt;0.583333333333333,IF(F1727&lt;0.625,"Turno B",IF(F1727&gt;0.625694444444444,IF(F1727&lt;0.8125,"Turno A",IF(F1727&gt;0.875,IF(F1727&lt;0.936805555555556,"Turno C",IF(F1727&gt;0.9375,IF(F1727&lt;0.979166666666667,"Turno B",""),"")),"")),"")),"")),"")),""))</f>
        <v>Turno A</v>
      </c>
      <c r="L1727" s="91">
        <f t="shared" si="26"/>
        <v>0.3125</v>
      </c>
    </row>
    <row r="1728" spans="1:12" s="40" customFormat="1">
      <c r="A1728">
        <v>16029464</v>
      </c>
      <c r="B1728" t="s">
        <v>880</v>
      </c>
      <c r="C1728" t="s">
        <v>76</v>
      </c>
      <c r="D1728" t="s">
        <v>313</v>
      </c>
      <c r="E1728" t="s">
        <v>1437</v>
      </c>
      <c r="F1728" s="78">
        <v>0.29314814814814816</v>
      </c>
      <c r="G1728" t="s">
        <v>1405</v>
      </c>
      <c r="H1728" t="s">
        <v>1335</v>
      </c>
      <c r="I1728" s="88" t="str">
        <f>VLOOKUP(A1728,Base!A:B,2,0)</f>
        <v>16.029.464-7</v>
      </c>
      <c r="J1728" s="99" t="str">
        <f>VLOOKUP(A1728,Base!A:F,6,0)</f>
        <v>VICTOR  REYES  GALVEZ</v>
      </c>
      <c r="K1728" s="89" t="str">
        <f>IFERROR(IF(VLOOKUP(I1728,Ingreso!K:P,6,0)=0,"Sin turtno ing",VLOOKUP(I1728,Ingreso!K:P,6,0)),IF(F1728&gt;0.25,IF(F1728&lt;0.311805555555556,"Turno A",IF(F1728&gt;0.3125,IF(F1728&lt;0.354166666666667,"Turno C",IF(F1728&gt;0.583333333333333,IF(F1728&lt;0.625,"Turno B",IF(F1728&gt;0.625694444444444,IF(F1728&lt;0.8125,"Turno A",IF(F1728&gt;0.875,IF(F1728&lt;0.936805555555556,"Turno C",IF(F1728&gt;0.9375,IF(F1728&lt;0.979166666666667,"Turno B",""),"")),"")),"")),"")),"")),""))</f>
        <v>Turno A</v>
      </c>
      <c r="L1728" s="91">
        <f t="shared" si="26"/>
        <v>0.3125</v>
      </c>
    </row>
    <row r="1729" spans="1:12" s="40" customFormat="1">
      <c r="A1729">
        <v>16029464</v>
      </c>
      <c r="B1729" t="s">
        <v>880</v>
      </c>
      <c r="C1729" t="s">
        <v>76</v>
      </c>
      <c r="D1729" t="s">
        <v>313</v>
      </c>
      <c r="E1729" t="s">
        <v>1438</v>
      </c>
      <c r="F1729" s="78">
        <v>0.81092592592592594</v>
      </c>
      <c r="G1729" t="s">
        <v>1406</v>
      </c>
      <c r="H1729" t="s">
        <v>1336</v>
      </c>
      <c r="I1729" s="88" t="str">
        <f>VLOOKUP(A1729,Base!A:B,2,0)</f>
        <v>16.029.464-7</v>
      </c>
      <c r="J1729" s="99" t="str">
        <f>VLOOKUP(A1729,Base!A:F,6,0)</f>
        <v>VICTOR  REYES  GALVEZ</v>
      </c>
      <c r="K1729" s="89" t="str">
        <f>IFERROR(IF(VLOOKUP(I1729,Ingreso!K:P,6,0)=0,"Sin turtno ing",VLOOKUP(I1729,Ingreso!K:P,6,0)),IF(F1729&gt;0.25,IF(F1729&lt;0.311805555555556,"Turno A",IF(F1729&gt;0.3125,IF(F1729&lt;0.354166666666667,"Turno C",IF(F1729&gt;0.583333333333333,IF(F1729&lt;0.625,"Turno B",IF(F1729&gt;0.625694444444444,IF(F1729&lt;0.8125,"Turno A",IF(F1729&gt;0.875,IF(F1729&lt;0.936805555555556,"Turno C",IF(F1729&gt;0.9375,IF(F1729&lt;0.979166666666667,"Turno B",""),"")),"")),"")),"")),"")),""))</f>
        <v>Turno A</v>
      </c>
      <c r="L1729" s="91">
        <f t="shared" si="26"/>
        <v>0.3125</v>
      </c>
    </row>
    <row r="1730" spans="1:12" s="40" customFormat="1">
      <c r="A1730">
        <v>16029464</v>
      </c>
      <c r="B1730" t="s">
        <v>880</v>
      </c>
      <c r="C1730" t="s">
        <v>76</v>
      </c>
      <c r="D1730" t="s">
        <v>313</v>
      </c>
      <c r="E1730" t="s">
        <v>1438</v>
      </c>
      <c r="F1730" s="78">
        <v>0.29353009259259261</v>
      </c>
      <c r="G1730" t="s">
        <v>1405</v>
      </c>
      <c r="H1730" t="s">
        <v>1335</v>
      </c>
      <c r="I1730" s="88" t="str">
        <f>VLOOKUP(A1730,Base!A:B,2,0)</f>
        <v>16.029.464-7</v>
      </c>
      <c r="J1730" s="99" t="str">
        <f>VLOOKUP(A1730,Base!A:F,6,0)</f>
        <v>VICTOR  REYES  GALVEZ</v>
      </c>
      <c r="K1730" s="89" t="str">
        <f>IFERROR(IF(VLOOKUP(I1730,Ingreso!K:P,6,0)=0,"Sin turtno ing",VLOOKUP(I1730,Ingreso!K:P,6,0)),IF(F1730&gt;0.25,IF(F1730&lt;0.311805555555556,"Turno A",IF(F1730&gt;0.3125,IF(F1730&lt;0.354166666666667,"Turno C",IF(F1730&gt;0.583333333333333,IF(F1730&lt;0.625,"Turno B",IF(F1730&gt;0.625694444444444,IF(F1730&lt;0.8125,"Turno A",IF(F1730&gt;0.875,IF(F1730&lt;0.936805555555556,"Turno C",IF(F1730&gt;0.9375,IF(F1730&lt;0.979166666666667,"Turno B",""),"")),"")),"")),"")),"")),""))</f>
        <v>Turno A</v>
      </c>
      <c r="L1730" s="91">
        <f t="shared" si="26"/>
        <v>0.3125</v>
      </c>
    </row>
    <row r="1731" spans="1:12" s="40" customFormat="1">
      <c r="A1731">
        <v>16029464</v>
      </c>
      <c r="B1731" t="s">
        <v>880</v>
      </c>
      <c r="C1731" t="s">
        <v>76</v>
      </c>
      <c r="D1731" t="s">
        <v>313</v>
      </c>
      <c r="E1731" t="s">
        <v>1439</v>
      </c>
      <c r="F1731" s="78">
        <v>0.73318287037037033</v>
      </c>
      <c r="G1731" t="s">
        <v>1406</v>
      </c>
      <c r="H1731" t="s">
        <v>1336</v>
      </c>
      <c r="I1731" s="88" t="str">
        <f>VLOOKUP(A1731,Base!A:B,2,0)</f>
        <v>16.029.464-7</v>
      </c>
      <c r="J1731" s="99" t="str">
        <f>VLOOKUP(A1731,Base!A:F,6,0)</f>
        <v>VICTOR  REYES  GALVEZ</v>
      </c>
      <c r="K1731" s="89" t="str">
        <f>IFERROR(IF(VLOOKUP(I1731,Ingreso!K:P,6,0)=0,"Sin turtno ing",VLOOKUP(I1731,Ingreso!K:P,6,0)),IF(F1731&gt;0.25,IF(F1731&lt;0.311805555555556,"Turno A",IF(F1731&gt;0.3125,IF(F1731&lt;0.354166666666667,"Turno C",IF(F1731&gt;0.583333333333333,IF(F1731&lt;0.625,"Turno B",IF(F1731&gt;0.625694444444444,IF(F1731&lt;0.8125,"Turno A",IF(F1731&gt;0.875,IF(F1731&lt;0.936805555555556,"Turno C",IF(F1731&gt;0.9375,IF(F1731&lt;0.979166666666667,"Turno B",""),"")),"")),"")),"")),"")),""))</f>
        <v>Turno A</v>
      </c>
      <c r="L1731" s="91">
        <f t="shared" ref="L1731:L1794" si="27">VLOOKUP(K1731,$S$3:$T$7,2,0)</f>
        <v>0.3125</v>
      </c>
    </row>
    <row r="1732" spans="1:12" s="40" customFormat="1">
      <c r="A1732">
        <v>16029464</v>
      </c>
      <c r="B1732" t="s">
        <v>880</v>
      </c>
      <c r="C1732" t="s">
        <v>76</v>
      </c>
      <c r="D1732" t="s">
        <v>313</v>
      </c>
      <c r="E1732" t="s">
        <v>1439</v>
      </c>
      <c r="F1732" s="78">
        <v>0.29388888888888892</v>
      </c>
      <c r="G1732" t="s">
        <v>1405</v>
      </c>
      <c r="H1732" t="s">
        <v>1335</v>
      </c>
      <c r="I1732" s="88" t="str">
        <f>VLOOKUP(A1732,Base!A:B,2,0)</f>
        <v>16.029.464-7</v>
      </c>
      <c r="J1732" s="99" t="str">
        <f>VLOOKUP(A1732,Base!A:F,6,0)</f>
        <v>VICTOR  REYES  GALVEZ</v>
      </c>
      <c r="K1732" s="89" t="str">
        <f>IFERROR(IF(VLOOKUP(I1732,Ingreso!K:P,6,0)=0,"Sin turtno ing",VLOOKUP(I1732,Ingreso!K:P,6,0)),IF(F1732&gt;0.25,IF(F1732&lt;0.311805555555556,"Turno A",IF(F1732&gt;0.3125,IF(F1732&lt;0.354166666666667,"Turno C",IF(F1732&gt;0.583333333333333,IF(F1732&lt;0.625,"Turno B",IF(F1732&gt;0.625694444444444,IF(F1732&lt;0.8125,"Turno A",IF(F1732&gt;0.875,IF(F1732&lt;0.936805555555556,"Turno C",IF(F1732&gt;0.9375,IF(F1732&lt;0.979166666666667,"Turno B",""),"")),"")),"")),"")),"")),""))</f>
        <v>Turno A</v>
      </c>
      <c r="L1732" s="91">
        <f t="shared" si="27"/>
        <v>0.3125</v>
      </c>
    </row>
    <row r="1733" spans="1:12" s="40" customFormat="1">
      <c r="A1733">
        <v>16031949</v>
      </c>
      <c r="B1733" t="s">
        <v>1422</v>
      </c>
      <c r="C1733" t="s">
        <v>357</v>
      </c>
      <c r="D1733" t="s">
        <v>358</v>
      </c>
      <c r="E1733" t="s">
        <v>1440</v>
      </c>
      <c r="F1733" s="78">
        <v>0.63907407407407402</v>
      </c>
      <c r="G1733" t="s">
        <v>1406</v>
      </c>
      <c r="H1733" t="s">
        <v>1336</v>
      </c>
      <c r="I1733" s="88" t="str">
        <f>VLOOKUP(A1733,Base!A:B,2,0)</f>
        <v>16.031.949-6</v>
      </c>
      <c r="J1733" s="99" t="str">
        <f>VLOOKUP(A1733,Base!A:F,6,0)</f>
        <v>JONATHAN  ESPINOZA  MORENO</v>
      </c>
      <c r="K1733" s="89" t="str">
        <f>IFERROR(IF(VLOOKUP(I1733,Ingreso!K:P,6,0)=0,"Sin turtno ing",VLOOKUP(I1733,Ingreso!K:P,6,0)),IF(F1733&gt;0.25,IF(F1733&lt;0.311805555555556,"Turno A",IF(F1733&gt;0.3125,IF(F1733&lt;0.354166666666667,"Turno C",IF(F1733&gt;0.583333333333333,IF(F1733&lt;0.625,"Turno B",IF(F1733&gt;0.625694444444444,IF(F1733&lt;0.8125,"Turno A",IF(F1733&gt;0.875,IF(F1733&lt;0.936805555555556,"Turno C",IF(F1733&gt;0.9375,IF(F1733&lt;0.979166666666667,"Turno B",""),"")),"")),"")),"")),"")),""))</f>
        <v>Sin turtno ing</v>
      </c>
      <c r="L1733" s="91" t="e">
        <f t="shared" si="27"/>
        <v>#N/A</v>
      </c>
    </row>
    <row r="1734" spans="1:12" s="40" customFormat="1">
      <c r="A1734">
        <v>16031949</v>
      </c>
      <c r="B1734" t="s">
        <v>1422</v>
      </c>
      <c r="C1734" t="s">
        <v>357</v>
      </c>
      <c r="D1734" t="s">
        <v>358</v>
      </c>
      <c r="E1734" t="s">
        <v>1440</v>
      </c>
      <c r="F1734" s="78">
        <v>0.29572916666666665</v>
      </c>
      <c r="G1734" t="s">
        <v>1405</v>
      </c>
      <c r="H1734" t="s">
        <v>1335</v>
      </c>
      <c r="I1734" s="88" t="str">
        <f>VLOOKUP(A1734,Base!A:B,2,0)</f>
        <v>16.031.949-6</v>
      </c>
      <c r="J1734" s="99" t="str">
        <f>VLOOKUP(A1734,Base!A:F,6,0)</f>
        <v>JONATHAN  ESPINOZA  MORENO</v>
      </c>
      <c r="K1734" s="89" t="str">
        <f>IFERROR(IF(VLOOKUP(I1734,Ingreso!K:P,6,0)=0,"Sin turtno ing",VLOOKUP(I1734,Ingreso!K:P,6,0)),IF(F1734&gt;0.25,IF(F1734&lt;0.311805555555556,"Turno A",IF(F1734&gt;0.3125,IF(F1734&lt;0.354166666666667,"Turno C",IF(F1734&gt;0.583333333333333,IF(F1734&lt;0.625,"Turno B",IF(F1734&gt;0.625694444444444,IF(F1734&lt;0.8125,"Turno A",IF(F1734&gt;0.875,IF(F1734&lt;0.936805555555556,"Turno C",IF(F1734&gt;0.9375,IF(F1734&lt;0.979166666666667,"Turno B",""),"")),"")),"")),"")),"")),""))</f>
        <v>Sin turtno ing</v>
      </c>
      <c r="L1734" s="91" t="e">
        <f t="shared" si="27"/>
        <v>#N/A</v>
      </c>
    </row>
    <row r="1735" spans="1:12" s="40" customFormat="1">
      <c r="A1735">
        <v>16031949</v>
      </c>
      <c r="B1735" t="s">
        <v>1422</v>
      </c>
      <c r="C1735" t="s">
        <v>357</v>
      </c>
      <c r="D1735" t="s">
        <v>358</v>
      </c>
      <c r="E1735" t="s">
        <v>1441</v>
      </c>
      <c r="F1735" s="78">
        <v>0.63864583333333336</v>
      </c>
      <c r="G1735" t="s">
        <v>1406</v>
      </c>
      <c r="H1735" t="s">
        <v>1336</v>
      </c>
      <c r="I1735" s="88" t="str">
        <f>VLOOKUP(A1735,Base!A:B,2,0)</f>
        <v>16.031.949-6</v>
      </c>
      <c r="J1735" s="99" t="str">
        <f>VLOOKUP(A1735,Base!A:F,6,0)</f>
        <v>JONATHAN  ESPINOZA  MORENO</v>
      </c>
      <c r="K1735" s="89" t="str">
        <f>IFERROR(IF(VLOOKUP(I1735,Ingreso!K:P,6,0)=0,"Sin turtno ing",VLOOKUP(I1735,Ingreso!K:P,6,0)),IF(F1735&gt;0.25,IF(F1735&lt;0.311805555555556,"Turno A",IF(F1735&gt;0.3125,IF(F1735&lt;0.354166666666667,"Turno C",IF(F1735&gt;0.583333333333333,IF(F1735&lt;0.625,"Turno B",IF(F1735&gt;0.625694444444444,IF(F1735&lt;0.8125,"Turno A",IF(F1735&gt;0.875,IF(F1735&lt;0.936805555555556,"Turno C",IF(F1735&gt;0.9375,IF(F1735&lt;0.979166666666667,"Turno B",""),"")),"")),"")),"")),"")),""))</f>
        <v>Sin turtno ing</v>
      </c>
      <c r="L1735" s="91" t="e">
        <f t="shared" si="27"/>
        <v>#N/A</v>
      </c>
    </row>
    <row r="1736" spans="1:12" s="40" customFormat="1">
      <c r="A1736">
        <v>16031949</v>
      </c>
      <c r="B1736" t="s">
        <v>1422</v>
      </c>
      <c r="C1736" t="s">
        <v>357</v>
      </c>
      <c r="D1736" t="s">
        <v>358</v>
      </c>
      <c r="E1736" t="s">
        <v>1441</v>
      </c>
      <c r="F1736" s="78">
        <v>0.29927083333333332</v>
      </c>
      <c r="G1736" t="s">
        <v>1405</v>
      </c>
      <c r="H1736" t="s">
        <v>1335</v>
      </c>
      <c r="I1736" s="88" t="str">
        <f>VLOOKUP(A1736,Base!A:B,2,0)</f>
        <v>16.031.949-6</v>
      </c>
      <c r="J1736" s="99" t="str">
        <f>VLOOKUP(A1736,Base!A:F,6,0)</f>
        <v>JONATHAN  ESPINOZA  MORENO</v>
      </c>
      <c r="K1736" s="89" t="str">
        <f>IFERROR(IF(VLOOKUP(I1736,Ingreso!K:P,6,0)=0,"Sin turtno ing",VLOOKUP(I1736,Ingreso!K:P,6,0)),IF(F1736&gt;0.25,IF(F1736&lt;0.311805555555556,"Turno A",IF(F1736&gt;0.3125,IF(F1736&lt;0.354166666666667,"Turno C",IF(F1736&gt;0.583333333333333,IF(F1736&lt;0.625,"Turno B",IF(F1736&gt;0.625694444444444,IF(F1736&lt;0.8125,"Turno A",IF(F1736&gt;0.875,IF(F1736&lt;0.936805555555556,"Turno C",IF(F1736&gt;0.9375,IF(F1736&lt;0.979166666666667,"Turno B",""),"")),"")),"")),"")),"")),""))</f>
        <v>Sin turtno ing</v>
      </c>
      <c r="L1736" s="91" t="e">
        <f t="shared" si="27"/>
        <v>#N/A</v>
      </c>
    </row>
    <row r="1737" spans="1:12" s="40" customFormat="1">
      <c r="A1737">
        <v>16031949</v>
      </c>
      <c r="B1737" t="s">
        <v>1422</v>
      </c>
      <c r="C1737" t="s">
        <v>357</v>
      </c>
      <c r="D1737" t="s">
        <v>358</v>
      </c>
      <c r="E1737" t="s">
        <v>1437</v>
      </c>
      <c r="F1737" s="78">
        <v>0.63855324074074071</v>
      </c>
      <c r="G1737" t="s">
        <v>1406</v>
      </c>
      <c r="H1737" t="s">
        <v>1336</v>
      </c>
      <c r="I1737" s="88" t="str">
        <f>VLOOKUP(A1737,Base!A:B,2,0)</f>
        <v>16.031.949-6</v>
      </c>
      <c r="J1737" s="99" t="str">
        <f>VLOOKUP(A1737,Base!A:F,6,0)</f>
        <v>JONATHAN  ESPINOZA  MORENO</v>
      </c>
      <c r="K1737" s="89" t="str">
        <f>IFERROR(IF(VLOOKUP(I1737,Ingreso!K:P,6,0)=0,"Sin turtno ing",VLOOKUP(I1737,Ingreso!K:P,6,0)),IF(F1737&gt;0.25,IF(F1737&lt;0.311805555555556,"Turno A",IF(F1737&gt;0.3125,IF(F1737&lt;0.354166666666667,"Turno C",IF(F1737&gt;0.583333333333333,IF(F1737&lt;0.625,"Turno B",IF(F1737&gt;0.625694444444444,IF(F1737&lt;0.8125,"Turno A",IF(F1737&gt;0.875,IF(F1737&lt;0.936805555555556,"Turno C",IF(F1737&gt;0.9375,IF(F1737&lt;0.979166666666667,"Turno B",""),"")),"")),"")),"")),"")),""))</f>
        <v>Sin turtno ing</v>
      </c>
      <c r="L1737" s="91" t="e">
        <f t="shared" si="27"/>
        <v>#N/A</v>
      </c>
    </row>
    <row r="1738" spans="1:12" s="40" customFormat="1">
      <c r="A1738">
        <v>16031949</v>
      </c>
      <c r="B1738" t="s">
        <v>1422</v>
      </c>
      <c r="C1738" t="s">
        <v>357</v>
      </c>
      <c r="D1738" t="s">
        <v>358</v>
      </c>
      <c r="E1738" t="s">
        <v>1437</v>
      </c>
      <c r="F1738" s="78">
        <v>0.29182870370370367</v>
      </c>
      <c r="G1738" t="s">
        <v>1405</v>
      </c>
      <c r="H1738" t="s">
        <v>1335</v>
      </c>
      <c r="I1738" s="88" t="str">
        <f>VLOOKUP(A1738,Base!A:B,2,0)</f>
        <v>16.031.949-6</v>
      </c>
      <c r="J1738" s="99" t="str">
        <f>VLOOKUP(A1738,Base!A:F,6,0)</f>
        <v>JONATHAN  ESPINOZA  MORENO</v>
      </c>
      <c r="K1738" s="89" t="str">
        <f>IFERROR(IF(VLOOKUP(I1738,Ingreso!K:P,6,0)=0,"Sin turtno ing",VLOOKUP(I1738,Ingreso!K:P,6,0)),IF(F1738&gt;0.25,IF(F1738&lt;0.311805555555556,"Turno A",IF(F1738&gt;0.3125,IF(F1738&lt;0.354166666666667,"Turno C",IF(F1738&gt;0.583333333333333,IF(F1738&lt;0.625,"Turno B",IF(F1738&gt;0.625694444444444,IF(F1738&lt;0.8125,"Turno A",IF(F1738&gt;0.875,IF(F1738&lt;0.936805555555556,"Turno C",IF(F1738&gt;0.9375,IF(F1738&lt;0.979166666666667,"Turno B",""),"")),"")),"")),"")),"")),""))</f>
        <v>Sin turtno ing</v>
      </c>
      <c r="L1738" s="91" t="e">
        <f t="shared" si="27"/>
        <v>#N/A</v>
      </c>
    </row>
    <row r="1739" spans="1:12" s="40" customFormat="1">
      <c r="A1739">
        <v>16031949</v>
      </c>
      <c r="B1739" t="s">
        <v>1422</v>
      </c>
      <c r="C1739" t="s">
        <v>357</v>
      </c>
      <c r="D1739" t="s">
        <v>358</v>
      </c>
      <c r="E1739" t="s">
        <v>1438</v>
      </c>
      <c r="F1739" s="78">
        <v>0.63659722222222215</v>
      </c>
      <c r="G1739" t="s">
        <v>1406</v>
      </c>
      <c r="H1739" t="s">
        <v>1336</v>
      </c>
      <c r="I1739" s="88" t="str">
        <f>VLOOKUP(A1739,Base!A:B,2,0)</f>
        <v>16.031.949-6</v>
      </c>
      <c r="J1739" s="99" t="str">
        <f>VLOOKUP(A1739,Base!A:F,6,0)</f>
        <v>JONATHAN  ESPINOZA  MORENO</v>
      </c>
      <c r="K1739" s="89" t="str">
        <f>IFERROR(IF(VLOOKUP(I1739,Ingreso!K:P,6,0)=0,"Sin turtno ing",VLOOKUP(I1739,Ingreso!K:P,6,0)),IF(F1739&gt;0.25,IF(F1739&lt;0.311805555555556,"Turno A",IF(F1739&gt;0.3125,IF(F1739&lt;0.354166666666667,"Turno C",IF(F1739&gt;0.583333333333333,IF(F1739&lt;0.625,"Turno B",IF(F1739&gt;0.625694444444444,IF(F1739&lt;0.8125,"Turno A",IF(F1739&gt;0.875,IF(F1739&lt;0.936805555555556,"Turno C",IF(F1739&gt;0.9375,IF(F1739&lt;0.979166666666667,"Turno B",""),"")),"")),"")),"")),"")),""))</f>
        <v>Sin turtno ing</v>
      </c>
      <c r="L1739" s="91" t="e">
        <f t="shared" si="27"/>
        <v>#N/A</v>
      </c>
    </row>
    <row r="1740" spans="1:12" s="40" customFormat="1">
      <c r="A1740">
        <v>16031949</v>
      </c>
      <c r="B1740" t="s">
        <v>1422</v>
      </c>
      <c r="C1740" t="s">
        <v>357</v>
      </c>
      <c r="D1740" t="s">
        <v>358</v>
      </c>
      <c r="E1740" t="s">
        <v>1438</v>
      </c>
      <c r="F1740" s="78">
        <v>0.29590277777777779</v>
      </c>
      <c r="G1740" t="s">
        <v>1405</v>
      </c>
      <c r="H1740" t="s">
        <v>1335</v>
      </c>
      <c r="I1740" s="88" t="str">
        <f>VLOOKUP(A1740,Base!A:B,2,0)</f>
        <v>16.031.949-6</v>
      </c>
      <c r="J1740" s="99" t="str">
        <f>VLOOKUP(A1740,Base!A:F,6,0)</f>
        <v>JONATHAN  ESPINOZA  MORENO</v>
      </c>
      <c r="K1740" s="89" t="str">
        <f>IFERROR(IF(VLOOKUP(I1740,Ingreso!K:P,6,0)=0,"Sin turtno ing",VLOOKUP(I1740,Ingreso!K:P,6,0)),IF(F1740&gt;0.25,IF(F1740&lt;0.311805555555556,"Turno A",IF(F1740&gt;0.3125,IF(F1740&lt;0.354166666666667,"Turno C",IF(F1740&gt;0.583333333333333,IF(F1740&lt;0.625,"Turno B",IF(F1740&gt;0.625694444444444,IF(F1740&lt;0.8125,"Turno A",IF(F1740&gt;0.875,IF(F1740&lt;0.936805555555556,"Turno C",IF(F1740&gt;0.9375,IF(F1740&lt;0.979166666666667,"Turno B",""),"")),"")),"")),"")),"")),""))</f>
        <v>Sin turtno ing</v>
      </c>
      <c r="L1740" s="91" t="e">
        <f t="shared" si="27"/>
        <v>#N/A</v>
      </c>
    </row>
    <row r="1741" spans="1:12" s="40" customFormat="1">
      <c r="A1741">
        <v>16031949</v>
      </c>
      <c r="B1741" t="s">
        <v>1422</v>
      </c>
      <c r="C1741" t="s">
        <v>357</v>
      </c>
      <c r="D1741" t="s">
        <v>358</v>
      </c>
      <c r="E1741" t="s">
        <v>1439</v>
      </c>
      <c r="F1741" s="78">
        <v>0.63842592592592595</v>
      </c>
      <c r="G1741" t="s">
        <v>1406</v>
      </c>
      <c r="H1741" t="s">
        <v>1336</v>
      </c>
      <c r="I1741" s="88" t="str">
        <f>VLOOKUP(A1741,Base!A:B,2,0)</f>
        <v>16.031.949-6</v>
      </c>
      <c r="J1741" s="99" t="str">
        <f>VLOOKUP(A1741,Base!A:F,6,0)</f>
        <v>JONATHAN  ESPINOZA  MORENO</v>
      </c>
      <c r="K1741" s="89" t="str">
        <f>IFERROR(IF(VLOOKUP(I1741,Ingreso!K:P,6,0)=0,"Sin turtno ing",VLOOKUP(I1741,Ingreso!K:P,6,0)),IF(F1741&gt;0.25,IF(F1741&lt;0.311805555555556,"Turno A",IF(F1741&gt;0.3125,IF(F1741&lt;0.354166666666667,"Turno C",IF(F1741&gt;0.583333333333333,IF(F1741&lt;0.625,"Turno B",IF(F1741&gt;0.625694444444444,IF(F1741&lt;0.8125,"Turno A",IF(F1741&gt;0.875,IF(F1741&lt;0.936805555555556,"Turno C",IF(F1741&gt;0.9375,IF(F1741&lt;0.979166666666667,"Turno B",""),"")),"")),"")),"")),"")),""))</f>
        <v>Sin turtno ing</v>
      </c>
      <c r="L1741" s="91" t="e">
        <f t="shared" si="27"/>
        <v>#N/A</v>
      </c>
    </row>
    <row r="1742" spans="1:12" s="40" customFormat="1">
      <c r="A1742">
        <v>16031949</v>
      </c>
      <c r="B1742" t="s">
        <v>1422</v>
      </c>
      <c r="C1742" t="s">
        <v>357</v>
      </c>
      <c r="D1742" t="s">
        <v>358</v>
      </c>
      <c r="E1742" t="s">
        <v>1439</v>
      </c>
      <c r="F1742" s="78">
        <v>0.29454861111111114</v>
      </c>
      <c r="G1742" t="s">
        <v>1405</v>
      </c>
      <c r="H1742" t="s">
        <v>1335</v>
      </c>
      <c r="I1742" s="88" t="str">
        <f>VLOOKUP(A1742,Base!A:B,2,0)</f>
        <v>16.031.949-6</v>
      </c>
      <c r="J1742" s="99" t="str">
        <f>VLOOKUP(A1742,Base!A:F,6,0)</f>
        <v>JONATHAN  ESPINOZA  MORENO</v>
      </c>
      <c r="K1742" s="89" t="str">
        <f>IFERROR(IF(VLOOKUP(I1742,Ingreso!K:P,6,0)=0,"Sin turtno ing",VLOOKUP(I1742,Ingreso!K:P,6,0)),IF(F1742&gt;0.25,IF(F1742&lt;0.311805555555556,"Turno A",IF(F1742&gt;0.3125,IF(F1742&lt;0.354166666666667,"Turno C",IF(F1742&gt;0.583333333333333,IF(F1742&lt;0.625,"Turno B",IF(F1742&gt;0.625694444444444,IF(F1742&lt;0.8125,"Turno A",IF(F1742&gt;0.875,IF(F1742&lt;0.936805555555556,"Turno C",IF(F1742&gt;0.9375,IF(F1742&lt;0.979166666666667,"Turno B",""),"")),"")),"")),"")),"")),""))</f>
        <v>Sin turtno ing</v>
      </c>
      <c r="L1742" s="91" t="e">
        <f t="shared" si="27"/>
        <v>#N/A</v>
      </c>
    </row>
    <row r="1743" spans="1:12" s="40" customFormat="1">
      <c r="A1743">
        <v>16132065</v>
      </c>
      <c r="B1743" t="s">
        <v>425</v>
      </c>
      <c r="C1743" t="s">
        <v>419</v>
      </c>
      <c r="D1743" t="s">
        <v>424</v>
      </c>
      <c r="E1743" t="s">
        <v>1440</v>
      </c>
      <c r="F1743" s="78">
        <v>0.9599537037037037</v>
      </c>
      <c r="G1743" t="s">
        <v>1406</v>
      </c>
      <c r="H1743" t="s">
        <v>1336</v>
      </c>
      <c r="I1743" s="88" t="str">
        <f>VLOOKUP(A1743,Base!A:B,2,0)</f>
        <v>16.132.065-K</v>
      </c>
      <c r="J1743" s="99" t="str">
        <f>VLOOKUP(A1743,Base!A:F,6,0)</f>
        <v>EMERSON  GALLARDO  LUCERO</v>
      </c>
      <c r="K1743" s="89" t="str">
        <f>IFERROR(IF(VLOOKUP(I1743,Ingreso!K:P,6,0)=0,"Sin turtno ing",VLOOKUP(I1743,Ingreso!K:P,6,0)),IF(F1743&gt;0.25,IF(F1743&lt;0.311805555555556,"Turno A",IF(F1743&gt;0.3125,IF(F1743&lt;0.354166666666667,"Turno C",IF(F1743&gt;0.583333333333333,IF(F1743&lt;0.625,"Turno B",IF(F1743&gt;0.625694444444444,IF(F1743&lt;0.8125,"Turno A",IF(F1743&gt;0.875,IF(F1743&lt;0.936805555555556,"Turno C",IF(F1743&gt;0.9375,IF(F1743&lt;0.979166666666667,"Turno B",""),"")),"")),"")),"")),"")),""))</f>
        <v>Turno B</v>
      </c>
      <c r="L1743" s="91">
        <f t="shared" si="27"/>
        <v>0.3125</v>
      </c>
    </row>
    <row r="1744" spans="1:12" s="40" customFormat="1">
      <c r="A1744">
        <v>16132065</v>
      </c>
      <c r="B1744" t="s">
        <v>425</v>
      </c>
      <c r="C1744" t="s">
        <v>419</v>
      </c>
      <c r="D1744" t="s">
        <v>424</v>
      </c>
      <c r="E1744" t="s">
        <v>1440</v>
      </c>
      <c r="F1744" s="78">
        <v>0.62340277777777775</v>
      </c>
      <c r="G1744" t="s">
        <v>1405</v>
      </c>
      <c r="H1744" t="s">
        <v>1335</v>
      </c>
      <c r="I1744" s="88" t="str">
        <f>VLOOKUP(A1744,Base!A:B,2,0)</f>
        <v>16.132.065-K</v>
      </c>
      <c r="J1744" s="99" t="str">
        <f>VLOOKUP(A1744,Base!A:F,6,0)</f>
        <v>EMERSON  GALLARDO  LUCERO</v>
      </c>
      <c r="K1744" s="89" t="str">
        <f>IFERROR(IF(VLOOKUP(I1744,Ingreso!K:P,6,0)=0,"Sin turtno ing",VLOOKUP(I1744,Ingreso!K:P,6,0)),IF(F1744&gt;0.25,IF(F1744&lt;0.311805555555556,"Turno A",IF(F1744&gt;0.3125,IF(F1744&lt;0.354166666666667,"Turno C",IF(F1744&gt;0.583333333333333,IF(F1744&lt;0.625,"Turno B",IF(F1744&gt;0.625694444444444,IF(F1744&lt;0.8125,"Turno A",IF(F1744&gt;0.875,IF(F1744&lt;0.936805555555556,"Turno C",IF(F1744&gt;0.9375,IF(F1744&lt;0.979166666666667,"Turno B",""),"")),"")),"")),"")),"")),""))</f>
        <v>Turno B</v>
      </c>
      <c r="L1744" s="91">
        <f t="shared" si="27"/>
        <v>0.3125</v>
      </c>
    </row>
    <row r="1745" spans="1:12" s="40" customFormat="1">
      <c r="A1745">
        <v>16132065</v>
      </c>
      <c r="B1745" t="s">
        <v>425</v>
      </c>
      <c r="C1745" t="s">
        <v>419</v>
      </c>
      <c r="D1745" t="s">
        <v>424</v>
      </c>
      <c r="E1745" t="s">
        <v>1441</v>
      </c>
      <c r="F1745" s="78">
        <v>0.91924768518518529</v>
      </c>
      <c r="G1745" t="s">
        <v>1406</v>
      </c>
      <c r="H1745" t="s">
        <v>1336</v>
      </c>
      <c r="I1745" s="88" t="str">
        <f>VLOOKUP(A1745,Base!A:B,2,0)</f>
        <v>16.132.065-K</v>
      </c>
      <c r="J1745" s="99" t="str">
        <f>VLOOKUP(A1745,Base!A:F,6,0)</f>
        <v>EMERSON  GALLARDO  LUCERO</v>
      </c>
      <c r="K1745" s="89" t="str">
        <f>IFERROR(IF(VLOOKUP(I1745,Ingreso!K:P,6,0)=0,"Sin turtno ing",VLOOKUP(I1745,Ingreso!K:P,6,0)),IF(F1745&gt;0.25,IF(F1745&lt;0.311805555555556,"Turno A",IF(F1745&gt;0.3125,IF(F1745&lt;0.354166666666667,"Turno C",IF(F1745&gt;0.583333333333333,IF(F1745&lt;0.625,"Turno B",IF(F1745&gt;0.625694444444444,IF(F1745&lt;0.8125,"Turno A",IF(F1745&gt;0.875,IF(F1745&lt;0.936805555555556,"Turno C",IF(F1745&gt;0.9375,IF(F1745&lt;0.979166666666667,"Turno B",""),"")),"")),"")),"")),"")),""))</f>
        <v>Turno B</v>
      </c>
      <c r="L1745" s="91">
        <f t="shared" si="27"/>
        <v>0.3125</v>
      </c>
    </row>
    <row r="1746" spans="1:12" s="40" customFormat="1">
      <c r="A1746">
        <v>16132065</v>
      </c>
      <c r="B1746" t="s">
        <v>425</v>
      </c>
      <c r="C1746" t="s">
        <v>419</v>
      </c>
      <c r="D1746" t="s">
        <v>424</v>
      </c>
      <c r="E1746" t="s">
        <v>1441</v>
      </c>
      <c r="F1746" s="78">
        <v>0.61085648148148153</v>
      </c>
      <c r="G1746" t="s">
        <v>1405</v>
      </c>
      <c r="H1746" t="s">
        <v>1335</v>
      </c>
      <c r="I1746" s="88" t="str">
        <f>VLOOKUP(A1746,Base!A:B,2,0)</f>
        <v>16.132.065-K</v>
      </c>
      <c r="J1746" s="99" t="str">
        <f>VLOOKUP(A1746,Base!A:F,6,0)</f>
        <v>EMERSON  GALLARDO  LUCERO</v>
      </c>
      <c r="K1746" s="89" t="str">
        <f>IFERROR(IF(VLOOKUP(I1746,Ingreso!K:P,6,0)=0,"Sin turtno ing",VLOOKUP(I1746,Ingreso!K:P,6,0)),IF(F1746&gt;0.25,IF(F1746&lt;0.311805555555556,"Turno A",IF(F1746&gt;0.3125,IF(F1746&lt;0.354166666666667,"Turno C",IF(F1746&gt;0.583333333333333,IF(F1746&lt;0.625,"Turno B",IF(F1746&gt;0.625694444444444,IF(F1746&lt;0.8125,"Turno A",IF(F1746&gt;0.875,IF(F1746&lt;0.936805555555556,"Turno C",IF(F1746&gt;0.9375,IF(F1746&lt;0.979166666666667,"Turno B",""),"")),"")),"")),"")),"")),""))</f>
        <v>Turno B</v>
      </c>
      <c r="L1746" s="91">
        <f t="shared" si="27"/>
        <v>0.3125</v>
      </c>
    </row>
    <row r="1747" spans="1:12" s="40" customFormat="1">
      <c r="A1747">
        <v>16132065</v>
      </c>
      <c r="B1747" t="s">
        <v>425</v>
      </c>
      <c r="C1747" t="s">
        <v>419</v>
      </c>
      <c r="D1747" t="s">
        <v>424</v>
      </c>
      <c r="E1747" t="s">
        <v>1437</v>
      </c>
      <c r="F1747" s="78">
        <v>0.93855324074074076</v>
      </c>
      <c r="G1747" t="s">
        <v>1406</v>
      </c>
      <c r="H1747" t="s">
        <v>1336</v>
      </c>
      <c r="I1747" s="88" t="str">
        <f>VLOOKUP(A1747,Base!A:B,2,0)</f>
        <v>16.132.065-K</v>
      </c>
      <c r="J1747" s="99" t="str">
        <f>VLOOKUP(A1747,Base!A:F,6,0)</f>
        <v>EMERSON  GALLARDO  LUCERO</v>
      </c>
      <c r="K1747" s="89" t="str">
        <f>IFERROR(IF(VLOOKUP(I1747,Ingreso!K:P,6,0)=0,"Sin turtno ing",VLOOKUP(I1747,Ingreso!K:P,6,0)),IF(F1747&gt;0.25,IF(F1747&lt;0.311805555555556,"Turno A",IF(F1747&gt;0.3125,IF(F1747&lt;0.354166666666667,"Turno C",IF(F1747&gt;0.583333333333333,IF(F1747&lt;0.625,"Turno B",IF(F1747&gt;0.625694444444444,IF(F1747&lt;0.8125,"Turno A",IF(F1747&gt;0.875,IF(F1747&lt;0.936805555555556,"Turno C",IF(F1747&gt;0.9375,IF(F1747&lt;0.979166666666667,"Turno B",""),"")),"")),"")),"")),"")),""))</f>
        <v>Turno B</v>
      </c>
      <c r="L1747" s="91">
        <f t="shared" si="27"/>
        <v>0.3125</v>
      </c>
    </row>
    <row r="1748" spans="1:12" s="40" customFormat="1">
      <c r="A1748">
        <v>16132065</v>
      </c>
      <c r="B1748" t="s">
        <v>425</v>
      </c>
      <c r="C1748" t="s">
        <v>419</v>
      </c>
      <c r="D1748" t="s">
        <v>424</v>
      </c>
      <c r="E1748" t="s">
        <v>1437</v>
      </c>
      <c r="F1748" s="78">
        <v>0.62018518518518517</v>
      </c>
      <c r="G1748" t="s">
        <v>1405</v>
      </c>
      <c r="H1748" t="s">
        <v>1335</v>
      </c>
      <c r="I1748" s="88" t="str">
        <f>VLOOKUP(A1748,Base!A:B,2,0)</f>
        <v>16.132.065-K</v>
      </c>
      <c r="J1748" s="99" t="str">
        <f>VLOOKUP(A1748,Base!A:F,6,0)</f>
        <v>EMERSON  GALLARDO  LUCERO</v>
      </c>
      <c r="K1748" s="89" t="str">
        <f>IFERROR(IF(VLOOKUP(I1748,Ingreso!K:P,6,0)=0,"Sin turtno ing",VLOOKUP(I1748,Ingreso!K:P,6,0)),IF(F1748&gt;0.25,IF(F1748&lt;0.311805555555556,"Turno A",IF(F1748&gt;0.3125,IF(F1748&lt;0.354166666666667,"Turno C",IF(F1748&gt;0.583333333333333,IF(F1748&lt;0.625,"Turno B",IF(F1748&gt;0.625694444444444,IF(F1748&lt;0.8125,"Turno A",IF(F1748&gt;0.875,IF(F1748&lt;0.936805555555556,"Turno C",IF(F1748&gt;0.9375,IF(F1748&lt;0.979166666666667,"Turno B",""),"")),"")),"")),"")),"")),""))</f>
        <v>Turno B</v>
      </c>
      <c r="L1748" s="91">
        <f t="shared" si="27"/>
        <v>0.3125</v>
      </c>
    </row>
    <row r="1749" spans="1:12" s="40" customFormat="1">
      <c r="A1749">
        <v>16132065</v>
      </c>
      <c r="B1749" t="s">
        <v>425</v>
      </c>
      <c r="C1749" t="s">
        <v>419</v>
      </c>
      <c r="D1749" t="s">
        <v>424</v>
      </c>
      <c r="E1749" t="s">
        <v>1438</v>
      </c>
      <c r="F1749" s="78">
        <v>0.93660879629629623</v>
      </c>
      <c r="G1749" t="s">
        <v>1406</v>
      </c>
      <c r="H1749" t="s">
        <v>1336</v>
      </c>
      <c r="I1749" s="88" t="str">
        <f>VLOOKUP(A1749,Base!A:B,2,0)</f>
        <v>16.132.065-K</v>
      </c>
      <c r="J1749" s="99" t="str">
        <f>VLOOKUP(A1749,Base!A:F,6,0)</f>
        <v>EMERSON  GALLARDO  LUCERO</v>
      </c>
      <c r="K1749" s="89" t="str">
        <f>IFERROR(IF(VLOOKUP(I1749,Ingreso!K:P,6,0)=0,"Sin turtno ing",VLOOKUP(I1749,Ingreso!K:P,6,0)),IF(F1749&gt;0.25,IF(F1749&lt;0.311805555555556,"Turno A",IF(F1749&gt;0.3125,IF(F1749&lt;0.354166666666667,"Turno C",IF(F1749&gt;0.583333333333333,IF(F1749&lt;0.625,"Turno B",IF(F1749&gt;0.625694444444444,IF(F1749&lt;0.8125,"Turno A",IF(F1749&gt;0.875,IF(F1749&lt;0.936805555555556,"Turno C",IF(F1749&gt;0.9375,IF(F1749&lt;0.979166666666667,"Turno B",""),"")),"")),"")),"")),"")),""))</f>
        <v>Turno B</v>
      </c>
      <c r="L1749" s="91">
        <f t="shared" si="27"/>
        <v>0.3125</v>
      </c>
    </row>
    <row r="1750" spans="1:12" s="40" customFormat="1">
      <c r="A1750">
        <v>16132065</v>
      </c>
      <c r="B1750" t="s">
        <v>425</v>
      </c>
      <c r="C1750" t="s">
        <v>419</v>
      </c>
      <c r="D1750" t="s">
        <v>424</v>
      </c>
      <c r="E1750" t="s">
        <v>1438</v>
      </c>
      <c r="F1750" s="78">
        <v>0.61722222222222223</v>
      </c>
      <c r="G1750" t="s">
        <v>1405</v>
      </c>
      <c r="H1750" t="s">
        <v>1335</v>
      </c>
      <c r="I1750" s="88" t="str">
        <f>VLOOKUP(A1750,Base!A:B,2,0)</f>
        <v>16.132.065-K</v>
      </c>
      <c r="J1750" s="99" t="str">
        <f>VLOOKUP(A1750,Base!A:F,6,0)</f>
        <v>EMERSON  GALLARDO  LUCERO</v>
      </c>
      <c r="K1750" s="89" t="str">
        <f>IFERROR(IF(VLOOKUP(I1750,Ingreso!K:P,6,0)=0,"Sin turtno ing",VLOOKUP(I1750,Ingreso!K:P,6,0)),IF(F1750&gt;0.25,IF(F1750&lt;0.311805555555556,"Turno A",IF(F1750&gt;0.3125,IF(F1750&lt;0.354166666666667,"Turno C",IF(F1750&gt;0.583333333333333,IF(F1750&lt;0.625,"Turno B",IF(F1750&gt;0.625694444444444,IF(F1750&lt;0.8125,"Turno A",IF(F1750&gt;0.875,IF(F1750&lt;0.936805555555556,"Turno C",IF(F1750&gt;0.9375,IF(F1750&lt;0.979166666666667,"Turno B",""),"")),"")),"")),"")),"")),""))</f>
        <v>Turno B</v>
      </c>
      <c r="L1750" s="91">
        <f t="shared" si="27"/>
        <v>0.3125</v>
      </c>
    </row>
    <row r="1751" spans="1:12" s="40" customFormat="1">
      <c r="A1751">
        <v>16132065</v>
      </c>
      <c r="B1751" t="s">
        <v>425</v>
      </c>
      <c r="C1751" t="s">
        <v>419</v>
      </c>
      <c r="D1751" t="s">
        <v>424</v>
      </c>
      <c r="E1751" t="s">
        <v>1439</v>
      </c>
      <c r="F1751" s="78">
        <v>0.943425925925926</v>
      </c>
      <c r="G1751" t="s">
        <v>1406</v>
      </c>
      <c r="H1751" t="s">
        <v>1336</v>
      </c>
      <c r="I1751" s="88" t="str">
        <f>VLOOKUP(A1751,Base!A:B,2,0)</f>
        <v>16.132.065-K</v>
      </c>
      <c r="J1751" s="99" t="str">
        <f>VLOOKUP(A1751,Base!A:F,6,0)</f>
        <v>EMERSON  GALLARDO  LUCERO</v>
      </c>
      <c r="K1751" s="89" t="str">
        <f>IFERROR(IF(VLOOKUP(I1751,Ingreso!K:P,6,0)=0,"Sin turtno ing",VLOOKUP(I1751,Ingreso!K:P,6,0)),IF(F1751&gt;0.25,IF(F1751&lt;0.311805555555556,"Turno A",IF(F1751&gt;0.3125,IF(F1751&lt;0.354166666666667,"Turno C",IF(F1751&gt;0.583333333333333,IF(F1751&lt;0.625,"Turno B",IF(F1751&gt;0.625694444444444,IF(F1751&lt;0.8125,"Turno A",IF(F1751&gt;0.875,IF(F1751&lt;0.936805555555556,"Turno C",IF(F1751&gt;0.9375,IF(F1751&lt;0.979166666666667,"Turno B",""),"")),"")),"")),"")),"")),""))</f>
        <v>Turno B</v>
      </c>
      <c r="L1751" s="91">
        <f t="shared" si="27"/>
        <v>0.3125</v>
      </c>
    </row>
    <row r="1752" spans="1:12" s="40" customFormat="1">
      <c r="A1752">
        <v>16132065</v>
      </c>
      <c r="B1752" t="s">
        <v>425</v>
      </c>
      <c r="C1752" t="s">
        <v>419</v>
      </c>
      <c r="D1752" t="s">
        <v>424</v>
      </c>
      <c r="E1752" t="s">
        <v>1439</v>
      </c>
      <c r="F1752" s="78">
        <v>0.6219675925925926</v>
      </c>
      <c r="G1752" t="s">
        <v>1405</v>
      </c>
      <c r="H1752" t="s">
        <v>1335</v>
      </c>
      <c r="I1752" s="88" t="str">
        <f>VLOOKUP(A1752,Base!A:B,2,0)</f>
        <v>16.132.065-K</v>
      </c>
      <c r="J1752" s="99" t="str">
        <f>VLOOKUP(A1752,Base!A:F,6,0)</f>
        <v>EMERSON  GALLARDO  LUCERO</v>
      </c>
      <c r="K1752" s="89" t="str">
        <f>IFERROR(IF(VLOOKUP(I1752,Ingreso!K:P,6,0)=0,"Sin turtno ing",VLOOKUP(I1752,Ingreso!K:P,6,0)),IF(F1752&gt;0.25,IF(F1752&lt;0.311805555555556,"Turno A",IF(F1752&gt;0.3125,IF(F1752&lt;0.354166666666667,"Turno C",IF(F1752&gt;0.583333333333333,IF(F1752&lt;0.625,"Turno B",IF(F1752&gt;0.625694444444444,IF(F1752&lt;0.8125,"Turno A",IF(F1752&gt;0.875,IF(F1752&lt;0.936805555555556,"Turno C",IF(F1752&gt;0.9375,IF(F1752&lt;0.979166666666667,"Turno B",""),"")),"")),"")),"")),"")),""))</f>
        <v>Turno B</v>
      </c>
      <c r="L1752" s="91">
        <f t="shared" si="27"/>
        <v>0.3125</v>
      </c>
    </row>
    <row r="1753" spans="1:12" s="40" customFormat="1">
      <c r="A1753">
        <v>16149604</v>
      </c>
      <c r="B1753" t="s">
        <v>787</v>
      </c>
      <c r="C1753" t="s">
        <v>327</v>
      </c>
      <c r="D1753" t="s">
        <v>607</v>
      </c>
      <c r="E1753" t="s">
        <v>1440</v>
      </c>
      <c r="F1753" s="78">
        <v>0.71528935185185183</v>
      </c>
      <c r="G1753" t="s">
        <v>1406</v>
      </c>
      <c r="H1753" t="s">
        <v>1336</v>
      </c>
      <c r="I1753" s="88" t="str">
        <f>VLOOKUP(A1753,Base!A:B,2,0)</f>
        <v>16.149.604-9</v>
      </c>
      <c r="J1753" s="99" t="str">
        <f>VLOOKUP(A1753,Base!A:F,6,0)</f>
        <v>RODRIGO  POBLETE  SANDOVAL</v>
      </c>
      <c r="K1753" s="89" t="str">
        <f>IFERROR(IF(VLOOKUP(I1753,Ingreso!K:P,6,0)=0,"Sin turtno ing",VLOOKUP(I1753,Ingreso!K:P,6,0)),IF(F1753&gt;0.25,IF(F1753&lt;0.311805555555556,"Turno A",IF(F1753&gt;0.3125,IF(F1753&lt;0.354166666666667,"Turno C",IF(F1753&gt;0.583333333333333,IF(F1753&lt;0.625,"Turno B",IF(F1753&gt;0.625694444444444,IF(F1753&lt;0.8125,"Turno A",IF(F1753&gt;0.875,IF(F1753&lt;0.936805555555556,"Turno C",IF(F1753&gt;0.9375,IF(F1753&lt;0.979166666666667,"Turno B",""),"")),"")),"")),"")),"")),""))</f>
        <v>Turno A</v>
      </c>
      <c r="L1753" s="91">
        <f t="shared" si="27"/>
        <v>0.3125</v>
      </c>
    </row>
    <row r="1754" spans="1:12" s="40" customFormat="1">
      <c r="A1754">
        <v>16149604</v>
      </c>
      <c r="B1754" t="s">
        <v>787</v>
      </c>
      <c r="C1754" t="s">
        <v>327</v>
      </c>
      <c r="D1754" t="s">
        <v>607</v>
      </c>
      <c r="E1754" t="s">
        <v>1440</v>
      </c>
      <c r="F1754" s="78">
        <v>0.29531250000000003</v>
      </c>
      <c r="G1754" t="s">
        <v>1405</v>
      </c>
      <c r="H1754" t="s">
        <v>1335</v>
      </c>
      <c r="I1754" s="88" t="str">
        <f>VLOOKUP(A1754,Base!A:B,2,0)</f>
        <v>16.149.604-9</v>
      </c>
      <c r="J1754" s="99" t="str">
        <f>VLOOKUP(A1754,Base!A:F,6,0)</f>
        <v>RODRIGO  POBLETE  SANDOVAL</v>
      </c>
      <c r="K1754" s="89" t="str">
        <f>IFERROR(IF(VLOOKUP(I1754,Ingreso!K:P,6,0)=0,"Sin turtno ing",VLOOKUP(I1754,Ingreso!K:P,6,0)),IF(F1754&gt;0.25,IF(F1754&lt;0.311805555555556,"Turno A",IF(F1754&gt;0.3125,IF(F1754&lt;0.354166666666667,"Turno C",IF(F1754&gt;0.583333333333333,IF(F1754&lt;0.625,"Turno B",IF(F1754&gt;0.625694444444444,IF(F1754&lt;0.8125,"Turno A",IF(F1754&gt;0.875,IF(F1754&lt;0.936805555555556,"Turno C",IF(F1754&gt;0.9375,IF(F1754&lt;0.979166666666667,"Turno B",""),"")),"")),"")),"")),"")),""))</f>
        <v>Turno A</v>
      </c>
      <c r="L1754" s="91">
        <f t="shared" si="27"/>
        <v>0.3125</v>
      </c>
    </row>
    <row r="1755" spans="1:12" s="40" customFormat="1">
      <c r="A1755">
        <v>16149604</v>
      </c>
      <c r="B1755" t="s">
        <v>787</v>
      </c>
      <c r="C1755" t="s">
        <v>327</v>
      </c>
      <c r="D1755" t="s">
        <v>607</v>
      </c>
      <c r="E1755" t="s">
        <v>1441</v>
      </c>
      <c r="F1755" s="78">
        <v>0.7173842592592593</v>
      </c>
      <c r="G1755" t="s">
        <v>1406</v>
      </c>
      <c r="H1755" t="s">
        <v>1336</v>
      </c>
      <c r="I1755" s="88" t="str">
        <f>VLOOKUP(A1755,Base!A:B,2,0)</f>
        <v>16.149.604-9</v>
      </c>
      <c r="J1755" s="99" t="str">
        <f>VLOOKUP(A1755,Base!A:F,6,0)</f>
        <v>RODRIGO  POBLETE  SANDOVAL</v>
      </c>
      <c r="K1755" s="89" t="str">
        <f>IFERROR(IF(VLOOKUP(I1755,Ingreso!K:P,6,0)=0,"Sin turtno ing",VLOOKUP(I1755,Ingreso!K:P,6,0)),IF(F1755&gt;0.25,IF(F1755&lt;0.311805555555556,"Turno A",IF(F1755&gt;0.3125,IF(F1755&lt;0.354166666666667,"Turno C",IF(F1755&gt;0.583333333333333,IF(F1755&lt;0.625,"Turno B",IF(F1755&gt;0.625694444444444,IF(F1755&lt;0.8125,"Turno A",IF(F1755&gt;0.875,IF(F1755&lt;0.936805555555556,"Turno C",IF(F1755&gt;0.9375,IF(F1755&lt;0.979166666666667,"Turno B",""),"")),"")),"")),"")),"")),""))</f>
        <v>Turno A</v>
      </c>
      <c r="L1755" s="91">
        <f t="shared" si="27"/>
        <v>0.3125</v>
      </c>
    </row>
    <row r="1756" spans="1:12" s="40" customFormat="1">
      <c r="A1756">
        <v>16149604</v>
      </c>
      <c r="B1756" t="s">
        <v>787</v>
      </c>
      <c r="C1756" t="s">
        <v>327</v>
      </c>
      <c r="D1756" t="s">
        <v>607</v>
      </c>
      <c r="E1756" t="s">
        <v>1441</v>
      </c>
      <c r="F1756" s="78">
        <v>0.29439814814814813</v>
      </c>
      <c r="G1756" t="s">
        <v>1405</v>
      </c>
      <c r="H1756" t="s">
        <v>1335</v>
      </c>
      <c r="I1756" s="88" t="str">
        <f>VLOOKUP(A1756,Base!A:B,2,0)</f>
        <v>16.149.604-9</v>
      </c>
      <c r="J1756" s="99" t="str">
        <f>VLOOKUP(A1756,Base!A:F,6,0)</f>
        <v>RODRIGO  POBLETE  SANDOVAL</v>
      </c>
      <c r="K1756" s="89" t="str">
        <f>IFERROR(IF(VLOOKUP(I1756,Ingreso!K:P,6,0)=0,"Sin turtno ing",VLOOKUP(I1756,Ingreso!K:P,6,0)),IF(F1756&gt;0.25,IF(F1756&lt;0.311805555555556,"Turno A",IF(F1756&gt;0.3125,IF(F1756&lt;0.354166666666667,"Turno C",IF(F1756&gt;0.583333333333333,IF(F1756&lt;0.625,"Turno B",IF(F1756&gt;0.625694444444444,IF(F1756&lt;0.8125,"Turno A",IF(F1756&gt;0.875,IF(F1756&lt;0.936805555555556,"Turno C",IF(F1756&gt;0.9375,IF(F1756&lt;0.979166666666667,"Turno B",""),"")),"")),"")),"")),"")),""))</f>
        <v>Turno A</v>
      </c>
      <c r="L1756" s="91">
        <f t="shared" si="27"/>
        <v>0.3125</v>
      </c>
    </row>
    <row r="1757" spans="1:12" s="40" customFormat="1">
      <c r="A1757">
        <v>16149604</v>
      </c>
      <c r="B1757" t="s">
        <v>787</v>
      </c>
      <c r="C1757" t="s">
        <v>327</v>
      </c>
      <c r="D1757" t="s">
        <v>607</v>
      </c>
      <c r="E1757" t="s">
        <v>1437</v>
      </c>
      <c r="F1757" s="78">
        <v>0.73304398148148142</v>
      </c>
      <c r="G1757" t="s">
        <v>1406</v>
      </c>
      <c r="H1757" t="s">
        <v>1336</v>
      </c>
      <c r="I1757" s="88" t="str">
        <f>VLOOKUP(A1757,Base!A:B,2,0)</f>
        <v>16.149.604-9</v>
      </c>
      <c r="J1757" s="99" t="str">
        <f>VLOOKUP(A1757,Base!A:F,6,0)</f>
        <v>RODRIGO  POBLETE  SANDOVAL</v>
      </c>
      <c r="K1757" s="89" t="str">
        <f>IFERROR(IF(VLOOKUP(I1757,Ingreso!K:P,6,0)=0,"Sin turtno ing",VLOOKUP(I1757,Ingreso!K:P,6,0)),IF(F1757&gt;0.25,IF(F1757&lt;0.311805555555556,"Turno A",IF(F1757&gt;0.3125,IF(F1757&lt;0.354166666666667,"Turno C",IF(F1757&gt;0.583333333333333,IF(F1757&lt;0.625,"Turno B",IF(F1757&gt;0.625694444444444,IF(F1757&lt;0.8125,"Turno A",IF(F1757&gt;0.875,IF(F1757&lt;0.936805555555556,"Turno C",IF(F1757&gt;0.9375,IF(F1757&lt;0.979166666666667,"Turno B",""),"")),"")),"")),"")),"")),""))</f>
        <v>Turno A</v>
      </c>
      <c r="L1757" s="91">
        <f t="shared" si="27"/>
        <v>0.3125</v>
      </c>
    </row>
    <row r="1758" spans="1:12" s="40" customFormat="1">
      <c r="A1758">
        <v>16149604</v>
      </c>
      <c r="B1758" t="s">
        <v>787</v>
      </c>
      <c r="C1758" t="s">
        <v>327</v>
      </c>
      <c r="D1758" t="s">
        <v>607</v>
      </c>
      <c r="E1758" t="s">
        <v>1437</v>
      </c>
      <c r="F1758" s="78">
        <v>0.29480324074074077</v>
      </c>
      <c r="G1758" t="s">
        <v>1405</v>
      </c>
      <c r="H1758" t="s">
        <v>1335</v>
      </c>
      <c r="I1758" s="88" t="str">
        <f>VLOOKUP(A1758,Base!A:B,2,0)</f>
        <v>16.149.604-9</v>
      </c>
      <c r="J1758" s="99" t="str">
        <f>VLOOKUP(A1758,Base!A:F,6,0)</f>
        <v>RODRIGO  POBLETE  SANDOVAL</v>
      </c>
      <c r="K1758" s="89" t="str">
        <f>IFERROR(IF(VLOOKUP(I1758,Ingreso!K:P,6,0)=0,"Sin turtno ing",VLOOKUP(I1758,Ingreso!K:P,6,0)),IF(F1758&gt;0.25,IF(F1758&lt;0.311805555555556,"Turno A",IF(F1758&gt;0.3125,IF(F1758&lt;0.354166666666667,"Turno C",IF(F1758&gt;0.583333333333333,IF(F1758&lt;0.625,"Turno B",IF(F1758&gt;0.625694444444444,IF(F1758&lt;0.8125,"Turno A",IF(F1758&gt;0.875,IF(F1758&lt;0.936805555555556,"Turno C",IF(F1758&gt;0.9375,IF(F1758&lt;0.979166666666667,"Turno B",""),"")),"")),"")),"")),"")),""))</f>
        <v>Turno A</v>
      </c>
      <c r="L1758" s="91">
        <f t="shared" si="27"/>
        <v>0.3125</v>
      </c>
    </row>
    <row r="1759" spans="1:12" s="40" customFormat="1">
      <c r="A1759">
        <v>16149604</v>
      </c>
      <c r="B1759" t="s">
        <v>787</v>
      </c>
      <c r="C1759" t="s">
        <v>327</v>
      </c>
      <c r="D1759" t="s">
        <v>607</v>
      </c>
      <c r="E1759" t="s">
        <v>1438</v>
      </c>
      <c r="F1759" s="78">
        <v>0.72564814814814815</v>
      </c>
      <c r="G1759" t="s">
        <v>1406</v>
      </c>
      <c r="H1759" t="s">
        <v>1336</v>
      </c>
      <c r="I1759" s="88" t="str">
        <f>VLOOKUP(A1759,Base!A:B,2,0)</f>
        <v>16.149.604-9</v>
      </c>
      <c r="J1759" s="99" t="str">
        <f>VLOOKUP(A1759,Base!A:F,6,0)</f>
        <v>RODRIGO  POBLETE  SANDOVAL</v>
      </c>
      <c r="K1759" s="89" t="str">
        <f>IFERROR(IF(VLOOKUP(I1759,Ingreso!K:P,6,0)=0,"Sin turtno ing",VLOOKUP(I1759,Ingreso!K:P,6,0)),IF(F1759&gt;0.25,IF(F1759&lt;0.311805555555556,"Turno A",IF(F1759&gt;0.3125,IF(F1759&lt;0.354166666666667,"Turno C",IF(F1759&gt;0.583333333333333,IF(F1759&lt;0.625,"Turno B",IF(F1759&gt;0.625694444444444,IF(F1759&lt;0.8125,"Turno A",IF(F1759&gt;0.875,IF(F1759&lt;0.936805555555556,"Turno C",IF(F1759&gt;0.9375,IF(F1759&lt;0.979166666666667,"Turno B",""),"")),"")),"")),"")),"")),""))</f>
        <v>Turno A</v>
      </c>
      <c r="L1759" s="91">
        <f t="shared" si="27"/>
        <v>0.3125</v>
      </c>
    </row>
    <row r="1760" spans="1:12" s="40" customFormat="1">
      <c r="A1760">
        <v>16149604</v>
      </c>
      <c r="B1760" t="s">
        <v>787</v>
      </c>
      <c r="C1760" t="s">
        <v>327</v>
      </c>
      <c r="D1760" t="s">
        <v>607</v>
      </c>
      <c r="E1760" t="s">
        <v>1438</v>
      </c>
      <c r="F1760" s="78">
        <v>0.29420138888888886</v>
      </c>
      <c r="G1760" t="s">
        <v>1405</v>
      </c>
      <c r="H1760" t="s">
        <v>1335</v>
      </c>
      <c r="I1760" s="88" t="str">
        <f>VLOOKUP(A1760,Base!A:B,2,0)</f>
        <v>16.149.604-9</v>
      </c>
      <c r="J1760" s="99" t="str">
        <f>VLOOKUP(A1760,Base!A:F,6,0)</f>
        <v>RODRIGO  POBLETE  SANDOVAL</v>
      </c>
      <c r="K1760" s="89" t="str">
        <f>IFERROR(IF(VLOOKUP(I1760,Ingreso!K:P,6,0)=0,"Sin turtno ing",VLOOKUP(I1760,Ingreso!K:P,6,0)),IF(F1760&gt;0.25,IF(F1760&lt;0.311805555555556,"Turno A",IF(F1760&gt;0.3125,IF(F1760&lt;0.354166666666667,"Turno C",IF(F1760&gt;0.583333333333333,IF(F1760&lt;0.625,"Turno B",IF(F1760&gt;0.625694444444444,IF(F1760&lt;0.8125,"Turno A",IF(F1760&gt;0.875,IF(F1760&lt;0.936805555555556,"Turno C",IF(F1760&gt;0.9375,IF(F1760&lt;0.979166666666667,"Turno B",""),"")),"")),"")),"")),"")),""))</f>
        <v>Turno A</v>
      </c>
      <c r="L1760" s="91">
        <f t="shared" si="27"/>
        <v>0.3125</v>
      </c>
    </row>
    <row r="1761" spans="1:12" s="40" customFormat="1">
      <c r="A1761">
        <v>16149604</v>
      </c>
      <c r="B1761" t="s">
        <v>787</v>
      </c>
      <c r="C1761" t="s">
        <v>327</v>
      </c>
      <c r="D1761" t="s">
        <v>607</v>
      </c>
      <c r="E1761" t="s">
        <v>1439</v>
      </c>
      <c r="F1761" s="78">
        <v>0.73262731481481491</v>
      </c>
      <c r="G1761" t="s">
        <v>1406</v>
      </c>
      <c r="H1761" t="s">
        <v>1336</v>
      </c>
      <c r="I1761" s="88" t="str">
        <f>VLOOKUP(A1761,Base!A:B,2,0)</f>
        <v>16.149.604-9</v>
      </c>
      <c r="J1761" s="99" t="str">
        <f>VLOOKUP(A1761,Base!A:F,6,0)</f>
        <v>RODRIGO  POBLETE  SANDOVAL</v>
      </c>
      <c r="K1761" s="89" t="str">
        <f>IFERROR(IF(VLOOKUP(I1761,Ingreso!K:P,6,0)=0,"Sin turtno ing",VLOOKUP(I1761,Ingreso!K:P,6,0)),IF(F1761&gt;0.25,IF(F1761&lt;0.311805555555556,"Turno A",IF(F1761&gt;0.3125,IF(F1761&lt;0.354166666666667,"Turno C",IF(F1761&gt;0.583333333333333,IF(F1761&lt;0.625,"Turno B",IF(F1761&gt;0.625694444444444,IF(F1761&lt;0.8125,"Turno A",IF(F1761&gt;0.875,IF(F1761&lt;0.936805555555556,"Turno C",IF(F1761&gt;0.9375,IF(F1761&lt;0.979166666666667,"Turno B",""),"")),"")),"")),"")),"")),""))</f>
        <v>Turno A</v>
      </c>
      <c r="L1761" s="91">
        <f t="shared" si="27"/>
        <v>0.3125</v>
      </c>
    </row>
    <row r="1762" spans="1:12" s="40" customFormat="1">
      <c r="A1762">
        <v>16149604</v>
      </c>
      <c r="B1762" t="s">
        <v>787</v>
      </c>
      <c r="C1762" t="s">
        <v>327</v>
      </c>
      <c r="D1762" t="s">
        <v>607</v>
      </c>
      <c r="E1762" t="s">
        <v>1439</v>
      </c>
      <c r="F1762" s="78">
        <v>0.29487268518518517</v>
      </c>
      <c r="G1762" t="s">
        <v>1405</v>
      </c>
      <c r="H1762" t="s">
        <v>1335</v>
      </c>
      <c r="I1762" s="88" t="str">
        <f>VLOOKUP(A1762,Base!A:B,2,0)</f>
        <v>16.149.604-9</v>
      </c>
      <c r="J1762" s="99" t="str">
        <f>VLOOKUP(A1762,Base!A:F,6,0)</f>
        <v>RODRIGO  POBLETE  SANDOVAL</v>
      </c>
      <c r="K1762" s="89" t="str">
        <f>IFERROR(IF(VLOOKUP(I1762,Ingreso!K:P,6,0)=0,"Sin turtno ing",VLOOKUP(I1762,Ingreso!K:P,6,0)),IF(F1762&gt;0.25,IF(F1762&lt;0.311805555555556,"Turno A",IF(F1762&gt;0.3125,IF(F1762&lt;0.354166666666667,"Turno C",IF(F1762&gt;0.583333333333333,IF(F1762&lt;0.625,"Turno B",IF(F1762&gt;0.625694444444444,IF(F1762&lt;0.8125,"Turno A",IF(F1762&gt;0.875,IF(F1762&lt;0.936805555555556,"Turno C",IF(F1762&gt;0.9375,IF(F1762&lt;0.979166666666667,"Turno B",""),"")),"")),"")),"")),"")),""))</f>
        <v>Turno A</v>
      </c>
      <c r="L1762" s="91">
        <f t="shared" si="27"/>
        <v>0.3125</v>
      </c>
    </row>
    <row r="1763" spans="1:12" s="40" customFormat="1">
      <c r="A1763">
        <v>16169301</v>
      </c>
      <c r="B1763" t="s">
        <v>1198</v>
      </c>
      <c r="C1763" t="s">
        <v>1196</v>
      </c>
      <c r="D1763" t="s">
        <v>1197</v>
      </c>
      <c r="E1763" t="s">
        <v>1440</v>
      </c>
      <c r="F1763" s="78">
        <v>0.9445486111111111</v>
      </c>
      <c r="G1763" t="s">
        <v>1406</v>
      </c>
      <c r="H1763" t="s">
        <v>1336</v>
      </c>
      <c r="I1763" s="88" t="str">
        <f>VLOOKUP(A1763,Base!A:B,2,0)</f>
        <v>16.169.301-4</v>
      </c>
      <c r="J1763" s="99" t="str">
        <f>VLOOKUP(A1763,Base!A:F,6,0)</f>
        <v>JOSE MAURICIO  ÑANCUCHEO  MARIQUEO</v>
      </c>
      <c r="K1763" s="89" t="str">
        <f>IFERROR(IF(VLOOKUP(I1763,Ingreso!K:P,6,0)=0,"Sin turtno ing",VLOOKUP(I1763,Ingreso!K:P,6,0)),IF(F1763&gt;0.25,IF(F1763&lt;0.311805555555556,"Turno A",IF(F1763&gt;0.3125,IF(F1763&lt;0.354166666666667,"Turno C",IF(F1763&gt;0.583333333333333,IF(F1763&lt;0.625,"Turno B",IF(F1763&gt;0.625694444444444,IF(F1763&lt;0.8125,"Turno A",IF(F1763&gt;0.875,IF(F1763&lt;0.936805555555556,"Turno C",IF(F1763&gt;0.9375,IF(F1763&lt;0.979166666666667,"Turno B",""),"")),"")),"")),"")),"")),""))</f>
        <v>Turno B</v>
      </c>
      <c r="L1763" s="91">
        <f t="shared" si="27"/>
        <v>0.3125</v>
      </c>
    </row>
    <row r="1764" spans="1:12" s="40" customFormat="1">
      <c r="A1764">
        <v>16169301</v>
      </c>
      <c r="B1764" t="s">
        <v>1198</v>
      </c>
      <c r="C1764" t="s">
        <v>1196</v>
      </c>
      <c r="D1764" t="s">
        <v>1197</v>
      </c>
      <c r="E1764" t="s">
        <v>1440</v>
      </c>
      <c r="F1764" s="78">
        <v>0.60817129629629629</v>
      </c>
      <c r="G1764" t="s">
        <v>1405</v>
      </c>
      <c r="H1764" t="s">
        <v>1335</v>
      </c>
      <c r="I1764" s="88" t="str">
        <f>VLOOKUP(A1764,Base!A:B,2,0)</f>
        <v>16.169.301-4</v>
      </c>
      <c r="J1764" s="99" t="str">
        <f>VLOOKUP(A1764,Base!A:F,6,0)</f>
        <v>JOSE MAURICIO  ÑANCUCHEO  MARIQUEO</v>
      </c>
      <c r="K1764" s="89" t="str">
        <f>IFERROR(IF(VLOOKUP(I1764,Ingreso!K:P,6,0)=0,"Sin turtno ing",VLOOKUP(I1764,Ingreso!K:P,6,0)),IF(F1764&gt;0.25,IF(F1764&lt;0.311805555555556,"Turno A",IF(F1764&gt;0.3125,IF(F1764&lt;0.354166666666667,"Turno C",IF(F1764&gt;0.583333333333333,IF(F1764&lt;0.625,"Turno B",IF(F1764&gt;0.625694444444444,IF(F1764&lt;0.8125,"Turno A",IF(F1764&gt;0.875,IF(F1764&lt;0.936805555555556,"Turno C",IF(F1764&gt;0.9375,IF(F1764&lt;0.979166666666667,"Turno B",""),"")),"")),"")),"")),"")),""))</f>
        <v>Turno B</v>
      </c>
      <c r="L1764" s="91">
        <f t="shared" si="27"/>
        <v>0.3125</v>
      </c>
    </row>
    <row r="1765" spans="1:12" s="40" customFormat="1">
      <c r="A1765">
        <v>16169301</v>
      </c>
      <c r="B1765" t="s">
        <v>1198</v>
      </c>
      <c r="C1765" t="s">
        <v>1196</v>
      </c>
      <c r="D1765" t="s">
        <v>1197</v>
      </c>
      <c r="E1765" t="s">
        <v>1441</v>
      </c>
      <c r="F1765" s="78">
        <v>0.95113425925925921</v>
      </c>
      <c r="G1765" t="s">
        <v>1406</v>
      </c>
      <c r="H1765" t="s">
        <v>1336</v>
      </c>
      <c r="I1765" s="88" t="str">
        <f>VLOOKUP(A1765,Base!A:B,2,0)</f>
        <v>16.169.301-4</v>
      </c>
      <c r="J1765" s="99" t="str">
        <f>VLOOKUP(A1765,Base!A:F,6,0)</f>
        <v>JOSE MAURICIO  ÑANCUCHEO  MARIQUEO</v>
      </c>
      <c r="K1765" s="89" t="str">
        <f>IFERROR(IF(VLOOKUP(I1765,Ingreso!K:P,6,0)=0,"Sin turtno ing",VLOOKUP(I1765,Ingreso!K:P,6,0)),IF(F1765&gt;0.25,IF(F1765&lt;0.311805555555556,"Turno A",IF(F1765&gt;0.3125,IF(F1765&lt;0.354166666666667,"Turno C",IF(F1765&gt;0.583333333333333,IF(F1765&lt;0.625,"Turno B",IF(F1765&gt;0.625694444444444,IF(F1765&lt;0.8125,"Turno A",IF(F1765&gt;0.875,IF(F1765&lt;0.936805555555556,"Turno C",IF(F1765&gt;0.9375,IF(F1765&lt;0.979166666666667,"Turno B",""),"")),"")),"")),"")),"")),""))</f>
        <v>Turno B</v>
      </c>
      <c r="L1765" s="91">
        <f t="shared" si="27"/>
        <v>0.3125</v>
      </c>
    </row>
    <row r="1766" spans="1:12" s="40" customFormat="1">
      <c r="A1766">
        <v>16169301</v>
      </c>
      <c r="B1766" t="s">
        <v>1198</v>
      </c>
      <c r="C1766" t="s">
        <v>1196</v>
      </c>
      <c r="D1766" t="s">
        <v>1197</v>
      </c>
      <c r="E1766" t="s">
        <v>1441</v>
      </c>
      <c r="F1766" s="78">
        <v>0.61241898148148144</v>
      </c>
      <c r="G1766" t="s">
        <v>1405</v>
      </c>
      <c r="H1766" t="s">
        <v>1335</v>
      </c>
      <c r="I1766" s="88" t="str">
        <f>VLOOKUP(A1766,Base!A:B,2,0)</f>
        <v>16.169.301-4</v>
      </c>
      <c r="J1766" s="99" t="str">
        <f>VLOOKUP(A1766,Base!A:F,6,0)</f>
        <v>JOSE MAURICIO  ÑANCUCHEO  MARIQUEO</v>
      </c>
      <c r="K1766" s="89" t="str">
        <f>IFERROR(IF(VLOOKUP(I1766,Ingreso!K:P,6,0)=0,"Sin turtno ing",VLOOKUP(I1766,Ingreso!K:P,6,0)),IF(F1766&gt;0.25,IF(F1766&lt;0.311805555555556,"Turno A",IF(F1766&gt;0.3125,IF(F1766&lt;0.354166666666667,"Turno C",IF(F1766&gt;0.583333333333333,IF(F1766&lt;0.625,"Turno B",IF(F1766&gt;0.625694444444444,IF(F1766&lt;0.8125,"Turno A",IF(F1766&gt;0.875,IF(F1766&lt;0.936805555555556,"Turno C",IF(F1766&gt;0.9375,IF(F1766&lt;0.979166666666667,"Turno B",""),"")),"")),"")),"")),"")),""))</f>
        <v>Turno B</v>
      </c>
      <c r="L1766" s="91">
        <f t="shared" si="27"/>
        <v>0.3125</v>
      </c>
    </row>
    <row r="1767" spans="1:12" s="40" customFormat="1">
      <c r="A1767">
        <v>16169301</v>
      </c>
      <c r="B1767" t="s">
        <v>1198</v>
      </c>
      <c r="C1767" t="s">
        <v>1196</v>
      </c>
      <c r="D1767" t="s">
        <v>1197</v>
      </c>
      <c r="E1767" t="s">
        <v>1437</v>
      </c>
      <c r="F1767" s="78">
        <v>0.94740740740740748</v>
      </c>
      <c r="G1767" t="s">
        <v>1406</v>
      </c>
      <c r="H1767" t="s">
        <v>1336</v>
      </c>
      <c r="I1767" s="88" t="str">
        <f>VLOOKUP(A1767,Base!A:B,2,0)</f>
        <v>16.169.301-4</v>
      </c>
      <c r="J1767" s="99" t="str">
        <f>VLOOKUP(A1767,Base!A:F,6,0)</f>
        <v>JOSE MAURICIO  ÑANCUCHEO  MARIQUEO</v>
      </c>
      <c r="K1767" s="89" t="str">
        <f>IFERROR(IF(VLOOKUP(I1767,Ingreso!K:P,6,0)=0,"Sin turtno ing",VLOOKUP(I1767,Ingreso!K:P,6,0)),IF(F1767&gt;0.25,IF(F1767&lt;0.311805555555556,"Turno A",IF(F1767&gt;0.3125,IF(F1767&lt;0.354166666666667,"Turno C",IF(F1767&gt;0.583333333333333,IF(F1767&lt;0.625,"Turno B",IF(F1767&gt;0.625694444444444,IF(F1767&lt;0.8125,"Turno A",IF(F1767&gt;0.875,IF(F1767&lt;0.936805555555556,"Turno C",IF(F1767&gt;0.9375,IF(F1767&lt;0.979166666666667,"Turno B",""),"")),"")),"")),"")),"")),""))</f>
        <v>Turno B</v>
      </c>
      <c r="L1767" s="91">
        <f t="shared" si="27"/>
        <v>0.3125</v>
      </c>
    </row>
    <row r="1768" spans="1:12" s="40" customFormat="1">
      <c r="A1768">
        <v>16169301</v>
      </c>
      <c r="B1768" t="s">
        <v>1198</v>
      </c>
      <c r="C1768" t="s">
        <v>1196</v>
      </c>
      <c r="D1768" t="s">
        <v>1197</v>
      </c>
      <c r="E1768" t="s">
        <v>1437</v>
      </c>
      <c r="F1768" s="78">
        <v>0.6057407407407408</v>
      </c>
      <c r="G1768" t="s">
        <v>1405</v>
      </c>
      <c r="H1768" t="s">
        <v>1335</v>
      </c>
      <c r="I1768" s="88" t="str">
        <f>VLOOKUP(A1768,Base!A:B,2,0)</f>
        <v>16.169.301-4</v>
      </c>
      <c r="J1768" s="99" t="str">
        <f>VLOOKUP(A1768,Base!A:F,6,0)</f>
        <v>JOSE MAURICIO  ÑANCUCHEO  MARIQUEO</v>
      </c>
      <c r="K1768" s="89" t="str">
        <f>IFERROR(IF(VLOOKUP(I1768,Ingreso!K:P,6,0)=0,"Sin turtno ing",VLOOKUP(I1768,Ingreso!K:P,6,0)),IF(F1768&gt;0.25,IF(F1768&lt;0.311805555555556,"Turno A",IF(F1768&gt;0.3125,IF(F1768&lt;0.354166666666667,"Turno C",IF(F1768&gt;0.583333333333333,IF(F1768&lt;0.625,"Turno B",IF(F1768&gt;0.625694444444444,IF(F1768&lt;0.8125,"Turno A",IF(F1768&gt;0.875,IF(F1768&lt;0.936805555555556,"Turno C",IF(F1768&gt;0.9375,IF(F1768&lt;0.979166666666667,"Turno B",""),"")),"")),"")),"")),"")),""))</f>
        <v>Turno B</v>
      </c>
      <c r="L1768" s="91">
        <f t="shared" si="27"/>
        <v>0.3125</v>
      </c>
    </row>
    <row r="1769" spans="1:12" s="40" customFormat="1">
      <c r="A1769">
        <v>16169301</v>
      </c>
      <c r="B1769" t="s">
        <v>1198</v>
      </c>
      <c r="C1769" t="s">
        <v>1196</v>
      </c>
      <c r="D1769" t="s">
        <v>1197</v>
      </c>
      <c r="E1769" t="s">
        <v>1438</v>
      </c>
      <c r="F1769" s="78">
        <v>0.94524305555555566</v>
      </c>
      <c r="G1769" t="s">
        <v>1406</v>
      </c>
      <c r="H1769" t="s">
        <v>1336</v>
      </c>
      <c r="I1769" s="88" t="str">
        <f>VLOOKUP(A1769,Base!A:B,2,0)</f>
        <v>16.169.301-4</v>
      </c>
      <c r="J1769" s="99" t="str">
        <f>VLOOKUP(A1769,Base!A:F,6,0)</f>
        <v>JOSE MAURICIO  ÑANCUCHEO  MARIQUEO</v>
      </c>
      <c r="K1769" s="89" t="str">
        <f>IFERROR(IF(VLOOKUP(I1769,Ingreso!K:P,6,0)=0,"Sin turtno ing",VLOOKUP(I1769,Ingreso!K:P,6,0)),IF(F1769&gt;0.25,IF(F1769&lt;0.311805555555556,"Turno A",IF(F1769&gt;0.3125,IF(F1769&lt;0.354166666666667,"Turno C",IF(F1769&gt;0.583333333333333,IF(F1769&lt;0.625,"Turno B",IF(F1769&gt;0.625694444444444,IF(F1769&lt;0.8125,"Turno A",IF(F1769&gt;0.875,IF(F1769&lt;0.936805555555556,"Turno C",IF(F1769&gt;0.9375,IF(F1769&lt;0.979166666666667,"Turno B",""),"")),"")),"")),"")),"")),""))</f>
        <v>Turno B</v>
      </c>
      <c r="L1769" s="91">
        <f t="shared" si="27"/>
        <v>0.3125</v>
      </c>
    </row>
    <row r="1770" spans="1:12" s="40" customFormat="1">
      <c r="A1770">
        <v>16169301</v>
      </c>
      <c r="B1770" t="s">
        <v>1198</v>
      </c>
      <c r="C1770" t="s">
        <v>1196</v>
      </c>
      <c r="D1770" t="s">
        <v>1197</v>
      </c>
      <c r="E1770" t="s">
        <v>1438</v>
      </c>
      <c r="F1770" s="78">
        <v>0.60651620370370374</v>
      </c>
      <c r="G1770" t="s">
        <v>1405</v>
      </c>
      <c r="H1770" t="s">
        <v>1335</v>
      </c>
      <c r="I1770" s="88" t="str">
        <f>VLOOKUP(A1770,Base!A:B,2,0)</f>
        <v>16.169.301-4</v>
      </c>
      <c r="J1770" s="99" t="str">
        <f>VLOOKUP(A1770,Base!A:F,6,0)</f>
        <v>JOSE MAURICIO  ÑANCUCHEO  MARIQUEO</v>
      </c>
      <c r="K1770" s="89" t="str">
        <f>IFERROR(IF(VLOOKUP(I1770,Ingreso!K:P,6,0)=0,"Sin turtno ing",VLOOKUP(I1770,Ingreso!K:P,6,0)),IF(F1770&gt;0.25,IF(F1770&lt;0.311805555555556,"Turno A",IF(F1770&gt;0.3125,IF(F1770&lt;0.354166666666667,"Turno C",IF(F1770&gt;0.583333333333333,IF(F1770&lt;0.625,"Turno B",IF(F1770&gt;0.625694444444444,IF(F1770&lt;0.8125,"Turno A",IF(F1770&gt;0.875,IF(F1770&lt;0.936805555555556,"Turno C",IF(F1770&gt;0.9375,IF(F1770&lt;0.979166666666667,"Turno B",""),"")),"")),"")),"")),"")),""))</f>
        <v>Turno B</v>
      </c>
      <c r="L1770" s="91">
        <f t="shared" si="27"/>
        <v>0.3125</v>
      </c>
    </row>
    <row r="1771" spans="1:12" s="40" customFormat="1">
      <c r="A1771">
        <v>16169301</v>
      </c>
      <c r="B1771" t="s">
        <v>1198</v>
      </c>
      <c r="C1771" t="s">
        <v>1196</v>
      </c>
      <c r="D1771" t="s">
        <v>1197</v>
      </c>
      <c r="E1771" t="s">
        <v>1439</v>
      </c>
      <c r="F1771" s="78">
        <v>0.94635416666666661</v>
      </c>
      <c r="G1771" t="s">
        <v>1406</v>
      </c>
      <c r="H1771" t="s">
        <v>1336</v>
      </c>
      <c r="I1771" s="88" t="str">
        <f>VLOOKUP(A1771,Base!A:B,2,0)</f>
        <v>16.169.301-4</v>
      </c>
      <c r="J1771" s="99" t="str">
        <f>VLOOKUP(A1771,Base!A:F,6,0)</f>
        <v>JOSE MAURICIO  ÑANCUCHEO  MARIQUEO</v>
      </c>
      <c r="K1771" s="89" t="str">
        <f>IFERROR(IF(VLOOKUP(I1771,Ingreso!K:P,6,0)=0,"Sin turtno ing",VLOOKUP(I1771,Ingreso!K:P,6,0)),IF(F1771&gt;0.25,IF(F1771&lt;0.311805555555556,"Turno A",IF(F1771&gt;0.3125,IF(F1771&lt;0.354166666666667,"Turno C",IF(F1771&gt;0.583333333333333,IF(F1771&lt;0.625,"Turno B",IF(F1771&gt;0.625694444444444,IF(F1771&lt;0.8125,"Turno A",IF(F1771&gt;0.875,IF(F1771&lt;0.936805555555556,"Turno C",IF(F1771&gt;0.9375,IF(F1771&lt;0.979166666666667,"Turno B",""),"")),"")),"")),"")),"")),""))</f>
        <v>Turno B</v>
      </c>
      <c r="L1771" s="91">
        <f t="shared" si="27"/>
        <v>0.3125</v>
      </c>
    </row>
    <row r="1772" spans="1:12" s="40" customFormat="1">
      <c r="A1772">
        <v>16169301</v>
      </c>
      <c r="B1772" t="s">
        <v>1198</v>
      </c>
      <c r="C1772" t="s">
        <v>1196</v>
      </c>
      <c r="D1772" t="s">
        <v>1197</v>
      </c>
      <c r="E1772" t="s">
        <v>1439</v>
      </c>
      <c r="F1772" s="78">
        <v>0.60678240740740741</v>
      </c>
      <c r="G1772" t="s">
        <v>1405</v>
      </c>
      <c r="H1772" t="s">
        <v>1335</v>
      </c>
      <c r="I1772" s="88" t="str">
        <f>VLOOKUP(A1772,Base!A:B,2,0)</f>
        <v>16.169.301-4</v>
      </c>
      <c r="J1772" s="99" t="str">
        <f>VLOOKUP(A1772,Base!A:F,6,0)</f>
        <v>JOSE MAURICIO  ÑANCUCHEO  MARIQUEO</v>
      </c>
      <c r="K1772" s="89" t="str">
        <f>IFERROR(IF(VLOOKUP(I1772,Ingreso!K:P,6,0)=0,"Sin turtno ing",VLOOKUP(I1772,Ingreso!K:P,6,0)),IF(F1772&gt;0.25,IF(F1772&lt;0.311805555555556,"Turno A",IF(F1772&gt;0.3125,IF(F1772&lt;0.354166666666667,"Turno C",IF(F1772&gt;0.583333333333333,IF(F1772&lt;0.625,"Turno B",IF(F1772&gt;0.625694444444444,IF(F1772&lt;0.8125,"Turno A",IF(F1772&gt;0.875,IF(F1772&lt;0.936805555555556,"Turno C",IF(F1772&gt;0.9375,IF(F1772&lt;0.979166666666667,"Turno B",""),"")),"")),"")),"")),"")),""))</f>
        <v>Turno B</v>
      </c>
      <c r="L1772" s="91">
        <f t="shared" si="27"/>
        <v>0.3125</v>
      </c>
    </row>
    <row r="1773" spans="1:12" s="40" customFormat="1">
      <c r="A1773">
        <v>16191666</v>
      </c>
      <c r="B1773" t="s">
        <v>49</v>
      </c>
      <c r="C1773" t="s">
        <v>47</v>
      </c>
      <c r="D1773" t="s">
        <v>48</v>
      </c>
      <c r="E1773" t="s">
        <v>1440</v>
      </c>
      <c r="F1773" s="78">
        <v>0.73270833333333341</v>
      </c>
      <c r="G1773" t="s">
        <v>1406</v>
      </c>
      <c r="H1773" t="s">
        <v>1336</v>
      </c>
      <c r="I1773" s="88" t="str">
        <f>VLOOKUP(A1773,Base!A:B,2,0)</f>
        <v>16.191.666-8</v>
      </c>
      <c r="J1773" s="99" t="str">
        <f>VLOOKUP(A1773,Base!A:F,6,0)</f>
        <v>KAREN FABIOLA  ALARCON  SILVA</v>
      </c>
      <c r="K1773" s="89" t="str">
        <f>IFERROR(IF(VLOOKUP(I1773,Ingreso!K:P,6,0)=0,"Sin turtno ing",VLOOKUP(I1773,Ingreso!K:P,6,0)),IF(F1773&gt;0.25,IF(F1773&lt;0.311805555555556,"Turno A",IF(F1773&gt;0.3125,IF(F1773&lt;0.354166666666667,"Turno C",IF(F1773&gt;0.583333333333333,IF(F1773&lt;0.625,"Turno B",IF(F1773&gt;0.625694444444444,IF(F1773&lt;0.8125,"Turno A",IF(F1773&gt;0.875,IF(F1773&lt;0.936805555555556,"Turno C",IF(F1773&gt;0.9375,IF(F1773&lt;0.979166666666667,"Turno B",""),"")),"")),"")),"")),"")),""))</f>
        <v>Sin turtno ing</v>
      </c>
      <c r="L1773" s="91" t="e">
        <f t="shared" si="27"/>
        <v>#N/A</v>
      </c>
    </row>
    <row r="1774" spans="1:12" s="40" customFormat="1">
      <c r="A1774">
        <v>16191666</v>
      </c>
      <c r="B1774" t="s">
        <v>49</v>
      </c>
      <c r="C1774" t="s">
        <v>47</v>
      </c>
      <c r="D1774" t="s">
        <v>48</v>
      </c>
      <c r="E1774" t="s">
        <v>1440</v>
      </c>
      <c r="F1774" s="78">
        <v>0.32069444444444445</v>
      </c>
      <c r="G1774" t="s">
        <v>1405</v>
      </c>
      <c r="H1774" t="s">
        <v>1335</v>
      </c>
      <c r="I1774" s="88" t="str">
        <f>VLOOKUP(A1774,Base!A:B,2,0)</f>
        <v>16.191.666-8</v>
      </c>
      <c r="J1774" s="99" t="str">
        <f>VLOOKUP(A1774,Base!A:F,6,0)</f>
        <v>KAREN FABIOLA  ALARCON  SILVA</v>
      </c>
      <c r="K1774" s="89" t="str">
        <f>IFERROR(IF(VLOOKUP(I1774,Ingreso!K:P,6,0)=0,"Sin turtno ing",VLOOKUP(I1774,Ingreso!K:P,6,0)),IF(F1774&gt;0.25,IF(F1774&lt;0.311805555555556,"Turno A",IF(F1774&gt;0.3125,IF(F1774&lt;0.354166666666667,"Turno C",IF(F1774&gt;0.583333333333333,IF(F1774&lt;0.625,"Turno B",IF(F1774&gt;0.625694444444444,IF(F1774&lt;0.8125,"Turno A",IF(F1774&gt;0.875,IF(F1774&lt;0.936805555555556,"Turno C",IF(F1774&gt;0.9375,IF(F1774&lt;0.979166666666667,"Turno B",""),"")),"")),"")),"")),"")),""))</f>
        <v>Sin turtno ing</v>
      </c>
      <c r="L1774" s="91" t="e">
        <f t="shared" si="27"/>
        <v>#N/A</v>
      </c>
    </row>
    <row r="1775" spans="1:12" s="40" customFormat="1">
      <c r="A1775">
        <v>16191666</v>
      </c>
      <c r="B1775" t="s">
        <v>49</v>
      </c>
      <c r="C1775" t="s">
        <v>47</v>
      </c>
      <c r="D1775" t="s">
        <v>48</v>
      </c>
      <c r="E1775" t="s">
        <v>1437</v>
      </c>
      <c r="F1775" s="78">
        <v>0.73502314814814806</v>
      </c>
      <c r="G1775" t="s">
        <v>1406</v>
      </c>
      <c r="H1775" t="s">
        <v>1336</v>
      </c>
      <c r="I1775" s="88" t="str">
        <f>VLOOKUP(A1775,Base!A:B,2,0)</f>
        <v>16.191.666-8</v>
      </c>
      <c r="J1775" s="99" t="str">
        <f>VLOOKUP(A1775,Base!A:F,6,0)</f>
        <v>KAREN FABIOLA  ALARCON  SILVA</v>
      </c>
      <c r="K1775" s="89" t="str">
        <f>IFERROR(IF(VLOOKUP(I1775,Ingreso!K:P,6,0)=0,"Sin turtno ing",VLOOKUP(I1775,Ingreso!K:P,6,0)),IF(F1775&gt;0.25,IF(F1775&lt;0.311805555555556,"Turno A",IF(F1775&gt;0.3125,IF(F1775&lt;0.354166666666667,"Turno C",IF(F1775&gt;0.583333333333333,IF(F1775&lt;0.625,"Turno B",IF(F1775&gt;0.625694444444444,IF(F1775&lt;0.8125,"Turno A",IF(F1775&gt;0.875,IF(F1775&lt;0.936805555555556,"Turno C",IF(F1775&gt;0.9375,IF(F1775&lt;0.979166666666667,"Turno B",""),"")),"")),"")),"")),"")),""))</f>
        <v>Sin turtno ing</v>
      </c>
      <c r="L1775" s="91" t="e">
        <f t="shared" si="27"/>
        <v>#N/A</v>
      </c>
    </row>
    <row r="1776" spans="1:12" s="40" customFormat="1">
      <c r="A1776">
        <v>16191666</v>
      </c>
      <c r="B1776" t="s">
        <v>49</v>
      </c>
      <c r="C1776" t="s">
        <v>47</v>
      </c>
      <c r="D1776" t="s">
        <v>48</v>
      </c>
      <c r="E1776" t="s">
        <v>1437</v>
      </c>
      <c r="F1776" s="78">
        <v>0.3064236111111111</v>
      </c>
      <c r="G1776" t="s">
        <v>1405</v>
      </c>
      <c r="H1776" t="s">
        <v>1335</v>
      </c>
      <c r="I1776" s="88" t="str">
        <f>VLOOKUP(A1776,Base!A:B,2,0)</f>
        <v>16.191.666-8</v>
      </c>
      <c r="J1776" s="99" t="str">
        <f>VLOOKUP(A1776,Base!A:F,6,0)</f>
        <v>KAREN FABIOLA  ALARCON  SILVA</v>
      </c>
      <c r="K1776" s="89" t="str">
        <f>IFERROR(IF(VLOOKUP(I1776,Ingreso!K:P,6,0)=0,"Sin turtno ing",VLOOKUP(I1776,Ingreso!K:P,6,0)),IF(F1776&gt;0.25,IF(F1776&lt;0.311805555555556,"Turno A",IF(F1776&gt;0.3125,IF(F1776&lt;0.354166666666667,"Turno C",IF(F1776&gt;0.583333333333333,IF(F1776&lt;0.625,"Turno B",IF(F1776&gt;0.625694444444444,IF(F1776&lt;0.8125,"Turno A",IF(F1776&gt;0.875,IF(F1776&lt;0.936805555555556,"Turno C",IF(F1776&gt;0.9375,IF(F1776&lt;0.979166666666667,"Turno B",""),"")),"")),"")),"")),"")),""))</f>
        <v>Sin turtno ing</v>
      </c>
      <c r="L1776" s="91" t="e">
        <f t="shared" si="27"/>
        <v>#N/A</v>
      </c>
    </row>
    <row r="1777" spans="1:12" s="40" customFormat="1">
      <c r="A1777">
        <v>16191666</v>
      </c>
      <c r="B1777" t="s">
        <v>49</v>
      </c>
      <c r="C1777" t="s">
        <v>47</v>
      </c>
      <c r="D1777" t="s">
        <v>48</v>
      </c>
      <c r="E1777" t="s">
        <v>1438</v>
      </c>
      <c r="F1777" s="78">
        <v>0.7354398148148148</v>
      </c>
      <c r="G1777" t="s">
        <v>1406</v>
      </c>
      <c r="H1777" t="s">
        <v>1336</v>
      </c>
      <c r="I1777" s="88" t="str">
        <f>VLOOKUP(A1777,Base!A:B,2,0)</f>
        <v>16.191.666-8</v>
      </c>
      <c r="J1777" s="99" t="str">
        <f>VLOOKUP(A1777,Base!A:F,6,0)</f>
        <v>KAREN FABIOLA  ALARCON  SILVA</v>
      </c>
      <c r="K1777" s="89" t="str">
        <f>IFERROR(IF(VLOOKUP(I1777,Ingreso!K:P,6,0)=0,"Sin turtno ing",VLOOKUP(I1777,Ingreso!K:P,6,0)),IF(F1777&gt;0.25,IF(F1777&lt;0.311805555555556,"Turno A",IF(F1777&gt;0.3125,IF(F1777&lt;0.354166666666667,"Turno C",IF(F1777&gt;0.583333333333333,IF(F1777&lt;0.625,"Turno B",IF(F1777&gt;0.625694444444444,IF(F1777&lt;0.8125,"Turno A",IF(F1777&gt;0.875,IF(F1777&lt;0.936805555555556,"Turno C",IF(F1777&gt;0.9375,IF(F1777&lt;0.979166666666667,"Turno B",""),"")),"")),"")),"")),"")),""))</f>
        <v>Sin turtno ing</v>
      </c>
      <c r="L1777" s="91" t="e">
        <f t="shared" si="27"/>
        <v>#N/A</v>
      </c>
    </row>
    <row r="1778" spans="1:12" s="40" customFormat="1">
      <c r="A1778">
        <v>16191666</v>
      </c>
      <c r="B1778" t="s">
        <v>49</v>
      </c>
      <c r="C1778" t="s">
        <v>47</v>
      </c>
      <c r="D1778" t="s">
        <v>48</v>
      </c>
      <c r="E1778" t="s">
        <v>1438</v>
      </c>
      <c r="F1778" s="78">
        <v>0.31930555555555556</v>
      </c>
      <c r="G1778" t="s">
        <v>1405</v>
      </c>
      <c r="H1778" t="s">
        <v>1335</v>
      </c>
      <c r="I1778" s="88" t="str">
        <f>VLOOKUP(A1778,Base!A:B,2,0)</f>
        <v>16.191.666-8</v>
      </c>
      <c r="J1778" s="99" t="str">
        <f>VLOOKUP(A1778,Base!A:F,6,0)</f>
        <v>KAREN FABIOLA  ALARCON  SILVA</v>
      </c>
      <c r="K1778" s="89" t="str">
        <f>IFERROR(IF(VLOOKUP(I1778,Ingreso!K:P,6,0)=0,"Sin turtno ing",VLOOKUP(I1778,Ingreso!K:P,6,0)),IF(F1778&gt;0.25,IF(F1778&lt;0.311805555555556,"Turno A",IF(F1778&gt;0.3125,IF(F1778&lt;0.354166666666667,"Turno C",IF(F1778&gt;0.583333333333333,IF(F1778&lt;0.625,"Turno B",IF(F1778&gt;0.625694444444444,IF(F1778&lt;0.8125,"Turno A",IF(F1778&gt;0.875,IF(F1778&lt;0.936805555555556,"Turno C",IF(F1778&gt;0.9375,IF(F1778&lt;0.979166666666667,"Turno B",""),"")),"")),"")),"")),"")),""))</f>
        <v>Sin turtno ing</v>
      </c>
      <c r="L1778" s="91" t="e">
        <f t="shared" si="27"/>
        <v>#N/A</v>
      </c>
    </row>
    <row r="1779" spans="1:12" s="40" customFormat="1">
      <c r="A1779">
        <v>16191666</v>
      </c>
      <c r="B1779" t="s">
        <v>49</v>
      </c>
      <c r="C1779" t="s">
        <v>47</v>
      </c>
      <c r="D1779" t="s">
        <v>48</v>
      </c>
      <c r="E1779" t="s">
        <v>1439</v>
      </c>
      <c r="F1779" s="78">
        <v>0.73539351851851853</v>
      </c>
      <c r="G1779" t="s">
        <v>1406</v>
      </c>
      <c r="H1779" t="s">
        <v>1336</v>
      </c>
      <c r="I1779" s="88" t="str">
        <f>VLOOKUP(A1779,Base!A:B,2,0)</f>
        <v>16.191.666-8</v>
      </c>
      <c r="J1779" s="99" t="str">
        <f>VLOOKUP(A1779,Base!A:F,6,0)</f>
        <v>KAREN FABIOLA  ALARCON  SILVA</v>
      </c>
      <c r="K1779" s="89" t="str">
        <f>IFERROR(IF(VLOOKUP(I1779,Ingreso!K:P,6,0)=0,"Sin turtno ing",VLOOKUP(I1779,Ingreso!K:P,6,0)),IF(F1779&gt;0.25,IF(F1779&lt;0.311805555555556,"Turno A",IF(F1779&gt;0.3125,IF(F1779&lt;0.354166666666667,"Turno C",IF(F1779&gt;0.583333333333333,IF(F1779&lt;0.625,"Turno B",IF(F1779&gt;0.625694444444444,IF(F1779&lt;0.8125,"Turno A",IF(F1779&gt;0.875,IF(F1779&lt;0.936805555555556,"Turno C",IF(F1779&gt;0.9375,IF(F1779&lt;0.979166666666667,"Turno B",""),"")),"")),"")),"")),"")),""))</f>
        <v>Sin turtno ing</v>
      </c>
      <c r="L1779" s="91" t="e">
        <f t="shared" si="27"/>
        <v>#N/A</v>
      </c>
    </row>
    <row r="1780" spans="1:12" s="40" customFormat="1">
      <c r="A1780">
        <v>16191666</v>
      </c>
      <c r="B1780" t="s">
        <v>49</v>
      </c>
      <c r="C1780" t="s">
        <v>47</v>
      </c>
      <c r="D1780" t="s">
        <v>48</v>
      </c>
      <c r="E1780" t="s">
        <v>1439</v>
      </c>
      <c r="F1780" s="78">
        <v>0.29978009259259258</v>
      </c>
      <c r="G1780" t="s">
        <v>1405</v>
      </c>
      <c r="H1780" t="s">
        <v>1335</v>
      </c>
      <c r="I1780" s="88" t="str">
        <f>VLOOKUP(A1780,Base!A:B,2,0)</f>
        <v>16.191.666-8</v>
      </c>
      <c r="J1780" s="99" t="str">
        <f>VLOOKUP(A1780,Base!A:F,6,0)</f>
        <v>KAREN FABIOLA  ALARCON  SILVA</v>
      </c>
      <c r="K1780" s="89" t="str">
        <f>IFERROR(IF(VLOOKUP(I1780,Ingreso!K:P,6,0)=0,"Sin turtno ing",VLOOKUP(I1780,Ingreso!K:P,6,0)),IF(F1780&gt;0.25,IF(F1780&lt;0.311805555555556,"Turno A",IF(F1780&gt;0.3125,IF(F1780&lt;0.354166666666667,"Turno C",IF(F1780&gt;0.583333333333333,IF(F1780&lt;0.625,"Turno B",IF(F1780&gt;0.625694444444444,IF(F1780&lt;0.8125,"Turno A",IF(F1780&gt;0.875,IF(F1780&lt;0.936805555555556,"Turno C",IF(F1780&gt;0.9375,IF(F1780&lt;0.979166666666667,"Turno B",""),"")),"")),"")),"")),"")),""))</f>
        <v>Sin turtno ing</v>
      </c>
      <c r="L1780" s="91" t="e">
        <f t="shared" si="27"/>
        <v>#N/A</v>
      </c>
    </row>
    <row r="1781" spans="1:12" s="40" customFormat="1">
      <c r="A1781">
        <v>16266817</v>
      </c>
      <c r="B1781" t="s">
        <v>787</v>
      </c>
      <c r="C1781" t="s">
        <v>785</v>
      </c>
      <c r="D1781" t="s">
        <v>786</v>
      </c>
      <c r="E1781" t="s">
        <v>1440</v>
      </c>
      <c r="F1781" s="78">
        <v>0.72677083333333325</v>
      </c>
      <c r="G1781" t="s">
        <v>1406</v>
      </c>
      <c r="H1781" t="s">
        <v>1336</v>
      </c>
      <c r="I1781" s="88" t="str">
        <f>VLOOKUP(A1781,Base!A:B,2,0)</f>
        <v>16.266.817-K</v>
      </c>
      <c r="J1781" s="99" t="str">
        <f>VLOOKUP(A1781,Base!A:F,6,0)</f>
        <v>RODRIGO ALEJANDRO  PEREZ  PADILLA</v>
      </c>
      <c r="K1781" s="89" t="str">
        <f>IFERROR(IF(VLOOKUP(I1781,Ingreso!K:P,6,0)=0,"Sin turtno ing",VLOOKUP(I1781,Ingreso!K:P,6,0)),IF(F1781&gt;0.25,IF(F1781&lt;0.311805555555556,"Turno A",IF(F1781&gt;0.3125,IF(F1781&lt;0.354166666666667,"Turno C",IF(F1781&gt;0.583333333333333,IF(F1781&lt;0.625,"Turno B",IF(F1781&gt;0.625694444444444,IF(F1781&lt;0.8125,"Turno A",IF(F1781&gt;0.875,IF(F1781&lt;0.936805555555556,"Turno C",IF(F1781&gt;0.9375,IF(F1781&lt;0.979166666666667,"Turno B",""),"")),"")),"")),"")),"")),""))</f>
        <v>Sin turtno ing</v>
      </c>
      <c r="L1781" s="91" t="e">
        <f t="shared" si="27"/>
        <v>#N/A</v>
      </c>
    </row>
    <row r="1782" spans="1:12" s="40" customFormat="1">
      <c r="A1782">
        <v>16266817</v>
      </c>
      <c r="B1782" t="s">
        <v>787</v>
      </c>
      <c r="C1782" t="s">
        <v>785</v>
      </c>
      <c r="D1782" t="s">
        <v>786</v>
      </c>
      <c r="E1782" t="s">
        <v>1440</v>
      </c>
      <c r="F1782" s="78">
        <v>0.30290509259259263</v>
      </c>
      <c r="G1782" t="s">
        <v>1405</v>
      </c>
      <c r="H1782" t="s">
        <v>1335</v>
      </c>
      <c r="I1782" s="88" t="str">
        <f>VLOOKUP(A1782,Base!A:B,2,0)</f>
        <v>16.266.817-K</v>
      </c>
      <c r="J1782" s="99" t="str">
        <f>VLOOKUP(A1782,Base!A:F,6,0)</f>
        <v>RODRIGO ALEJANDRO  PEREZ  PADILLA</v>
      </c>
      <c r="K1782" s="89" t="str">
        <f>IFERROR(IF(VLOOKUP(I1782,Ingreso!K:P,6,0)=0,"Sin turtno ing",VLOOKUP(I1782,Ingreso!K:P,6,0)),IF(F1782&gt;0.25,IF(F1782&lt;0.311805555555556,"Turno A",IF(F1782&gt;0.3125,IF(F1782&lt;0.354166666666667,"Turno C",IF(F1782&gt;0.583333333333333,IF(F1782&lt;0.625,"Turno B",IF(F1782&gt;0.625694444444444,IF(F1782&lt;0.8125,"Turno A",IF(F1782&gt;0.875,IF(F1782&lt;0.936805555555556,"Turno C",IF(F1782&gt;0.9375,IF(F1782&lt;0.979166666666667,"Turno B",""),"")),"")),"")),"")),"")),""))</f>
        <v>Sin turtno ing</v>
      </c>
      <c r="L1782" s="91" t="e">
        <f t="shared" si="27"/>
        <v>#N/A</v>
      </c>
    </row>
    <row r="1783" spans="1:12" s="40" customFormat="1">
      <c r="A1783">
        <v>16266817</v>
      </c>
      <c r="B1783" t="s">
        <v>787</v>
      </c>
      <c r="C1783" t="s">
        <v>785</v>
      </c>
      <c r="D1783" t="s">
        <v>786</v>
      </c>
      <c r="E1783" t="s">
        <v>1441</v>
      </c>
      <c r="F1783" s="78">
        <v>0.63900462962962956</v>
      </c>
      <c r="G1783" t="s">
        <v>1406</v>
      </c>
      <c r="H1783" t="s">
        <v>1336</v>
      </c>
      <c r="I1783" s="88" t="str">
        <f>VLOOKUP(A1783,Base!A:B,2,0)</f>
        <v>16.266.817-K</v>
      </c>
      <c r="J1783" s="99" t="str">
        <f>VLOOKUP(A1783,Base!A:F,6,0)</f>
        <v>RODRIGO ALEJANDRO  PEREZ  PADILLA</v>
      </c>
      <c r="K1783" s="89" t="str">
        <f>IFERROR(IF(VLOOKUP(I1783,Ingreso!K:P,6,0)=0,"Sin turtno ing",VLOOKUP(I1783,Ingreso!K:P,6,0)),IF(F1783&gt;0.25,IF(F1783&lt;0.311805555555556,"Turno A",IF(F1783&gt;0.3125,IF(F1783&lt;0.354166666666667,"Turno C",IF(F1783&gt;0.583333333333333,IF(F1783&lt;0.625,"Turno B",IF(F1783&gt;0.625694444444444,IF(F1783&lt;0.8125,"Turno A",IF(F1783&gt;0.875,IF(F1783&lt;0.936805555555556,"Turno C",IF(F1783&gt;0.9375,IF(F1783&lt;0.979166666666667,"Turno B",""),"")),"")),"")),"")),"")),""))</f>
        <v>Sin turtno ing</v>
      </c>
      <c r="L1783" s="91" t="e">
        <f t="shared" si="27"/>
        <v>#N/A</v>
      </c>
    </row>
    <row r="1784" spans="1:12" s="40" customFormat="1">
      <c r="A1784">
        <v>16266817</v>
      </c>
      <c r="B1784" t="s">
        <v>787</v>
      </c>
      <c r="C1784" t="s">
        <v>785</v>
      </c>
      <c r="D1784" t="s">
        <v>786</v>
      </c>
      <c r="E1784" t="s">
        <v>1441</v>
      </c>
      <c r="F1784" s="78">
        <v>0.30127314814814815</v>
      </c>
      <c r="G1784" t="s">
        <v>1405</v>
      </c>
      <c r="H1784" t="s">
        <v>1335</v>
      </c>
      <c r="I1784" s="88" t="str">
        <f>VLOOKUP(A1784,Base!A:B,2,0)</f>
        <v>16.266.817-K</v>
      </c>
      <c r="J1784" s="99" t="str">
        <f>VLOOKUP(A1784,Base!A:F,6,0)</f>
        <v>RODRIGO ALEJANDRO  PEREZ  PADILLA</v>
      </c>
      <c r="K1784" s="89" t="str">
        <f>IFERROR(IF(VLOOKUP(I1784,Ingreso!K:P,6,0)=0,"Sin turtno ing",VLOOKUP(I1784,Ingreso!K:P,6,0)),IF(F1784&gt;0.25,IF(F1784&lt;0.311805555555556,"Turno A",IF(F1784&gt;0.3125,IF(F1784&lt;0.354166666666667,"Turno C",IF(F1784&gt;0.583333333333333,IF(F1784&lt;0.625,"Turno B",IF(F1784&gt;0.625694444444444,IF(F1784&lt;0.8125,"Turno A",IF(F1784&gt;0.875,IF(F1784&lt;0.936805555555556,"Turno C",IF(F1784&gt;0.9375,IF(F1784&lt;0.979166666666667,"Turno B",""),"")),"")),"")),"")),"")),""))</f>
        <v>Sin turtno ing</v>
      </c>
      <c r="L1784" s="91" t="e">
        <f t="shared" si="27"/>
        <v>#N/A</v>
      </c>
    </row>
    <row r="1785" spans="1:12" s="40" customFormat="1">
      <c r="A1785">
        <v>16266817</v>
      </c>
      <c r="B1785" t="s">
        <v>787</v>
      </c>
      <c r="C1785" t="s">
        <v>785</v>
      </c>
      <c r="D1785" t="s">
        <v>786</v>
      </c>
      <c r="E1785" t="s">
        <v>1437</v>
      </c>
      <c r="F1785" s="78">
        <v>0.72958333333333336</v>
      </c>
      <c r="G1785" t="s">
        <v>1406</v>
      </c>
      <c r="H1785" t="s">
        <v>1336</v>
      </c>
      <c r="I1785" s="88" t="str">
        <f>VLOOKUP(A1785,Base!A:B,2,0)</f>
        <v>16.266.817-K</v>
      </c>
      <c r="J1785" s="99" t="str">
        <f>VLOOKUP(A1785,Base!A:F,6,0)</f>
        <v>RODRIGO ALEJANDRO  PEREZ  PADILLA</v>
      </c>
      <c r="K1785" s="89" t="str">
        <f>IFERROR(IF(VLOOKUP(I1785,Ingreso!K:P,6,0)=0,"Sin turtno ing",VLOOKUP(I1785,Ingreso!K:P,6,0)),IF(F1785&gt;0.25,IF(F1785&lt;0.311805555555556,"Turno A",IF(F1785&gt;0.3125,IF(F1785&lt;0.354166666666667,"Turno C",IF(F1785&gt;0.583333333333333,IF(F1785&lt;0.625,"Turno B",IF(F1785&gt;0.625694444444444,IF(F1785&lt;0.8125,"Turno A",IF(F1785&gt;0.875,IF(F1785&lt;0.936805555555556,"Turno C",IF(F1785&gt;0.9375,IF(F1785&lt;0.979166666666667,"Turno B",""),"")),"")),"")),"")),"")),""))</f>
        <v>Sin turtno ing</v>
      </c>
      <c r="L1785" s="91" t="e">
        <f t="shared" si="27"/>
        <v>#N/A</v>
      </c>
    </row>
    <row r="1786" spans="1:12" s="40" customFormat="1">
      <c r="A1786">
        <v>16266817</v>
      </c>
      <c r="B1786" t="s">
        <v>787</v>
      </c>
      <c r="C1786" t="s">
        <v>785</v>
      </c>
      <c r="D1786" t="s">
        <v>786</v>
      </c>
      <c r="E1786" t="s">
        <v>1437</v>
      </c>
      <c r="F1786" s="78">
        <v>0.29728009259259258</v>
      </c>
      <c r="G1786" t="s">
        <v>1405</v>
      </c>
      <c r="H1786" t="s">
        <v>1335</v>
      </c>
      <c r="I1786" s="88" t="str">
        <f>VLOOKUP(A1786,Base!A:B,2,0)</f>
        <v>16.266.817-K</v>
      </c>
      <c r="J1786" s="99" t="str">
        <f>VLOOKUP(A1786,Base!A:F,6,0)</f>
        <v>RODRIGO ALEJANDRO  PEREZ  PADILLA</v>
      </c>
      <c r="K1786" s="89" t="str">
        <f>IFERROR(IF(VLOOKUP(I1786,Ingreso!K:P,6,0)=0,"Sin turtno ing",VLOOKUP(I1786,Ingreso!K:P,6,0)),IF(F1786&gt;0.25,IF(F1786&lt;0.311805555555556,"Turno A",IF(F1786&gt;0.3125,IF(F1786&lt;0.354166666666667,"Turno C",IF(F1786&gt;0.583333333333333,IF(F1786&lt;0.625,"Turno B",IF(F1786&gt;0.625694444444444,IF(F1786&lt;0.8125,"Turno A",IF(F1786&gt;0.875,IF(F1786&lt;0.936805555555556,"Turno C",IF(F1786&gt;0.9375,IF(F1786&lt;0.979166666666667,"Turno B",""),"")),"")),"")),"")),"")),""))</f>
        <v>Sin turtno ing</v>
      </c>
      <c r="L1786" s="91" t="e">
        <f t="shared" si="27"/>
        <v>#N/A</v>
      </c>
    </row>
    <row r="1787" spans="1:12" s="40" customFormat="1">
      <c r="A1787">
        <v>16266817</v>
      </c>
      <c r="B1787" t="s">
        <v>787</v>
      </c>
      <c r="C1787" t="s">
        <v>785</v>
      </c>
      <c r="D1787" t="s">
        <v>786</v>
      </c>
      <c r="E1787" t="s">
        <v>1438</v>
      </c>
      <c r="F1787" s="78">
        <v>0.63645833333333335</v>
      </c>
      <c r="G1787" t="s">
        <v>1406</v>
      </c>
      <c r="H1787" t="s">
        <v>1336</v>
      </c>
      <c r="I1787" s="88" t="str">
        <f>VLOOKUP(A1787,Base!A:B,2,0)</f>
        <v>16.266.817-K</v>
      </c>
      <c r="J1787" s="99" t="str">
        <f>VLOOKUP(A1787,Base!A:F,6,0)</f>
        <v>RODRIGO ALEJANDRO  PEREZ  PADILLA</v>
      </c>
      <c r="K1787" s="89" t="str">
        <f>IFERROR(IF(VLOOKUP(I1787,Ingreso!K:P,6,0)=0,"Sin turtno ing",VLOOKUP(I1787,Ingreso!K:P,6,0)),IF(F1787&gt;0.25,IF(F1787&lt;0.311805555555556,"Turno A",IF(F1787&gt;0.3125,IF(F1787&lt;0.354166666666667,"Turno C",IF(F1787&gt;0.583333333333333,IF(F1787&lt;0.625,"Turno B",IF(F1787&gt;0.625694444444444,IF(F1787&lt;0.8125,"Turno A",IF(F1787&gt;0.875,IF(F1787&lt;0.936805555555556,"Turno C",IF(F1787&gt;0.9375,IF(F1787&lt;0.979166666666667,"Turno B",""),"")),"")),"")),"")),"")),""))</f>
        <v>Sin turtno ing</v>
      </c>
      <c r="L1787" s="91" t="e">
        <f t="shared" si="27"/>
        <v>#N/A</v>
      </c>
    </row>
    <row r="1788" spans="1:12" s="40" customFormat="1">
      <c r="A1788">
        <v>16266817</v>
      </c>
      <c r="B1788" t="s">
        <v>787</v>
      </c>
      <c r="C1788" t="s">
        <v>785</v>
      </c>
      <c r="D1788" t="s">
        <v>786</v>
      </c>
      <c r="E1788" t="s">
        <v>1438</v>
      </c>
      <c r="F1788" s="78">
        <v>0.30774305555555553</v>
      </c>
      <c r="G1788" t="s">
        <v>1405</v>
      </c>
      <c r="H1788" t="s">
        <v>1335</v>
      </c>
      <c r="I1788" s="88" t="str">
        <f>VLOOKUP(A1788,Base!A:B,2,0)</f>
        <v>16.266.817-K</v>
      </c>
      <c r="J1788" s="99" t="str">
        <f>VLOOKUP(A1788,Base!A:F,6,0)</f>
        <v>RODRIGO ALEJANDRO  PEREZ  PADILLA</v>
      </c>
      <c r="K1788" s="89" t="str">
        <f>IFERROR(IF(VLOOKUP(I1788,Ingreso!K:P,6,0)=0,"Sin turtno ing",VLOOKUP(I1788,Ingreso!K:P,6,0)),IF(F1788&gt;0.25,IF(F1788&lt;0.311805555555556,"Turno A",IF(F1788&gt;0.3125,IF(F1788&lt;0.354166666666667,"Turno C",IF(F1788&gt;0.583333333333333,IF(F1788&lt;0.625,"Turno B",IF(F1788&gt;0.625694444444444,IF(F1788&lt;0.8125,"Turno A",IF(F1788&gt;0.875,IF(F1788&lt;0.936805555555556,"Turno C",IF(F1788&gt;0.9375,IF(F1788&lt;0.979166666666667,"Turno B",""),"")),"")),"")),"")),"")),""))</f>
        <v>Sin turtno ing</v>
      </c>
      <c r="L1788" s="91" t="e">
        <f t="shared" si="27"/>
        <v>#N/A</v>
      </c>
    </row>
    <row r="1789" spans="1:12" s="40" customFormat="1">
      <c r="A1789">
        <v>16266817</v>
      </c>
      <c r="B1789" t="s">
        <v>787</v>
      </c>
      <c r="C1789" t="s">
        <v>785</v>
      </c>
      <c r="D1789" t="s">
        <v>786</v>
      </c>
      <c r="E1789" t="s">
        <v>1439</v>
      </c>
      <c r="F1789" s="78">
        <v>0.73427083333333332</v>
      </c>
      <c r="G1789" t="s">
        <v>1406</v>
      </c>
      <c r="H1789" t="s">
        <v>1336</v>
      </c>
      <c r="I1789" s="88" t="str">
        <f>VLOOKUP(A1789,Base!A:B,2,0)</f>
        <v>16.266.817-K</v>
      </c>
      <c r="J1789" s="99" t="str">
        <f>VLOOKUP(A1789,Base!A:F,6,0)</f>
        <v>RODRIGO ALEJANDRO  PEREZ  PADILLA</v>
      </c>
      <c r="K1789" s="89" t="str">
        <f>IFERROR(IF(VLOOKUP(I1789,Ingreso!K:P,6,0)=0,"Sin turtno ing",VLOOKUP(I1789,Ingreso!K:P,6,0)),IF(F1789&gt;0.25,IF(F1789&lt;0.311805555555556,"Turno A",IF(F1789&gt;0.3125,IF(F1789&lt;0.354166666666667,"Turno C",IF(F1789&gt;0.583333333333333,IF(F1789&lt;0.625,"Turno B",IF(F1789&gt;0.625694444444444,IF(F1789&lt;0.8125,"Turno A",IF(F1789&gt;0.875,IF(F1789&lt;0.936805555555556,"Turno C",IF(F1789&gt;0.9375,IF(F1789&lt;0.979166666666667,"Turno B",""),"")),"")),"")),"")),"")),""))</f>
        <v>Sin turtno ing</v>
      </c>
      <c r="L1789" s="91" t="e">
        <f t="shared" si="27"/>
        <v>#N/A</v>
      </c>
    </row>
    <row r="1790" spans="1:12" s="40" customFormat="1">
      <c r="A1790">
        <v>16266817</v>
      </c>
      <c r="B1790" t="s">
        <v>787</v>
      </c>
      <c r="C1790" t="s">
        <v>785</v>
      </c>
      <c r="D1790" t="s">
        <v>786</v>
      </c>
      <c r="E1790" t="s">
        <v>1439</v>
      </c>
      <c r="F1790" s="78">
        <v>0.29857638888888888</v>
      </c>
      <c r="G1790" t="s">
        <v>1405</v>
      </c>
      <c r="H1790" t="s">
        <v>1335</v>
      </c>
      <c r="I1790" s="88" t="str">
        <f>VLOOKUP(A1790,Base!A:B,2,0)</f>
        <v>16.266.817-K</v>
      </c>
      <c r="J1790" s="99" t="str">
        <f>VLOOKUP(A1790,Base!A:F,6,0)</f>
        <v>RODRIGO ALEJANDRO  PEREZ  PADILLA</v>
      </c>
      <c r="K1790" s="89" t="str">
        <f>IFERROR(IF(VLOOKUP(I1790,Ingreso!K:P,6,0)=0,"Sin turtno ing",VLOOKUP(I1790,Ingreso!K:P,6,0)),IF(F1790&gt;0.25,IF(F1790&lt;0.311805555555556,"Turno A",IF(F1790&gt;0.3125,IF(F1790&lt;0.354166666666667,"Turno C",IF(F1790&gt;0.583333333333333,IF(F1790&lt;0.625,"Turno B",IF(F1790&gt;0.625694444444444,IF(F1790&lt;0.8125,"Turno A",IF(F1790&gt;0.875,IF(F1790&lt;0.936805555555556,"Turno C",IF(F1790&gt;0.9375,IF(F1790&lt;0.979166666666667,"Turno B",""),"")),"")),"")),"")),"")),""))</f>
        <v>Sin turtno ing</v>
      </c>
      <c r="L1790" s="91" t="e">
        <f t="shared" si="27"/>
        <v>#N/A</v>
      </c>
    </row>
    <row r="1791" spans="1:12" s="40" customFormat="1">
      <c r="A1791">
        <v>16266873</v>
      </c>
      <c r="B1791" t="s">
        <v>257</v>
      </c>
      <c r="C1791" t="s">
        <v>625</v>
      </c>
      <c r="D1791" t="s">
        <v>625</v>
      </c>
      <c r="E1791" t="s">
        <v>1440</v>
      </c>
      <c r="F1791" s="78">
        <v>0.94952546296296303</v>
      </c>
      <c r="G1791" t="s">
        <v>1406</v>
      </c>
      <c r="H1791" t="s">
        <v>1336</v>
      </c>
      <c r="I1791" s="88" t="str">
        <f>VLOOKUP(A1791,Base!A:B,2,0)</f>
        <v>16.266.873-0</v>
      </c>
      <c r="J1791" s="99" t="str">
        <f>VLOOKUP(A1791,Base!A:F,6,0)</f>
        <v>CARLOS  MONTANARES  MONTANARES</v>
      </c>
      <c r="K1791" s="89" t="str">
        <f>IFERROR(IF(VLOOKUP(I1791,Ingreso!K:P,6,0)=0,"Sin turtno ing",VLOOKUP(I1791,Ingreso!K:P,6,0)),IF(F1791&gt;0.25,IF(F1791&lt;0.311805555555556,"Turno A",IF(F1791&gt;0.3125,IF(F1791&lt;0.354166666666667,"Turno C",IF(F1791&gt;0.583333333333333,IF(F1791&lt;0.625,"Turno B",IF(F1791&gt;0.625694444444444,IF(F1791&lt;0.8125,"Turno A",IF(F1791&gt;0.875,IF(F1791&lt;0.936805555555556,"Turno C",IF(F1791&gt;0.9375,IF(F1791&lt;0.979166666666667,"Turno B",""),"")),"")),"")),"")),"")),""))</f>
        <v>Turno B</v>
      </c>
      <c r="L1791" s="91">
        <f t="shared" si="27"/>
        <v>0.3125</v>
      </c>
    </row>
    <row r="1792" spans="1:12" s="40" customFormat="1">
      <c r="A1792">
        <v>16266873</v>
      </c>
      <c r="B1792" t="s">
        <v>257</v>
      </c>
      <c r="C1792" t="s">
        <v>625</v>
      </c>
      <c r="D1792" t="s">
        <v>625</v>
      </c>
      <c r="E1792" t="s">
        <v>1440</v>
      </c>
      <c r="F1792" s="78">
        <v>0.62590277777777781</v>
      </c>
      <c r="G1792" t="s">
        <v>1405</v>
      </c>
      <c r="H1792" t="s">
        <v>1335</v>
      </c>
      <c r="I1792" s="88" t="str">
        <f>VLOOKUP(A1792,Base!A:B,2,0)</f>
        <v>16.266.873-0</v>
      </c>
      <c r="J1792" s="99" t="str">
        <f>VLOOKUP(A1792,Base!A:F,6,0)</f>
        <v>CARLOS  MONTANARES  MONTANARES</v>
      </c>
      <c r="K1792" s="89" t="str">
        <f>IFERROR(IF(VLOOKUP(I1792,Ingreso!K:P,6,0)=0,"Sin turtno ing",VLOOKUP(I1792,Ingreso!K:P,6,0)),IF(F1792&gt;0.25,IF(F1792&lt;0.311805555555556,"Turno A",IF(F1792&gt;0.3125,IF(F1792&lt;0.354166666666667,"Turno C",IF(F1792&gt;0.583333333333333,IF(F1792&lt;0.625,"Turno B",IF(F1792&gt;0.625694444444444,IF(F1792&lt;0.8125,"Turno A",IF(F1792&gt;0.875,IF(F1792&lt;0.936805555555556,"Turno C",IF(F1792&gt;0.9375,IF(F1792&lt;0.979166666666667,"Turno B",""),"")),"")),"")),"")),"")),""))</f>
        <v>Turno A</v>
      </c>
      <c r="L1792" s="91">
        <f t="shared" si="27"/>
        <v>0.3125</v>
      </c>
    </row>
    <row r="1793" spans="1:12" s="40" customFormat="1">
      <c r="A1793">
        <v>16266873</v>
      </c>
      <c r="B1793" t="s">
        <v>257</v>
      </c>
      <c r="C1793" t="s">
        <v>625</v>
      </c>
      <c r="D1793" t="s">
        <v>625</v>
      </c>
      <c r="E1793" t="s">
        <v>1437</v>
      </c>
      <c r="F1793" s="78">
        <v>0.9340856481481481</v>
      </c>
      <c r="G1793" t="s">
        <v>1406</v>
      </c>
      <c r="H1793" t="s">
        <v>1336</v>
      </c>
      <c r="I1793" s="88" t="str">
        <f>VLOOKUP(A1793,Base!A:B,2,0)</f>
        <v>16.266.873-0</v>
      </c>
      <c r="J1793" s="99" t="str">
        <f>VLOOKUP(A1793,Base!A:F,6,0)</f>
        <v>CARLOS  MONTANARES  MONTANARES</v>
      </c>
      <c r="K1793" s="89" t="str">
        <f>IFERROR(IF(VLOOKUP(I1793,Ingreso!K:P,6,0)=0,"Sin turtno ing",VLOOKUP(I1793,Ingreso!K:P,6,0)),IF(F1793&gt;0.25,IF(F1793&lt;0.311805555555556,"Turno A",IF(F1793&gt;0.3125,IF(F1793&lt;0.354166666666667,"Turno C",IF(F1793&gt;0.583333333333333,IF(F1793&lt;0.625,"Turno B",IF(F1793&gt;0.625694444444444,IF(F1793&lt;0.8125,"Turno A",IF(F1793&gt;0.875,IF(F1793&lt;0.936805555555556,"Turno C",IF(F1793&gt;0.9375,IF(F1793&lt;0.979166666666667,"Turno B",""),"")),"")),"")),"")),"")),""))</f>
        <v>Turno C</v>
      </c>
      <c r="L1793" s="91">
        <f t="shared" si="27"/>
        <v>0.375</v>
      </c>
    </row>
    <row r="1794" spans="1:12" s="40" customFormat="1">
      <c r="A1794">
        <v>16266873</v>
      </c>
      <c r="B1794" t="s">
        <v>257</v>
      </c>
      <c r="C1794" t="s">
        <v>625</v>
      </c>
      <c r="D1794" t="s">
        <v>625</v>
      </c>
      <c r="E1794" t="s">
        <v>1437</v>
      </c>
      <c r="F1794" s="78">
        <v>0.66530092592592593</v>
      </c>
      <c r="G1794" t="s">
        <v>1405</v>
      </c>
      <c r="H1794" t="s">
        <v>1335</v>
      </c>
      <c r="I1794" s="88" t="str">
        <f>VLOOKUP(A1794,Base!A:B,2,0)</f>
        <v>16.266.873-0</v>
      </c>
      <c r="J1794" s="99" t="str">
        <f>VLOOKUP(A1794,Base!A:F,6,0)</f>
        <v>CARLOS  MONTANARES  MONTANARES</v>
      </c>
      <c r="K1794" s="89" t="str">
        <f>IFERROR(IF(VLOOKUP(I1794,Ingreso!K:P,6,0)=0,"Sin turtno ing",VLOOKUP(I1794,Ingreso!K:P,6,0)),IF(F1794&gt;0.25,IF(F1794&lt;0.311805555555556,"Turno A",IF(F1794&gt;0.3125,IF(F1794&lt;0.354166666666667,"Turno C",IF(F1794&gt;0.583333333333333,IF(F1794&lt;0.625,"Turno B",IF(F1794&gt;0.625694444444444,IF(F1794&lt;0.8125,"Turno A",IF(F1794&gt;0.875,IF(F1794&lt;0.936805555555556,"Turno C",IF(F1794&gt;0.9375,IF(F1794&lt;0.979166666666667,"Turno B",""),"")),"")),"")),"")),"")),""))</f>
        <v>Turno A</v>
      </c>
      <c r="L1794" s="91">
        <f t="shared" si="27"/>
        <v>0.3125</v>
      </c>
    </row>
    <row r="1795" spans="1:12" s="40" customFormat="1">
      <c r="A1795">
        <v>16266873</v>
      </c>
      <c r="B1795" t="s">
        <v>257</v>
      </c>
      <c r="C1795" t="s">
        <v>625</v>
      </c>
      <c r="D1795" t="s">
        <v>625</v>
      </c>
      <c r="E1795" t="s">
        <v>1438</v>
      </c>
      <c r="F1795" s="78">
        <v>0.93637731481481479</v>
      </c>
      <c r="G1795" t="s">
        <v>1406</v>
      </c>
      <c r="H1795" t="s">
        <v>1336</v>
      </c>
      <c r="I1795" s="88" t="str">
        <f>VLOOKUP(A1795,Base!A:B,2,0)</f>
        <v>16.266.873-0</v>
      </c>
      <c r="J1795" s="99" t="str">
        <f>VLOOKUP(A1795,Base!A:F,6,0)</f>
        <v>CARLOS  MONTANARES  MONTANARES</v>
      </c>
      <c r="K1795" s="89" t="str">
        <f>IFERROR(IF(VLOOKUP(I1795,Ingreso!K:P,6,0)=0,"Sin turtno ing",VLOOKUP(I1795,Ingreso!K:P,6,0)),IF(F1795&gt;0.25,IF(F1795&lt;0.311805555555556,"Turno A",IF(F1795&gt;0.3125,IF(F1795&lt;0.354166666666667,"Turno C",IF(F1795&gt;0.583333333333333,IF(F1795&lt;0.625,"Turno B",IF(F1795&gt;0.625694444444444,IF(F1795&lt;0.8125,"Turno A",IF(F1795&gt;0.875,IF(F1795&lt;0.936805555555556,"Turno C",IF(F1795&gt;0.9375,IF(F1795&lt;0.979166666666667,"Turno B",""),"")),"")),"")),"")),"")),""))</f>
        <v>Turno C</v>
      </c>
      <c r="L1795" s="91">
        <f t="shared" ref="L1795:L1858" si="28">VLOOKUP(K1795,$S$3:$T$7,2,0)</f>
        <v>0.375</v>
      </c>
    </row>
    <row r="1796" spans="1:12" s="40" customFormat="1">
      <c r="A1796">
        <v>16266873</v>
      </c>
      <c r="B1796" t="s">
        <v>257</v>
      </c>
      <c r="C1796" t="s">
        <v>625</v>
      </c>
      <c r="D1796" t="s">
        <v>625</v>
      </c>
      <c r="E1796" t="s">
        <v>1438</v>
      </c>
      <c r="F1796" s="78">
        <v>0.6153819444444445</v>
      </c>
      <c r="G1796" t="s">
        <v>1405</v>
      </c>
      <c r="H1796" t="s">
        <v>1335</v>
      </c>
      <c r="I1796" s="88" t="str">
        <f>VLOOKUP(A1796,Base!A:B,2,0)</f>
        <v>16.266.873-0</v>
      </c>
      <c r="J1796" s="99" t="str">
        <f>VLOOKUP(A1796,Base!A:F,6,0)</f>
        <v>CARLOS  MONTANARES  MONTANARES</v>
      </c>
      <c r="K1796" s="89" t="str">
        <f>IFERROR(IF(VLOOKUP(I1796,Ingreso!K:P,6,0)=0,"Sin turtno ing",VLOOKUP(I1796,Ingreso!K:P,6,0)),IF(F1796&gt;0.25,IF(F1796&lt;0.311805555555556,"Turno A",IF(F1796&gt;0.3125,IF(F1796&lt;0.354166666666667,"Turno C",IF(F1796&gt;0.583333333333333,IF(F1796&lt;0.625,"Turno B",IF(F1796&gt;0.625694444444444,IF(F1796&lt;0.8125,"Turno A",IF(F1796&gt;0.875,IF(F1796&lt;0.936805555555556,"Turno C",IF(F1796&gt;0.9375,IF(F1796&lt;0.979166666666667,"Turno B",""),"")),"")),"")),"")),"")),""))</f>
        <v>Turno B</v>
      </c>
      <c r="L1796" s="91">
        <f t="shared" si="28"/>
        <v>0.3125</v>
      </c>
    </row>
    <row r="1797" spans="1:12" s="40" customFormat="1">
      <c r="A1797">
        <v>16266873</v>
      </c>
      <c r="B1797" t="s">
        <v>257</v>
      </c>
      <c r="C1797" t="s">
        <v>625</v>
      </c>
      <c r="D1797" t="s">
        <v>625</v>
      </c>
      <c r="E1797" t="s">
        <v>1439</v>
      </c>
      <c r="F1797" s="78">
        <v>0.93600694444444443</v>
      </c>
      <c r="G1797" t="s">
        <v>1406</v>
      </c>
      <c r="H1797" t="s">
        <v>1336</v>
      </c>
      <c r="I1797" s="88" t="str">
        <f>VLOOKUP(A1797,Base!A:B,2,0)</f>
        <v>16.266.873-0</v>
      </c>
      <c r="J1797" s="99" t="str">
        <f>VLOOKUP(A1797,Base!A:F,6,0)</f>
        <v>CARLOS  MONTANARES  MONTANARES</v>
      </c>
      <c r="K1797" s="89" t="str">
        <f>IFERROR(IF(VLOOKUP(I1797,Ingreso!K:P,6,0)=0,"Sin turtno ing",VLOOKUP(I1797,Ingreso!K:P,6,0)),IF(F1797&gt;0.25,IF(F1797&lt;0.311805555555556,"Turno A",IF(F1797&gt;0.3125,IF(F1797&lt;0.354166666666667,"Turno C",IF(F1797&gt;0.583333333333333,IF(F1797&lt;0.625,"Turno B",IF(F1797&gt;0.625694444444444,IF(F1797&lt;0.8125,"Turno A",IF(F1797&gt;0.875,IF(F1797&lt;0.936805555555556,"Turno C",IF(F1797&gt;0.9375,IF(F1797&lt;0.979166666666667,"Turno B",""),"")),"")),"")),"")),"")),""))</f>
        <v>Turno C</v>
      </c>
      <c r="L1797" s="91">
        <f t="shared" si="28"/>
        <v>0.375</v>
      </c>
    </row>
    <row r="1798" spans="1:12" s="40" customFormat="1">
      <c r="A1798">
        <v>16266873</v>
      </c>
      <c r="B1798" t="s">
        <v>257</v>
      </c>
      <c r="C1798" t="s">
        <v>625</v>
      </c>
      <c r="D1798" t="s">
        <v>625</v>
      </c>
      <c r="E1798" t="s">
        <v>1439</v>
      </c>
      <c r="F1798" s="78">
        <v>0.61430555555555555</v>
      </c>
      <c r="G1798" t="s">
        <v>1405</v>
      </c>
      <c r="H1798" t="s">
        <v>1335</v>
      </c>
      <c r="I1798" s="88" t="str">
        <f>VLOOKUP(A1798,Base!A:B,2,0)</f>
        <v>16.266.873-0</v>
      </c>
      <c r="J1798" s="99" t="str">
        <f>VLOOKUP(A1798,Base!A:F,6,0)</f>
        <v>CARLOS  MONTANARES  MONTANARES</v>
      </c>
      <c r="K1798" s="89" t="str">
        <f>IFERROR(IF(VLOOKUP(I1798,Ingreso!K:P,6,0)=0,"Sin turtno ing",VLOOKUP(I1798,Ingreso!K:P,6,0)),IF(F1798&gt;0.25,IF(F1798&lt;0.311805555555556,"Turno A",IF(F1798&gt;0.3125,IF(F1798&lt;0.354166666666667,"Turno C",IF(F1798&gt;0.583333333333333,IF(F1798&lt;0.625,"Turno B",IF(F1798&gt;0.625694444444444,IF(F1798&lt;0.8125,"Turno A",IF(F1798&gt;0.875,IF(F1798&lt;0.936805555555556,"Turno C",IF(F1798&gt;0.9375,IF(F1798&lt;0.979166666666667,"Turno B",""),"")),"")),"")),"")),"")),""))</f>
        <v>Turno B</v>
      </c>
      <c r="L1798" s="91">
        <f t="shared" si="28"/>
        <v>0.3125</v>
      </c>
    </row>
    <row r="1799" spans="1:12" s="40" customFormat="1">
      <c r="A1799">
        <v>16267560</v>
      </c>
      <c r="B1799" t="s">
        <v>1084</v>
      </c>
      <c r="C1799" t="s">
        <v>1083</v>
      </c>
      <c r="D1799" t="s">
        <v>82</v>
      </c>
      <c r="E1799" t="s">
        <v>1440</v>
      </c>
      <c r="F1799" s="78">
        <v>0.32604166666666667</v>
      </c>
      <c r="G1799" t="s">
        <v>1406</v>
      </c>
      <c r="H1799" t="s">
        <v>1336</v>
      </c>
      <c r="I1799" s="88" t="str">
        <f>VLOOKUP(A1799,Base!A:B,2,0)</f>
        <v>16.267.560-5</v>
      </c>
      <c r="J1799" s="99" t="str">
        <f>VLOOKUP(A1799,Base!A:F,6,0)</f>
        <v>BRAULIO SEBASTIAN  VICENCIO  ALVEAR</v>
      </c>
      <c r="K1799" s="89" t="str">
        <f>IFERROR(IF(VLOOKUP(I1799,Ingreso!K:P,6,0)=0,"Sin turtno ing",VLOOKUP(I1799,Ingreso!K:P,6,0)),IF(F1799&gt;0.25,IF(F1799&lt;0.311805555555556,"Turno A",IF(F1799&gt;0.3125,IF(F1799&lt;0.354166666666667,"Turno C",IF(F1799&gt;0.583333333333333,IF(F1799&lt;0.625,"Turno B",IF(F1799&gt;0.625694444444444,IF(F1799&lt;0.8125,"Turno A",IF(F1799&gt;0.875,IF(F1799&lt;0.936805555555556,"Turno C",IF(F1799&gt;0.9375,IF(F1799&lt;0.979166666666667,"Turno B",""),"")),"")),"")),"")),"")),""))</f>
        <v>Turno C</v>
      </c>
      <c r="L1799" s="91">
        <f t="shared" si="28"/>
        <v>0.375</v>
      </c>
    </row>
    <row r="1800" spans="1:12" s="40" customFormat="1">
      <c r="A1800">
        <v>16267560</v>
      </c>
      <c r="B1800" t="s">
        <v>1084</v>
      </c>
      <c r="C1800" t="s">
        <v>1083</v>
      </c>
      <c r="D1800" t="s">
        <v>82</v>
      </c>
      <c r="E1800" t="s">
        <v>1440</v>
      </c>
      <c r="F1800" s="78">
        <v>0.96358796296296301</v>
      </c>
      <c r="G1800" t="s">
        <v>1405</v>
      </c>
      <c r="H1800" t="s">
        <v>1335</v>
      </c>
      <c r="I1800" s="88" t="str">
        <f>VLOOKUP(A1800,Base!A:B,2,0)</f>
        <v>16.267.560-5</v>
      </c>
      <c r="J1800" s="99" t="str">
        <f>VLOOKUP(A1800,Base!A:F,6,0)</f>
        <v>BRAULIO SEBASTIAN  VICENCIO  ALVEAR</v>
      </c>
      <c r="K1800" s="89" t="str">
        <f>IFERROR(IF(VLOOKUP(I1800,Ingreso!K:P,6,0)=0,"Sin turtno ing",VLOOKUP(I1800,Ingreso!K:P,6,0)),IF(F1800&gt;0.25,IF(F1800&lt;0.311805555555556,"Turno A",IF(F1800&gt;0.3125,IF(F1800&lt;0.354166666666667,"Turno C",IF(F1800&gt;0.583333333333333,IF(F1800&lt;0.625,"Turno B",IF(F1800&gt;0.625694444444444,IF(F1800&lt;0.8125,"Turno A",IF(F1800&gt;0.875,IF(F1800&lt;0.936805555555556,"Turno C",IF(F1800&gt;0.9375,IF(F1800&lt;0.979166666666667,"Turno B",""),"")),"")),"")),"")),"")),""))</f>
        <v>Turno B</v>
      </c>
      <c r="L1800" s="91">
        <f t="shared" si="28"/>
        <v>0.3125</v>
      </c>
    </row>
    <row r="1801" spans="1:12" s="40" customFormat="1">
      <c r="A1801">
        <v>16267560</v>
      </c>
      <c r="B1801" t="s">
        <v>1084</v>
      </c>
      <c r="C1801" t="s">
        <v>1083</v>
      </c>
      <c r="D1801" t="s">
        <v>82</v>
      </c>
      <c r="E1801" t="s">
        <v>1441</v>
      </c>
      <c r="F1801" s="78">
        <v>0.32033564814814813</v>
      </c>
      <c r="G1801" t="s">
        <v>1406</v>
      </c>
      <c r="H1801" t="s">
        <v>1336</v>
      </c>
      <c r="I1801" s="88" t="str">
        <f>VLOOKUP(A1801,Base!A:B,2,0)</f>
        <v>16.267.560-5</v>
      </c>
      <c r="J1801" s="99" t="str">
        <f>VLOOKUP(A1801,Base!A:F,6,0)</f>
        <v>BRAULIO SEBASTIAN  VICENCIO  ALVEAR</v>
      </c>
      <c r="K1801" s="89" t="str">
        <f>IFERROR(IF(VLOOKUP(I1801,Ingreso!K:P,6,0)=0,"Sin turtno ing",VLOOKUP(I1801,Ingreso!K:P,6,0)),IF(F1801&gt;0.25,IF(F1801&lt;0.311805555555556,"Turno A",IF(F1801&gt;0.3125,IF(F1801&lt;0.354166666666667,"Turno C",IF(F1801&gt;0.583333333333333,IF(F1801&lt;0.625,"Turno B",IF(F1801&gt;0.625694444444444,IF(F1801&lt;0.8125,"Turno A",IF(F1801&gt;0.875,IF(F1801&lt;0.936805555555556,"Turno C",IF(F1801&gt;0.9375,IF(F1801&lt;0.979166666666667,"Turno B",""),"")),"")),"")),"")),"")),""))</f>
        <v>Turno C</v>
      </c>
      <c r="L1801" s="91">
        <f t="shared" si="28"/>
        <v>0.375</v>
      </c>
    </row>
    <row r="1802" spans="1:12" s="40" customFormat="1">
      <c r="A1802">
        <v>16267560</v>
      </c>
      <c r="B1802" t="s">
        <v>1084</v>
      </c>
      <c r="C1802" t="s">
        <v>1083</v>
      </c>
      <c r="D1802" t="s">
        <v>82</v>
      </c>
      <c r="E1802" t="s">
        <v>1437</v>
      </c>
      <c r="F1802" s="78">
        <v>0.96586805555555555</v>
      </c>
      <c r="G1802" t="s">
        <v>1405</v>
      </c>
      <c r="H1802" t="s">
        <v>1335</v>
      </c>
      <c r="I1802" s="88" t="str">
        <f>VLOOKUP(A1802,Base!A:B,2,0)</f>
        <v>16.267.560-5</v>
      </c>
      <c r="J1802" s="99" t="str">
        <f>VLOOKUP(A1802,Base!A:F,6,0)</f>
        <v>BRAULIO SEBASTIAN  VICENCIO  ALVEAR</v>
      </c>
      <c r="K1802" s="89" t="str">
        <f>IFERROR(IF(VLOOKUP(I1802,Ingreso!K:P,6,0)=0,"Sin turtno ing",VLOOKUP(I1802,Ingreso!K:P,6,0)),IF(F1802&gt;0.25,IF(F1802&lt;0.311805555555556,"Turno A",IF(F1802&gt;0.3125,IF(F1802&lt;0.354166666666667,"Turno C",IF(F1802&gt;0.583333333333333,IF(F1802&lt;0.625,"Turno B",IF(F1802&gt;0.625694444444444,IF(F1802&lt;0.8125,"Turno A",IF(F1802&gt;0.875,IF(F1802&lt;0.936805555555556,"Turno C",IF(F1802&gt;0.9375,IF(F1802&lt;0.979166666666667,"Turno B",""),"")),"")),"")),"")),"")),""))</f>
        <v>Turno B</v>
      </c>
      <c r="L1802" s="91">
        <f t="shared" si="28"/>
        <v>0.3125</v>
      </c>
    </row>
    <row r="1803" spans="1:12" s="40" customFormat="1">
      <c r="A1803">
        <v>16267560</v>
      </c>
      <c r="B1803" t="s">
        <v>1084</v>
      </c>
      <c r="C1803" t="s">
        <v>1083</v>
      </c>
      <c r="D1803" t="s">
        <v>82</v>
      </c>
      <c r="E1803" t="s">
        <v>1438</v>
      </c>
      <c r="F1803" s="78">
        <v>0.32092592592592589</v>
      </c>
      <c r="G1803" t="s">
        <v>1406</v>
      </c>
      <c r="H1803" t="s">
        <v>1336</v>
      </c>
      <c r="I1803" s="88" t="str">
        <f>VLOOKUP(A1803,Base!A:B,2,0)</f>
        <v>16.267.560-5</v>
      </c>
      <c r="J1803" s="99" t="str">
        <f>VLOOKUP(A1803,Base!A:F,6,0)</f>
        <v>BRAULIO SEBASTIAN  VICENCIO  ALVEAR</v>
      </c>
      <c r="K1803" s="89" t="str">
        <f>IFERROR(IF(VLOOKUP(I1803,Ingreso!K:P,6,0)=0,"Sin turtno ing",VLOOKUP(I1803,Ingreso!K:P,6,0)),IF(F1803&gt;0.25,IF(F1803&lt;0.311805555555556,"Turno A",IF(F1803&gt;0.3125,IF(F1803&lt;0.354166666666667,"Turno C",IF(F1803&gt;0.583333333333333,IF(F1803&lt;0.625,"Turno B",IF(F1803&gt;0.625694444444444,IF(F1803&lt;0.8125,"Turno A",IF(F1803&gt;0.875,IF(F1803&lt;0.936805555555556,"Turno C",IF(F1803&gt;0.9375,IF(F1803&lt;0.979166666666667,"Turno B",""),"")),"")),"")),"")),"")),""))</f>
        <v>Turno C</v>
      </c>
      <c r="L1803" s="91">
        <f t="shared" si="28"/>
        <v>0.375</v>
      </c>
    </row>
    <row r="1804" spans="1:12" s="40" customFormat="1">
      <c r="A1804">
        <v>16267560</v>
      </c>
      <c r="B1804" t="s">
        <v>1084</v>
      </c>
      <c r="C1804" t="s">
        <v>1083</v>
      </c>
      <c r="D1804" t="s">
        <v>82</v>
      </c>
      <c r="E1804" t="s">
        <v>1438</v>
      </c>
      <c r="F1804" s="78">
        <v>0.92982638888888891</v>
      </c>
      <c r="G1804" t="s">
        <v>1405</v>
      </c>
      <c r="H1804" t="s">
        <v>1335</v>
      </c>
      <c r="I1804" s="88" t="str">
        <f>VLOOKUP(A1804,Base!A:B,2,0)</f>
        <v>16.267.560-5</v>
      </c>
      <c r="J1804" s="99" t="str">
        <f>VLOOKUP(A1804,Base!A:F,6,0)</f>
        <v>BRAULIO SEBASTIAN  VICENCIO  ALVEAR</v>
      </c>
      <c r="K1804" s="89" t="str">
        <f>IFERROR(IF(VLOOKUP(I1804,Ingreso!K:P,6,0)=0,"Sin turtno ing",VLOOKUP(I1804,Ingreso!K:P,6,0)),IF(F1804&gt;0.25,IF(F1804&lt;0.311805555555556,"Turno A",IF(F1804&gt;0.3125,IF(F1804&lt;0.354166666666667,"Turno C",IF(F1804&gt;0.583333333333333,IF(F1804&lt;0.625,"Turno B",IF(F1804&gt;0.625694444444444,IF(F1804&lt;0.8125,"Turno A",IF(F1804&gt;0.875,IF(F1804&lt;0.936805555555556,"Turno C",IF(F1804&gt;0.9375,IF(F1804&lt;0.979166666666667,"Turno B",""),"")),"")),"")),"")),"")),""))</f>
        <v>Turno C</v>
      </c>
      <c r="L1804" s="91">
        <f t="shared" si="28"/>
        <v>0.375</v>
      </c>
    </row>
    <row r="1805" spans="1:12" s="40" customFormat="1">
      <c r="A1805">
        <v>16267560</v>
      </c>
      <c r="B1805" t="s">
        <v>1084</v>
      </c>
      <c r="C1805" t="s">
        <v>1083</v>
      </c>
      <c r="D1805" t="s">
        <v>82</v>
      </c>
      <c r="E1805" t="s">
        <v>1439</v>
      </c>
      <c r="F1805" s="78">
        <v>0.32915509259259262</v>
      </c>
      <c r="G1805" t="s">
        <v>1406</v>
      </c>
      <c r="H1805" t="s">
        <v>1336</v>
      </c>
      <c r="I1805" s="88" t="str">
        <f>VLOOKUP(A1805,Base!A:B,2,0)</f>
        <v>16.267.560-5</v>
      </c>
      <c r="J1805" s="99" t="str">
        <f>VLOOKUP(A1805,Base!A:F,6,0)</f>
        <v>BRAULIO SEBASTIAN  VICENCIO  ALVEAR</v>
      </c>
      <c r="K1805" s="89" t="str">
        <f>IFERROR(IF(VLOOKUP(I1805,Ingreso!K:P,6,0)=0,"Sin turtno ing",VLOOKUP(I1805,Ingreso!K:P,6,0)),IF(F1805&gt;0.25,IF(F1805&lt;0.311805555555556,"Turno A",IF(F1805&gt;0.3125,IF(F1805&lt;0.354166666666667,"Turno C",IF(F1805&gt;0.583333333333333,IF(F1805&lt;0.625,"Turno B",IF(F1805&gt;0.625694444444444,IF(F1805&lt;0.8125,"Turno A",IF(F1805&gt;0.875,IF(F1805&lt;0.936805555555556,"Turno C",IF(F1805&gt;0.9375,IF(F1805&lt;0.979166666666667,"Turno B",""),"")),"")),"")),"")),"")),""))</f>
        <v>Turno C</v>
      </c>
      <c r="L1805" s="91">
        <f t="shared" si="28"/>
        <v>0.375</v>
      </c>
    </row>
    <row r="1806" spans="1:12" s="40" customFormat="1">
      <c r="A1806">
        <v>16267560</v>
      </c>
      <c r="B1806" t="s">
        <v>1084</v>
      </c>
      <c r="C1806" t="s">
        <v>1083</v>
      </c>
      <c r="D1806" t="s">
        <v>82</v>
      </c>
      <c r="E1806" t="s">
        <v>1439</v>
      </c>
      <c r="F1806" s="78">
        <v>0.95171296296296293</v>
      </c>
      <c r="G1806" t="s">
        <v>1405</v>
      </c>
      <c r="H1806" t="s">
        <v>1335</v>
      </c>
      <c r="I1806" s="88" t="str">
        <f>VLOOKUP(A1806,Base!A:B,2,0)</f>
        <v>16.267.560-5</v>
      </c>
      <c r="J1806" s="99" t="str">
        <f>VLOOKUP(A1806,Base!A:F,6,0)</f>
        <v>BRAULIO SEBASTIAN  VICENCIO  ALVEAR</v>
      </c>
      <c r="K1806" s="89" t="str">
        <f>IFERROR(IF(VLOOKUP(I1806,Ingreso!K:P,6,0)=0,"Sin turtno ing",VLOOKUP(I1806,Ingreso!K:P,6,0)),IF(F1806&gt;0.25,IF(F1806&lt;0.311805555555556,"Turno A",IF(F1806&gt;0.3125,IF(F1806&lt;0.354166666666667,"Turno C",IF(F1806&gt;0.583333333333333,IF(F1806&lt;0.625,"Turno B",IF(F1806&gt;0.625694444444444,IF(F1806&lt;0.8125,"Turno A",IF(F1806&gt;0.875,IF(F1806&lt;0.936805555555556,"Turno C",IF(F1806&gt;0.9375,IF(F1806&lt;0.979166666666667,"Turno B",""),"")),"")),"")),"")),"")),""))</f>
        <v>Turno B</v>
      </c>
      <c r="L1806" s="91">
        <f t="shared" si="28"/>
        <v>0.3125</v>
      </c>
    </row>
    <row r="1807" spans="1:12" s="40" customFormat="1">
      <c r="A1807">
        <v>16268829</v>
      </c>
      <c r="B1807" t="s">
        <v>1423</v>
      </c>
      <c r="C1807" t="s">
        <v>634</v>
      </c>
      <c r="D1807" t="s">
        <v>179</v>
      </c>
      <c r="E1807" t="s">
        <v>1437</v>
      </c>
      <c r="F1807" s="78">
        <v>0.92224537037037047</v>
      </c>
      <c r="G1807" t="s">
        <v>1405</v>
      </c>
      <c r="H1807" t="s">
        <v>1335</v>
      </c>
      <c r="I1807" s="88" t="str">
        <f>VLOOKUP(A1807,Base!A:B,2,0)</f>
        <v>16.268.829-4</v>
      </c>
      <c r="J1807" s="99" t="str">
        <f>VLOOKUP(A1807,Base!A:F,6,0)</f>
        <v>ALBERTO  MORALES  DIAZ</v>
      </c>
      <c r="K1807" s="89" t="str">
        <f>IFERROR(IF(VLOOKUP(I1807,Ingreso!K:P,6,0)=0,"Sin turtno ing",VLOOKUP(I1807,Ingreso!K:P,6,0)),IF(F1807&gt;0.25,IF(F1807&lt;0.311805555555556,"Turno A",IF(F1807&gt;0.3125,IF(F1807&lt;0.354166666666667,"Turno C",IF(F1807&gt;0.583333333333333,IF(F1807&lt;0.625,"Turno B",IF(F1807&gt;0.625694444444444,IF(F1807&lt;0.8125,"Turno A",IF(F1807&gt;0.875,IF(F1807&lt;0.936805555555556,"Turno C",IF(F1807&gt;0.9375,IF(F1807&lt;0.979166666666667,"Turno B",""),"")),"")),"")),"")),"")),""))</f>
        <v>Turno C</v>
      </c>
      <c r="L1807" s="91">
        <f t="shared" si="28"/>
        <v>0.375</v>
      </c>
    </row>
    <row r="1808" spans="1:12" s="40" customFormat="1">
      <c r="A1808">
        <v>16268829</v>
      </c>
      <c r="B1808" t="s">
        <v>1423</v>
      </c>
      <c r="C1808" t="s">
        <v>634</v>
      </c>
      <c r="D1808" t="s">
        <v>179</v>
      </c>
      <c r="E1808" t="s">
        <v>1438</v>
      </c>
      <c r="F1808" s="78">
        <v>0.32699074074074075</v>
      </c>
      <c r="G1808" t="s">
        <v>1406</v>
      </c>
      <c r="H1808" t="s">
        <v>1336</v>
      </c>
      <c r="I1808" s="88" t="str">
        <f>VLOOKUP(A1808,Base!A:B,2,0)</f>
        <v>16.268.829-4</v>
      </c>
      <c r="J1808" s="99" t="str">
        <f>VLOOKUP(A1808,Base!A:F,6,0)</f>
        <v>ALBERTO  MORALES  DIAZ</v>
      </c>
      <c r="K1808" s="89" t="str">
        <f>IFERROR(IF(VLOOKUP(I1808,Ingreso!K:P,6,0)=0,"Sin turtno ing",VLOOKUP(I1808,Ingreso!K:P,6,0)),IF(F1808&gt;0.25,IF(F1808&lt;0.311805555555556,"Turno A",IF(F1808&gt;0.3125,IF(F1808&lt;0.354166666666667,"Turno C",IF(F1808&gt;0.583333333333333,IF(F1808&lt;0.625,"Turno B",IF(F1808&gt;0.625694444444444,IF(F1808&lt;0.8125,"Turno A",IF(F1808&gt;0.875,IF(F1808&lt;0.936805555555556,"Turno C",IF(F1808&gt;0.9375,IF(F1808&lt;0.979166666666667,"Turno B",""),"")),"")),"")),"")),"")),""))</f>
        <v>Turno C</v>
      </c>
      <c r="L1808" s="91">
        <f t="shared" si="28"/>
        <v>0.375</v>
      </c>
    </row>
    <row r="1809" spans="1:12" s="40" customFormat="1">
      <c r="A1809">
        <v>16296340</v>
      </c>
      <c r="B1809" t="s">
        <v>239</v>
      </c>
      <c r="C1809" t="s">
        <v>899</v>
      </c>
      <c r="D1809" t="s">
        <v>83</v>
      </c>
      <c r="E1809" t="s">
        <v>1440</v>
      </c>
      <c r="F1809" s="78">
        <v>0.94671296296296292</v>
      </c>
      <c r="G1809" t="s">
        <v>1406</v>
      </c>
      <c r="H1809" t="s">
        <v>1336</v>
      </c>
      <c r="I1809" s="88" t="str">
        <f>VLOOKUP(A1809,Base!A:B,2,0)</f>
        <v>16.296.340-6</v>
      </c>
      <c r="J1809" s="99" t="str">
        <f>VLOOKUP(A1809,Base!A:F,6,0)</f>
        <v>FRANCISCO JAVIER  RIQUELME  GONZALEZ</v>
      </c>
      <c r="K1809" s="89" t="str">
        <f>IFERROR(IF(VLOOKUP(I1809,Ingreso!K:P,6,0)=0,"Sin turtno ing",VLOOKUP(I1809,Ingreso!K:P,6,0)),IF(F1809&gt;0.25,IF(F1809&lt;0.311805555555556,"Turno A",IF(F1809&gt;0.3125,IF(F1809&lt;0.354166666666667,"Turno C",IF(F1809&gt;0.583333333333333,IF(F1809&lt;0.625,"Turno B",IF(F1809&gt;0.625694444444444,IF(F1809&lt;0.8125,"Turno A",IF(F1809&gt;0.875,IF(F1809&lt;0.936805555555556,"Turno C",IF(F1809&gt;0.9375,IF(F1809&lt;0.979166666666667,"Turno B",""),"")),"")),"")),"")),"")),""))</f>
        <v>Turno B</v>
      </c>
      <c r="L1809" s="91">
        <f t="shared" si="28"/>
        <v>0.3125</v>
      </c>
    </row>
    <row r="1810" spans="1:12" s="40" customFormat="1">
      <c r="A1810">
        <v>16296340</v>
      </c>
      <c r="B1810" t="s">
        <v>239</v>
      </c>
      <c r="C1810" t="s">
        <v>899</v>
      </c>
      <c r="D1810" t="s">
        <v>83</v>
      </c>
      <c r="E1810" t="s">
        <v>1440</v>
      </c>
      <c r="F1810" s="78">
        <v>0.60883101851851851</v>
      </c>
      <c r="G1810" t="s">
        <v>1405</v>
      </c>
      <c r="H1810" t="s">
        <v>1335</v>
      </c>
      <c r="I1810" s="88" t="str">
        <f>VLOOKUP(A1810,Base!A:B,2,0)</f>
        <v>16.296.340-6</v>
      </c>
      <c r="J1810" s="99" t="str">
        <f>VLOOKUP(A1810,Base!A:F,6,0)</f>
        <v>FRANCISCO JAVIER  RIQUELME  GONZALEZ</v>
      </c>
      <c r="K1810" s="89" t="str">
        <f>IFERROR(IF(VLOOKUP(I1810,Ingreso!K:P,6,0)=0,"Sin turtno ing",VLOOKUP(I1810,Ingreso!K:P,6,0)),IF(F1810&gt;0.25,IF(F1810&lt;0.311805555555556,"Turno A",IF(F1810&gt;0.3125,IF(F1810&lt;0.354166666666667,"Turno C",IF(F1810&gt;0.583333333333333,IF(F1810&lt;0.625,"Turno B",IF(F1810&gt;0.625694444444444,IF(F1810&lt;0.8125,"Turno A",IF(F1810&gt;0.875,IF(F1810&lt;0.936805555555556,"Turno C",IF(F1810&gt;0.9375,IF(F1810&lt;0.979166666666667,"Turno B",""),"")),"")),"")),"")),"")),""))</f>
        <v>Turno B</v>
      </c>
      <c r="L1810" s="91">
        <f t="shared" si="28"/>
        <v>0.3125</v>
      </c>
    </row>
    <row r="1811" spans="1:12" s="40" customFormat="1">
      <c r="A1811">
        <v>16296340</v>
      </c>
      <c r="B1811" t="s">
        <v>239</v>
      </c>
      <c r="C1811" t="s">
        <v>899</v>
      </c>
      <c r="D1811" t="s">
        <v>83</v>
      </c>
      <c r="E1811" t="s">
        <v>1441</v>
      </c>
      <c r="F1811" s="78">
        <v>0.80665509259259249</v>
      </c>
      <c r="G1811" t="s">
        <v>1406</v>
      </c>
      <c r="H1811" t="s">
        <v>1336</v>
      </c>
      <c r="I1811" s="88" t="str">
        <f>VLOOKUP(A1811,Base!A:B,2,0)</f>
        <v>16.296.340-6</v>
      </c>
      <c r="J1811" s="99" t="str">
        <f>VLOOKUP(A1811,Base!A:F,6,0)</f>
        <v>FRANCISCO JAVIER  RIQUELME  GONZALEZ</v>
      </c>
      <c r="K1811" s="89" t="str">
        <f>IFERROR(IF(VLOOKUP(I1811,Ingreso!K:P,6,0)=0,"Sin turtno ing",VLOOKUP(I1811,Ingreso!K:P,6,0)),IF(F1811&gt;0.25,IF(F1811&lt;0.311805555555556,"Turno A",IF(F1811&gt;0.3125,IF(F1811&lt;0.354166666666667,"Turno C",IF(F1811&gt;0.583333333333333,IF(F1811&lt;0.625,"Turno B",IF(F1811&gt;0.625694444444444,IF(F1811&lt;0.8125,"Turno A",IF(F1811&gt;0.875,IF(F1811&lt;0.936805555555556,"Turno C",IF(F1811&gt;0.9375,IF(F1811&lt;0.979166666666667,"Turno B",""),"")),"")),"")),"")),"")),""))</f>
        <v>Turno B</v>
      </c>
      <c r="L1811" s="91">
        <f t="shared" si="28"/>
        <v>0.3125</v>
      </c>
    </row>
    <row r="1812" spans="1:12" s="40" customFormat="1">
      <c r="A1812">
        <v>16296340</v>
      </c>
      <c r="B1812" t="s">
        <v>239</v>
      </c>
      <c r="C1812" t="s">
        <v>899</v>
      </c>
      <c r="D1812" t="s">
        <v>83</v>
      </c>
      <c r="E1812" t="s">
        <v>1441</v>
      </c>
      <c r="F1812" s="78">
        <v>0.609375</v>
      </c>
      <c r="G1812" t="s">
        <v>1405</v>
      </c>
      <c r="H1812" t="s">
        <v>1335</v>
      </c>
      <c r="I1812" s="88" t="str">
        <f>VLOOKUP(A1812,Base!A:B,2,0)</f>
        <v>16.296.340-6</v>
      </c>
      <c r="J1812" s="99" t="str">
        <f>VLOOKUP(A1812,Base!A:F,6,0)</f>
        <v>FRANCISCO JAVIER  RIQUELME  GONZALEZ</v>
      </c>
      <c r="K1812" s="89" t="str">
        <f>IFERROR(IF(VLOOKUP(I1812,Ingreso!K:P,6,0)=0,"Sin turtno ing",VLOOKUP(I1812,Ingreso!K:P,6,0)),IF(F1812&gt;0.25,IF(F1812&lt;0.311805555555556,"Turno A",IF(F1812&gt;0.3125,IF(F1812&lt;0.354166666666667,"Turno C",IF(F1812&gt;0.583333333333333,IF(F1812&lt;0.625,"Turno B",IF(F1812&gt;0.625694444444444,IF(F1812&lt;0.8125,"Turno A",IF(F1812&gt;0.875,IF(F1812&lt;0.936805555555556,"Turno C",IF(F1812&gt;0.9375,IF(F1812&lt;0.979166666666667,"Turno B",""),"")),"")),"")),"")),"")),""))</f>
        <v>Turno B</v>
      </c>
      <c r="L1812" s="91">
        <f t="shared" si="28"/>
        <v>0.3125</v>
      </c>
    </row>
    <row r="1813" spans="1:12" s="40" customFormat="1">
      <c r="A1813">
        <v>16296340</v>
      </c>
      <c r="B1813" t="s">
        <v>239</v>
      </c>
      <c r="C1813" t="s">
        <v>899</v>
      </c>
      <c r="D1813" t="s">
        <v>83</v>
      </c>
      <c r="E1813" t="s">
        <v>1437</v>
      </c>
      <c r="F1813" s="78">
        <v>0.63451388888888893</v>
      </c>
      <c r="G1813" t="s">
        <v>1406</v>
      </c>
      <c r="H1813" t="s">
        <v>1336</v>
      </c>
      <c r="I1813" s="88" t="str">
        <f>VLOOKUP(A1813,Base!A:B,2,0)</f>
        <v>16.296.340-6</v>
      </c>
      <c r="J1813" s="99" t="str">
        <f>VLOOKUP(A1813,Base!A:F,6,0)</f>
        <v>FRANCISCO JAVIER  RIQUELME  GONZALEZ</v>
      </c>
      <c r="K1813" s="89" t="str">
        <f>IFERROR(IF(VLOOKUP(I1813,Ingreso!K:P,6,0)=0,"Sin turtno ing",VLOOKUP(I1813,Ingreso!K:P,6,0)),IF(F1813&gt;0.25,IF(F1813&lt;0.311805555555556,"Turno A",IF(F1813&gt;0.3125,IF(F1813&lt;0.354166666666667,"Turno C",IF(F1813&gt;0.583333333333333,IF(F1813&lt;0.625,"Turno B",IF(F1813&gt;0.625694444444444,IF(F1813&lt;0.8125,"Turno A",IF(F1813&gt;0.875,IF(F1813&lt;0.936805555555556,"Turno C",IF(F1813&gt;0.9375,IF(F1813&lt;0.979166666666667,"Turno B",""),"")),"")),"")),"")),"")),""))</f>
        <v>Turno B</v>
      </c>
      <c r="L1813" s="91">
        <f t="shared" si="28"/>
        <v>0.3125</v>
      </c>
    </row>
    <row r="1814" spans="1:12" s="40" customFormat="1">
      <c r="A1814">
        <v>16296340</v>
      </c>
      <c r="B1814" t="s">
        <v>239</v>
      </c>
      <c r="C1814" t="s">
        <v>899</v>
      </c>
      <c r="D1814" t="s">
        <v>83</v>
      </c>
      <c r="E1814" t="s">
        <v>1437</v>
      </c>
      <c r="F1814" s="78">
        <v>0.30269675925925926</v>
      </c>
      <c r="G1814" t="s">
        <v>1405</v>
      </c>
      <c r="H1814" t="s">
        <v>1335</v>
      </c>
      <c r="I1814" s="88" t="str">
        <f>VLOOKUP(A1814,Base!A:B,2,0)</f>
        <v>16.296.340-6</v>
      </c>
      <c r="J1814" s="99" t="str">
        <f>VLOOKUP(A1814,Base!A:F,6,0)</f>
        <v>FRANCISCO JAVIER  RIQUELME  GONZALEZ</v>
      </c>
      <c r="K1814" s="89" t="str">
        <f>IFERROR(IF(VLOOKUP(I1814,Ingreso!K:P,6,0)=0,"Sin turtno ing",VLOOKUP(I1814,Ingreso!K:P,6,0)),IF(F1814&gt;0.25,IF(F1814&lt;0.311805555555556,"Turno A",IF(F1814&gt;0.3125,IF(F1814&lt;0.354166666666667,"Turno C",IF(F1814&gt;0.583333333333333,IF(F1814&lt;0.625,"Turno B",IF(F1814&gt;0.625694444444444,IF(F1814&lt;0.8125,"Turno A",IF(F1814&gt;0.875,IF(F1814&lt;0.936805555555556,"Turno C",IF(F1814&gt;0.9375,IF(F1814&lt;0.979166666666667,"Turno B",""),"")),"")),"")),"")),"")),""))</f>
        <v>Turno B</v>
      </c>
      <c r="L1814" s="91">
        <f t="shared" si="28"/>
        <v>0.3125</v>
      </c>
    </row>
    <row r="1815" spans="1:12" s="40" customFormat="1">
      <c r="A1815">
        <v>16296340</v>
      </c>
      <c r="B1815" t="s">
        <v>239</v>
      </c>
      <c r="C1815" t="s">
        <v>899</v>
      </c>
      <c r="D1815" t="s">
        <v>83</v>
      </c>
      <c r="E1815" t="s">
        <v>1438</v>
      </c>
      <c r="F1815" s="78">
        <v>0.94475694444444447</v>
      </c>
      <c r="G1815" t="s">
        <v>1406</v>
      </c>
      <c r="H1815" t="s">
        <v>1336</v>
      </c>
      <c r="I1815" s="88" t="str">
        <f>VLOOKUP(A1815,Base!A:B,2,0)</f>
        <v>16.296.340-6</v>
      </c>
      <c r="J1815" s="99" t="str">
        <f>VLOOKUP(A1815,Base!A:F,6,0)</f>
        <v>FRANCISCO JAVIER  RIQUELME  GONZALEZ</v>
      </c>
      <c r="K1815" s="89" t="str">
        <f>IFERROR(IF(VLOOKUP(I1815,Ingreso!K:P,6,0)=0,"Sin turtno ing",VLOOKUP(I1815,Ingreso!K:P,6,0)),IF(F1815&gt;0.25,IF(F1815&lt;0.311805555555556,"Turno A",IF(F1815&gt;0.3125,IF(F1815&lt;0.354166666666667,"Turno C",IF(F1815&gt;0.583333333333333,IF(F1815&lt;0.625,"Turno B",IF(F1815&gt;0.625694444444444,IF(F1815&lt;0.8125,"Turno A",IF(F1815&gt;0.875,IF(F1815&lt;0.936805555555556,"Turno C",IF(F1815&gt;0.9375,IF(F1815&lt;0.979166666666667,"Turno B",""),"")),"")),"")),"")),"")),""))</f>
        <v>Turno B</v>
      </c>
      <c r="L1815" s="91">
        <f t="shared" si="28"/>
        <v>0.3125</v>
      </c>
    </row>
    <row r="1816" spans="1:12" s="40" customFormat="1">
      <c r="A1816">
        <v>16296340</v>
      </c>
      <c r="B1816" t="s">
        <v>239</v>
      </c>
      <c r="C1816" t="s">
        <v>899</v>
      </c>
      <c r="D1816" t="s">
        <v>83</v>
      </c>
      <c r="E1816" t="s">
        <v>1438</v>
      </c>
      <c r="F1816" s="78">
        <v>0.60925925925925928</v>
      </c>
      <c r="G1816" t="s">
        <v>1405</v>
      </c>
      <c r="H1816" t="s">
        <v>1335</v>
      </c>
      <c r="I1816" s="88" t="str">
        <f>VLOOKUP(A1816,Base!A:B,2,0)</f>
        <v>16.296.340-6</v>
      </c>
      <c r="J1816" s="99" t="str">
        <f>VLOOKUP(A1816,Base!A:F,6,0)</f>
        <v>FRANCISCO JAVIER  RIQUELME  GONZALEZ</v>
      </c>
      <c r="K1816" s="89" t="str">
        <f>IFERROR(IF(VLOOKUP(I1816,Ingreso!K:P,6,0)=0,"Sin turtno ing",VLOOKUP(I1816,Ingreso!K:P,6,0)),IF(F1816&gt;0.25,IF(F1816&lt;0.311805555555556,"Turno A",IF(F1816&gt;0.3125,IF(F1816&lt;0.354166666666667,"Turno C",IF(F1816&gt;0.583333333333333,IF(F1816&lt;0.625,"Turno B",IF(F1816&gt;0.625694444444444,IF(F1816&lt;0.8125,"Turno A",IF(F1816&gt;0.875,IF(F1816&lt;0.936805555555556,"Turno C",IF(F1816&gt;0.9375,IF(F1816&lt;0.979166666666667,"Turno B",""),"")),"")),"")),"")),"")),""))</f>
        <v>Turno B</v>
      </c>
      <c r="L1816" s="91">
        <f t="shared" si="28"/>
        <v>0.3125</v>
      </c>
    </row>
    <row r="1817" spans="1:12" s="40" customFormat="1">
      <c r="A1817">
        <v>16296340</v>
      </c>
      <c r="B1817" t="s">
        <v>239</v>
      </c>
      <c r="C1817" t="s">
        <v>899</v>
      </c>
      <c r="D1817" t="s">
        <v>83</v>
      </c>
      <c r="E1817" t="s">
        <v>1439</v>
      </c>
      <c r="F1817" s="78">
        <v>0.94483796296296296</v>
      </c>
      <c r="G1817" t="s">
        <v>1406</v>
      </c>
      <c r="H1817" t="s">
        <v>1336</v>
      </c>
      <c r="I1817" s="88" t="str">
        <f>VLOOKUP(A1817,Base!A:B,2,0)</f>
        <v>16.296.340-6</v>
      </c>
      <c r="J1817" s="99" t="str">
        <f>VLOOKUP(A1817,Base!A:F,6,0)</f>
        <v>FRANCISCO JAVIER  RIQUELME  GONZALEZ</v>
      </c>
      <c r="K1817" s="89" t="str">
        <f>IFERROR(IF(VLOOKUP(I1817,Ingreso!K:P,6,0)=0,"Sin turtno ing",VLOOKUP(I1817,Ingreso!K:P,6,0)),IF(F1817&gt;0.25,IF(F1817&lt;0.311805555555556,"Turno A",IF(F1817&gt;0.3125,IF(F1817&lt;0.354166666666667,"Turno C",IF(F1817&gt;0.583333333333333,IF(F1817&lt;0.625,"Turno B",IF(F1817&gt;0.625694444444444,IF(F1817&lt;0.8125,"Turno A",IF(F1817&gt;0.875,IF(F1817&lt;0.936805555555556,"Turno C",IF(F1817&gt;0.9375,IF(F1817&lt;0.979166666666667,"Turno B",""),"")),"")),"")),"")),"")),""))</f>
        <v>Turno B</v>
      </c>
      <c r="L1817" s="91">
        <f t="shared" si="28"/>
        <v>0.3125</v>
      </c>
    </row>
    <row r="1818" spans="1:12" s="40" customFormat="1">
      <c r="A1818">
        <v>16296340</v>
      </c>
      <c r="B1818" t="s">
        <v>239</v>
      </c>
      <c r="C1818" t="s">
        <v>899</v>
      </c>
      <c r="D1818" t="s">
        <v>83</v>
      </c>
      <c r="E1818" t="s">
        <v>1439</v>
      </c>
      <c r="F1818" s="78">
        <v>0.60862268518518514</v>
      </c>
      <c r="G1818" t="s">
        <v>1405</v>
      </c>
      <c r="H1818" t="s">
        <v>1335</v>
      </c>
      <c r="I1818" s="88" t="str">
        <f>VLOOKUP(A1818,Base!A:B,2,0)</f>
        <v>16.296.340-6</v>
      </c>
      <c r="J1818" s="99" t="str">
        <f>VLOOKUP(A1818,Base!A:F,6,0)</f>
        <v>FRANCISCO JAVIER  RIQUELME  GONZALEZ</v>
      </c>
      <c r="K1818" s="89" t="str">
        <f>IFERROR(IF(VLOOKUP(I1818,Ingreso!K:P,6,0)=0,"Sin turtno ing",VLOOKUP(I1818,Ingreso!K:P,6,0)),IF(F1818&gt;0.25,IF(F1818&lt;0.311805555555556,"Turno A",IF(F1818&gt;0.3125,IF(F1818&lt;0.354166666666667,"Turno C",IF(F1818&gt;0.583333333333333,IF(F1818&lt;0.625,"Turno B",IF(F1818&gt;0.625694444444444,IF(F1818&lt;0.8125,"Turno A",IF(F1818&gt;0.875,IF(F1818&lt;0.936805555555556,"Turno C",IF(F1818&gt;0.9375,IF(F1818&lt;0.979166666666667,"Turno B",""),"")),"")),"")),"")),"")),""))</f>
        <v>Turno B</v>
      </c>
      <c r="L1818" s="91">
        <f t="shared" si="28"/>
        <v>0.3125</v>
      </c>
    </row>
    <row r="1819" spans="1:12" s="40" customFormat="1">
      <c r="A1819">
        <v>16380050</v>
      </c>
      <c r="B1819" t="s">
        <v>1424</v>
      </c>
      <c r="C1819" t="s">
        <v>413</v>
      </c>
      <c r="D1819" t="s">
        <v>414</v>
      </c>
      <c r="E1819" t="s">
        <v>1440</v>
      </c>
      <c r="F1819" s="78">
        <v>0.64042824074074078</v>
      </c>
      <c r="G1819" t="s">
        <v>1406</v>
      </c>
      <c r="H1819" t="s">
        <v>1336</v>
      </c>
      <c r="I1819" s="88" t="str">
        <f>VLOOKUP(A1819,Base!A:B,2,0)</f>
        <v>16.380.050-0</v>
      </c>
      <c r="J1819" s="99" t="str">
        <f>VLOOKUP(A1819,Base!A:F,6,0)</f>
        <v>MARCELO  FLORES  ARANDA</v>
      </c>
      <c r="K1819" s="89" t="str">
        <f>IFERROR(IF(VLOOKUP(I1819,Ingreso!K:P,6,0)=0,"Sin turtno ing",VLOOKUP(I1819,Ingreso!K:P,6,0)),IF(F1819&gt;0.25,IF(F1819&lt;0.311805555555556,"Turno A",IF(F1819&gt;0.3125,IF(F1819&lt;0.354166666666667,"Turno C",IF(F1819&gt;0.583333333333333,IF(F1819&lt;0.625,"Turno B",IF(F1819&gt;0.625694444444444,IF(F1819&lt;0.8125,"Turno A",IF(F1819&gt;0.875,IF(F1819&lt;0.936805555555556,"Turno C",IF(F1819&gt;0.9375,IF(F1819&lt;0.979166666666667,"Turno B",""),"")),"")),"")),"")),"")),""))</f>
        <v>Sin turtno ing</v>
      </c>
      <c r="L1819" s="91" t="e">
        <f t="shared" si="28"/>
        <v>#N/A</v>
      </c>
    </row>
    <row r="1820" spans="1:12" s="40" customFormat="1">
      <c r="A1820">
        <v>16380050</v>
      </c>
      <c r="B1820" t="s">
        <v>1424</v>
      </c>
      <c r="C1820" t="s">
        <v>413</v>
      </c>
      <c r="D1820" t="s">
        <v>414</v>
      </c>
      <c r="E1820" t="s">
        <v>1440</v>
      </c>
      <c r="F1820" s="78">
        <v>0.31184027777777779</v>
      </c>
      <c r="G1820" t="s">
        <v>1405</v>
      </c>
      <c r="H1820" t="s">
        <v>1335</v>
      </c>
      <c r="I1820" s="88" t="str">
        <f>VLOOKUP(A1820,Base!A:B,2,0)</f>
        <v>16.380.050-0</v>
      </c>
      <c r="J1820" s="99" t="str">
        <f>VLOOKUP(A1820,Base!A:F,6,0)</f>
        <v>MARCELO  FLORES  ARANDA</v>
      </c>
      <c r="K1820" s="89" t="str">
        <f>IFERROR(IF(VLOOKUP(I1820,Ingreso!K:P,6,0)=0,"Sin turtno ing",VLOOKUP(I1820,Ingreso!K:P,6,0)),IF(F1820&gt;0.25,IF(F1820&lt;0.311805555555556,"Turno A",IF(F1820&gt;0.3125,IF(F1820&lt;0.354166666666667,"Turno C",IF(F1820&gt;0.583333333333333,IF(F1820&lt;0.625,"Turno B",IF(F1820&gt;0.625694444444444,IF(F1820&lt;0.8125,"Turno A",IF(F1820&gt;0.875,IF(F1820&lt;0.936805555555556,"Turno C",IF(F1820&gt;0.9375,IF(F1820&lt;0.979166666666667,"Turno B",""),"")),"")),"")),"")),"")),""))</f>
        <v>Sin turtno ing</v>
      </c>
      <c r="L1820" s="91" t="e">
        <f t="shared" si="28"/>
        <v>#N/A</v>
      </c>
    </row>
    <row r="1821" spans="1:12" s="40" customFormat="1">
      <c r="A1821">
        <v>16380050</v>
      </c>
      <c r="B1821" t="s">
        <v>1424</v>
      </c>
      <c r="C1821" t="s">
        <v>413</v>
      </c>
      <c r="D1821" t="s">
        <v>414</v>
      </c>
      <c r="E1821" t="s">
        <v>1441</v>
      </c>
      <c r="F1821" s="78">
        <v>0.64437500000000003</v>
      </c>
      <c r="G1821" t="s">
        <v>1406</v>
      </c>
      <c r="H1821" t="s">
        <v>1336</v>
      </c>
      <c r="I1821" s="88" t="str">
        <f>VLOOKUP(A1821,Base!A:B,2,0)</f>
        <v>16.380.050-0</v>
      </c>
      <c r="J1821" s="99" t="str">
        <f>VLOOKUP(A1821,Base!A:F,6,0)</f>
        <v>MARCELO  FLORES  ARANDA</v>
      </c>
      <c r="K1821" s="89" t="str">
        <f>IFERROR(IF(VLOOKUP(I1821,Ingreso!K:P,6,0)=0,"Sin turtno ing",VLOOKUP(I1821,Ingreso!K:P,6,0)),IF(F1821&gt;0.25,IF(F1821&lt;0.311805555555556,"Turno A",IF(F1821&gt;0.3125,IF(F1821&lt;0.354166666666667,"Turno C",IF(F1821&gt;0.583333333333333,IF(F1821&lt;0.625,"Turno B",IF(F1821&gt;0.625694444444444,IF(F1821&lt;0.8125,"Turno A",IF(F1821&gt;0.875,IF(F1821&lt;0.936805555555556,"Turno C",IF(F1821&gt;0.9375,IF(F1821&lt;0.979166666666667,"Turno B",""),"")),"")),"")),"")),"")),""))</f>
        <v>Sin turtno ing</v>
      </c>
      <c r="L1821" s="91" t="e">
        <f t="shared" si="28"/>
        <v>#N/A</v>
      </c>
    </row>
    <row r="1822" spans="1:12" s="40" customFormat="1">
      <c r="A1822">
        <v>16380050</v>
      </c>
      <c r="B1822" t="s">
        <v>1424</v>
      </c>
      <c r="C1822" t="s">
        <v>413</v>
      </c>
      <c r="D1822" t="s">
        <v>414</v>
      </c>
      <c r="E1822" t="s">
        <v>1441</v>
      </c>
      <c r="F1822" s="78">
        <v>0.30501157407407409</v>
      </c>
      <c r="G1822" t="s">
        <v>1405</v>
      </c>
      <c r="H1822" t="s">
        <v>1335</v>
      </c>
      <c r="I1822" s="88" t="str">
        <f>VLOOKUP(A1822,Base!A:B,2,0)</f>
        <v>16.380.050-0</v>
      </c>
      <c r="J1822" s="99" t="str">
        <f>VLOOKUP(A1822,Base!A:F,6,0)</f>
        <v>MARCELO  FLORES  ARANDA</v>
      </c>
      <c r="K1822" s="89" t="str">
        <f>IFERROR(IF(VLOOKUP(I1822,Ingreso!K:P,6,0)=0,"Sin turtno ing",VLOOKUP(I1822,Ingreso!K:P,6,0)),IF(F1822&gt;0.25,IF(F1822&lt;0.311805555555556,"Turno A",IF(F1822&gt;0.3125,IF(F1822&lt;0.354166666666667,"Turno C",IF(F1822&gt;0.583333333333333,IF(F1822&lt;0.625,"Turno B",IF(F1822&gt;0.625694444444444,IF(F1822&lt;0.8125,"Turno A",IF(F1822&gt;0.875,IF(F1822&lt;0.936805555555556,"Turno C",IF(F1822&gt;0.9375,IF(F1822&lt;0.979166666666667,"Turno B",""),"")),"")),"")),"")),"")),""))</f>
        <v>Sin turtno ing</v>
      </c>
      <c r="L1822" s="91" t="e">
        <f t="shared" si="28"/>
        <v>#N/A</v>
      </c>
    </row>
    <row r="1823" spans="1:12" s="40" customFormat="1">
      <c r="A1823">
        <v>16380050</v>
      </c>
      <c r="B1823" t="s">
        <v>1424</v>
      </c>
      <c r="C1823" t="s">
        <v>413</v>
      </c>
      <c r="D1823" t="s">
        <v>414</v>
      </c>
      <c r="E1823" t="s">
        <v>1437</v>
      </c>
      <c r="F1823" s="78">
        <v>0.63905092592592594</v>
      </c>
      <c r="G1823" t="s">
        <v>1406</v>
      </c>
      <c r="H1823" t="s">
        <v>1336</v>
      </c>
      <c r="I1823" s="88" t="str">
        <f>VLOOKUP(A1823,Base!A:B,2,0)</f>
        <v>16.380.050-0</v>
      </c>
      <c r="J1823" s="99" t="str">
        <f>VLOOKUP(A1823,Base!A:F,6,0)</f>
        <v>MARCELO  FLORES  ARANDA</v>
      </c>
      <c r="K1823" s="89" t="str">
        <f>IFERROR(IF(VLOOKUP(I1823,Ingreso!K:P,6,0)=0,"Sin turtno ing",VLOOKUP(I1823,Ingreso!K:P,6,0)),IF(F1823&gt;0.25,IF(F1823&lt;0.311805555555556,"Turno A",IF(F1823&gt;0.3125,IF(F1823&lt;0.354166666666667,"Turno C",IF(F1823&gt;0.583333333333333,IF(F1823&lt;0.625,"Turno B",IF(F1823&gt;0.625694444444444,IF(F1823&lt;0.8125,"Turno A",IF(F1823&gt;0.875,IF(F1823&lt;0.936805555555556,"Turno C",IF(F1823&gt;0.9375,IF(F1823&lt;0.979166666666667,"Turno B",""),"")),"")),"")),"")),"")),""))</f>
        <v>Sin turtno ing</v>
      </c>
      <c r="L1823" s="91" t="e">
        <f t="shared" si="28"/>
        <v>#N/A</v>
      </c>
    </row>
    <row r="1824" spans="1:12" s="40" customFormat="1">
      <c r="A1824">
        <v>16380050</v>
      </c>
      <c r="B1824" t="s">
        <v>1424</v>
      </c>
      <c r="C1824" t="s">
        <v>413</v>
      </c>
      <c r="D1824" t="s">
        <v>414</v>
      </c>
      <c r="E1824" t="s">
        <v>1437</v>
      </c>
      <c r="F1824" s="78">
        <v>0.30765046296296295</v>
      </c>
      <c r="G1824" t="s">
        <v>1405</v>
      </c>
      <c r="H1824" t="s">
        <v>1335</v>
      </c>
      <c r="I1824" s="88" t="str">
        <f>VLOOKUP(A1824,Base!A:B,2,0)</f>
        <v>16.380.050-0</v>
      </c>
      <c r="J1824" s="99" t="str">
        <f>VLOOKUP(A1824,Base!A:F,6,0)</f>
        <v>MARCELO  FLORES  ARANDA</v>
      </c>
      <c r="K1824" s="89" t="str">
        <f>IFERROR(IF(VLOOKUP(I1824,Ingreso!K:P,6,0)=0,"Sin turtno ing",VLOOKUP(I1824,Ingreso!K:P,6,0)),IF(F1824&gt;0.25,IF(F1824&lt;0.311805555555556,"Turno A",IF(F1824&gt;0.3125,IF(F1824&lt;0.354166666666667,"Turno C",IF(F1824&gt;0.583333333333333,IF(F1824&lt;0.625,"Turno B",IF(F1824&gt;0.625694444444444,IF(F1824&lt;0.8125,"Turno A",IF(F1824&gt;0.875,IF(F1824&lt;0.936805555555556,"Turno C",IF(F1824&gt;0.9375,IF(F1824&lt;0.979166666666667,"Turno B",""),"")),"")),"")),"")),"")),""))</f>
        <v>Sin turtno ing</v>
      </c>
      <c r="L1824" s="91" t="e">
        <f t="shared" si="28"/>
        <v>#N/A</v>
      </c>
    </row>
    <row r="1825" spans="1:12" s="40" customFormat="1">
      <c r="A1825">
        <v>16380050</v>
      </c>
      <c r="B1825" t="s">
        <v>1424</v>
      </c>
      <c r="C1825" t="s">
        <v>413</v>
      </c>
      <c r="D1825" t="s">
        <v>414</v>
      </c>
      <c r="E1825" t="s">
        <v>1438</v>
      </c>
      <c r="F1825" s="78">
        <v>0.63395833333333329</v>
      </c>
      <c r="G1825" t="s">
        <v>1406</v>
      </c>
      <c r="H1825" t="s">
        <v>1336</v>
      </c>
      <c r="I1825" s="88" t="str">
        <f>VLOOKUP(A1825,Base!A:B,2,0)</f>
        <v>16.380.050-0</v>
      </c>
      <c r="J1825" s="99" t="str">
        <f>VLOOKUP(A1825,Base!A:F,6,0)</f>
        <v>MARCELO  FLORES  ARANDA</v>
      </c>
      <c r="K1825" s="89" t="str">
        <f>IFERROR(IF(VLOOKUP(I1825,Ingreso!K:P,6,0)=0,"Sin turtno ing",VLOOKUP(I1825,Ingreso!K:P,6,0)),IF(F1825&gt;0.25,IF(F1825&lt;0.311805555555556,"Turno A",IF(F1825&gt;0.3125,IF(F1825&lt;0.354166666666667,"Turno C",IF(F1825&gt;0.583333333333333,IF(F1825&lt;0.625,"Turno B",IF(F1825&gt;0.625694444444444,IF(F1825&lt;0.8125,"Turno A",IF(F1825&gt;0.875,IF(F1825&lt;0.936805555555556,"Turno C",IF(F1825&gt;0.9375,IF(F1825&lt;0.979166666666667,"Turno B",""),"")),"")),"")),"")),"")),""))</f>
        <v>Sin turtno ing</v>
      </c>
      <c r="L1825" s="91" t="e">
        <f t="shared" si="28"/>
        <v>#N/A</v>
      </c>
    </row>
    <row r="1826" spans="1:12" s="40" customFormat="1">
      <c r="A1826">
        <v>16380050</v>
      </c>
      <c r="B1826" t="s">
        <v>1424</v>
      </c>
      <c r="C1826" t="s">
        <v>413</v>
      </c>
      <c r="D1826" t="s">
        <v>414</v>
      </c>
      <c r="E1826" t="s">
        <v>1438</v>
      </c>
      <c r="F1826" s="78">
        <v>0.30571759259259262</v>
      </c>
      <c r="G1826" t="s">
        <v>1405</v>
      </c>
      <c r="H1826" t="s">
        <v>1335</v>
      </c>
      <c r="I1826" s="88" t="str">
        <f>VLOOKUP(A1826,Base!A:B,2,0)</f>
        <v>16.380.050-0</v>
      </c>
      <c r="J1826" s="99" t="str">
        <f>VLOOKUP(A1826,Base!A:F,6,0)</f>
        <v>MARCELO  FLORES  ARANDA</v>
      </c>
      <c r="K1826" s="89" t="str">
        <f>IFERROR(IF(VLOOKUP(I1826,Ingreso!K:P,6,0)=0,"Sin turtno ing",VLOOKUP(I1826,Ingreso!K:P,6,0)),IF(F1826&gt;0.25,IF(F1826&lt;0.311805555555556,"Turno A",IF(F1826&gt;0.3125,IF(F1826&lt;0.354166666666667,"Turno C",IF(F1826&gt;0.583333333333333,IF(F1826&lt;0.625,"Turno B",IF(F1826&gt;0.625694444444444,IF(F1826&lt;0.8125,"Turno A",IF(F1826&gt;0.875,IF(F1826&lt;0.936805555555556,"Turno C",IF(F1826&gt;0.9375,IF(F1826&lt;0.979166666666667,"Turno B",""),"")),"")),"")),"")),"")),""))</f>
        <v>Sin turtno ing</v>
      </c>
      <c r="L1826" s="91" t="e">
        <f t="shared" si="28"/>
        <v>#N/A</v>
      </c>
    </row>
    <row r="1827" spans="1:12" s="40" customFormat="1">
      <c r="A1827">
        <v>16380050</v>
      </c>
      <c r="B1827" t="s">
        <v>1424</v>
      </c>
      <c r="C1827" t="s">
        <v>413</v>
      </c>
      <c r="D1827" t="s">
        <v>414</v>
      </c>
      <c r="E1827" t="s">
        <v>1439</v>
      </c>
      <c r="F1827" s="78">
        <v>0.64049768518518524</v>
      </c>
      <c r="G1827" t="s">
        <v>1406</v>
      </c>
      <c r="H1827" t="s">
        <v>1336</v>
      </c>
      <c r="I1827" s="88" t="str">
        <f>VLOOKUP(A1827,Base!A:B,2,0)</f>
        <v>16.380.050-0</v>
      </c>
      <c r="J1827" s="99" t="str">
        <f>VLOOKUP(A1827,Base!A:F,6,0)</f>
        <v>MARCELO  FLORES  ARANDA</v>
      </c>
      <c r="K1827" s="89" t="str">
        <f>IFERROR(IF(VLOOKUP(I1827,Ingreso!K:P,6,0)=0,"Sin turtno ing",VLOOKUP(I1827,Ingreso!K:P,6,0)),IF(F1827&gt;0.25,IF(F1827&lt;0.311805555555556,"Turno A",IF(F1827&gt;0.3125,IF(F1827&lt;0.354166666666667,"Turno C",IF(F1827&gt;0.583333333333333,IF(F1827&lt;0.625,"Turno B",IF(F1827&gt;0.625694444444444,IF(F1827&lt;0.8125,"Turno A",IF(F1827&gt;0.875,IF(F1827&lt;0.936805555555556,"Turno C",IF(F1827&gt;0.9375,IF(F1827&lt;0.979166666666667,"Turno B",""),"")),"")),"")),"")),"")),""))</f>
        <v>Sin turtno ing</v>
      </c>
      <c r="L1827" s="91" t="e">
        <f t="shared" si="28"/>
        <v>#N/A</v>
      </c>
    </row>
    <row r="1828" spans="1:12" s="40" customFormat="1">
      <c r="A1828">
        <v>16380050</v>
      </c>
      <c r="B1828" t="s">
        <v>1424</v>
      </c>
      <c r="C1828" t="s">
        <v>413</v>
      </c>
      <c r="D1828" t="s">
        <v>414</v>
      </c>
      <c r="E1828" t="s">
        <v>1439</v>
      </c>
      <c r="F1828" s="78">
        <v>0.30925925925925929</v>
      </c>
      <c r="G1828" t="s">
        <v>1405</v>
      </c>
      <c r="H1828" t="s">
        <v>1335</v>
      </c>
      <c r="I1828" s="88" t="str">
        <f>VLOOKUP(A1828,Base!A:B,2,0)</f>
        <v>16.380.050-0</v>
      </c>
      <c r="J1828" s="99" t="str">
        <f>VLOOKUP(A1828,Base!A:F,6,0)</f>
        <v>MARCELO  FLORES  ARANDA</v>
      </c>
      <c r="K1828" s="89" t="str">
        <f>IFERROR(IF(VLOOKUP(I1828,Ingreso!K:P,6,0)=0,"Sin turtno ing",VLOOKUP(I1828,Ingreso!K:P,6,0)),IF(F1828&gt;0.25,IF(F1828&lt;0.311805555555556,"Turno A",IF(F1828&gt;0.3125,IF(F1828&lt;0.354166666666667,"Turno C",IF(F1828&gt;0.583333333333333,IF(F1828&lt;0.625,"Turno B",IF(F1828&gt;0.625694444444444,IF(F1828&lt;0.8125,"Turno A",IF(F1828&gt;0.875,IF(F1828&lt;0.936805555555556,"Turno C",IF(F1828&gt;0.9375,IF(F1828&lt;0.979166666666667,"Turno B",""),"")),"")),"")),"")),"")),""))</f>
        <v>Sin turtno ing</v>
      </c>
      <c r="L1828" s="91" t="e">
        <f t="shared" si="28"/>
        <v>#N/A</v>
      </c>
    </row>
    <row r="1829" spans="1:12" s="40" customFormat="1">
      <c r="A1829">
        <v>16408490</v>
      </c>
      <c r="B1829" t="s">
        <v>832</v>
      </c>
      <c r="C1829" t="s">
        <v>830</v>
      </c>
      <c r="D1829" t="s">
        <v>831</v>
      </c>
      <c r="E1829" t="s">
        <v>1407</v>
      </c>
      <c r="F1829" s="78">
        <v>0</v>
      </c>
      <c r="G1829"/>
      <c r="H1829"/>
      <c r="I1829" s="88" t="str">
        <f>VLOOKUP(A1829,Base!A:B,2,0)</f>
        <v>16.408.490-6</v>
      </c>
      <c r="J1829" s="99" t="str">
        <f>VLOOKUP(A1829,Base!A:F,6,0)</f>
        <v>JUAN MIGUEL  POZO  CAMPOS</v>
      </c>
      <c r="K1829" s="89" t="str">
        <f>IFERROR(IF(VLOOKUP(I1829,Ingreso!K:P,6,0)=0,"Sin turtno ing",VLOOKUP(I1829,Ingreso!K:P,6,0)),IF(F1829&gt;0.25,IF(F1829&lt;0.311805555555556,"Turno A",IF(F1829&gt;0.3125,IF(F1829&lt;0.354166666666667,"Turno C",IF(F1829&gt;0.583333333333333,IF(F1829&lt;0.625,"Turno B",IF(F1829&gt;0.625694444444444,IF(F1829&lt;0.8125,"Turno A",IF(F1829&gt;0.875,IF(F1829&lt;0.936805555555556,"Turno C",IF(F1829&gt;0.9375,IF(F1829&lt;0.979166666666667,"Turno B",""),"")),"")),"")),"")),"")),""))</f>
        <v/>
      </c>
      <c r="L1829" s="91" t="e">
        <f t="shared" si="28"/>
        <v>#N/A</v>
      </c>
    </row>
    <row r="1830" spans="1:12" s="40" customFormat="1">
      <c r="A1830">
        <v>16413939</v>
      </c>
      <c r="B1830" t="s">
        <v>1161</v>
      </c>
      <c r="C1830" t="s">
        <v>357</v>
      </c>
      <c r="D1830" t="s">
        <v>606</v>
      </c>
      <c r="E1830" t="s">
        <v>1440</v>
      </c>
      <c r="F1830" s="78">
        <v>0.95314814814814808</v>
      </c>
      <c r="G1830" t="s">
        <v>1406</v>
      </c>
      <c r="H1830" t="s">
        <v>1336</v>
      </c>
      <c r="I1830" s="88" t="str">
        <f>VLOOKUP(A1830,Base!A:B,2,0)</f>
        <v>16.413.939-5</v>
      </c>
      <c r="J1830" s="99" t="str">
        <f>VLOOKUP(A1830,Base!A:F,6,0)</f>
        <v>FABIAN  ESPINOZA  MATURANA</v>
      </c>
      <c r="K1830" s="89" t="str">
        <f>IFERROR(IF(VLOOKUP(I1830,Ingreso!K:P,6,0)=0,"Sin turtno ing",VLOOKUP(I1830,Ingreso!K:P,6,0)),IF(F1830&gt;0.25,IF(F1830&lt;0.311805555555556,"Turno A",IF(F1830&gt;0.3125,IF(F1830&lt;0.354166666666667,"Turno C",IF(F1830&gt;0.583333333333333,IF(F1830&lt;0.625,"Turno B",IF(F1830&gt;0.625694444444444,IF(F1830&lt;0.8125,"Turno A",IF(F1830&gt;0.875,IF(F1830&lt;0.936805555555556,"Turno C",IF(F1830&gt;0.9375,IF(F1830&lt;0.979166666666667,"Turno B",""),"")),"")),"")),"")),"")),""))</f>
        <v>Turno A</v>
      </c>
      <c r="L1830" s="91">
        <f t="shared" si="28"/>
        <v>0.3125</v>
      </c>
    </row>
    <row r="1831" spans="1:12" s="40" customFormat="1">
      <c r="A1831">
        <v>16413939</v>
      </c>
      <c r="B1831" t="s">
        <v>1161</v>
      </c>
      <c r="C1831" t="s">
        <v>357</v>
      </c>
      <c r="D1831" t="s">
        <v>606</v>
      </c>
      <c r="E1831" t="s">
        <v>1440</v>
      </c>
      <c r="F1831" s="78">
        <v>0.51444444444444448</v>
      </c>
      <c r="G1831" t="s">
        <v>1405</v>
      </c>
      <c r="H1831" t="s">
        <v>1335</v>
      </c>
      <c r="I1831" s="88" t="str">
        <f>VLOOKUP(A1831,Base!A:B,2,0)</f>
        <v>16.413.939-5</v>
      </c>
      <c r="J1831" s="99" t="str">
        <f>VLOOKUP(A1831,Base!A:F,6,0)</f>
        <v>FABIAN  ESPINOZA  MATURANA</v>
      </c>
      <c r="K1831" s="89" t="str">
        <f>IFERROR(IF(VLOOKUP(I1831,Ingreso!K:P,6,0)=0,"Sin turtno ing",VLOOKUP(I1831,Ingreso!K:P,6,0)),IF(F1831&gt;0.25,IF(F1831&lt;0.311805555555556,"Turno A",IF(F1831&gt;0.3125,IF(F1831&lt;0.354166666666667,"Turno C",IF(F1831&gt;0.583333333333333,IF(F1831&lt;0.625,"Turno B",IF(F1831&gt;0.625694444444444,IF(F1831&lt;0.8125,"Turno A",IF(F1831&gt;0.875,IF(F1831&lt;0.936805555555556,"Turno C",IF(F1831&gt;0.9375,IF(F1831&lt;0.979166666666667,"Turno B",""),"")),"")),"")),"")),"")),""))</f>
        <v>Turno A</v>
      </c>
      <c r="L1831" s="91">
        <f t="shared" si="28"/>
        <v>0.3125</v>
      </c>
    </row>
    <row r="1832" spans="1:12" s="40" customFormat="1">
      <c r="A1832">
        <v>16413939</v>
      </c>
      <c r="B1832" t="s">
        <v>1161</v>
      </c>
      <c r="C1832" t="s">
        <v>357</v>
      </c>
      <c r="D1832" t="s">
        <v>606</v>
      </c>
      <c r="E1832" t="s">
        <v>1441</v>
      </c>
      <c r="F1832" s="78">
        <v>0.95430555555555552</v>
      </c>
      <c r="G1832" t="s">
        <v>1406</v>
      </c>
      <c r="H1832" t="s">
        <v>1336</v>
      </c>
      <c r="I1832" s="88" t="str">
        <f>VLOOKUP(A1832,Base!A:B,2,0)</f>
        <v>16.413.939-5</v>
      </c>
      <c r="J1832" s="99" t="str">
        <f>VLOOKUP(A1832,Base!A:F,6,0)</f>
        <v>FABIAN  ESPINOZA  MATURANA</v>
      </c>
      <c r="K1832" s="89" t="str">
        <f>IFERROR(IF(VLOOKUP(I1832,Ingreso!K:P,6,0)=0,"Sin turtno ing",VLOOKUP(I1832,Ingreso!K:P,6,0)),IF(F1832&gt;0.25,IF(F1832&lt;0.311805555555556,"Turno A",IF(F1832&gt;0.3125,IF(F1832&lt;0.354166666666667,"Turno C",IF(F1832&gt;0.583333333333333,IF(F1832&lt;0.625,"Turno B",IF(F1832&gt;0.625694444444444,IF(F1832&lt;0.8125,"Turno A",IF(F1832&gt;0.875,IF(F1832&lt;0.936805555555556,"Turno C",IF(F1832&gt;0.9375,IF(F1832&lt;0.979166666666667,"Turno B",""),"")),"")),"")),"")),"")),""))</f>
        <v>Turno A</v>
      </c>
      <c r="L1832" s="91">
        <f t="shared" si="28"/>
        <v>0.3125</v>
      </c>
    </row>
    <row r="1833" spans="1:12" s="40" customFormat="1">
      <c r="A1833">
        <v>16413939</v>
      </c>
      <c r="B1833" t="s">
        <v>1161</v>
      </c>
      <c r="C1833" t="s">
        <v>357</v>
      </c>
      <c r="D1833" t="s">
        <v>606</v>
      </c>
      <c r="E1833" t="s">
        <v>1441</v>
      </c>
      <c r="F1833" s="78">
        <v>0.5446643518518518</v>
      </c>
      <c r="G1833" t="s">
        <v>1405</v>
      </c>
      <c r="H1833" t="s">
        <v>1335</v>
      </c>
      <c r="I1833" s="88" t="str">
        <f>VLOOKUP(A1833,Base!A:B,2,0)</f>
        <v>16.413.939-5</v>
      </c>
      <c r="J1833" s="99" t="str">
        <f>VLOOKUP(A1833,Base!A:F,6,0)</f>
        <v>FABIAN  ESPINOZA  MATURANA</v>
      </c>
      <c r="K1833" s="89" t="str">
        <f>IFERROR(IF(VLOOKUP(I1833,Ingreso!K:P,6,0)=0,"Sin turtno ing",VLOOKUP(I1833,Ingreso!K:P,6,0)),IF(F1833&gt;0.25,IF(F1833&lt;0.311805555555556,"Turno A",IF(F1833&gt;0.3125,IF(F1833&lt;0.354166666666667,"Turno C",IF(F1833&gt;0.583333333333333,IF(F1833&lt;0.625,"Turno B",IF(F1833&gt;0.625694444444444,IF(F1833&lt;0.8125,"Turno A",IF(F1833&gt;0.875,IF(F1833&lt;0.936805555555556,"Turno C",IF(F1833&gt;0.9375,IF(F1833&lt;0.979166666666667,"Turno B",""),"")),"")),"")),"")),"")),""))</f>
        <v>Turno A</v>
      </c>
      <c r="L1833" s="91">
        <f t="shared" si="28"/>
        <v>0.3125</v>
      </c>
    </row>
    <row r="1834" spans="1:12" s="40" customFormat="1">
      <c r="A1834">
        <v>16413939</v>
      </c>
      <c r="B1834" t="s">
        <v>1161</v>
      </c>
      <c r="C1834" t="s">
        <v>357</v>
      </c>
      <c r="D1834" t="s">
        <v>606</v>
      </c>
      <c r="E1834" t="s">
        <v>1442</v>
      </c>
      <c r="F1834" s="78">
        <v>0.99799768518518517</v>
      </c>
      <c r="G1834" t="s">
        <v>1405</v>
      </c>
      <c r="H1834" t="s">
        <v>1335</v>
      </c>
      <c r="I1834" s="88" t="str">
        <f>VLOOKUP(A1834,Base!A:B,2,0)</f>
        <v>16.413.939-5</v>
      </c>
      <c r="J1834" s="99" t="str">
        <f>VLOOKUP(A1834,Base!A:F,6,0)</f>
        <v>FABIAN  ESPINOZA  MATURANA</v>
      </c>
      <c r="K1834" s="89" t="str">
        <f>IFERROR(IF(VLOOKUP(I1834,Ingreso!K:P,6,0)=0,"Sin turtno ing",VLOOKUP(I1834,Ingreso!K:P,6,0)),IF(F1834&gt;0.25,IF(F1834&lt;0.311805555555556,"Turno A",IF(F1834&gt;0.3125,IF(F1834&lt;0.354166666666667,"Turno C",IF(F1834&gt;0.583333333333333,IF(F1834&lt;0.625,"Turno B",IF(F1834&gt;0.625694444444444,IF(F1834&lt;0.8125,"Turno A",IF(F1834&gt;0.875,IF(F1834&lt;0.936805555555556,"Turno C",IF(F1834&gt;0.9375,IF(F1834&lt;0.979166666666667,"Turno B",""),"")),"")),"")),"")),"")),""))</f>
        <v>Turno A</v>
      </c>
      <c r="L1834" s="91">
        <f t="shared" si="28"/>
        <v>0.3125</v>
      </c>
    </row>
    <row r="1835" spans="1:12" s="40" customFormat="1">
      <c r="A1835">
        <v>16413939</v>
      </c>
      <c r="B1835" t="s">
        <v>1161</v>
      </c>
      <c r="C1835" t="s">
        <v>357</v>
      </c>
      <c r="D1835" t="s">
        <v>606</v>
      </c>
      <c r="E1835" t="s">
        <v>1437</v>
      </c>
      <c r="F1835" s="78">
        <v>0.94439814814814815</v>
      </c>
      <c r="G1835" t="s">
        <v>1406</v>
      </c>
      <c r="H1835" t="s">
        <v>1336</v>
      </c>
      <c r="I1835" s="88" t="str">
        <f>VLOOKUP(A1835,Base!A:B,2,0)</f>
        <v>16.413.939-5</v>
      </c>
      <c r="J1835" s="99" t="str">
        <f>VLOOKUP(A1835,Base!A:F,6,0)</f>
        <v>FABIAN  ESPINOZA  MATURANA</v>
      </c>
      <c r="K1835" s="89" t="str">
        <f>IFERROR(IF(VLOOKUP(I1835,Ingreso!K:P,6,0)=0,"Sin turtno ing",VLOOKUP(I1835,Ingreso!K:P,6,0)),IF(F1835&gt;0.25,IF(F1835&lt;0.311805555555556,"Turno A",IF(F1835&gt;0.3125,IF(F1835&lt;0.354166666666667,"Turno C",IF(F1835&gt;0.583333333333333,IF(F1835&lt;0.625,"Turno B",IF(F1835&gt;0.625694444444444,IF(F1835&lt;0.8125,"Turno A",IF(F1835&gt;0.875,IF(F1835&lt;0.936805555555556,"Turno C",IF(F1835&gt;0.9375,IF(F1835&lt;0.979166666666667,"Turno B",""),"")),"")),"")),"")),"")),""))</f>
        <v>Turno A</v>
      </c>
      <c r="L1835" s="91">
        <f t="shared" si="28"/>
        <v>0.3125</v>
      </c>
    </row>
    <row r="1836" spans="1:12" s="40" customFormat="1">
      <c r="A1836">
        <v>16413939</v>
      </c>
      <c r="B1836" t="s">
        <v>1161</v>
      </c>
      <c r="C1836" t="s">
        <v>357</v>
      </c>
      <c r="D1836" t="s">
        <v>606</v>
      </c>
      <c r="E1836" t="s">
        <v>1437</v>
      </c>
      <c r="F1836" s="78">
        <v>0.49478009259259265</v>
      </c>
      <c r="G1836" t="s">
        <v>1405</v>
      </c>
      <c r="H1836" t="s">
        <v>1335</v>
      </c>
      <c r="I1836" s="88" t="str">
        <f>VLOOKUP(A1836,Base!A:B,2,0)</f>
        <v>16.413.939-5</v>
      </c>
      <c r="J1836" s="99" t="str">
        <f>VLOOKUP(A1836,Base!A:F,6,0)</f>
        <v>FABIAN  ESPINOZA  MATURANA</v>
      </c>
      <c r="K1836" s="89" t="str">
        <f>IFERROR(IF(VLOOKUP(I1836,Ingreso!K:P,6,0)=0,"Sin turtno ing",VLOOKUP(I1836,Ingreso!K:P,6,0)),IF(F1836&gt;0.25,IF(F1836&lt;0.311805555555556,"Turno A",IF(F1836&gt;0.3125,IF(F1836&lt;0.354166666666667,"Turno C",IF(F1836&gt;0.583333333333333,IF(F1836&lt;0.625,"Turno B",IF(F1836&gt;0.625694444444444,IF(F1836&lt;0.8125,"Turno A",IF(F1836&gt;0.875,IF(F1836&lt;0.936805555555556,"Turno C",IF(F1836&gt;0.9375,IF(F1836&lt;0.979166666666667,"Turno B",""),"")),"")),"")),"")),"")),""))</f>
        <v>Turno A</v>
      </c>
      <c r="L1836" s="91">
        <f t="shared" si="28"/>
        <v>0.3125</v>
      </c>
    </row>
    <row r="1837" spans="1:12" s="40" customFormat="1">
      <c r="A1837">
        <v>16413939</v>
      </c>
      <c r="B1837" t="s">
        <v>1161</v>
      </c>
      <c r="C1837" t="s">
        <v>357</v>
      </c>
      <c r="D1837" t="s">
        <v>606</v>
      </c>
      <c r="E1837" t="s">
        <v>1438</v>
      </c>
      <c r="F1837" s="78">
        <v>0.9549305555555555</v>
      </c>
      <c r="G1837" t="s">
        <v>1406</v>
      </c>
      <c r="H1837" t="s">
        <v>1336</v>
      </c>
      <c r="I1837" s="88" t="str">
        <f>VLOOKUP(A1837,Base!A:B,2,0)</f>
        <v>16.413.939-5</v>
      </c>
      <c r="J1837" s="99" t="str">
        <f>VLOOKUP(A1837,Base!A:F,6,0)</f>
        <v>FABIAN  ESPINOZA  MATURANA</v>
      </c>
      <c r="K1837" s="89" t="str">
        <f>IFERROR(IF(VLOOKUP(I1837,Ingreso!K:P,6,0)=0,"Sin turtno ing",VLOOKUP(I1837,Ingreso!K:P,6,0)),IF(F1837&gt;0.25,IF(F1837&lt;0.311805555555556,"Turno A",IF(F1837&gt;0.3125,IF(F1837&lt;0.354166666666667,"Turno C",IF(F1837&gt;0.583333333333333,IF(F1837&lt;0.625,"Turno B",IF(F1837&gt;0.625694444444444,IF(F1837&lt;0.8125,"Turno A",IF(F1837&gt;0.875,IF(F1837&lt;0.936805555555556,"Turno C",IF(F1837&gt;0.9375,IF(F1837&lt;0.979166666666667,"Turno B",""),"")),"")),"")),"")),"")),""))</f>
        <v>Turno A</v>
      </c>
      <c r="L1837" s="91">
        <f t="shared" si="28"/>
        <v>0.3125</v>
      </c>
    </row>
    <row r="1838" spans="1:12" s="40" customFormat="1">
      <c r="A1838">
        <v>16413939</v>
      </c>
      <c r="B1838" t="s">
        <v>1161</v>
      </c>
      <c r="C1838" t="s">
        <v>357</v>
      </c>
      <c r="D1838" t="s">
        <v>606</v>
      </c>
      <c r="E1838" t="s">
        <v>1438</v>
      </c>
      <c r="F1838" s="78">
        <v>0.54800925925925925</v>
      </c>
      <c r="G1838" t="s">
        <v>1405</v>
      </c>
      <c r="H1838" t="s">
        <v>1335</v>
      </c>
      <c r="I1838" s="88" t="str">
        <f>VLOOKUP(A1838,Base!A:B,2,0)</f>
        <v>16.413.939-5</v>
      </c>
      <c r="J1838" s="99" t="str">
        <f>VLOOKUP(A1838,Base!A:F,6,0)</f>
        <v>FABIAN  ESPINOZA  MATURANA</v>
      </c>
      <c r="K1838" s="89" t="str">
        <f>IFERROR(IF(VLOOKUP(I1838,Ingreso!K:P,6,0)=0,"Sin turtno ing",VLOOKUP(I1838,Ingreso!K:P,6,0)),IF(F1838&gt;0.25,IF(F1838&lt;0.311805555555556,"Turno A",IF(F1838&gt;0.3125,IF(F1838&lt;0.354166666666667,"Turno C",IF(F1838&gt;0.583333333333333,IF(F1838&lt;0.625,"Turno B",IF(F1838&gt;0.625694444444444,IF(F1838&lt;0.8125,"Turno A",IF(F1838&gt;0.875,IF(F1838&lt;0.936805555555556,"Turno C",IF(F1838&gt;0.9375,IF(F1838&lt;0.979166666666667,"Turno B",""),"")),"")),"")),"")),"")),""))</f>
        <v>Turno A</v>
      </c>
      <c r="L1838" s="91">
        <f t="shared" si="28"/>
        <v>0.3125</v>
      </c>
    </row>
    <row r="1839" spans="1:12" s="40" customFormat="1">
      <c r="A1839">
        <v>16413939</v>
      </c>
      <c r="B1839" t="s">
        <v>1161</v>
      </c>
      <c r="C1839" t="s">
        <v>357</v>
      </c>
      <c r="D1839" t="s">
        <v>606</v>
      </c>
      <c r="E1839" t="s">
        <v>1439</v>
      </c>
      <c r="F1839" s="78">
        <v>0.9526041666666667</v>
      </c>
      <c r="G1839" t="s">
        <v>1406</v>
      </c>
      <c r="H1839" t="s">
        <v>1336</v>
      </c>
      <c r="I1839" s="88" t="str">
        <f>VLOOKUP(A1839,Base!A:B,2,0)</f>
        <v>16.413.939-5</v>
      </c>
      <c r="J1839" s="99" t="str">
        <f>VLOOKUP(A1839,Base!A:F,6,0)</f>
        <v>FABIAN  ESPINOZA  MATURANA</v>
      </c>
      <c r="K1839" s="89" t="str">
        <f>IFERROR(IF(VLOOKUP(I1839,Ingreso!K:P,6,0)=0,"Sin turtno ing",VLOOKUP(I1839,Ingreso!K:P,6,0)),IF(F1839&gt;0.25,IF(F1839&lt;0.311805555555556,"Turno A",IF(F1839&gt;0.3125,IF(F1839&lt;0.354166666666667,"Turno C",IF(F1839&gt;0.583333333333333,IF(F1839&lt;0.625,"Turno B",IF(F1839&gt;0.625694444444444,IF(F1839&lt;0.8125,"Turno A",IF(F1839&gt;0.875,IF(F1839&lt;0.936805555555556,"Turno C",IF(F1839&gt;0.9375,IF(F1839&lt;0.979166666666667,"Turno B",""),"")),"")),"")),"")),"")),""))</f>
        <v>Turno A</v>
      </c>
      <c r="L1839" s="91">
        <f t="shared" si="28"/>
        <v>0.3125</v>
      </c>
    </row>
    <row r="1840" spans="1:12" s="40" customFormat="1">
      <c r="A1840">
        <v>16413939</v>
      </c>
      <c r="B1840" t="s">
        <v>1161</v>
      </c>
      <c r="C1840" t="s">
        <v>357</v>
      </c>
      <c r="D1840" t="s">
        <v>606</v>
      </c>
      <c r="E1840" t="s">
        <v>1439</v>
      </c>
      <c r="F1840" s="78">
        <v>0.50696759259259261</v>
      </c>
      <c r="G1840" t="s">
        <v>1405</v>
      </c>
      <c r="H1840" t="s">
        <v>1335</v>
      </c>
      <c r="I1840" s="88" t="str">
        <f>VLOOKUP(A1840,Base!A:B,2,0)</f>
        <v>16.413.939-5</v>
      </c>
      <c r="J1840" s="99" t="str">
        <f>VLOOKUP(A1840,Base!A:F,6,0)</f>
        <v>FABIAN  ESPINOZA  MATURANA</v>
      </c>
      <c r="K1840" s="89" t="str">
        <f>IFERROR(IF(VLOOKUP(I1840,Ingreso!K:P,6,0)=0,"Sin turtno ing",VLOOKUP(I1840,Ingreso!K:P,6,0)),IF(F1840&gt;0.25,IF(F1840&lt;0.311805555555556,"Turno A",IF(F1840&gt;0.3125,IF(F1840&lt;0.354166666666667,"Turno C",IF(F1840&gt;0.583333333333333,IF(F1840&lt;0.625,"Turno B",IF(F1840&gt;0.625694444444444,IF(F1840&lt;0.8125,"Turno A",IF(F1840&gt;0.875,IF(F1840&lt;0.936805555555556,"Turno C",IF(F1840&gt;0.9375,IF(F1840&lt;0.979166666666667,"Turno B",""),"")),"")),"")),"")),"")),""))</f>
        <v>Turno A</v>
      </c>
      <c r="L1840" s="91">
        <f t="shared" si="28"/>
        <v>0.3125</v>
      </c>
    </row>
    <row r="1841" spans="1:12" s="40" customFormat="1">
      <c r="A1841">
        <v>16441340</v>
      </c>
      <c r="B1841" t="s">
        <v>186</v>
      </c>
      <c r="C1841" t="s">
        <v>184</v>
      </c>
      <c r="D1841" t="s">
        <v>185</v>
      </c>
      <c r="E1841" t="s">
        <v>1440</v>
      </c>
      <c r="F1841" s="78">
        <v>0.9396064814814814</v>
      </c>
      <c r="G1841" t="s">
        <v>1406</v>
      </c>
      <c r="H1841" t="s">
        <v>1336</v>
      </c>
      <c r="I1841" s="88" t="str">
        <f>VLOOKUP(A1841,Base!A:B,2,0)</f>
        <v>16.441.340-3</v>
      </c>
      <c r="J1841" s="99" t="str">
        <f>VLOOKUP(A1841,Base!A:F,6,0)</f>
        <v>LUIS HERNAN  CACERES  ORMAZABAL</v>
      </c>
      <c r="K1841" s="89" t="str">
        <f>IFERROR(IF(VLOOKUP(I1841,Ingreso!K:P,6,0)=0,"Sin turtno ing",VLOOKUP(I1841,Ingreso!K:P,6,0)),IF(F1841&gt;0.25,IF(F1841&lt;0.311805555555556,"Turno A",IF(F1841&gt;0.3125,IF(F1841&lt;0.354166666666667,"Turno C",IF(F1841&gt;0.583333333333333,IF(F1841&lt;0.625,"Turno B",IF(F1841&gt;0.625694444444444,IF(F1841&lt;0.8125,"Turno A",IF(F1841&gt;0.875,IF(F1841&lt;0.936805555555556,"Turno C",IF(F1841&gt;0.9375,IF(F1841&lt;0.979166666666667,"Turno B",""),"")),"")),"")),"")),"")),""))</f>
        <v>Turno B</v>
      </c>
      <c r="L1841" s="91">
        <f t="shared" si="28"/>
        <v>0.3125</v>
      </c>
    </row>
    <row r="1842" spans="1:12" s="40" customFormat="1">
      <c r="A1842">
        <v>16441340</v>
      </c>
      <c r="B1842" t="s">
        <v>186</v>
      </c>
      <c r="C1842" t="s">
        <v>184</v>
      </c>
      <c r="D1842" t="s">
        <v>185</v>
      </c>
      <c r="E1842" t="s">
        <v>1440</v>
      </c>
      <c r="F1842" s="78">
        <v>0.62185185185185188</v>
      </c>
      <c r="G1842" t="s">
        <v>1405</v>
      </c>
      <c r="H1842" t="s">
        <v>1335</v>
      </c>
      <c r="I1842" s="88" t="str">
        <f>VLOOKUP(A1842,Base!A:B,2,0)</f>
        <v>16.441.340-3</v>
      </c>
      <c r="J1842" s="99" t="str">
        <f>VLOOKUP(A1842,Base!A:F,6,0)</f>
        <v>LUIS HERNAN  CACERES  ORMAZABAL</v>
      </c>
      <c r="K1842" s="89" t="str">
        <f>IFERROR(IF(VLOOKUP(I1842,Ingreso!K:P,6,0)=0,"Sin turtno ing",VLOOKUP(I1842,Ingreso!K:P,6,0)),IF(F1842&gt;0.25,IF(F1842&lt;0.311805555555556,"Turno A",IF(F1842&gt;0.3125,IF(F1842&lt;0.354166666666667,"Turno C",IF(F1842&gt;0.583333333333333,IF(F1842&lt;0.625,"Turno B",IF(F1842&gt;0.625694444444444,IF(F1842&lt;0.8125,"Turno A",IF(F1842&gt;0.875,IF(F1842&lt;0.936805555555556,"Turno C",IF(F1842&gt;0.9375,IF(F1842&lt;0.979166666666667,"Turno B",""),"")),"")),"")),"")),"")),""))</f>
        <v>Turno B</v>
      </c>
      <c r="L1842" s="91">
        <f t="shared" si="28"/>
        <v>0.3125</v>
      </c>
    </row>
    <row r="1843" spans="1:12" s="40" customFormat="1">
      <c r="A1843">
        <v>16441340</v>
      </c>
      <c r="B1843" t="s">
        <v>186</v>
      </c>
      <c r="C1843" t="s">
        <v>184</v>
      </c>
      <c r="D1843" t="s">
        <v>185</v>
      </c>
      <c r="E1843" t="s">
        <v>1441</v>
      </c>
      <c r="F1843" s="78">
        <v>0.93983796296296296</v>
      </c>
      <c r="G1843" t="s">
        <v>1406</v>
      </c>
      <c r="H1843" t="s">
        <v>1336</v>
      </c>
      <c r="I1843" s="88" t="str">
        <f>VLOOKUP(A1843,Base!A:B,2,0)</f>
        <v>16.441.340-3</v>
      </c>
      <c r="J1843" s="99" t="str">
        <f>VLOOKUP(A1843,Base!A:F,6,0)</f>
        <v>LUIS HERNAN  CACERES  ORMAZABAL</v>
      </c>
      <c r="K1843" s="89" t="str">
        <f>IFERROR(IF(VLOOKUP(I1843,Ingreso!K:P,6,0)=0,"Sin turtno ing",VLOOKUP(I1843,Ingreso!K:P,6,0)),IF(F1843&gt;0.25,IF(F1843&lt;0.311805555555556,"Turno A",IF(F1843&gt;0.3125,IF(F1843&lt;0.354166666666667,"Turno C",IF(F1843&gt;0.583333333333333,IF(F1843&lt;0.625,"Turno B",IF(F1843&gt;0.625694444444444,IF(F1843&lt;0.8125,"Turno A",IF(F1843&gt;0.875,IF(F1843&lt;0.936805555555556,"Turno C",IF(F1843&gt;0.9375,IF(F1843&lt;0.979166666666667,"Turno B",""),"")),"")),"")),"")),"")),""))</f>
        <v>Turno B</v>
      </c>
      <c r="L1843" s="91">
        <f t="shared" si="28"/>
        <v>0.3125</v>
      </c>
    </row>
    <row r="1844" spans="1:12" s="40" customFormat="1">
      <c r="A1844">
        <v>16441340</v>
      </c>
      <c r="B1844" t="s">
        <v>186</v>
      </c>
      <c r="C1844" t="s">
        <v>184</v>
      </c>
      <c r="D1844" t="s">
        <v>185</v>
      </c>
      <c r="E1844" t="s">
        <v>1441</v>
      </c>
      <c r="F1844" s="78">
        <v>0.61901620370370369</v>
      </c>
      <c r="G1844" t="s">
        <v>1405</v>
      </c>
      <c r="H1844" t="s">
        <v>1335</v>
      </c>
      <c r="I1844" s="88" t="str">
        <f>VLOOKUP(A1844,Base!A:B,2,0)</f>
        <v>16.441.340-3</v>
      </c>
      <c r="J1844" s="99" t="str">
        <f>VLOOKUP(A1844,Base!A:F,6,0)</f>
        <v>LUIS HERNAN  CACERES  ORMAZABAL</v>
      </c>
      <c r="K1844" s="89" t="str">
        <f>IFERROR(IF(VLOOKUP(I1844,Ingreso!K:P,6,0)=0,"Sin turtno ing",VLOOKUP(I1844,Ingreso!K:P,6,0)),IF(F1844&gt;0.25,IF(F1844&lt;0.311805555555556,"Turno A",IF(F1844&gt;0.3125,IF(F1844&lt;0.354166666666667,"Turno C",IF(F1844&gt;0.583333333333333,IF(F1844&lt;0.625,"Turno B",IF(F1844&gt;0.625694444444444,IF(F1844&lt;0.8125,"Turno A",IF(F1844&gt;0.875,IF(F1844&lt;0.936805555555556,"Turno C",IF(F1844&gt;0.9375,IF(F1844&lt;0.979166666666667,"Turno B",""),"")),"")),"")),"")),"")),""))</f>
        <v>Turno B</v>
      </c>
      <c r="L1844" s="91">
        <f t="shared" si="28"/>
        <v>0.3125</v>
      </c>
    </row>
    <row r="1845" spans="1:12" s="40" customFormat="1">
      <c r="A1845">
        <v>16441340</v>
      </c>
      <c r="B1845" t="s">
        <v>186</v>
      </c>
      <c r="C1845" t="s">
        <v>184</v>
      </c>
      <c r="D1845" t="s">
        <v>185</v>
      </c>
      <c r="E1845" t="s">
        <v>1437</v>
      </c>
      <c r="F1845" s="78">
        <v>0.93427083333333327</v>
      </c>
      <c r="G1845" t="s">
        <v>1406</v>
      </c>
      <c r="H1845" t="s">
        <v>1336</v>
      </c>
      <c r="I1845" s="88" t="str">
        <f>VLOOKUP(A1845,Base!A:B,2,0)</f>
        <v>16.441.340-3</v>
      </c>
      <c r="J1845" s="99" t="str">
        <f>VLOOKUP(A1845,Base!A:F,6,0)</f>
        <v>LUIS HERNAN  CACERES  ORMAZABAL</v>
      </c>
      <c r="K1845" s="89" t="str">
        <f>IFERROR(IF(VLOOKUP(I1845,Ingreso!K:P,6,0)=0,"Sin turtno ing",VLOOKUP(I1845,Ingreso!K:P,6,0)),IF(F1845&gt;0.25,IF(F1845&lt;0.311805555555556,"Turno A",IF(F1845&gt;0.3125,IF(F1845&lt;0.354166666666667,"Turno C",IF(F1845&gt;0.583333333333333,IF(F1845&lt;0.625,"Turno B",IF(F1845&gt;0.625694444444444,IF(F1845&lt;0.8125,"Turno A",IF(F1845&gt;0.875,IF(F1845&lt;0.936805555555556,"Turno C",IF(F1845&gt;0.9375,IF(F1845&lt;0.979166666666667,"Turno B",""),"")),"")),"")),"")),"")),""))</f>
        <v>Turno B</v>
      </c>
      <c r="L1845" s="91">
        <f t="shared" si="28"/>
        <v>0.3125</v>
      </c>
    </row>
    <row r="1846" spans="1:12" s="40" customFormat="1">
      <c r="A1846">
        <v>16441340</v>
      </c>
      <c r="B1846" t="s">
        <v>186</v>
      </c>
      <c r="C1846" t="s">
        <v>184</v>
      </c>
      <c r="D1846" t="s">
        <v>185</v>
      </c>
      <c r="E1846" t="s">
        <v>1437</v>
      </c>
      <c r="F1846" s="78">
        <v>0.62043981481481481</v>
      </c>
      <c r="G1846" t="s">
        <v>1405</v>
      </c>
      <c r="H1846" t="s">
        <v>1335</v>
      </c>
      <c r="I1846" s="88" t="str">
        <f>VLOOKUP(A1846,Base!A:B,2,0)</f>
        <v>16.441.340-3</v>
      </c>
      <c r="J1846" s="99" t="str">
        <f>VLOOKUP(A1846,Base!A:F,6,0)</f>
        <v>LUIS HERNAN  CACERES  ORMAZABAL</v>
      </c>
      <c r="K1846" s="89" t="str">
        <f>IFERROR(IF(VLOOKUP(I1846,Ingreso!K:P,6,0)=0,"Sin turtno ing",VLOOKUP(I1846,Ingreso!K:P,6,0)),IF(F1846&gt;0.25,IF(F1846&lt;0.311805555555556,"Turno A",IF(F1846&gt;0.3125,IF(F1846&lt;0.354166666666667,"Turno C",IF(F1846&gt;0.583333333333333,IF(F1846&lt;0.625,"Turno B",IF(F1846&gt;0.625694444444444,IF(F1846&lt;0.8125,"Turno A",IF(F1846&gt;0.875,IF(F1846&lt;0.936805555555556,"Turno C",IF(F1846&gt;0.9375,IF(F1846&lt;0.979166666666667,"Turno B",""),"")),"")),"")),"")),"")),""))</f>
        <v>Turno B</v>
      </c>
      <c r="L1846" s="91">
        <f t="shared" si="28"/>
        <v>0.3125</v>
      </c>
    </row>
    <row r="1847" spans="1:12" s="40" customFormat="1">
      <c r="A1847">
        <v>16441340</v>
      </c>
      <c r="B1847" t="s">
        <v>186</v>
      </c>
      <c r="C1847" t="s">
        <v>184</v>
      </c>
      <c r="D1847" t="s">
        <v>185</v>
      </c>
      <c r="E1847" t="s">
        <v>1438</v>
      </c>
      <c r="F1847" s="78">
        <v>0.9359143518518519</v>
      </c>
      <c r="G1847" t="s">
        <v>1406</v>
      </c>
      <c r="H1847" t="s">
        <v>1336</v>
      </c>
      <c r="I1847" s="88" t="str">
        <f>VLOOKUP(A1847,Base!A:B,2,0)</f>
        <v>16.441.340-3</v>
      </c>
      <c r="J1847" s="99" t="str">
        <f>VLOOKUP(A1847,Base!A:F,6,0)</f>
        <v>LUIS HERNAN  CACERES  ORMAZABAL</v>
      </c>
      <c r="K1847" s="89" t="str">
        <f>IFERROR(IF(VLOOKUP(I1847,Ingreso!K:P,6,0)=0,"Sin turtno ing",VLOOKUP(I1847,Ingreso!K:P,6,0)),IF(F1847&gt;0.25,IF(F1847&lt;0.311805555555556,"Turno A",IF(F1847&gt;0.3125,IF(F1847&lt;0.354166666666667,"Turno C",IF(F1847&gt;0.583333333333333,IF(F1847&lt;0.625,"Turno B",IF(F1847&gt;0.625694444444444,IF(F1847&lt;0.8125,"Turno A",IF(F1847&gt;0.875,IF(F1847&lt;0.936805555555556,"Turno C",IF(F1847&gt;0.9375,IF(F1847&lt;0.979166666666667,"Turno B",""),"")),"")),"")),"")),"")),""))</f>
        <v>Turno B</v>
      </c>
      <c r="L1847" s="91">
        <f t="shared" si="28"/>
        <v>0.3125</v>
      </c>
    </row>
    <row r="1848" spans="1:12" s="40" customFormat="1">
      <c r="A1848">
        <v>16441340</v>
      </c>
      <c r="B1848" t="s">
        <v>186</v>
      </c>
      <c r="C1848" t="s">
        <v>184</v>
      </c>
      <c r="D1848" t="s">
        <v>185</v>
      </c>
      <c r="E1848" t="s">
        <v>1438</v>
      </c>
      <c r="F1848" s="78">
        <v>0.61927083333333333</v>
      </c>
      <c r="G1848" t="s">
        <v>1405</v>
      </c>
      <c r="H1848" t="s">
        <v>1335</v>
      </c>
      <c r="I1848" s="88" t="str">
        <f>VLOOKUP(A1848,Base!A:B,2,0)</f>
        <v>16.441.340-3</v>
      </c>
      <c r="J1848" s="99" t="str">
        <f>VLOOKUP(A1848,Base!A:F,6,0)</f>
        <v>LUIS HERNAN  CACERES  ORMAZABAL</v>
      </c>
      <c r="K1848" s="89" t="str">
        <f>IFERROR(IF(VLOOKUP(I1848,Ingreso!K:P,6,0)=0,"Sin turtno ing",VLOOKUP(I1848,Ingreso!K:P,6,0)),IF(F1848&gt;0.25,IF(F1848&lt;0.311805555555556,"Turno A",IF(F1848&gt;0.3125,IF(F1848&lt;0.354166666666667,"Turno C",IF(F1848&gt;0.583333333333333,IF(F1848&lt;0.625,"Turno B",IF(F1848&gt;0.625694444444444,IF(F1848&lt;0.8125,"Turno A",IF(F1848&gt;0.875,IF(F1848&lt;0.936805555555556,"Turno C",IF(F1848&gt;0.9375,IF(F1848&lt;0.979166666666667,"Turno B",""),"")),"")),"")),"")),"")),""))</f>
        <v>Turno B</v>
      </c>
      <c r="L1848" s="91">
        <f t="shared" si="28"/>
        <v>0.3125</v>
      </c>
    </row>
    <row r="1849" spans="1:12" s="40" customFormat="1">
      <c r="A1849">
        <v>16441340</v>
      </c>
      <c r="B1849" t="s">
        <v>186</v>
      </c>
      <c r="C1849" t="s">
        <v>184</v>
      </c>
      <c r="D1849" t="s">
        <v>185</v>
      </c>
      <c r="E1849" t="s">
        <v>1439</v>
      </c>
      <c r="F1849" s="78">
        <v>0.93807870370370372</v>
      </c>
      <c r="G1849" t="s">
        <v>1406</v>
      </c>
      <c r="H1849" t="s">
        <v>1336</v>
      </c>
      <c r="I1849" s="88" t="str">
        <f>VLOOKUP(A1849,Base!A:B,2,0)</f>
        <v>16.441.340-3</v>
      </c>
      <c r="J1849" s="99" t="str">
        <f>VLOOKUP(A1849,Base!A:F,6,0)</f>
        <v>LUIS HERNAN  CACERES  ORMAZABAL</v>
      </c>
      <c r="K1849" s="89" t="str">
        <f>IFERROR(IF(VLOOKUP(I1849,Ingreso!K:P,6,0)=0,"Sin turtno ing",VLOOKUP(I1849,Ingreso!K:P,6,0)),IF(F1849&gt;0.25,IF(F1849&lt;0.311805555555556,"Turno A",IF(F1849&gt;0.3125,IF(F1849&lt;0.354166666666667,"Turno C",IF(F1849&gt;0.583333333333333,IF(F1849&lt;0.625,"Turno B",IF(F1849&gt;0.625694444444444,IF(F1849&lt;0.8125,"Turno A",IF(F1849&gt;0.875,IF(F1849&lt;0.936805555555556,"Turno C",IF(F1849&gt;0.9375,IF(F1849&lt;0.979166666666667,"Turno B",""),"")),"")),"")),"")),"")),""))</f>
        <v>Turno B</v>
      </c>
      <c r="L1849" s="91">
        <f t="shared" si="28"/>
        <v>0.3125</v>
      </c>
    </row>
    <row r="1850" spans="1:12" s="40" customFormat="1">
      <c r="A1850">
        <v>16441340</v>
      </c>
      <c r="B1850" t="s">
        <v>186</v>
      </c>
      <c r="C1850" t="s">
        <v>184</v>
      </c>
      <c r="D1850" t="s">
        <v>185</v>
      </c>
      <c r="E1850" t="s">
        <v>1439</v>
      </c>
      <c r="F1850" s="78">
        <v>0.62322916666666661</v>
      </c>
      <c r="G1850" t="s">
        <v>1405</v>
      </c>
      <c r="H1850" t="s">
        <v>1335</v>
      </c>
      <c r="I1850" s="88" t="str">
        <f>VLOOKUP(A1850,Base!A:B,2,0)</f>
        <v>16.441.340-3</v>
      </c>
      <c r="J1850" s="99" t="str">
        <f>VLOOKUP(A1850,Base!A:F,6,0)</f>
        <v>LUIS HERNAN  CACERES  ORMAZABAL</v>
      </c>
      <c r="K1850" s="89" t="str">
        <f>IFERROR(IF(VLOOKUP(I1850,Ingreso!K:P,6,0)=0,"Sin turtno ing",VLOOKUP(I1850,Ingreso!K:P,6,0)),IF(F1850&gt;0.25,IF(F1850&lt;0.311805555555556,"Turno A",IF(F1850&gt;0.3125,IF(F1850&lt;0.354166666666667,"Turno C",IF(F1850&gt;0.583333333333333,IF(F1850&lt;0.625,"Turno B",IF(F1850&gt;0.625694444444444,IF(F1850&lt;0.8125,"Turno A",IF(F1850&gt;0.875,IF(F1850&lt;0.936805555555556,"Turno C",IF(F1850&gt;0.9375,IF(F1850&lt;0.979166666666667,"Turno B",""),"")),"")),"")),"")),"")),""))</f>
        <v>Turno B</v>
      </c>
      <c r="L1850" s="91">
        <f t="shared" si="28"/>
        <v>0.3125</v>
      </c>
    </row>
    <row r="1851" spans="1:12" s="40" customFormat="1">
      <c r="A1851">
        <v>16441596</v>
      </c>
      <c r="B1851" t="s">
        <v>1255</v>
      </c>
      <c r="C1851" t="s">
        <v>943</v>
      </c>
      <c r="D1851" t="s">
        <v>1254</v>
      </c>
      <c r="E1851" t="s">
        <v>1407</v>
      </c>
      <c r="F1851" s="78">
        <v>0</v>
      </c>
      <c r="G1851"/>
      <c r="H1851"/>
      <c r="I1851" s="88" t="str">
        <f>VLOOKUP(A1851,Base!A:B,2,0)</f>
        <v>16.441.596-1</v>
      </c>
      <c r="J1851" s="99" t="str">
        <f>VLOOKUP(A1851,Base!A:F,6,0)</f>
        <v>DAYANA PAULETTE  VIDAL  OTAROLA</v>
      </c>
      <c r="K1851" s="89" t="str">
        <f>IFERROR(IF(VLOOKUP(I1851,Ingreso!K:P,6,0)=0,"Sin turtno ing",VLOOKUP(I1851,Ingreso!K:P,6,0)),IF(F1851&gt;0.25,IF(F1851&lt;0.311805555555556,"Turno A",IF(F1851&gt;0.3125,IF(F1851&lt;0.354166666666667,"Turno C",IF(F1851&gt;0.583333333333333,IF(F1851&lt;0.625,"Turno B",IF(F1851&gt;0.625694444444444,IF(F1851&lt;0.8125,"Turno A",IF(F1851&gt;0.875,IF(F1851&lt;0.936805555555556,"Turno C",IF(F1851&gt;0.9375,IF(F1851&lt;0.979166666666667,"Turno B",""),"")),"")),"")),"")),"")),""))</f>
        <v/>
      </c>
      <c r="L1851" s="91" t="e">
        <f t="shared" si="28"/>
        <v>#N/A</v>
      </c>
    </row>
    <row r="1852" spans="1:12" s="40" customFormat="1">
      <c r="A1852">
        <v>16478330</v>
      </c>
      <c r="B1852" t="s">
        <v>1425</v>
      </c>
      <c r="C1852" t="s">
        <v>68</v>
      </c>
      <c r="D1852" t="s">
        <v>1384</v>
      </c>
      <c r="E1852" t="s">
        <v>1440</v>
      </c>
      <c r="F1852" s="78">
        <v>6.2766203703703713E-2</v>
      </c>
      <c r="G1852" t="s">
        <v>1406</v>
      </c>
      <c r="H1852" t="s">
        <v>1336</v>
      </c>
      <c r="I1852" s="88" t="str">
        <f>VLOOKUP(A1852,Base!A:B,2,0)</f>
        <v>16.478.330-8</v>
      </c>
      <c r="J1852" s="99" t="str">
        <f>VLOOKUP(A1852,Base!A:F,6,0)</f>
        <v>DAVID ALEJANDRO ALVAREZ CATALAN</v>
      </c>
      <c r="K1852" s="89" t="str">
        <f>IFERROR(IF(VLOOKUP(I1852,Ingreso!K:P,6,0)=0,"Sin turtno ing",VLOOKUP(I1852,Ingreso!K:P,6,0)),IF(F1852&gt;0.25,IF(F1852&lt;0.311805555555556,"Turno A",IF(F1852&gt;0.3125,IF(F1852&lt;0.354166666666667,"Turno C",IF(F1852&gt;0.583333333333333,IF(F1852&lt;0.625,"Turno B",IF(F1852&gt;0.625694444444444,IF(F1852&lt;0.8125,"Turno A",IF(F1852&gt;0.875,IF(F1852&lt;0.936805555555556,"Turno C",IF(F1852&gt;0.9375,IF(F1852&lt;0.979166666666667,"Turno B",""),"")),"")),"")),"")),"")),""))</f>
        <v>Turno B</v>
      </c>
      <c r="L1852" s="91">
        <f t="shared" si="28"/>
        <v>0.3125</v>
      </c>
    </row>
    <row r="1853" spans="1:12" s="40" customFormat="1">
      <c r="A1853">
        <v>16478330</v>
      </c>
      <c r="B1853" t="s">
        <v>1425</v>
      </c>
      <c r="C1853" t="s">
        <v>68</v>
      </c>
      <c r="D1853" t="s">
        <v>1384</v>
      </c>
      <c r="E1853" t="s">
        <v>1440</v>
      </c>
      <c r="F1853" s="78">
        <v>0.62722222222222224</v>
      </c>
      <c r="G1853" t="s">
        <v>1405</v>
      </c>
      <c r="H1853" t="s">
        <v>1335</v>
      </c>
      <c r="I1853" s="88" t="str">
        <f>VLOOKUP(A1853,Base!A:B,2,0)</f>
        <v>16.478.330-8</v>
      </c>
      <c r="J1853" s="99" t="str">
        <f>VLOOKUP(A1853,Base!A:F,6,0)</f>
        <v>DAVID ALEJANDRO ALVAREZ CATALAN</v>
      </c>
      <c r="K1853" s="89" t="str">
        <f>IFERROR(IF(VLOOKUP(I1853,Ingreso!K:P,6,0)=0,"Sin turtno ing",VLOOKUP(I1853,Ingreso!K:P,6,0)),IF(F1853&gt;0.25,IF(F1853&lt;0.311805555555556,"Turno A",IF(F1853&gt;0.3125,IF(F1853&lt;0.354166666666667,"Turno C",IF(F1853&gt;0.583333333333333,IF(F1853&lt;0.625,"Turno B",IF(F1853&gt;0.625694444444444,IF(F1853&lt;0.8125,"Turno A",IF(F1853&gt;0.875,IF(F1853&lt;0.936805555555556,"Turno C",IF(F1853&gt;0.9375,IF(F1853&lt;0.979166666666667,"Turno B",""),"")),"")),"")),"")),"")),""))</f>
        <v>Turno B</v>
      </c>
      <c r="L1853" s="91">
        <f t="shared" si="28"/>
        <v>0.3125</v>
      </c>
    </row>
    <row r="1854" spans="1:12" s="40" customFormat="1">
      <c r="A1854">
        <v>16478330</v>
      </c>
      <c r="B1854" t="s">
        <v>1425</v>
      </c>
      <c r="C1854" t="s">
        <v>68</v>
      </c>
      <c r="D1854" t="s">
        <v>1384</v>
      </c>
      <c r="E1854" t="s">
        <v>1441</v>
      </c>
      <c r="F1854" s="78">
        <v>5.9027777777777778E-4</v>
      </c>
      <c r="G1854" t="s">
        <v>1406</v>
      </c>
      <c r="H1854" t="s">
        <v>1336</v>
      </c>
      <c r="I1854" s="88" t="str">
        <f>VLOOKUP(A1854,Base!A:B,2,0)</f>
        <v>16.478.330-8</v>
      </c>
      <c r="J1854" s="99" t="str">
        <f>VLOOKUP(A1854,Base!A:F,6,0)</f>
        <v>DAVID ALEJANDRO ALVAREZ CATALAN</v>
      </c>
      <c r="K1854" s="89" t="str">
        <f>IFERROR(IF(VLOOKUP(I1854,Ingreso!K:P,6,0)=0,"Sin turtno ing",VLOOKUP(I1854,Ingreso!K:P,6,0)),IF(F1854&gt;0.25,IF(F1854&lt;0.311805555555556,"Turno A",IF(F1854&gt;0.3125,IF(F1854&lt;0.354166666666667,"Turno C",IF(F1854&gt;0.583333333333333,IF(F1854&lt;0.625,"Turno B",IF(F1854&gt;0.625694444444444,IF(F1854&lt;0.8125,"Turno A",IF(F1854&gt;0.875,IF(F1854&lt;0.936805555555556,"Turno C",IF(F1854&gt;0.9375,IF(F1854&lt;0.979166666666667,"Turno B",""),"")),"")),"")),"")),"")),""))</f>
        <v>Turno B</v>
      </c>
      <c r="L1854" s="91">
        <f t="shared" si="28"/>
        <v>0.3125</v>
      </c>
    </row>
    <row r="1855" spans="1:12" s="40" customFormat="1">
      <c r="A1855">
        <v>16478330</v>
      </c>
      <c r="B1855" t="s">
        <v>1425</v>
      </c>
      <c r="C1855" t="s">
        <v>68</v>
      </c>
      <c r="D1855" t="s">
        <v>1384</v>
      </c>
      <c r="E1855" t="s">
        <v>1441</v>
      </c>
      <c r="F1855" s="78">
        <v>0.92496527777777782</v>
      </c>
      <c r="G1855" t="s">
        <v>1406</v>
      </c>
      <c r="H1855" t="s">
        <v>1336</v>
      </c>
      <c r="I1855" s="88" t="str">
        <f>VLOOKUP(A1855,Base!A:B,2,0)</f>
        <v>16.478.330-8</v>
      </c>
      <c r="J1855" s="99" t="str">
        <f>VLOOKUP(A1855,Base!A:F,6,0)</f>
        <v>DAVID ALEJANDRO ALVAREZ CATALAN</v>
      </c>
      <c r="K1855" s="89" t="str">
        <f>IFERROR(IF(VLOOKUP(I1855,Ingreso!K:P,6,0)=0,"Sin turtno ing",VLOOKUP(I1855,Ingreso!K:P,6,0)),IF(F1855&gt;0.25,IF(F1855&lt;0.311805555555556,"Turno A",IF(F1855&gt;0.3125,IF(F1855&lt;0.354166666666667,"Turno C",IF(F1855&gt;0.583333333333333,IF(F1855&lt;0.625,"Turno B",IF(F1855&gt;0.625694444444444,IF(F1855&lt;0.8125,"Turno A",IF(F1855&gt;0.875,IF(F1855&lt;0.936805555555556,"Turno C",IF(F1855&gt;0.9375,IF(F1855&lt;0.979166666666667,"Turno B",""),"")),"")),"")),"")),"")),""))</f>
        <v>Turno B</v>
      </c>
      <c r="L1855" s="91">
        <f t="shared" si="28"/>
        <v>0.3125</v>
      </c>
    </row>
    <row r="1856" spans="1:12" s="40" customFormat="1">
      <c r="A1856">
        <v>16478330</v>
      </c>
      <c r="B1856" t="s">
        <v>1425</v>
      </c>
      <c r="C1856" t="s">
        <v>68</v>
      </c>
      <c r="D1856" t="s">
        <v>1384</v>
      </c>
      <c r="E1856" t="s">
        <v>1441</v>
      </c>
      <c r="F1856" s="78">
        <v>0.62408564814814815</v>
      </c>
      <c r="G1856" t="s">
        <v>1405</v>
      </c>
      <c r="H1856" t="s">
        <v>1335</v>
      </c>
      <c r="I1856" s="88" t="str">
        <f>VLOOKUP(A1856,Base!A:B,2,0)</f>
        <v>16.478.330-8</v>
      </c>
      <c r="J1856" s="99" t="str">
        <f>VLOOKUP(A1856,Base!A:F,6,0)</f>
        <v>DAVID ALEJANDRO ALVAREZ CATALAN</v>
      </c>
      <c r="K1856" s="89" t="str">
        <f>IFERROR(IF(VLOOKUP(I1856,Ingreso!K:P,6,0)=0,"Sin turtno ing",VLOOKUP(I1856,Ingreso!K:P,6,0)),IF(F1856&gt;0.25,IF(F1856&lt;0.311805555555556,"Turno A",IF(F1856&gt;0.3125,IF(F1856&lt;0.354166666666667,"Turno C",IF(F1856&gt;0.583333333333333,IF(F1856&lt;0.625,"Turno B",IF(F1856&gt;0.625694444444444,IF(F1856&lt;0.8125,"Turno A",IF(F1856&gt;0.875,IF(F1856&lt;0.936805555555556,"Turno C",IF(F1856&gt;0.9375,IF(F1856&lt;0.979166666666667,"Turno B",""),"")),"")),"")),"")),"")),""))</f>
        <v>Turno B</v>
      </c>
      <c r="L1856" s="91">
        <f t="shared" si="28"/>
        <v>0.3125</v>
      </c>
    </row>
    <row r="1857" spans="1:12" s="40" customFormat="1">
      <c r="A1857">
        <v>16478330</v>
      </c>
      <c r="B1857" t="s">
        <v>1425</v>
      </c>
      <c r="C1857" t="s">
        <v>68</v>
      </c>
      <c r="D1857" t="s">
        <v>1384</v>
      </c>
      <c r="E1857" t="s">
        <v>1437</v>
      </c>
      <c r="F1857" s="78">
        <v>0.9669444444444445</v>
      </c>
      <c r="G1857" t="s">
        <v>1406</v>
      </c>
      <c r="H1857" t="s">
        <v>1336</v>
      </c>
      <c r="I1857" s="88" t="str">
        <f>VLOOKUP(A1857,Base!A:B,2,0)</f>
        <v>16.478.330-8</v>
      </c>
      <c r="J1857" s="99" t="str">
        <f>VLOOKUP(A1857,Base!A:F,6,0)</f>
        <v>DAVID ALEJANDRO ALVAREZ CATALAN</v>
      </c>
      <c r="K1857" s="89" t="str">
        <f>IFERROR(IF(VLOOKUP(I1857,Ingreso!K:P,6,0)=0,"Sin turtno ing",VLOOKUP(I1857,Ingreso!K:P,6,0)),IF(F1857&gt;0.25,IF(F1857&lt;0.311805555555556,"Turno A",IF(F1857&gt;0.3125,IF(F1857&lt;0.354166666666667,"Turno C",IF(F1857&gt;0.583333333333333,IF(F1857&lt;0.625,"Turno B",IF(F1857&gt;0.625694444444444,IF(F1857&lt;0.8125,"Turno A",IF(F1857&gt;0.875,IF(F1857&lt;0.936805555555556,"Turno C",IF(F1857&gt;0.9375,IF(F1857&lt;0.979166666666667,"Turno B",""),"")),"")),"")),"")),"")),""))</f>
        <v>Turno B</v>
      </c>
      <c r="L1857" s="91">
        <f t="shared" si="28"/>
        <v>0.3125</v>
      </c>
    </row>
    <row r="1858" spans="1:12" s="40" customFormat="1">
      <c r="A1858">
        <v>16478330</v>
      </c>
      <c r="B1858" t="s">
        <v>1425</v>
      </c>
      <c r="C1858" t="s">
        <v>68</v>
      </c>
      <c r="D1858" t="s">
        <v>1384</v>
      </c>
      <c r="E1858" t="s">
        <v>1437</v>
      </c>
      <c r="F1858" s="78">
        <v>0.61535879629629631</v>
      </c>
      <c r="G1858" t="s">
        <v>1405</v>
      </c>
      <c r="H1858" t="s">
        <v>1335</v>
      </c>
      <c r="I1858" s="88" t="str">
        <f>VLOOKUP(A1858,Base!A:B,2,0)</f>
        <v>16.478.330-8</v>
      </c>
      <c r="J1858" s="99" t="str">
        <f>VLOOKUP(A1858,Base!A:F,6,0)</f>
        <v>DAVID ALEJANDRO ALVAREZ CATALAN</v>
      </c>
      <c r="K1858" s="89" t="str">
        <f>IFERROR(IF(VLOOKUP(I1858,Ingreso!K:P,6,0)=0,"Sin turtno ing",VLOOKUP(I1858,Ingreso!K:P,6,0)),IF(F1858&gt;0.25,IF(F1858&lt;0.311805555555556,"Turno A",IF(F1858&gt;0.3125,IF(F1858&lt;0.354166666666667,"Turno C",IF(F1858&gt;0.583333333333333,IF(F1858&lt;0.625,"Turno B",IF(F1858&gt;0.625694444444444,IF(F1858&lt;0.8125,"Turno A",IF(F1858&gt;0.875,IF(F1858&lt;0.936805555555556,"Turno C",IF(F1858&gt;0.9375,IF(F1858&lt;0.979166666666667,"Turno B",""),"")),"")),"")),"")),"")),""))</f>
        <v>Turno B</v>
      </c>
      <c r="L1858" s="91">
        <f t="shared" si="28"/>
        <v>0.3125</v>
      </c>
    </row>
    <row r="1859" spans="1:12" s="40" customFormat="1">
      <c r="A1859">
        <v>16478330</v>
      </c>
      <c r="B1859" t="s">
        <v>1425</v>
      </c>
      <c r="C1859" t="s">
        <v>68</v>
      </c>
      <c r="D1859" t="s">
        <v>1384</v>
      </c>
      <c r="E1859" t="s">
        <v>1438</v>
      </c>
      <c r="F1859" s="78">
        <v>0.58190972222222226</v>
      </c>
      <c r="G1859" t="s">
        <v>1406</v>
      </c>
      <c r="H1859" t="s">
        <v>1336</v>
      </c>
      <c r="I1859" s="88" t="str">
        <f>VLOOKUP(A1859,Base!A:B,2,0)</f>
        <v>16.478.330-8</v>
      </c>
      <c r="J1859" s="99" t="str">
        <f>VLOOKUP(A1859,Base!A:F,6,0)</f>
        <v>DAVID ALEJANDRO ALVAREZ CATALAN</v>
      </c>
      <c r="K1859" s="89" t="str">
        <f>IFERROR(IF(VLOOKUP(I1859,Ingreso!K:P,6,0)=0,"Sin turtno ing",VLOOKUP(I1859,Ingreso!K:P,6,0)),IF(F1859&gt;0.25,IF(F1859&lt;0.311805555555556,"Turno A",IF(F1859&gt;0.3125,IF(F1859&lt;0.354166666666667,"Turno C",IF(F1859&gt;0.583333333333333,IF(F1859&lt;0.625,"Turno B",IF(F1859&gt;0.625694444444444,IF(F1859&lt;0.8125,"Turno A",IF(F1859&gt;0.875,IF(F1859&lt;0.936805555555556,"Turno C",IF(F1859&gt;0.9375,IF(F1859&lt;0.979166666666667,"Turno B",""),"")),"")),"")),"")),"")),""))</f>
        <v>Turno B</v>
      </c>
      <c r="L1859" s="91">
        <f t="shared" ref="L1859:L1922" si="29">VLOOKUP(K1859,$S$3:$T$7,2,0)</f>
        <v>0.3125</v>
      </c>
    </row>
    <row r="1860" spans="1:12" s="40" customFormat="1">
      <c r="A1860">
        <v>16478330</v>
      </c>
      <c r="B1860" t="s">
        <v>1425</v>
      </c>
      <c r="C1860" t="s">
        <v>68</v>
      </c>
      <c r="D1860" t="s">
        <v>1384</v>
      </c>
      <c r="E1860" t="s">
        <v>1438</v>
      </c>
      <c r="F1860" s="78">
        <v>0.29287037037037039</v>
      </c>
      <c r="G1860" t="s">
        <v>1405</v>
      </c>
      <c r="H1860" t="s">
        <v>1335</v>
      </c>
      <c r="I1860" s="88" t="str">
        <f>VLOOKUP(A1860,Base!A:B,2,0)</f>
        <v>16.478.330-8</v>
      </c>
      <c r="J1860" s="99" t="str">
        <f>VLOOKUP(A1860,Base!A:F,6,0)</f>
        <v>DAVID ALEJANDRO ALVAREZ CATALAN</v>
      </c>
      <c r="K1860" s="89" t="str">
        <f>IFERROR(IF(VLOOKUP(I1860,Ingreso!K:P,6,0)=0,"Sin turtno ing",VLOOKUP(I1860,Ingreso!K:P,6,0)),IF(F1860&gt;0.25,IF(F1860&lt;0.311805555555556,"Turno A",IF(F1860&gt;0.3125,IF(F1860&lt;0.354166666666667,"Turno C",IF(F1860&gt;0.583333333333333,IF(F1860&lt;0.625,"Turno B",IF(F1860&gt;0.625694444444444,IF(F1860&lt;0.8125,"Turno A",IF(F1860&gt;0.875,IF(F1860&lt;0.936805555555556,"Turno C",IF(F1860&gt;0.9375,IF(F1860&lt;0.979166666666667,"Turno B",""),"")),"")),"")),"")),"")),""))</f>
        <v>Turno B</v>
      </c>
      <c r="L1860" s="91">
        <f t="shared" si="29"/>
        <v>0.3125</v>
      </c>
    </row>
    <row r="1861" spans="1:12" s="40" customFormat="1">
      <c r="A1861">
        <v>16478330</v>
      </c>
      <c r="B1861" t="s">
        <v>1425</v>
      </c>
      <c r="C1861" t="s">
        <v>68</v>
      </c>
      <c r="D1861" t="s">
        <v>1384</v>
      </c>
      <c r="E1861" t="s">
        <v>1439</v>
      </c>
      <c r="F1861" s="78">
        <v>0.62603009259259257</v>
      </c>
      <c r="G1861" t="s">
        <v>1405</v>
      </c>
      <c r="H1861" t="s">
        <v>1335</v>
      </c>
      <c r="I1861" s="88" t="str">
        <f>VLOOKUP(A1861,Base!A:B,2,0)</f>
        <v>16.478.330-8</v>
      </c>
      <c r="J1861" s="99" t="str">
        <f>VLOOKUP(A1861,Base!A:F,6,0)</f>
        <v>DAVID ALEJANDRO ALVAREZ CATALAN</v>
      </c>
      <c r="K1861" s="89" t="str">
        <f>IFERROR(IF(VLOOKUP(I1861,Ingreso!K:P,6,0)=0,"Sin turtno ing",VLOOKUP(I1861,Ingreso!K:P,6,0)),IF(F1861&gt;0.25,IF(F1861&lt;0.311805555555556,"Turno A",IF(F1861&gt;0.3125,IF(F1861&lt;0.354166666666667,"Turno C",IF(F1861&gt;0.583333333333333,IF(F1861&lt;0.625,"Turno B",IF(F1861&gt;0.625694444444444,IF(F1861&lt;0.8125,"Turno A",IF(F1861&gt;0.875,IF(F1861&lt;0.936805555555556,"Turno C",IF(F1861&gt;0.9375,IF(F1861&lt;0.979166666666667,"Turno B",""),"")),"")),"")),"")),"")),""))</f>
        <v>Turno B</v>
      </c>
      <c r="L1861" s="91">
        <f t="shared" si="29"/>
        <v>0.3125</v>
      </c>
    </row>
    <row r="1862" spans="1:12" s="40" customFormat="1">
      <c r="A1862">
        <v>16558908</v>
      </c>
      <c r="B1862" t="s">
        <v>1426</v>
      </c>
      <c r="C1862" t="s">
        <v>847</v>
      </c>
      <c r="D1862" t="s">
        <v>33</v>
      </c>
      <c r="E1862" t="s">
        <v>1440</v>
      </c>
      <c r="F1862" s="78">
        <v>0.64188657407407412</v>
      </c>
      <c r="G1862" t="s">
        <v>1406</v>
      </c>
      <c r="H1862" t="s">
        <v>1336</v>
      </c>
      <c r="I1862" s="88" t="str">
        <f>VLOOKUP(A1862,Base!A:B,2,0)</f>
        <v>16.558.908-4</v>
      </c>
      <c r="J1862" s="99" t="str">
        <f>VLOOKUP(A1862,Base!A:F,6,0)</f>
        <v>MARCELO ROJAS MUÑOZ</v>
      </c>
      <c r="K1862" s="89" t="str">
        <f>IFERROR(IF(VLOOKUP(I1862,Ingreso!K:P,6,0)=0,"Sin turtno ing",VLOOKUP(I1862,Ingreso!K:P,6,0)),IF(F1862&gt;0.25,IF(F1862&lt;0.311805555555556,"Turno A",IF(F1862&gt;0.3125,IF(F1862&lt;0.354166666666667,"Turno C",IF(F1862&gt;0.583333333333333,IF(F1862&lt;0.625,"Turno B",IF(F1862&gt;0.625694444444444,IF(F1862&lt;0.8125,"Turno A",IF(F1862&gt;0.875,IF(F1862&lt;0.936805555555556,"Turno C",IF(F1862&gt;0.9375,IF(F1862&lt;0.979166666666667,"Turno B",""),"")),"")),"")),"")),"")),""))</f>
        <v>Turno A</v>
      </c>
      <c r="L1862" s="91">
        <f t="shared" si="29"/>
        <v>0.3125</v>
      </c>
    </row>
    <row r="1863" spans="1:12" s="40" customFormat="1">
      <c r="A1863">
        <v>16558908</v>
      </c>
      <c r="B1863" t="s">
        <v>1426</v>
      </c>
      <c r="C1863" t="s">
        <v>847</v>
      </c>
      <c r="D1863" t="s">
        <v>33</v>
      </c>
      <c r="E1863" t="s">
        <v>1440</v>
      </c>
      <c r="F1863" s="78">
        <v>0.29712962962962963</v>
      </c>
      <c r="G1863" t="s">
        <v>1405</v>
      </c>
      <c r="H1863" t="s">
        <v>1335</v>
      </c>
      <c r="I1863" s="88" t="str">
        <f>VLOOKUP(A1863,Base!A:B,2,0)</f>
        <v>16.558.908-4</v>
      </c>
      <c r="J1863" s="99" t="str">
        <f>VLOOKUP(A1863,Base!A:F,6,0)</f>
        <v>MARCELO ROJAS MUÑOZ</v>
      </c>
      <c r="K1863" s="89" t="str">
        <f>IFERROR(IF(VLOOKUP(I1863,Ingreso!K:P,6,0)=0,"Sin turtno ing",VLOOKUP(I1863,Ingreso!K:P,6,0)),IF(F1863&gt;0.25,IF(F1863&lt;0.311805555555556,"Turno A",IF(F1863&gt;0.3125,IF(F1863&lt;0.354166666666667,"Turno C",IF(F1863&gt;0.583333333333333,IF(F1863&lt;0.625,"Turno B",IF(F1863&gt;0.625694444444444,IF(F1863&lt;0.8125,"Turno A",IF(F1863&gt;0.875,IF(F1863&lt;0.936805555555556,"Turno C",IF(F1863&gt;0.9375,IF(F1863&lt;0.979166666666667,"Turno B",""),"")),"")),"")),"")),"")),""))</f>
        <v>Turno A</v>
      </c>
      <c r="L1863" s="91">
        <f t="shared" si="29"/>
        <v>0.3125</v>
      </c>
    </row>
    <row r="1864" spans="1:12" s="40" customFormat="1">
      <c r="A1864">
        <v>16558908</v>
      </c>
      <c r="B1864" t="s">
        <v>1426</v>
      </c>
      <c r="C1864" t="s">
        <v>847</v>
      </c>
      <c r="D1864" t="s">
        <v>33</v>
      </c>
      <c r="E1864" t="s">
        <v>1441</v>
      </c>
      <c r="F1864" s="78">
        <v>0.6416898148148148</v>
      </c>
      <c r="G1864" t="s">
        <v>1406</v>
      </c>
      <c r="H1864" t="s">
        <v>1336</v>
      </c>
      <c r="I1864" s="88" t="str">
        <f>VLOOKUP(A1864,Base!A:B,2,0)</f>
        <v>16.558.908-4</v>
      </c>
      <c r="J1864" s="99" t="str">
        <f>VLOOKUP(A1864,Base!A:F,6,0)</f>
        <v>MARCELO ROJAS MUÑOZ</v>
      </c>
      <c r="K1864" s="89" t="str">
        <f>IFERROR(IF(VLOOKUP(I1864,Ingreso!K:P,6,0)=0,"Sin turtno ing",VLOOKUP(I1864,Ingreso!K:P,6,0)),IF(F1864&gt;0.25,IF(F1864&lt;0.311805555555556,"Turno A",IF(F1864&gt;0.3125,IF(F1864&lt;0.354166666666667,"Turno C",IF(F1864&gt;0.583333333333333,IF(F1864&lt;0.625,"Turno B",IF(F1864&gt;0.625694444444444,IF(F1864&lt;0.8125,"Turno A",IF(F1864&gt;0.875,IF(F1864&lt;0.936805555555556,"Turno C",IF(F1864&gt;0.9375,IF(F1864&lt;0.979166666666667,"Turno B",""),"")),"")),"")),"")),"")),""))</f>
        <v>Turno A</v>
      </c>
      <c r="L1864" s="91">
        <f t="shared" si="29"/>
        <v>0.3125</v>
      </c>
    </row>
    <row r="1865" spans="1:12" s="40" customFormat="1">
      <c r="A1865">
        <v>16558908</v>
      </c>
      <c r="B1865" t="s">
        <v>1426</v>
      </c>
      <c r="C1865" t="s">
        <v>847</v>
      </c>
      <c r="D1865" t="s">
        <v>33</v>
      </c>
      <c r="E1865" t="s">
        <v>1441</v>
      </c>
      <c r="F1865" s="78">
        <v>0.29515046296296293</v>
      </c>
      <c r="G1865" t="s">
        <v>1405</v>
      </c>
      <c r="H1865" t="s">
        <v>1335</v>
      </c>
      <c r="I1865" s="88" t="str">
        <f>VLOOKUP(A1865,Base!A:B,2,0)</f>
        <v>16.558.908-4</v>
      </c>
      <c r="J1865" s="99" t="str">
        <f>VLOOKUP(A1865,Base!A:F,6,0)</f>
        <v>MARCELO ROJAS MUÑOZ</v>
      </c>
      <c r="K1865" s="89" t="str">
        <f>IFERROR(IF(VLOOKUP(I1865,Ingreso!K:P,6,0)=0,"Sin turtno ing",VLOOKUP(I1865,Ingreso!K:P,6,0)),IF(F1865&gt;0.25,IF(F1865&lt;0.311805555555556,"Turno A",IF(F1865&gt;0.3125,IF(F1865&lt;0.354166666666667,"Turno C",IF(F1865&gt;0.583333333333333,IF(F1865&lt;0.625,"Turno B",IF(F1865&gt;0.625694444444444,IF(F1865&lt;0.8125,"Turno A",IF(F1865&gt;0.875,IF(F1865&lt;0.936805555555556,"Turno C",IF(F1865&gt;0.9375,IF(F1865&lt;0.979166666666667,"Turno B",""),"")),"")),"")),"")),"")),""))</f>
        <v>Turno A</v>
      </c>
      <c r="L1865" s="91">
        <f t="shared" si="29"/>
        <v>0.3125</v>
      </c>
    </row>
    <row r="1866" spans="1:12" s="40" customFormat="1">
      <c r="A1866">
        <v>16558908</v>
      </c>
      <c r="B1866" t="s">
        <v>1426</v>
      </c>
      <c r="C1866" t="s">
        <v>847</v>
      </c>
      <c r="D1866" t="s">
        <v>33</v>
      </c>
      <c r="E1866" t="s">
        <v>1437</v>
      </c>
      <c r="F1866" s="78">
        <v>0.6331134259259259</v>
      </c>
      <c r="G1866" t="s">
        <v>1406</v>
      </c>
      <c r="H1866" t="s">
        <v>1336</v>
      </c>
      <c r="I1866" s="88" t="str">
        <f>VLOOKUP(A1866,Base!A:B,2,0)</f>
        <v>16.558.908-4</v>
      </c>
      <c r="J1866" s="99" t="str">
        <f>VLOOKUP(A1866,Base!A:F,6,0)</f>
        <v>MARCELO ROJAS MUÑOZ</v>
      </c>
      <c r="K1866" s="89" t="str">
        <f>IFERROR(IF(VLOOKUP(I1866,Ingreso!K:P,6,0)=0,"Sin turtno ing",VLOOKUP(I1866,Ingreso!K:P,6,0)),IF(F1866&gt;0.25,IF(F1866&lt;0.311805555555556,"Turno A",IF(F1866&gt;0.3125,IF(F1866&lt;0.354166666666667,"Turno C",IF(F1866&gt;0.583333333333333,IF(F1866&lt;0.625,"Turno B",IF(F1866&gt;0.625694444444444,IF(F1866&lt;0.8125,"Turno A",IF(F1866&gt;0.875,IF(F1866&lt;0.936805555555556,"Turno C",IF(F1866&gt;0.9375,IF(F1866&lt;0.979166666666667,"Turno B",""),"")),"")),"")),"")),"")),""))</f>
        <v>Turno A</v>
      </c>
      <c r="L1866" s="91">
        <f t="shared" si="29"/>
        <v>0.3125</v>
      </c>
    </row>
    <row r="1867" spans="1:12" s="40" customFormat="1">
      <c r="A1867">
        <v>16558908</v>
      </c>
      <c r="B1867" t="s">
        <v>1426</v>
      </c>
      <c r="C1867" t="s">
        <v>847</v>
      </c>
      <c r="D1867" t="s">
        <v>33</v>
      </c>
      <c r="E1867" t="s">
        <v>1437</v>
      </c>
      <c r="F1867" s="78">
        <v>0.29499999999999998</v>
      </c>
      <c r="G1867" t="s">
        <v>1405</v>
      </c>
      <c r="H1867" t="s">
        <v>1335</v>
      </c>
      <c r="I1867" s="88" t="str">
        <f>VLOOKUP(A1867,Base!A:B,2,0)</f>
        <v>16.558.908-4</v>
      </c>
      <c r="J1867" s="99" t="str">
        <f>VLOOKUP(A1867,Base!A:F,6,0)</f>
        <v>MARCELO ROJAS MUÑOZ</v>
      </c>
      <c r="K1867" s="89" t="str">
        <f>IFERROR(IF(VLOOKUP(I1867,Ingreso!K:P,6,0)=0,"Sin turtno ing",VLOOKUP(I1867,Ingreso!K:P,6,0)),IF(F1867&gt;0.25,IF(F1867&lt;0.311805555555556,"Turno A",IF(F1867&gt;0.3125,IF(F1867&lt;0.354166666666667,"Turno C",IF(F1867&gt;0.583333333333333,IF(F1867&lt;0.625,"Turno B",IF(F1867&gt;0.625694444444444,IF(F1867&lt;0.8125,"Turno A",IF(F1867&gt;0.875,IF(F1867&lt;0.936805555555556,"Turno C",IF(F1867&gt;0.9375,IF(F1867&lt;0.979166666666667,"Turno B",""),"")),"")),"")),"")),"")),""))</f>
        <v>Turno A</v>
      </c>
      <c r="L1867" s="91">
        <f t="shared" si="29"/>
        <v>0.3125</v>
      </c>
    </row>
    <row r="1868" spans="1:12" s="40" customFormat="1">
      <c r="A1868">
        <v>16558908</v>
      </c>
      <c r="B1868" t="s">
        <v>1426</v>
      </c>
      <c r="C1868" t="s">
        <v>847</v>
      </c>
      <c r="D1868" t="s">
        <v>33</v>
      </c>
      <c r="E1868" t="s">
        <v>1438</v>
      </c>
      <c r="F1868" s="78">
        <v>0.63581018518518517</v>
      </c>
      <c r="G1868" t="s">
        <v>1406</v>
      </c>
      <c r="H1868" t="s">
        <v>1336</v>
      </c>
      <c r="I1868" s="88" t="str">
        <f>VLOOKUP(A1868,Base!A:B,2,0)</f>
        <v>16.558.908-4</v>
      </c>
      <c r="J1868" s="99" t="str">
        <f>VLOOKUP(A1868,Base!A:F,6,0)</f>
        <v>MARCELO ROJAS MUÑOZ</v>
      </c>
      <c r="K1868" s="89" t="str">
        <f>IFERROR(IF(VLOOKUP(I1868,Ingreso!K:P,6,0)=0,"Sin turtno ing",VLOOKUP(I1868,Ingreso!K:P,6,0)),IF(F1868&gt;0.25,IF(F1868&lt;0.311805555555556,"Turno A",IF(F1868&gt;0.3125,IF(F1868&lt;0.354166666666667,"Turno C",IF(F1868&gt;0.583333333333333,IF(F1868&lt;0.625,"Turno B",IF(F1868&gt;0.625694444444444,IF(F1868&lt;0.8125,"Turno A",IF(F1868&gt;0.875,IF(F1868&lt;0.936805555555556,"Turno C",IF(F1868&gt;0.9375,IF(F1868&lt;0.979166666666667,"Turno B",""),"")),"")),"")),"")),"")),""))</f>
        <v>Turno A</v>
      </c>
      <c r="L1868" s="91">
        <f t="shared" si="29"/>
        <v>0.3125</v>
      </c>
    </row>
    <row r="1869" spans="1:12" s="40" customFormat="1">
      <c r="A1869">
        <v>16558908</v>
      </c>
      <c r="B1869" t="s">
        <v>1426</v>
      </c>
      <c r="C1869" t="s">
        <v>847</v>
      </c>
      <c r="D1869" t="s">
        <v>33</v>
      </c>
      <c r="E1869" t="s">
        <v>1438</v>
      </c>
      <c r="F1869" s="78">
        <v>0.30061342592592594</v>
      </c>
      <c r="G1869" t="s">
        <v>1405</v>
      </c>
      <c r="H1869" t="s">
        <v>1335</v>
      </c>
      <c r="I1869" s="88" t="str">
        <f>VLOOKUP(A1869,Base!A:B,2,0)</f>
        <v>16.558.908-4</v>
      </c>
      <c r="J1869" s="99" t="str">
        <f>VLOOKUP(A1869,Base!A:F,6,0)</f>
        <v>MARCELO ROJAS MUÑOZ</v>
      </c>
      <c r="K1869" s="89" t="str">
        <f>IFERROR(IF(VLOOKUP(I1869,Ingreso!K:P,6,0)=0,"Sin turtno ing",VLOOKUP(I1869,Ingreso!K:P,6,0)),IF(F1869&gt;0.25,IF(F1869&lt;0.311805555555556,"Turno A",IF(F1869&gt;0.3125,IF(F1869&lt;0.354166666666667,"Turno C",IF(F1869&gt;0.583333333333333,IF(F1869&lt;0.625,"Turno B",IF(F1869&gt;0.625694444444444,IF(F1869&lt;0.8125,"Turno A",IF(F1869&gt;0.875,IF(F1869&lt;0.936805555555556,"Turno C",IF(F1869&gt;0.9375,IF(F1869&lt;0.979166666666667,"Turno B",""),"")),"")),"")),"")),"")),""))</f>
        <v>Turno A</v>
      </c>
      <c r="L1869" s="91">
        <f t="shared" si="29"/>
        <v>0.3125</v>
      </c>
    </row>
    <row r="1870" spans="1:12" s="40" customFormat="1">
      <c r="A1870">
        <v>16558908</v>
      </c>
      <c r="B1870" t="s">
        <v>1426</v>
      </c>
      <c r="C1870" t="s">
        <v>847</v>
      </c>
      <c r="D1870" t="s">
        <v>33</v>
      </c>
      <c r="E1870" t="s">
        <v>1439</v>
      </c>
      <c r="F1870" s="78">
        <v>0.6330324074074074</v>
      </c>
      <c r="G1870" t="s">
        <v>1406</v>
      </c>
      <c r="H1870" t="s">
        <v>1336</v>
      </c>
      <c r="I1870" s="88" t="str">
        <f>VLOOKUP(A1870,Base!A:B,2,0)</f>
        <v>16.558.908-4</v>
      </c>
      <c r="J1870" s="99" t="str">
        <f>VLOOKUP(A1870,Base!A:F,6,0)</f>
        <v>MARCELO ROJAS MUÑOZ</v>
      </c>
      <c r="K1870" s="89" t="str">
        <f>IFERROR(IF(VLOOKUP(I1870,Ingreso!K:P,6,0)=0,"Sin turtno ing",VLOOKUP(I1870,Ingreso!K:P,6,0)),IF(F1870&gt;0.25,IF(F1870&lt;0.311805555555556,"Turno A",IF(F1870&gt;0.3125,IF(F1870&lt;0.354166666666667,"Turno C",IF(F1870&gt;0.583333333333333,IF(F1870&lt;0.625,"Turno B",IF(F1870&gt;0.625694444444444,IF(F1870&lt;0.8125,"Turno A",IF(F1870&gt;0.875,IF(F1870&lt;0.936805555555556,"Turno C",IF(F1870&gt;0.9375,IF(F1870&lt;0.979166666666667,"Turno B",""),"")),"")),"")),"")),"")),""))</f>
        <v>Turno A</v>
      </c>
      <c r="L1870" s="91">
        <f t="shared" si="29"/>
        <v>0.3125</v>
      </c>
    </row>
    <row r="1871" spans="1:12" s="40" customFormat="1">
      <c r="A1871">
        <v>16558908</v>
      </c>
      <c r="B1871" t="s">
        <v>1426</v>
      </c>
      <c r="C1871" t="s">
        <v>847</v>
      </c>
      <c r="D1871" t="s">
        <v>33</v>
      </c>
      <c r="E1871" t="s">
        <v>1439</v>
      </c>
      <c r="F1871" s="78">
        <v>0.29596064814814815</v>
      </c>
      <c r="G1871" t="s">
        <v>1405</v>
      </c>
      <c r="H1871" t="s">
        <v>1335</v>
      </c>
      <c r="I1871" s="88" t="str">
        <f>VLOOKUP(A1871,Base!A:B,2,0)</f>
        <v>16.558.908-4</v>
      </c>
      <c r="J1871" s="99" t="str">
        <f>VLOOKUP(A1871,Base!A:F,6,0)</f>
        <v>MARCELO ROJAS MUÑOZ</v>
      </c>
      <c r="K1871" s="89" t="str">
        <f>IFERROR(IF(VLOOKUP(I1871,Ingreso!K:P,6,0)=0,"Sin turtno ing",VLOOKUP(I1871,Ingreso!K:P,6,0)),IF(F1871&gt;0.25,IF(F1871&lt;0.311805555555556,"Turno A",IF(F1871&gt;0.3125,IF(F1871&lt;0.354166666666667,"Turno C",IF(F1871&gt;0.583333333333333,IF(F1871&lt;0.625,"Turno B",IF(F1871&gt;0.625694444444444,IF(F1871&lt;0.8125,"Turno A",IF(F1871&gt;0.875,IF(F1871&lt;0.936805555555556,"Turno C",IF(F1871&gt;0.9375,IF(F1871&lt;0.979166666666667,"Turno B",""),"")),"")),"")),"")),"")),""))</f>
        <v>Turno A</v>
      </c>
      <c r="L1871" s="91">
        <f t="shared" si="29"/>
        <v>0.3125</v>
      </c>
    </row>
    <row r="1872" spans="1:12" s="40" customFormat="1">
      <c r="A1872">
        <v>16649200</v>
      </c>
      <c r="B1872" t="s">
        <v>1182</v>
      </c>
      <c r="C1872" t="s">
        <v>25</v>
      </c>
      <c r="D1872" t="s">
        <v>700</v>
      </c>
      <c r="E1872" t="s">
        <v>1440</v>
      </c>
      <c r="F1872" s="78">
        <v>0.95011574074074068</v>
      </c>
      <c r="G1872" t="s">
        <v>1406</v>
      </c>
      <c r="H1872" t="s">
        <v>1336</v>
      </c>
      <c r="I1872" s="88" t="str">
        <f>VLOOKUP(A1872,Base!A:B,2,0)</f>
        <v>16.649.200-9</v>
      </c>
      <c r="J1872" s="99" t="str">
        <f>VLOOKUP(A1872,Base!A:F,6,0)</f>
        <v>VICTOR ALFONSO  MARTINEZ  RIVERA</v>
      </c>
      <c r="K1872" s="89" t="str">
        <f>IFERROR(IF(VLOOKUP(I1872,Ingreso!K:P,6,0)=0,"Sin turtno ing",VLOOKUP(I1872,Ingreso!K:P,6,0)),IF(F1872&gt;0.25,IF(F1872&lt;0.311805555555556,"Turno A",IF(F1872&gt;0.3125,IF(F1872&lt;0.354166666666667,"Turno C",IF(F1872&gt;0.583333333333333,IF(F1872&lt;0.625,"Turno B",IF(F1872&gt;0.625694444444444,IF(F1872&lt;0.8125,"Turno A",IF(F1872&gt;0.875,IF(F1872&lt;0.936805555555556,"Turno C",IF(F1872&gt;0.9375,IF(F1872&lt;0.979166666666667,"Turno B",""),"")),"")),"")),"")),"")),""))</f>
        <v>Turno A</v>
      </c>
      <c r="L1872" s="91">
        <f t="shared" si="29"/>
        <v>0.3125</v>
      </c>
    </row>
    <row r="1873" spans="1:12" s="40" customFormat="1">
      <c r="A1873">
        <v>16649200</v>
      </c>
      <c r="B1873" t="s">
        <v>1182</v>
      </c>
      <c r="C1873" t="s">
        <v>25</v>
      </c>
      <c r="D1873" t="s">
        <v>700</v>
      </c>
      <c r="E1873" t="s">
        <v>1440</v>
      </c>
      <c r="F1873" s="78">
        <v>0.51454861111111116</v>
      </c>
      <c r="G1873" t="s">
        <v>1405</v>
      </c>
      <c r="H1873" t="s">
        <v>1335</v>
      </c>
      <c r="I1873" s="88" t="str">
        <f>VLOOKUP(A1873,Base!A:B,2,0)</f>
        <v>16.649.200-9</v>
      </c>
      <c r="J1873" s="99" t="str">
        <f>VLOOKUP(A1873,Base!A:F,6,0)</f>
        <v>VICTOR ALFONSO  MARTINEZ  RIVERA</v>
      </c>
      <c r="K1873" s="89" t="str">
        <f>IFERROR(IF(VLOOKUP(I1873,Ingreso!K:P,6,0)=0,"Sin turtno ing",VLOOKUP(I1873,Ingreso!K:P,6,0)),IF(F1873&gt;0.25,IF(F1873&lt;0.311805555555556,"Turno A",IF(F1873&gt;0.3125,IF(F1873&lt;0.354166666666667,"Turno C",IF(F1873&gt;0.583333333333333,IF(F1873&lt;0.625,"Turno B",IF(F1873&gt;0.625694444444444,IF(F1873&lt;0.8125,"Turno A",IF(F1873&gt;0.875,IF(F1873&lt;0.936805555555556,"Turno C",IF(F1873&gt;0.9375,IF(F1873&lt;0.979166666666667,"Turno B",""),"")),"")),"")),"")),"")),""))</f>
        <v>Turno A</v>
      </c>
      <c r="L1873" s="91">
        <f t="shared" si="29"/>
        <v>0.3125</v>
      </c>
    </row>
    <row r="1874" spans="1:12" s="40" customFormat="1">
      <c r="A1874">
        <v>16649200</v>
      </c>
      <c r="B1874" t="s">
        <v>1182</v>
      </c>
      <c r="C1874" t="s">
        <v>25</v>
      </c>
      <c r="D1874" t="s">
        <v>700</v>
      </c>
      <c r="E1874" t="s">
        <v>1441</v>
      </c>
      <c r="F1874" s="78">
        <v>0.95026620370370374</v>
      </c>
      <c r="G1874" t="s">
        <v>1406</v>
      </c>
      <c r="H1874" t="s">
        <v>1336</v>
      </c>
      <c r="I1874" s="88" t="str">
        <f>VLOOKUP(A1874,Base!A:B,2,0)</f>
        <v>16.649.200-9</v>
      </c>
      <c r="J1874" s="99" t="str">
        <f>VLOOKUP(A1874,Base!A:F,6,0)</f>
        <v>VICTOR ALFONSO  MARTINEZ  RIVERA</v>
      </c>
      <c r="K1874" s="89" t="str">
        <f>IFERROR(IF(VLOOKUP(I1874,Ingreso!K:P,6,0)=0,"Sin turtno ing",VLOOKUP(I1874,Ingreso!K:P,6,0)),IF(F1874&gt;0.25,IF(F1874&lt;0.311805555555556,"Turno A",IF(F1874&gt;0.3125,IF(F1874&lt;0.354166666666667,"Turno C",IF(F1874&gt;0.583333333333333,IF(F1874&lt;0.625,"Turno B",IF(F1874&gt;0.625694444444444,IF(F1874&lt;0.8125,"Turno A",IF(F1874&gt;0.875,IF(F1874&lt;0.936805555555556,"Turno C",IF(F1874&gt;0.9375,IF(F1874&lt;0.979166666666667,"Turno B",""),"")),"")),"")),"")),"")),""))</f>
        <v>Turno A</v>
      </c>
      <c r="L1874" s="91">
        <f t="shared" si="29"/>
        <v>0.3125</v>
      </c>
    </row>
    <row r="1875" spans="1:12" s="40" customFormat="1">
      <c r="A1875">
        <v>16649200</v>
      </c>
      <c r="B1875" t="s">
        <v>1182</v>
      </c>
      <c r="C1875" t="s">
        <v>25</v>
      </c>
      <c r="D1875" t="s">
        <v>700</v>
      </c>
      <c r="E1875" t="s">
        <v>1441</v>
      </c>
      <c r="F1875" s="78">
        <v>0.52103009259259259</v>
      </c>
      <c r="G1875" t="s">
        <v>1405</v>
      </c>
      <c r="H1875" t="s">
        <v>1335</v>
      </c>
      <c r="I1875" s="88" t="str">
        <f>VLOOKUP(A1875,Base!A:B,2,0)</f>
        <v>16.649.200-9</v>
      </c>
      <c r="J1875" s="99" t="str">
        <f>VLOOKUP(A1875,Base!A:F,6,0)</f>
        <v>VICTOR ALFONSO  MARTINEZ  RIVERA</v>
      </c>
      <c r="K1875" s="89" t="str">
        <f>IFERROR(IF(VLOOKUP(I1875,Ingreso!K:P,6,0)=0,"Sin turtno ing",VLOOKUP(I1875,Ingreso!K:P,6,0)),IF(F1875&gt;0.25,IF(F1875&lt;0.311805555555556,"Turno A",IF(F1875&gt;0.3125,IF(F1875&lt;0.354166666666667,"Turno C",IF(F1875&gt;0.583333333333333,IF(F1875&lt;0.625,"Turno B",IF(F1875&gt;0.625694444444444,IF(F1875&lt;0.8125,"Turno A",IF(F1875&gt;0.875,IF(F1875&lt;0.936805555555556,"Turno C",IF(F1875&gt;0.9375,IF(F1875&lt;0.979166666666667,"Turno B",""),"")),"")),"")),"")),"")),""))</f>
        <v>Turno A</v>
      </c>
      <c r="L1875" s="91">
        <f t="shared" si="29"/>
        <v>0.3125</v>
      </c>
    </row>
    <row r="1876" spans="1:12" s="40" customFormat="1">
      <c r="A1876">
        <v>16649200</v>
      </c>
      <c r="B1876" t="s">
        <v>1182</v>
      </c>
      <c r="C1876" t="s">
        <v>25</v>
      </c>
      <c r="D1876" t="s">
        <v>700</v>
      </c>
      <c r="E1876" t="s">
        <v>1437</v>
      </c>
      <c r="F1876" s="78">
        <v>0.95038194444444446</v>
      </c>
      <c r="G1876" t="s">
        <v>1406</v>
      </c>
      <c r="H1876" t="s">
        <v>1336</v>
      </c>
      <c r="I1876" s="88" t="str">
        <f>VLOOKUP(A1876,Base!A:B,2,0)</f>
        <v>16.649.200-9</v>
      </c>
      <c r="J1876" s="99" t="str">
        <f>VLOOKUP(A1876,Base!A:F,6,0)</f>
        <v>VICTOR ALFONSO  MARTINEZ  RIVERA</v>
      </c>
      <c r="K1876" s="89" t="str">
        <f>IFERROR(IF(VLOOKUP(I1876,Ingreso!K:P,6,0)=0,"Sin turtno ing",VLOOKUP(I1876,Ingreso!K:P,6,0)),IF(F1876&gt;0.25,IF(F1876&lt;0.311805555555556,"Turno A",IF(F1876&gt;0.3125,IF(F1876&lt;0.354166666666667,"Turno C",IF(F1876&gt;0.583333333333333,IF(F1876&lt;0.625,"Turno B",IF(F1876&gt;0.625694444444444,IF(F1876&lt;0.8125,"Turno A",IF(F1876&gt;0.875,IF(F1876&lt;0.936805555555556,"Turno C",IF(F1876&gt;0.9375,IF(F1876&lt;0.979166666666667,"Turno B",""),"")),"")),"")),"")),"")),""))</f>
        <v>Turno A</v>
      </c>
      <c r="L1876" s="91">
        <f t="shared" si="29"/>
        <v>0.3125</v>
      </c>
    </row>
    <row r="1877" spans="1:12" s="40" customFormat="1">
      <c r="A1877">
        <v>16649200</v>
      </c>
      <c r="B1877" t="s">
        <v>1182</v>
      </c>
      <c r="C1877" t="s">
        <v>25</v>
      </c>
      <c r="D1877" t="s">
        <v>700</v>
      </c>
      <c r="E1877" t="s">
        <v>1437</v>
      </c>
      <c r="F1877" s="78">
        <v>0.52545138888888887</v>
      </c>
      <c r="G1877" t="s">
        <v>1405</v>
      </c>
      <c r="H1877" t="s">
        <v>1335</v>
      </c>
      <c r="I1877" s="88" t="str">
        <f>VLOOKUP(A1877,Base!A:B,2,0)</f>
        <v>16.649.200-9</v>
      </c>
      <c r="J1877" s="99" t="str">
        <f>VLOOKUP(A1877,Base!A:F,6,0)</f>
        <v>VICTOR ALFONSO  MARTINEZ  RIVERA</v>
      </c>
      <c r="K1877" s="89" t="str">
        <f>IFERROR(IF(VLOOKUP(I1877,Ingreso!K:P,6,0)=0,"Sin turtno ing",VLOOKUP(I1877,Ingreso!K:P,6,0)),IF(F1877&gt;0.25,IF(F1877&lt;0.311805555555556,"Turno A",IF(F1877&gt;0.3125,IF(F1877&lt;0.354166666666667,"Turno C",IF(F1877&gt;0.583333333333333,IF(F1877&lt;0.625,"Turno B",IF(F1877&gt;0.625694444444444,IF(F1877&lt;0.8125,"Turno A",IF(F1877&gt;0.875,IF(F1877&lt;0.936805555555556,"Turno C",IF(F1877&gt;0.9375,IF(F1877&lt;0.979166666666667,"Turno B",""),"")),"")),"")),"")),"")),""))</f>
        <v>Turno A</v>
      </c>
      <c r="L1877" s="91">
        <f t="shared" si="29"/>
        <v>0.3125</v>
      </c>
    </row>
    <row r="1878" spans="1:12" s="40" customFormat="1">
      <c r="A1878">
        <v>16649200</v>
      </c>
      <c r="B1878" t="s">
        <v>1182</v>
      </c>
      <c r="C1878" t="s">
        <v>25</v>
      </c>
      <c r="D1878" t="s">
        <v>700</v>
      </c>
      <c r="E1878" t="s">
        <v>1438</v>
      </c>
      <c r="F1878" s="78">
        <v>0.94885416666666667</v>
      </c>
      <c r="G1878" t="s">
        <v>1406</v>
      </c>
      <c r="H1878" t="s">
        <v>1336</v>
      </c>
      <c r="I1878" s="88" t="str">
        <f>VLOOKUP(A1878,Base!A:B,2,0)</f>
        <v>16.649.200-9</v>
      </c>
      <c r="J1878" s="99" t="str">
        <f>VLOOKUP(A1878,Base!A:F,6,0)</f>
        <v>VICTOR ALFONSO  MARTINEZ  RIVERA</v>
      </c>
      <c r="K1878" s="89" t="str">
        <f>IFERROR(IF(VLOOKUP(I1878,Ingreso!K:P,6,0)=0,"Sin turtno ing",VLOOKUP(I1878,Ingreso!K:P,6,0)),IF(F1878&gt;0.25,IF(F1878&lt;0.311805555555556,"Turno A",IF(F1878&gt;0.3125,IF(F1878&lt;0.354166666666667,"Turno C",IF(F1878&gt;0.583333333333333,IF(F1878&lt;0.625,"Turno B",IF(F1878&gt;0.625694444444444,IF(F1878&lt;0.8125,"Turno A",IF(F1878&gt;0.875,IF(F1878&lt;0.936805555555556,"Turno C",IF(F1878&gt;0.9375,IF(F1878&lt;0.979166666666667,"Turno B",""),"")),"")),"")),"")),"")),""))</f>
        <v>Turno A</v>
      </c>
      <c r="L1878" s="91">
        <f t="shared" si="29"/>
        <v>0.3125</v>
      </c>
    </row>
    <row r="1879" spans="1:12" s="40" customFormat="1">
      <c r="A1879">
        <v>16649200</v>
      </c>
      <c r="B1879" t="s">
        <v>1182</v>
      </c>
      <c r="C1879" t="s">
        <v>25</v>
      </c>
      <c r="D1879" t="s">
        <v>700</v>
      </c>
      <c r="E1879" t="s">
        <v>1438</v>
      </c>
      <c r="F1879" s="78">
        <v>0.49690972222222224</v>
      </c>
      <c r="G1879" t="s">
        <v>1405</v>
      </c>
      <c r="H1879" t="s">
        <v>1335</v>
      </c>
      <c r="I1879" s="88" t="str">
        <f>VLOOKUP(A1879,Base!A:B,2,0)</f>
        <v>16.649.200-9</v>
      </c>
      <c r="J1879" s="99" t="str">
        <f>VLOOKUP(A1879,Base!A:F,6,0)</f>
        <v>VICTOR ALFONSO  MARTINEZ  RIVERA</v>
      </c>
      <c r="K1879" s="89" t="str">
        <f>IFERROR(IF(VLOOKUP(I1879,Ingreso!K:P,6,0)=0,"Sin turtno ing",VLOOKUP(I1879,Ingreso!K:P,6,0)),IF(F1879&gt;0.25,IF(F1879&lt;0.311805555555556,"Turno A",IF(F1879&gt;0.3125,IF(F1879&lt;0.354166666666667,"Turno C",IF(F1879&gt;0.583333333333333,IF(F1879&lt;0.625,"Turno B",IF(F1879&gt;0.625694444444444,IF(F1879&lt;0.8125,"Turno A",IF(F1879&gt;0.875,IF(F1879&lt;0.936805555555556,"Turno C",IF(F1879&gt;0.9375,IF(F1879&lt;0.979166666666667,"Turno B",""),"")),"")),"")),"")),"")),""))</f>
        <v>Turno A</v>
      </c>
      <c r="L1879" s="91">
        <f t="shared" si="29"/>
        <v>0.3125</v>
      </c>
    </row>
    <row r="1880" spans="1:12" s="40" customFormat="1">
      <c r="A1880">
        <v>16649200</v>
      </c>
      <c r="B1880" t="s">
        <v>1182</v>
      </c>
      <c r="C1880" t="s">
        <v>25</v>
      </c>
      <c r="D1880" t="s">
        <v>700</v>
      </c>
      <c r="E1880" t="s">
        <v>1439</v>
      </c>
      <c r="F1880" s="78">
        <v>0.95217592592592604</v>
      </c>
      <c r="G1880" t="s">
        <v>1406</v>
      </c>
      <c r="H1880" t="s">
        <v>1336</v>
      </c>
      <c r="I1880" s="88" t="str">
        <f>VLOOKUP(A1880,Base!A:B,2,0)</f>
        <v>16.649.200-9</v>
      </c>
      <c r="J1880" s="99" t="str">
        <f>VLOOKUP(A1880,Base!A:F,6,0)</f>
        <v>VICTOR ALFONSO  MARTINEZ  RIVERA</v>
      </c>
      <c r="K1880" s="89" t="str">
        <f>IFERROR(IF(VLOOKUP(I1880,Ingreso!K:P,6,0)=0,"Sin turtno ing",VLOOKUP(I1880,Ingreso!K:P,6,0)),IF(F1880&gt;0.25,IF(F1880&lt;0.311805555555556,"Turno A",IF(F1880&gt;0.3125,IF(F1880&lt;0.354166666666667,"Turno C",IF(F1880&gt;0.583333333333333,IF(F1880&lt;0.625,"Turno B",IF(F1880&gt;0.625694444444444,IF(F1880&lt;0.8125,"Turno A",IF(F1880&gt;0.875,IF(F1880&lt;0.936805555555556,"Turno C",IF(F1880&gt;0.9375,IF(F1880&lt;0.979166666666667,"Turno B",""),"")),"")),"")),"")),"")),""))</f>
        <v>Turno A</v>
      </c>
      <c r="L1880" s="91">
        <f t="shared" si="29"/>
        <v>0.3125</v>
      </c>
    </row>
    <row r="1881" spans="1:12" s="40" customFormat="1">
      <c r="A1881">
        <v>16649200</v>
      </c>
      <c r="B1881" t="s">
        <v>1182</v>
      </c>
      <c r="C1881" t="s">
        <v>25</v>
      </c>
      <c r="D1881" t="s">
        <v>700</v>
      </c>
      <c r="E1881" t="s">
        <v>1439</v>
      </c>
      <c r="F1881" s="78">
        <v>0.50063657407407403</v>
      </c>
      <c r="G1881" t="s">
        <v>1405</v>
      </c>
      <c r="H1881" t="s">
        <v>1335</v>
      </c>
      <c r="I1881" s="88" t="str">
        <f>VLOOKUP(A1881,Base!A:B,2,0)</f>
        <v>16.649.200-9</v>
      </c>
      <c r="J1881" s="99" t="str">
        <f>VLOOKUP(A1881,Base!A:F,6,0)</f>
        <v>VICTOR ALFONSO  MARTINEZ  RIVERA</v>
      </c>
      <c r="K1881" s="89" t="str">
        <f>IFERROR(IF(VLOOKUP(I1881,Ingreso!K:P,6,0)=0,"Sin turtno ing",VLOOKUP(I1881,Ingreso!K:P,6,0)),IF(F1881&gt;0.25,IF(F1881&lt;0.311805555555556,"Turno A",IF(F1881&gt;0.3125,IF(F1881&lt;0.354166666666667,"Turno C",IF(F1881&gt;0.583333333333333,IF(F1881&lt;0.625,"Turno B",IF(F1881&gt;0.625694444444444,IF(F1881&lt;0.8125,"Turno A",IF(F1881&gt;0.875,IF(F1881&lt;0.936805555555556,"Turno C",IF(F1881&gt;0.9375,IF(F1881&lt;0.979166666666667,"Turno B",""),"")),"")),"")),"")),"")),""))</f>
        <v>Turno A</v>
      </c>
      <c r="L1881" s="91">
        <f t="shared" si="29"/>
        <v>0.3125</v>
      </c>
    </row>
    <row r="1882" spans="1:12" s="40" customFormat="1">
      <c r="A1882">
        <v>16691386</v>
      </c>
      <c r="B1882" t="s">
        <v>992</v>
      </c>
      <c r="C1882" t="s">
        <v>607</v>
      </c>
      <c r="D1882" t="s">
        <v>991</v>
      </c>
      <c r="E1882" t="s">
        <v>1440</v>
      </c>
      <c r="F1882" s="78">
        <v>0.9447916666666667</v>
      </c>
      <c r="G1882" t="s">
        <v>1406</v>
      </c>
      <c r="H1882" t="s">
        <v>1336</v>
      </c>
      <c r="I1882" s="88" t="str">
        <f>VLOOKUP(A1882,Base!A:B,2,0)</f>
        <v>16.691.386-1</v>
      </c>
      <c r="J1882" s="99" t="str">
        <f>VLOOKUP(A1882,Base!A:F,6,0)</f>
        <v>LORENZO ARTURO  SANDOVAL  ALTAMIRANO</v>
      </c>
      <c r="K1882" s="89" t="str">
        <f>IFERROR(IF(VLOOKUP(I1882,Ingreso!K:P,6,0)=0,"Sin turtno ing",VLOOKUP(I1882,Ingreso!K:P,6,0)),IF(F1882&gt;0.25,IF(F1882&lt;0.311805555555556,"Turno A",IF(F1882&gt;0.3125,IF(F1882&lt;0.354166666666667,"Turno C",IF(F1882&gt;0.583333333333333,IF(F1882&lt;0.625,"Turno B",IF(F1882&gt;0.625694444444444,IF(F1882&lt;0.8125,"Turno A",IF(F1882&gt;0.875,IF(F1882&lt;0.936805555555556,"Turno C",IF(F1882&gt;0.9375,IF(F1882&lt;0.979166666666667,"Turno B",""),"")),"")),"")),"")),"")),""))</f>
        <v>Turno B</v>
      </c>
      <c r="L1882" s="91">
        <f t="shared" si="29"/>
        <v>0.3125</v>
      </c>
    </row>
    <row r="1883" spans="1:12" s="40" customFormat="1">
      <c r="A1883">
        <v>16691386</v>
      </c>
      <c r="B1883" t="s">
        <v>992</v>
      </c>
      <c r="C1883" t="s">
        <v>607</v>
      </c>
      <c r="D1883" t="s">
        <v>991</v>
      </c>
      <c r="E1883" t="s">
        <v>1440</v>
      </c>
      <c r="F1883" s="78">
        <v>0.609375</v>
      </c>
      <c r="G1883" t="s">
        <v>1405</v>
      </c>
      <c r="H1883" t="s">
        <v>1335</v>
      </c>
      <c r="I1883" s="88" t="str">
        <f>VLOOKUP(A1883,Base!A:B,2,0)</f>
        <v>16.691.386-1</v>
      </c>
      <c r="J1883" s="99" t="str">
        <f>VLOOKUP(A1883,Base!A:F,6,0)</f>
        <v>LORENZO ARTURO  SANDOVAL  ALTAMIRANO</v>
      </c>
      <c r="K1883" s="89" t="str">
        <f>IFERROR(IF(VLOOKUP(I1883,Ingreso!K:P,6,0)=0,"Sin turtno ing",VLOOKUP(I1883,Ingreso!K:P,6,0)),IF(F1883&gt;0.25,IF(F1883&lt;0.311805555555556,"Turno A",IF(F1883&gt;0.3125,IF(F1883&lt;0.354166666666667,"Turno C",IF(F1883&gt;0.583333333333333,IF(F1883&lt;0.625,"Turno B",IF(F1883&gt;0.625694444444444,IF(F1883&lt;0.8125,"Turno A",IF(F1883&gt;0.875,IF(F1883&lt;0.936805555555556,"Turno C",IF(F1883&gt;0.9375,IF(F1883&lt;0.979166666666667,"Turno B",""),"")),"")),"")),"")),"")),""))</f>
        <v>Turno B</v>
      </c>
      <c r="L1883" s="91">
        <f t="shared" si="29"/>
        <v>0.3125</v>
      </c>
    </row>
    <row r="1884" spans="1:12" s="40" customFormat="1">
      <c r="A1884">
        <v>16691386</v>
      </c>
      <c r="B1884" t="s">
        <v>992</v>
      </c>
      <c r="C1884" t="s">
        <v>607</v>
      </c>
      <c r="D1884" t="s">
        <v>991</v>
      </c>
      <c r="E1884" t="s">
        <v>1441</v>
      </c>
      <c r="F1884" s="78">
        <v>0.94498842592592591</v>
      </c>
      <c r="G1884" t="s">
        <v>1406</v>
      </c>
      <c r="H1884" t="s">
        <v>1336</v>
      </c>
      <c r="I1884" s="88" t="str">
        <f>VLOOKUP(A1884,Base!A:B,2,0)</f>
        <v>16.691.386-1</v>
      </c>
      <c r="J1884" s="99" t="str">
        <f>VLOOKUP(A1884,Base!A:F,6,0)</f>
        <v>LORENZO ARTURO  SANDOVAL  ALTAMIRANO</v>
      </c>
      <c r="K1884" s="89" t="str">
        <f>IFERROR(IF(VLOOKUP(I1884,Ingreso!K:P,6,0)=0,"Sin turtno ing",VLOOKUP(I1884,Ingreso!K:P,6,0)),IF(F1884&gt;0.25,IF(F1884&lt;0.311805555555556,"Turno A",IF(F1884&gt;0.3125,IF(F1884&lt;0.354166666666667,"Turno C",IF(F1884&gt;0.583333333333333,IF(F1884&lt;0.625,"Turno B",IF(F1884&gt;0.625694444444444,IF(F1884&lt;0.8125,"Turno A",IF(F1884&gt;0.875,IF(F1884&lt;0.936805555555556,"Turno C",IF(F1884&gt;0.9375,IF(F1884&lt;0.979166666666667,"Turno B",""),"")),"")),"")),"")),"")),""))</f>
        <v>Turno B</v>
      </c>
      <c r="L1884" s="91">
        <f t="shared" si="29"/>
        <v>0.3125</v>
      </c>
    </row>
    <row r="1885" spans="1:12" s="40" customFormat="1">
      <c r="A1885">
        <v>16691386</v>
      </c>
      <c r="B1885" t="s">
        <v>992</v>
      </c>
      <c r="C1885" t="s">
        <v>607</v>
      </c>
      <c r="D1885" t="s">
        <v>991</v>
      </c>
      <c r="E1885" t="s">
        <v>1441</v>
      </c>
      <c r="F1885" s="78">
        <v>0.6095370370370371</v>
      </c>
      <c r="G1885" t="s">
        <v>1405</v>
      </c>
      <c r="H1885" t="s">
        <v>1335</v>
      </c>
      <c r="I1885" s="88" t="str">
        <f>VLOOKUP(A1885,Base!A:B,2,0)</f>
        <v>16.691.386-1</v>
      </c>
      <c r="J1885" s="99" t="str">
        <f>VLOOKUP(A1885,Base!A:F,6,0)</f>
        <v>LORENZO ARTURO  SANDOVAL  ALTAMIRANO</v>
      </c>
      <c r="K1885" s="89" t="str">
        <f>IFERROR(IF(VLOOKUP(I1885,Ingreso!K:P,6,0)=0,"Sin turtno ing",VLOOKUP(I1885,Ingreso!K:P,6,0)),IF(F1885&gt;0.25,IF(F1885&lt;0.311805555555556,"Turno A",IF(F1885&gt;0.3125,IF(F1885&lt;0.354166666666667,"Turno C",IF(F1885&gt;0.583333333333333,IF(F1885&lt;0.625,"Turno B",IF(F1885&gt;0.625694444444444,IF(F1885&lt;0.8125,"Turno A",IF(F1885&gt;0.875,IF(F1885&lt;0.936805555555556,"Turno C",IF(F1885&gt;0.9375,IF(F1885&lt;0.979166666666667,"Turno B",""),"")),"")),"")),"")),"")),""))</f>
        <v>Turno B</v>
      </c>
      <c r="L1885" s="91">
        <f t="shared" si="29"/>
        <v>0.3125</v>
      </c>
    </row>
    <row r="1886" spans="1:12" s="40" customFormat="1">
      <c r="A1886">
        <v>16691386</v>
      </c>
      <c r="B1886" t="s">
        <v>992</v>
      </c>
      <c r="C1886" t="s">
        <v>607</v>
      </c>
      <c r="D1886" t="s">
        <v>991</v>
      </c>
      <c r="E1886" t="s">
        <v>1437</v>
      </c>
      <c r="F1886" s="78">
        <v>0.94327546296296294</v>
      </c>
      <c r="G1886" t="s">
        <v>1406</v>
      </c>
      <c r="H1886" t="s">
        <v>1336</v>
      </c>
      <c r="I1886" s="88" t="str">
        <f>VLOOKUP(A1886,Base!A:B,2,0)</f>
        <v>16.691.386-1</v>
      </c>
      <c r="J1886" s="99" t="str">
        <f>VLOOKUP(A1886,Base!A:F,6,0)</f>
        <v>LORENZO ARTURO  SANDOVAL  ALTAMIRANO</v>
      </c>
      <c r="K1886" s="89" t="str">
        <f>IFERROR(IF(VLOOKUP(I1886,Ingreso!K:P,6,0)=0,"Sin turtno ing",VLOOKUP(I1886,Ingreso!K:P,6,0)),IF(F1886&gt;0.25,IF(F1886&lt;0.311805555555556,"Turno A",IF(F1886&gt;0.3125,IF(F1886&lt;0.354166666666667,"Turno C",IF(F1886&gt;0.583333333333333,IF(F1886&lt;0.625,"Turno B",IF(F1886&gt;0.625694444444444,IF(F1886&lt;0.8125,"Turno A",IF(F1886&gt;0.875,IF(F1886&lt;0.936805555555556,"Turno C",IF(F1886&gt;0.9375,IF(F1886&lt;0.979166666666667,"Turno B",""),"")),"")),"")),"")),"")),""))</f>
        <v>Turno B</v>
      </c>
      <c r="L1886" s="91">
        <f t="shared" si="29"/>
        <v>0.3125</v>
      </c>
    </row>
    <row r="1887" spans="1:12" s="40" customFormat="1">
      <c r="A1887">
        <v>16691386</v>
      </c>
      <c r="B1887" t="s">
        <v>992</v>
      </c>
      <c r="C1887" t="s">
        <v>607</v>
      </c>
      <c r="D1887" t="s">
        <v>991</v>
      </c>
      <c r="E1887" t="s">
        <v>1437</v>
      </c>
      <c r="F1887" s="78">
        <v>0.60715277777777776</v>
      </c>
      <c r="G1887" t="s">
        <v>1405</v>
      </c>
      <c r="H1887" t="s">
        <v>1335</v>
      </c>
      <c r="I1887" s="88" t="str">
        <f>VLOOKUP(A1887,Base!A:B,2,0)</f>
        <v>16.691.386-1</v>
      </c>
      <c r="J1887" s="99" t="str">
        <f>VLOOKUP(A1887,Base!A:F,6,0)</f>
        <v>LORENZO ARTURO  SANDOVAL  ALTAMIRANO</v>
      </c>
      <c r="K1887" s="89" t="str">
        <f>IFERROR(IF(VLOOKUP(I1887,Ingreso!K:P,6,0)=0,"Sin turtno ing",VLOOKUP(I1887,Ingreso!K:P,6,0)),IF(F1887&gt;0.25,IF(F1887&lt;0.311805555555556,"Turno A",IF(F1887&gt;0.3125,IF(F1887&lt;0.354166666666667,"Turno C",IF(F1887&gt;0.583333333333333,IF(F1887&lt;0.625,"Turno B",IF(F1887&gt;0.625694444444444,IF(F1887&lt;0.8125,"Turno A",IF(F1887&gt;0.875,IF(F1887&lt;0.936805555555556,"Turno C",IF(F1887&gt;0.9375,IF(F1887&lt;0.979166666666667,"Turno B",""),"")),"")),"")),"")),"")),""))</f>
        <v>Turno B</v>
      </c>
      <c r="L1887" s="91">
        <f t="shared" si="29"/>
        <v>0.3125</v>
      </c>
    </row>
    <row r="1888" spans="1:12" s="40" customFormat="1">
      <c r="A1888">
        <v>16691386</v>
      </c>
      <c r="B1888" t="s">
        <v>992</v>
      </c>
      <c r="C1888" t="s">
        <v>607</v>
      </c>
      <c r="D1888" t="s">
        <v>991</v>
      </c>
      <c r="E1888" t="s">
        <v>1438</v>
      </c>
      <c r="F1888" s="78">
        <v>0.94361111111111118</v>
      </c>
      <c r="G1888" t="s">
        <v>1406</v>
      </c>
      <c r="H1888" t="s">
        <v>1336</v>
      </c>
      <c r="I1888" s="88" t="str">
        <f>VLOOKUP(A1888,Base!A:B,2,0)</f>
        <v>16.691.386-1</v>
      </c>
      <c r="J1888" s="99" t="str">
        <f>VLOOKUP(A1888,Base!A:F,6,0)</f>
        <v>LORENZO ARTURO  SANDOVAL  ALTAMIRANO</v>
      </c>
      <c r="K1888" s="89" t="str">
        <f>IFERROR(IF(VLOOKUP(I1888,Ingreso!K:P,6,0)=0,"Sin turtno ing",VLOOKUP(I1888,Ingreso!K:P,6,0)),IF(F1888&gt;0.25,IF(F1888&lt;0.311805555555556,"Turno A",IF(F1888&gt;0.3125,IF(F1888&lt;0.354166666666667,"Turno C",IF(F1888&gt;0.583333333333333,IF(F1888&lt;0.625,"Turno B",IF(F1888&gt;0.625694444444444,IF(F1888&lt;0.8125,"Turno A",IF(F1888&gt;0.875,IF(F1888&lt;0.936805555555556,"Turno C",IF(F1888&gt;0.9375,IF(F1888&lt;0.979166666666667,"Turno B",""),"")),"")),"")),"")),"")),""))</f>
        <v>Turno B</v>
      </c>
      <c r="L1888" s="91">
        <f t="shared" si="29"/>
        <v>0.3125</v>
      </c>
    </row>
    <row r="1889" spans="1:12" s="40" customFormat="1">
      <c r="A1889">
        <v>16691386</v>
      </c>
      <c r="B1889" t="s">
        <v>992</v>
      </c>
      <c r="C1889" t="s">
        <v>607</v>
      </c>
      <c r="D1889" t="s">
        <v>991</v>
      </c>
      <c r="E1889" t="s">
        <v>1438</v>
      </c>
      <c r="F1889" s="78">
        <v>0.60976851851851854</v>
      </c>
      <c r="G1889" t="s">
        <v>1405</v>
      </c>
      <c r="H1889" t="s">
        <v>1335</v>
      </c>
      <c r="I1889" s="88" t="str">
        <f>VLOOKUP(A1889,Base!A:B,2,0)</f>
        <v>16.691.386-1</v>
      </c>
      <c r="J1889" s="99" t="str">
        <f>VLOOKUP(A1889,Base!A:F,6,0)</f>
        <v>LORENZO ARTURO  SANDOVAL  ALTAMIRANO</v>
      </c>
      <c r="K1889" s="89" t="str">
        <f>IFERROR(IF(VLOOKUP(I1889,Ingreso!K:P,6,0)=0,"Sin turtno ing",VLOOKUP(I1889,Ingreso!K:P,6,0)),IF(F1889&gt;0.25,IF(F1889&lt;0.311805555555556,"Turno A",IF(F1889&gt;0.3125,IF(F1889&lt;0.354166666666667,"Turno C",IF(F1889&gt;0.583333333333333,IF(F1889&lt;0.625,"Turno B",IF(F1889&gt;0.625694444444444,IF(F1889&lt;0.8125,"Turno A",IF(F1889&gt;0.875,IF(F1889&lt;0.936805555555556,"Turno C",IF(F1889&gt;0.9375,IF(F1889&lt;0.979166666666667,"Turno B",""),"")),"")),"")),"")),"")),""))</f>
        <v>Turno B</v>
      </c>
      <c r="L1889" s="91">
        <f t="shared" si="29"/>
        <v>0.3125</v>
      </c>
    </row>
    <row r="1890" spans="1:12" s="40" customFormat="1">
      <c r="A1890">
        <v>16691386</v>
      </c>
      <c r="B1890" t="s">
        <v>992</v>
      </c>
      <c r="C1890" t="s">
        <v>607</v>
      </c>
      <c r="D1890" t="s">
        <v>991</v>
      </c>
      <c r="E1890" t="s">
        <v>1439</v>
      </c>
      <c r="F1890" s="78">
        <v>0.9446296296296296</v>
      </c>
      <c r="G1890" t="s">
        <v>1406</v>
      </c>
      <c r="H1890" t="s">
        <v>1336</v>
      </c>
      <c r="I1890" s="88" t="str">
        <f>VLOOKUP(A1890,Base!A:B,2,0)</f>
        <v>16.691.386-1</v>
      </c>
      <c r="J1890" s="99" t="str">
        <f>VLOOKUP(A1890,Base!A:F,6,0)</f>
        <v>LORENZO ARTURO  SANDOVAL  ALTAMIRANO</v>
      </c>
      <c r="K1890" s="89" t="str">
        <f>IFERROR(IF(VLOOKUP(I1890,Ingreso!K:P,6,0)=0,"Sin turtno ing",VLOOKUP(I1890,Ingreso!K:P,6,0)),IF(F1890&gt;0.25,IF(F1890&lt;0.311805555555556,"Turno A",IF(F1890&gt;0.3125,IF(F1890&lt;0.354166666666667,"Turno C",IF(F1890&gt;0.583333333333333,IF(F1890&lt;0.625,"Turno B",IF(F1890&gt;0.625694444444444,IF(F1890&lt;0.8125,"Turno A",IF(F1890&gt;0.875,IF(F1890&lt;0.936805555555556,"Turno C",IF(F1890&gt;0.9375,IF(F1890&lt;0.979166666666667,"Turno B",""),"")),"")),"")),"")),"")),""))</f>
        <v>Turno B</v>
      </c>
      <c r="L1890" s="91">
        <f t="shared" si="29"/>
        <v>0.3125</v>
      </c>
    </row>
    <row r="1891" spans="1:12" s="40" customFormat="1">
      <c r="A1891">
        <v>16691386</v>
      </c>
      <c r="B1891" t="s">
        <v>992</v>
      </c>
      <c r="C1891" t="s">
        <v>607</v>
      </c>
      <c r="D1891" t="s">
        <v>991</v>
      </c>
      <c r="E1891" t="s">
        <v>1439</v>
      </c>
      <c r="F1891" s="78">
        <v>0.60865740740740748</v>
      </c>
      <c r="G1891" t="s">
        <v>1405</v>
      </c>
      <c r="H1891" t="s">
        <v>1335</v>
      </c>
      <c r="I1891" s="88" t="str">
        <f>VLOOKUP(A1891,Base!A:B,2,0)</f>
        <v>16.691.386-1</v>
      </c>
      <c r="J1891" s="99" t="str">
        <f>VLOOKUP(A1891,Base!A:F,6,0)</f>
        <v>LORENZO ARTURO  SANDOVAL  ALTAMIRANO</v>
      </c>
      <c r="K1891" s="89" t="str">
        <f>IFERROR(IF(VLOOKUP(I1891,Ingreso!K:P,6,0)=0,"Sin turtno ing",VLOOKUP(I1891,Ingreso!K:P,6,0)),IF(F1891&gt;0.25,IF(F1891&lt;0.311805555555556,"Turno A",IF(F1891&gt;0.3125,IF(F1891&lt;0.354166666666667,"Turno C",IF(F1891&gt;0.583333333333333,IF(F1891&lt;0.625,"Turno B",IF(F1891&gt;0.625694444444444,IF(F1891&lt;0.8125,"Turno A",IF(F1891&gt;0.875,IF(F1891&lt;0.936805555555556,"Turno C",IF(F1891&gt;0.9375,IF(F1891&lt;0.979166666666667,"Turno B",""),"")),"")),"")),"")),"")),""))</f>
        <v>Turno B</v>
      </c>
      <c r="L1891" s="91">
        <f t="shared" si="29"/>
        <v>0.3125</v>
      </c>
    </row>
    <row r="1892" spans="1:12" s="40" customFormat="1">
      <c r="A1892">
        <v>16695463</v>
      </c>
      <c r="B1892" t="s">
        <v>227</v>
      </c>
      <c r="C1892" t="s">
        <v>225</v>
      </c>
      <c r="D1892" t="s">
        <v>226</v>
      </c>
      <c r="E1892" t="s">
        <v>1440</v>
      </c>
      <c r="F1892" s="78">
        <v>0.94238425925925917</v>
      </c>
      <c r="G1892" t="s">
        <v>1406</v>
      </c>
      <c r="H1892" t="s">
        <v>1336</v>
      </c>
      <c r="I1892" s="88" t="str">
        <f>VLOOKUP(A1892,Base!A:B,2,0)</f>
        <v>16.695.463-0</v>
      </c>
      <c r="J1892" s="99" t="str">
        <f>VLOOKUP(A1892,Base!A:F,6,0)</f>
        <v>CAMILO ALEXANDER  CARVAJAL  APPELGREN</v>
      </c>
      <c r="K1892" s="89" t="str">
        <f>IFERROR(IF(VLOOKUP(I1892,Ingreso!K:P,6,0)=0,"Sin turtno ing",VLOOKUP(I1892,Ingreso!K:P,6,0)),IF(F1892&gt;0.25,IF(F1892&lt;0.311805555555556,"Turno A",IF(F1892&gt;0.3125,IF(F1892&lt;0.354166666666667,"Turno C",IF(F1892&gt;0.583333333333333,IF(F1892&lt;0.625,"Turno B",IF(F1892&gt;0.625694444444444,IF(F1892&lt;0.8125,"Turno A",IF(F1892&gt;0.875,IF(F1892&lt;0.936805555555556,"Turno C",IF(F1892&gt;0.9375,IF(F1892&lt;0.979166666666667,"Turno B",""),"")),"")),"")),"")),"")),""))</f>
        <v>Turno B</v>
      </c>
      <c r="L1892" s="91">
        <f t="shared" si="29"/>
        <v>0.3125</v>
      </c>
    </row>
    <row r="1893" spans="1:12" s="40" customFormat="1">
      <c r="A1893">
        <v>16695463</v>
      </c>
      <c r="B1893" t="s">
        <v>227</v>
      </c>
      <c r="C1893" t="s">
        <v>225</v>
      </c>
      <c r="D1893" t="s">
        <v>226</v>
      </c>
      <c r="E1893" t="s">
        <v>1440</v>
      </c>
      <c r="F1893" s="78">
        <v>0.62217592592592597</v>
      </c>
      <c r="G1893" t="s">
        <v>1405</v>
      </c>
      <c r="H1893" t="s">
        <v>1335</v>
      </c>
      <c r="I1893" s="88" t="str">
        <f>VLOOKUP(A1893,Base!A:B,2,0)</f>
        <v>16.695.463-0</v>
      </c>
      <c r="J1893" s="99" t="str">
        <f>VLOOKUP(A1893,Base!A:F,6,0)</f>
        <v>CAMILO ALEXANDER  CARVAJAL  APPELGREN</v>
      </c>
      <c r="K1893" s="89" t="str">
        <f>IFERROR(IF(VLOOKUP(I1893,Ingreso!K:P,6,0)=0,"Sin turtno ing",VLOOKUP(I1893,Ingreso!K:P,6,0)),IF(F1893&gt;0.25,IF(F1893&lt;0.311805555555556,"Turno A",IF(F1893&gt;0.3125,IF(F1893&lt;0.354166666666667,"Turno C",IF(F1893&gt;0.583333333333333,IF(F1893&lt;0.625,"Turno B",IF(F1893&gt;0.625694444444444,IF(F1893&lt;0.8125,"Turno A",IF(F1893&gt;0.875,IF(F1893&lt;0.936805555555556,"Turno C",IF(F1893&gt;0.9375,IF(F1893&lt;0.979166666666667,"Turno B",""),"")),"")),"")),"")),"")),""))</f>
        <v>Turno B</v>
      </c>
      <c r="L1893" s="91">
        <f t="shared" si="29"/>
        <v>0.3125</v>
      </c>
    </row>
    <row r="1894" spans="1:12" s="40" customFormat="1">
      <c r="A1894">
        <v>16695463</v>
      </c>
      <c r="B1894" t="s">
        <v>227</v>
      </c>
      <c r="C1894" t="s">
        <v>225</v>
      </c>
      <c r="D1894" t="s">
        <v>226</v>
      </c>
      <c r="E1894" t="s">
        <v>1441</v>
      </c>
      <c r="F1894" s="78">
        <v>0.95937499999999998</v>
      </c>
      <c r="G1894" t="s">
        <v>1406</v>
      </c>
      <c r="H1894" t="s">
        <v>1336</v>
      </c>
      <c r="I1894" s="88" t="str">
        <f>VLOOKUP(A1894,Base!A:B,2,0)</f>
        <v>16.695.463-0</v>
      </c>
      <c r="J1894" s="99" t="str">
        <f>VLOOKUP(A1894,Base!A:F,6,0)</f>
        <v>CAMILO ALEXANDER  CARVAJAL  APPELGREN</v>
      </c>
      <c r="K1894" s="89" t="str">
        <f>IFERROR(IF(VLOOKUP(I1894,Ingreso!K:P,6,0)=0,"Sin turtno ing",VLOOKUP(I1894,Ingreso!K:P,6,0)),IF(F1894&gt;0.25,IF(F1894&lt;0.311805555555556,"Turno A",IF(F1894&gt;0.3125,IF(F1894&lt;0.354166666666667,"Turno C",IF(F1894&gt;0.583333333333333,IF(F1894&lt;0.625,"Turno B",IF(F1894&gt;0.625694444444444,IF(F1894&lt;0.8125,"Turno A",IF(F1894&gt;0.875,IF(F1894&lt;0.936805555555556,"Turno C",IF(F1894&gt;0.9375,IF(F1894&lt;0.979166666666667,"Turno B",""),"")),"")),"")),"")),"")),""))</f>
        <v>Turno B</v>
      </c>
      <c r="L1894" s="91">
        <f t="shared" si="29"/>
        <v>0.3125</v>
      </c>
    </row>
    <row r="1895" spans="1:12" s="40" customFormat="1">
      <c r="A1895">
        <v>16695463</v>
      </c>
      <c r="B1895" t="s">
        <v>227</v>
      </c>
      <c r="C1895" t="s">
        <v>225</v>
      </c>
      <c r="D1895" t="s">
        <v>226</v>
      </c>
      <c r="E1895" t="s">
        <v>1441</v>
      </c>
      <c r="F1895" s="78">
        <v>0.62043981481481481</v>
      </c>
      <c r="G1895" t="s">
        <v>1405</v>
      </c>
      <c r="H1895" t="s">
        <v>1335</v>
      </c>
      <c r="I1895" s="88" t="str">
        <f>VLOOKUP(A1895,Base!A:B,2,0)</f>
        <v>16.695.463-0</v>
      </c>
      <c r="J1895" s="99" t="str">
        <f>VLOOKUP(A1895,Base!A:F,6,0)</f>
        <v>CAMILO ALEXANDER  CARVAJAL  APPELGREN</v>
      </c>
      <c r="K1895" s="89" t="str">
        <f>IFERROR(IF(VLOOKUP(I1895,Ingreso!K:P,6,0)=0,"Sin turtno ing",VLOOKUP(I1895,Ingreso!K:P,6,0)),IF(F1895&gt;0.25,IF(F1895&lt;0.311805555555556,"Turno A",IF(F1895&gt;0.3125,IF(F1895&lt;0.354166666666667,"Turno C",IF(F1895&gt;0.583333333333333,IF(F1895&lt;0.625,"Turno B",IF(F1895&gt;0.625694444444444,IF(F1895&lt;0.8125,"Turno A",IF(F1895&gt;0.875,IF(F1895&lt;0.936805555555556,"Turno C",IF(F1895&gt;0.9375,IF(F1895&lt;0.979166666666667,"Turno B",""),"")),"")),"")),"")),"")),""))</f>
        <v>Turno B</v>
      </c>
      <c r="L1895" s="91">
        <f t="shared" si="29"/>
        <v>0.3125</v>
      </c>
    </row>
    <row r="1896" spans="1:12" s="40" customFormat="1">
      <c r="A1896">
        <v>16695463</v>
      </c>
      <c r="B1896" t="s">
        <v>227</v>
      </c>
      <c r="C1896" t="s">
        <v>225</v>
      </c>
      <c r="D1896" t="s">
        <v>226</v>
      </c>
      <c r="E1896" t="s">
        <v>1437</v>
      </c>
      <c r="F1896" s="78">
        <v>0.94662037037037028</v>
      </c>
      <c r="G1896" t="s">
        <v>1406</v>
      </c>
      <c r="H1896" t="s">
        <v>1336</v>
      </c>
      <c r="I1896" s="88" t="str">
        <f>VLOOKUP(A1896,Base!A:B,2,0)</f>
        <v>16.695.463-0</v>
      </c>
      <c r="J1896" s="99" t="str">
        <f>VLOOKUP(A1896,Base!A:F,6,0)</f>
        <v>CAMILO ALEXANDER  CARVAJAL  APPELGREN</v>
      </c>
      <c r="K1896" s="89" t="str">
        <f>IFERROR(IF(VLOOKUP(I1896,Ingreso!K:P,6,0)=0,"Sin turtno ing",VLOOKUP(I1896,Ingreso!K:P,6,0)),IF(F1896&gt;0.25,IF(F1896&lt;0.311805555555556,"Turno A",IF(F1896&gt;0.3125,IF(F1896&lt;0.354166666666667,"Turno C",IF(F1896&gt;0.583333333333333,IF(F1896&lt;0.625,"Turno B",IF(F1896&gt;0.625694444444444,IF(F1896&lt;0.8125,"Turno A",IF(F1896&gt;0.875,IF(F1896&lt;0.936805555555556,"Turno C",IF(F1896&gt;0.9375,IF(F1896&lt;0.979166666666667,"Turno B",""),"")),"")),"")),"")),"")),""))</f>
        <v>Turno B</v>
      </c>
      <c r="L1896" s="91">
        <f t="shared" si="29"/>
        <v>0.3125</v>
      </c>
    </row>
    <row r="1897" spans="1:12" s="40" customFormat="1">
      <c r="A1897">
        <v>16695463</v>
      </c>
      <c r="B1897" t="s">
        <v>227</v>
      </c>
      <c r="C1897" t="s">
        <v>225</v>
      </c>
      <c r="D1897" t="s">
        <v>226</v>
      </c>
      <c r="E1897" t="s">
        <v>1437</v>
      </c>
      <c r="F1897" s="78">
        <v>0.62069444444444444</v>
      </c>
      <c r="G1897" t="s">
        <v>1405</v>
      </c>
      <c r="H1897" t="s">
        <v>1335</v>
      </c>
      <c r="I1897" s="88" t="str">
        <f>VLOOKUP(A1897,Base!A:B,2,0)</f>
        <v>16.695.463-0</v>
      </c>
      <c r="J1897" s="99" t="str">
        <f>VLOOKUP(A1897,Base!A:F,6,0)</f>
        <v>CAMILO ALEXANDER  CARVAJAL  APPELGREN</v>
      </c>
      <c r="K1897" s="89" t="str">
        <f>IFERROR(IF(VLOOKUP(I1897,Ingreso!K:P,6,0)=0,"Sin turtno ing",VLOOKUP(I1897,Ingreso!K:P,6,0)),IF(F1897&gt;0.25,IF(F1897&lt;0.311805555555556,"Turno A",IF(F1897&gt;0.3125,IF(F1897&lt;0.354166666666667,"Turno C",IF(F1897&gt;0.583333333333333,IF(F1897&lt;0.625,"Turno B",IF(F1897&gt;0.625694444444444,IF(F1897&lt;0.8125,"Turno A",IF(F1897&gt;0.875,IF(F1897&lt;0.936805555555556,"Turno C",IF(F1897&gt;0.9375,IF(F1897&lt;0.979166666666667,"Turno B",""),"")),"")),"")),"")),"")),""))</f>
        <v>Turno B</v>
      </c>
      <c r="L1897" s="91">
        <f t="shared" si="29"/>
        <v>0.3125</v>
      </c>
    </row>
    <row r="1898" spans="1:12" s="40" customFormat="1">
      <c r="A1898">
        <v>16695463</v>
      </c>
      <c r="B1898" t="s">
        <v>227</v>
      </c>
      <c r="C1898" t="s">
        <v>225</v>
      </c>
      <c r="D1898" t="s">
        <v>226</v>
      </c>
      <c r="E1898" t="s">
        <v>1438</v>
      </c>
      <c r="F1898" s="78">
        <v>0.9412152777777778</v>
      </c>
      <c r="G1898" t="s">
        <v>1406</v>
      </c>
      <c r="H1898" t="s">
        <v>1336</v>
      </c>
      <c r="I1898" s="88" t="str">
        <f>VLOOKUP(A1898,Base!A:B,2,0)</f>
        <v>16.695.463-0</v>
      </c>
      <c r="J1898" s="99" t="str">
        <f>VLOOKUP(A1898,Base!A:F,6,0)</f>
        <v>CAMILO ALEXANDER  CARVAJAL  APPELGREN</v>
      </c>
      <c r="K1898" s="89" t="str">
        <f>IFERROR(IF(VLOOKUP(I1898,Ingreso!K:P,6,0)=0,"Sin turtno ing",VLOOKUP(I1898,Ingreso!K:P,6,0)),IF(F1898&gt;0.25,IF(F1898&lt;0.311805555555556,"Turno A",IF(F1898&gt;0.3125,IF(F1898&lt;0.354166666666667,"Turno C",IF(F1898&gt;0.583333333333333,IF(F1898&lt;0.625,"Turno B",IF(F1898&gt;0.625694444444444,IF(F1898&lt;0.8125,"Turno A",IF(F1898&gt;0.875,IF(F1898&lt;0.936805555555556,"Turno C",IF(F1898&gt;0.9375,IF(F1898&lt;0.979166666666667,"Turno B",""),"")),"")),"")),"")),"")),""))</f>
        <v>Turno B</v>
      </c>
      <c r="L1898" s="91">
        <f t="shared" si="29"/>
        <v>0.3125</v>
      </c>
    </row>
    <row r="1899" spans="1:12" s="40" customFormat="1">
      <c r="A1899">
        <v>16695463</v>
      </c>
      <c r="B1899" t="s">
        <v>227</v>
      </c>
      <c r="C1899" t="s">
        <v>225</v>
      </c>
      <c r="D1899" t="s">
        <v>226</v>
      </c>
      <c r="E1899" t="s">
        <v>1438</v>
      </c>
      <c r="F1899" s="78">
        <v>0.61754629629629632</v>
      </c>
      <c r="G1899" t="s">
        <v>1405</v>
      </c>
      <c r="H1899" t="s">
        <v>1335</v>
      </c>
      <c r="I1899" s="88" t="str">
        <f>VLOOKUP(A1899,Base!A:B,2,0)</f>
        <v>16.695.463-0</v>
      </c>
      <c r="J1899" s="99" t="str">
        <f>VLOOKUP(A1899,Base!A:F,6,0)</f>
        <v>CAMILO ALEXANDER  CARVAJAL  APPELGREN</v>
      </c>
      <c r="K1899" s="89" t="str">
        <f>IFERROR(IF(VLOOKUP(I1899,Ingreso!K:P,6,0)=0,"Sin turtno ing",VLOOKUP(I1899,Ingreso!K:P,6,0)),IF(F1899&gt;0.25,IF(F1899&lt;0.311805555555556,"Turno A",IF(F1899&gt;0.3125,IF(F1899&lt;0.354166666666667,"Turno C",IF(F1899&gt;0.583333333333333,IF(F1899&lt;0.625,"Turno B",IF(F1899&gt;0.625694444444444,IF(F1899&lt;0.8125,"Turno A",IF(F1899&gt;0.875,IF(F1899&lt;0.936805555555556,"Turno C",IF(F1899&gt;0.9375,IF(F1899&lt;0.979166666666667,"Turno B",""),"")),"")),"")),"")),"")),""))</f>
        <v>Turno B</v>
      </c>
      <c r="L1899" s="91">
        <f t="shared" si="29"/>
        <v>0.3125</v>
      </c>
    </row>
    <row r="1900" spans="1:12" s="40" customFormat="1">
      <c r="A1900">
        <v>16695463</v>
      </c>
      <c r="B1900" t="s">
        <v>227</v>
      </c>
      <c r="C1900" t="s">
        <v>225</v>
      </c>
      <c r="D1900" t="s">
        <v>226</v>
      </c>
      <c r="E1900" t="s">
        <v>1439</v>
      </c>
      <c r="F1900" s="78">
        <v>0.94778935185185187</v>
      </c>
      <c r="G1900" t="s">
        <v>1406</v>
      </c>
      <c r="H1900" t="s">
        <v>1336</v>
      </c>
      <c r="I1900" s="88" t="str">
        <f>VLOOKUP(A1900,Base!A:B,2,0)</f>
        <v>16.695.463-0</v>
      </c>
      <c r="J1900" s="99" t="str">
        <f>VLOOKUP(A1900,Base!A:F,6,0)</f>
        <v>CAMILO ALEXANDER  CARVAJAL  APPELGREN</v>
      </c>
      <c r="K1900" s="89" t="str">
        <f>IFERROR(IF(VLOOKUP(I1900,Ingreso!K:P,6,0)=0,"Sin turtno ing",VLOOKUP(I1900,Ingreso!K:P,6,0)),IF(F1900&gt;0.25,IF(F1900&lt;0.311805555555556,"Turno A",IF(F1900&gt;0.3125,IF(F1900&lt;0.354166666666667,"Turno C",IF(F1900&gt;0.583333333333333,IF(F1900&lt;0.625,"Turno B",IF(F1900&gt;0.625694444444444,IF(F1900&lt;0.8125,"Turno A",IF(F1900&gt;0.875,IF(F1900&lt;0.936805555555556,"Turno C",IF(F1900&gt;0.9375,IF(F1900&lt;0.979166666666667,"Turno B",""),"")),"")),"")),"")),"")),""))</f>
        <v>Turno B</v>
      </c>
      <c r="L1900" s="91">
        <f t="shared" si="29"/>
        <v>0.3125</v>
      </c>
    </row>
    <row r="1901" spans="1:12" s="40" customFormat="1">
      <c r="A1901">
        <v>16695463</v>
      </c>
      <c r="B1901" t="s">
        <v>227</v>
      </c>
      <c r="C1901" t="s">
        <v>225</v>
      </c>
      <c r="D1901" t="s">
        <v>226</v>
      </c>
      <c r="E1901" t="s">
        <v>1439</v>
      </c>
      <c r="F1901" s="78">
        <v>0.6209027777777778</v>
      </c>
      <c r="G1901" t="s">
        <v>1405</v>
      </c>
      <c r="H1901" t="s">
        <v>1335</v>
      </c>
      <c r="I1901" s="88" t="str">
        <f>VLOOKUP(A1901,Base!A:B,2,0)</f>
        <v>16.695.463-0</v>
      </c>
      <c r="J1901" s="99" t="str">
        <f>VLOOKUP(A1901,Base!A:F,6,0)</f>
        <v>CAMILO ALEXANDER  CARVAJAL  APPELGREN</v>
      </c>
      <c r="K1901" s="89" t="str">
        <f>IFERROR(IF(VLOOKUP(I1901,Ingreso!K:P,6,0)=0,"Sin turtno ing",VLOOKUP(I1901,Ingreso!K:P,6,0)),IF(F1901&gt;0.25,IF(F1901&lt;0.311805555555556,"Turno A",IF(F1901&gt;0.3125,IF(F1901&lt;0.354166666666667,"Turno C",IF(F1901&gt;0.583333333333333,IF(F1901&lt;0.625,"Turno B",IF(F1901&gt;0.625694444444444,IF(F1901&lt;0.8125,"Turno A",IF(F1901&gt;0.875,IF(F1901&lt;0.936805555555556,"Turno C",IF(F1901&gt;0.9375,IF(F1901&lt;0.979166666666667,"Turno B",""),"")),"")),"")),"")),"")),""))</f>
        <v>Turno B</v>
      </c>
      <c r="L1901" s="91">
        <f t="shared" si="29"/>
        <v>0.3125</v>
      </c>
    </row>
    <row r="1902" spans="1:12" s="40" customFormat="1">
      <c r="A1902">
        <v>16697450</v>
      </c>
      <c r="B1902" t="s">
        <v>872</v>
      </c>
      <c r="C1902" t="s">
        <v>76</v>
      </c>
      <c r="D1902" t="s">
        <v>357</v>
      </c>
      <c r="E1902" t="s">
        <v>1440</v>
      </c>
      <c r="F1902" s="78">
        <v>0.65476851851851847</v>
      </c>
      <c r="G1902" t="s">
        <v>1406</v>
      </c>
      <c r="H1902" t="s">
        <v>1336</v>
      </c>
      <c r="I1902" s="88" t="str">
        <f>VLOOKUP(A1902,Base!A:B,2,0)</f>
        <v>16.697.450-K</v>
      </c>
      <c r="J1902" s="99" t="str">
        <f>VLOOKUP(A1902,Base!A:F,6,0)</f>
        <v>NATALIA BELEN  REYES  ESPINOZA</v>
      </c>
      <c r="K1902" s="89" t="str">
        <f>IFERROR(IF(VLOOKUP(I1902,Ingreso!K:P,6,0)=0,"Sin turtno ing",VLOOKUP(I1902,Ingreso!K:P,6,0)),IF(F1902&gt;0.25,IF(F1902&lt;0.311805555555556,"Turno A",IF(F1902&gt;0.3125,IF(F1902&lt;0.354166666666667,"Turno C",IF(F1902&gt;0.583333333333333,IF(F1902&lt;0.625,"Turno B",IF(F1902&gt;0.625694444444444,IF(F1902&lt;0.8125,"Turno A",IF(F1902&gt;0.875,IF(F1902&lt;0.936805555555556,"Turno C",IF(F1902&gt;0.9375,IF(F1902&lt;0.979166666666667,"Turno B",""),"")),"")),"")),"")),"")),""))</f>
        <v>Sin turtno ing</v>
      </c>
      <c r="L1902" s="91" t="e">
        <f t="shared" si="29"/>
        <v>#N/A</v>
      </c>
    </row>
    <row r="1903" spans="1:12" s="40" customFormat="1">
      <c r="A1903">
        <v>16697450</v>
      </c>
      <c r="B1903" t="s">
        <v>872</v>
      </c>
      <c r="C1903" t="s">
        <v>76</v>
      </c>
      <c r="D1903" t="s">
        <v>357</v>
      </c>
      <c r="E1903" t="s">
        <v>1440</v>
      </c>
      <c r="F1903" s="78">
        <v>0.30501157407407409</v>
      </c>
      <c r="G1903" t="s">
        <v>1405</v>
      </c>
      <c r="H1903" t="s">
        <v>1335</v>
      </c>
      <c r="I1903" s="88" t="str">
        <f>VLOOKUP(A1903,Base!A:B,2,0)</f>
        <v>16.697.450-K</v>
      </c>
      <c r="J1903" s="99" t="str">
        <f>VLOOKUP(A1903,Base!A:F,6,0)</f>
        <v>NATALIA BELEN  REYES  ESPINOZA</v>
      </c>
      <c r="K1903" s="89" t="str">
        <f>IFERROR(IF(VLOOKUP(I1903,Ingreso!K:P,6,0)=0,"Sin turtno ing",VLOOKUP(I1903,Ingreso!K:P,6,0)),IF(F1903&gt;0.25,IF(F1903&lt;0.311805555555556,"Turno A",IF(F1903&gt;0.3125,IF(F1903&lt;0.354166666666667,"Turno C",IF(F1903&gt;0.583333333333333,IF(F1903&lt;0.625,"Turno B",IF(F1903&gt;0.625694444444444,IF(F1903&lt;0.8125,"Turno A",IF(F1903&gt;0.875,IF(F1903&lt;0.936805555555556,"Turno C",IF(F1903&gt;0.9375,IF(F1903&lt;0.979166666666667,"Turno B",""),"")),"")),"")),"")),"")),""))</f>
        <v>Sin turtno ing</v>
      </c>
      <c r="L1903" s="91" t="e">
        <f t="shared" si="29"/>
        <v>#N/A</v>
      </c>
    </row>
    <row r="1904" spans="1:12" s="40" customFormat="1">
      <c r="A1904">
        <v>16697450</v>
      </c>
      <c r="B1904" t="s">
        <v>872</v>
      </c>
      <c r="C1904" t="s">
        <v>76</v>
      </c>
      <c r="D1904" t="s">
        <v>357</v>
      </c>
      <c r="E1904" t="s">
        <v>1437</v>
      </c>
      <c r="F1904" s="78">
        <v>0.82604166666666667</v>
      </c>
      <c r="G1904" t="s">
        <v>1406</v>
      </c>
      <c r="H1904" t="s">
        <v>1336</v>
      </c>
      <c r="I1904" s="88" t="str">
        <f>VLOOKUP(A1904,Base!A:B,2,0)</f>
        <v>16.697.450-K</v>
      </c>
      <c r="J1904" s="99" t="str">
        <f>VLOOKUP(A1904,Base!A:F,6,0)</f>
        <v>NATALIA BELEN  REYES  ESPINOZA</v>
      </c>
      <c r="K1904" s="89" t="str">
        <f>IFERROR(IF(VLOOKUP(I1904,Ingreso!K:P,6,0)=0,"Sin turtno ing",VLOOKUP(I1904,Ingreso!K:P,6,0)),IF(F1904&gt;0.25,IF(F1904&lt;0.311805555555556,"Turno A",IF(F1904&gt;0.3125,IF(F1904&lt;0.354166666666667,"Turno C",IF(F1904&gt;0.583333333333333,IF(F1904&lt;0.625,"Turno B",IF(F1904&gt;0.625694444444444,IF(F1904&lt;0.8125,"Turno A",IF(F1904&gt;0.875,IF(F1904&lt;0.936805555555556,"Turno C",IF(F1904&gt;0.9375,IF(F1904&lt;0.979166666666667,"Turno B",""),"")),"")),"")),"")),"")),""))</f>
        <v>Sin turtno ing</v>
      </c>
      <c r="L1904" s="91" t="e">
        <f t="shared" si="29"/>
        <v>#N/A</v>
      </c>
    </row>
    <row r="1905" spans="1:12" s="40" customFormat="1">
      <c r="A1905">
        <v>16697450</v>
      </c>
      <c r="B1905" t="s">
        <v>872</v>
      </c>
      <c r="C1905" t="s">
        <v>76</v>
      </c>
      <c r="D1905" t="s">
        <v>357</v>
      </c>
      <c r="E1905" t="s">
        <v>1437</v>
      </c>
      <c r="F1905" s="78">
        <v>0.42560185185185184</v>
      </c>
      <c r="G1905" t="s">
        <v>1405</v>
      </c>
      <c r="H1905" t="s">
        <v>1335</v>
      </c>
      <c r="I1905" s="88" t="str">
        <f>VLOOKUP(A1905,Base!A:B,2,0)</f>
        <v>16.697.450-K</v>
      </c>
      <c r="J1905" s="99" t="str">
        <f>VLOOKUP(A1905,Base!A:F,6,0)</f>
        <v>NATALIA BELEN  REYES  ESPINOZA</v>
      </c>
      <c r="K1905" s="89" t="str">
        <f>IFERROR(IF(VLOOKUP(I1905,Ingreso!K:P,6,0)=0,"Sin turtno ing",VLOOKUP(I1905,Ingreso!K:P,6,0)),IF(F1905&gt;0.25,IF(F1905&lt;0.311805555555556,"Turno A",IF(F1905&gt;0.3125,IF(F1905&lt;0.354166666666667,"Turno C",IF(F1905&gt;0.583333333333333,IF(F1905&lt;0.625,"Turno B",IF(F1905&gt;0.625694444444444,IF(F1905&lt;0.8125,"Turno A",IF(F1905&gt;0.875,IF(F1905&lt;0.936805555555556,"Turno C",IF(F1905&gt;0.9375,IF(F1905&lt;0.979166666666667,"Turno B",""),"")),"")),"")),"")),"")),""))</f>
        <v>Sin turtno ing</v>
      </c>
      <c r="L1905" s="91" t="e">
        <f t="shared" si="29"/>
        <v>#N/A</v>
      </c>
    </row>
    <row r="1906" spans="1:12" s="40" customFormat="1">
      <c r="A1906">
        <v>16697450</v>
      </c>
      <c r="B1906" t="s">
        <v>872</v>
      </c>
      <c r="C1906" t="s">
        <v>76</v>
      </c>
      <c r="D1906" t="s">
        <v>357</v>
      </c>
      <c r="E1906" t="s">
        <v>1438</v>
      </c>
      <c r="F1906" s="78">
        <v>0.64585648148148145</v>
      </c>
      <c r="G1906" t="s">
        <v>1406</v>
      </c>
      <c r="H1906" t="s">
        <v>1336</v>
      </c>
      <c r="I1906" s="88" t="str">
        <f>VLOOKUP(A1906,Base!A:B,2,0)</f>
        <v>16.697.450-K</v>
      </c>
      <c r="J1906" s="99" t="str">
        <f>VLOOKUP(A1906,Base!A:F,6,0)</f>
        <v>NATALIA BELEN  REYES  ESPINOZA</v>
      </c>
      <c r="K1906" s="89" t="str">
        <f>IFERROR(IF(VLOOKUP(I1906,Ingreso!K:P,6,0)=0,"Sin turtno ing",VLOOKUP(I1906,Ingreso!K:P,6,0)),IF(F1906&gt;0.25,IF(F1906&lt;0.311805555555556,"Turno A",IF(F1906&gt;0.3125,IF(F1906&lt;0.354166666666667,"Turno C",IF(F1906&gt;0.583333333333333,IF(F1906&lt;0.625,"Turno B",IF(F1906&gt;0.625694444444444,IF(F1906&lt;0.8125,"Turno A",IF(F1906&gt;0.875,IF(F1906&lt;0.936805555555556,"Turno C",IF(F1906&gt;0.9375,IF(F1906&lt;0.979166666666667,"Turno B",""),"")),"")),"")),"")),"")),""))</f>
        <v>Sin turtno ing</v>
      </c>
      <c r="L1906" s="91" t="e">
        <f t="shared" si="29"/>
        <v>#N/A</v>
      </c>
    </row>
    <row r="1907" spans="1:12" s="40" customFormat="1">
      <c r="A1907">
        <v>16697450</v>
      </c>
      <c r="B1907" t="s">
        <v>872</v>
      </c>
      <c r="C1907" t="s">
        <v>76</v>
      </c>
      <c r="D1907" t="s">
        <v>357</v>
      </c>
      <c r="E1907" t="s">
        <v>1438</v>
      </c>
      <c r="F1907" s="78">
        <v>0.30407407407407411</v>
      </c>
      <c r="G1907" t="s">
        <v>1405</v>
      </c>
      <c r="H1907" t="s">
        <v>1335</v>
      </c>
      <c r="I1907" s="88" t="str">
        <f>VLOOKUP(A1907,Base!A:B,2,0)</f>
        <v>16.697.450-K</v>
      </c>
      <c r="J1907" s="99" t="str">
        <f>VLOOKUP(A1907,Base!A:F,6,0)</f>
        <v>NATALIA BELEN  REYES  ESPINOZA</v>
      </c>
      <c r="K1907" s="89" t="str">
        <f>IFERROR(IF(VLOOKUP(I1907,Ingreso!K:P,6,0)=0,"Sin turtno ing",VLOOKUP(I1907,Ingreso!K:P,6,0)),IF(F1907&gt;0.25,IF(F1907&lt;0.311805555555556,"Turno A",IF(F1907&gt;0.3125,IF(F1907&lt;0.354166666666667,"Turno C",IF(F1907&gt;0.583333333333333,IF(F1907&lt;0.625,"Turno B",IF(F1907&gt;0.625694444444444,IF(F1907&lt;0.8125,"Turno A",IF(F1907&gt;0.875,IF(F1907&lt;0.936805555555556,"Turno C",IF(F1907&gt;0.9375,IF(F1907&lt;0.979166666666667,"Turno B",""),"")),"")),"")),"")),"")),""))</f>
        <v>Sin turtno ing</v>
      </c>
      <c r="L1907" s="91" t="e">
        <f t="shared" si="29"/>
        <v>#N/A</v>
      </c>
    </row>
    <row r="1908" spans="1:12" s="40" customFormat="1">
      <c r="A1908">
        <v>16697450</v>
      </c>
      <c r="B1908" t="s">
        <v>872</v>
      </c>
      <c r="C1908" t="s">
        <v>76</v>
      </c>
      <c r="D1908" t="s">
        <v>357</v>
      </c>
      <c r="E1908" t="s">
        <v>1439</v>
      </c>
      <c r="F1908" s="78">
        <v>0.64746527777777774</v>
      </c>
      <c r="G1908" t="s">
        <v>1406</v>
      </c>
      <c r="H1908" t="s">
        <v>1336</v>
      </c>
      <c r="I1908" s="88" t="str">
        <f>VLOOKUP(A1908,Base!A:B,2,0)</f>
        <v>16.697.450-K</v>
      </c>
      <c r="J1908" s="99" t="str">
        <f>VLOOKUP(A1908,Base!A:F,6,0)</f>
        <v>NATALIA BELEN  REYES  ESPINOZA</v>
      </c>
      <c r="K1908" s="89" t="str">
        <f>IFERROR(IF(VLOOKUP(I1908,Ingreso!K:P,6,0)=0,"Sin turtno ing",VLOOKUP(I1908,Ingreso!K:P,6,0)),IF(F1908&gt;0.25,IF(F1908&lt;0.311805555555556,"Turno A",IF(F1908&gt;0.3125,IF(F1908&lt;0.354166666666667,"Turno C",IF(F1908&gt;0.583333333333333,IF(F1908&lt;0.625,"Turno B",IF(F1908&gt;0.625694444444444,IF(F1908&lt;0.8125,"Turno A",IF(F1908&gt;0.875,IF(F1908&lt;0.936805555555556,"Turno C",IF(F1908&gt;0.9375,IF(F1908&lt;0.979166666666667,"Turno B",""),"")),"")),"")),"")),"")),""))</f>
        <v>Sin turtno ing</v>
      </c>
      <c r="L1908" s="91" t="e">
        <f t="shared" si="29"/>
        <v>#N/A</v>
      </c>
    </row>
    <row r="1909" spans="1:12" s="40" customFormat="1">
      <c r="A1909">
        <v>16697450</v>
      </c>
      <c r="B1909" t="s">
        <v>872</v>
      </c>
      <c r="C1909" t="s">
        <v>76</v>
      </c>
      <c r="D1909" t="s">
        <v>357</v>
      </c>
      <c r="E1909" t="s">
        <v>1439</v>
      </c>
      <c r="F1909" s="78">
        <v>0.310462962962963</v>
      </c>
      <c r="G1909" t="s">
        <v>1405</v>
      </c>
      <c r="H1909" t="s">
        <v>1335</v>
      </c>
      <c r="I1909" s="88" t="str">
        <f>VLOOKUP(A1909,Base!A:B,2,0)</f>
        <v>16.697.450-K</v>
      </c>
      <c r="J1909" s="99" t="str">
        <f>VLOOKUP(A1909,Base!A:F,6,0)</f>
        <v>NATALIA BELEN  REYES  ESPINOZA</v>
      </c>
      <c r="K1909" s="89" t="str">
        <f>IFERROR(IF(VLOOKUP(I1909,Ingreso!K:P,6,0)=0,"Sin turtno ing",VLOOKUP(I1909,Ingreso!K:P,6,0)),IF(F1909&gt;0.25,IF(F1909&lt;0.311805555555556,"Turno A",IF(F1909&gt;0.3125,IF(F1909&lt;0.354166666666667,"Turno C",IF(F1909&gt;0.583333333333333,IF(F1909&lt;0.625,"Turno B",IF(F1909&gt;0.625694444444444,IF(F1909&lt;0.8125,"Turno A",IF(F1909&gt;0.875,IF(F1909&lt;0.936805555555556,"Turno C",IF(F1909&gt;0.9375,IF(F1909&lt;0.979166666666667,"Turno B",""),"")),"")),"")),"")),"")),""))</f>
        <v>Sin turtno ing</v>
      </c>
      <c r="L1909" s="91" t="e">
        <f t="shared" si="29"/>
        <v>#N/A</v>
      </c>
    </row>
    <row r="1910" spans="1:12" s="40" customFormat="1">
      <c r="A1910">
        <v>16907382</v>
      </c>
      <c r="B1910" t="s">
        <v>158</v>
      </c>
      <c r="C1910" t="s">
        <v>156</v>
      </c>
      <c r="D1910" t="s">
        <v>157</v>
      </c>
      <c r="E1910" t="s">
        <v>1440</v>
      </c>
      <c r="F1910" s="78">
        <v>0.9496296296296296</v>
      </c>
      <c r="G1910" t="s">
        <v>1406</v>
      </c>
      <c r="H1910" t="s">
        <v>1336</v>
      </c>
      <c r="I1910" s="88" t="str">
        <f>VLOOKUP(A1910,Base!A:B,2,0)</f>
        <v>16.907.382-1</v>
      </c>
      <c r="J1910" s="99" t="str">
        <f>VLOOKUP(A1910,Base!A:F,6,0)</f>
        <v>OLIVER HANS  BUGUEÑO  MEDEL</v>
      </c>
      <c r="K1910" s="89" t="str">
        <f>IFERROR(IF(VLOOKUP(I1910,Ingreso!K:P,6,0)=0,"Sin turtno ing",VLOOKUP(I1910,Ingreso!K:P,6,0)),IF(F1910&gt;0.25,IF(F1910&lt;0.311805555555556,"Turno A",IF(F1910&gt;0.3125,IF(F1910&lt;0.354166666666667,"Turno C",IF(F1910&gt;0.583333333333333,IF(F1910&lt;0.625,"Turno B",IF(F1910&gt;0.625694444444444,IF(F1910&lt;0.8125,"Turno A",IF(F1910&gt;0.875,IF(F1910&lt;0.936805555555556,"Turno C",IF(F1910&gt;0.9375,IF(F1910&lt;0.979166666666667,"Turno B",""),"")),"")),"")),"")),"")),""))</f>
        <v>Turno B</v>
      </c>
      <c r="L1910" s="91">
        <f t="shared" si="29"/>
        <v>0.3125</v>
      </c>
    </row>
    <row r="1911" spans="1:12" s="40" customFormat="1">
      <c r="A1911">
        <v>16907382</v>
      </c>
      <c r="B1911" t="s">
        <v>158</v>
      </c>
      <c r="C1911" t="s">
        <v>156</v>
      </c>
      <c r="D1911" t="s">
        <v>157</v>
      </c>
      <c r="E1911" t="s">
        <v>1440</v>
      </c>
      <c r="F1911" s="78">
        <v>0.51449074074074075</v>
      </c>
      <c r="G1911" t="s">
        <v>1405</v>
      </c>
      <c r="H1911" t="s">
        <v>1335</v>
      </c>
      <c r="I1911" s="88" t="str">
        <f>VLOOKUP(A1911,Base!A:B,2,0)</f>
        <v>16.907.382-1</v>
      </c>
      <c r="J1911" s="99" t="str">
        <f>VLOOKUP(A1911,Base!A:F,6,0)</f>
        <v>OLIVER HANS  BUGUEÑO  MEDEL</v>
      </c>
      <c r="K1911" s="89" t="str">
        <f>IFERROR(IF(VLOOKUP(I1911,Ingreso!K:P,6,0)=0,"Sin turtno ing",VLOOKUP(I1911,Ingreso!K:P,6,0)),IF(F1911&gt;0.25,IF(F1911&lt;0.311805555555556,"Turno A",IF(F1911&gt;0.3125,IF(F1911&lt;0.354166666666667,"Turno C",IF(F1911&gt;0.583333333333333,IF(F1911&lt;0.625,"Turno B",IF(F1911&gt;0.625694444444444,IF(F1911&lt;0.8125,"Turno A",IF(F1911&gt;0.875,IF(F1911&lt;0.936805555555556,"Turno C",IF(F1911&gt;0.9375,IF(F1911&lt;0.979166666666667,"Turno B",""),"")),"")),"")),"")),"")),""))</f>
        <v>Turno B</v>
      </c>
      <c r="L1911" s="91">
        <f t="shared" si="29"/>
        <v>0.3125</v>
      </c>
    </row>
    <row r="1912" spans="1:12" s="40" customFormat="1">
      <c r="A1912">
        <v>16907382</v>
      </c>
      <c r="B1912" t="s">
        <v>158</v>
      </c>
      <c r="C1912" t="s">
        <v>156</v>
      </c>
      <c r="D1912" t="s">
        <v>157</v>
      </c>
      <c r="E1912" t="s">
        <v>1441</v>
      </c>
      <c r="F1912" s="78">
        <v>0.94769675925925922</v>
      </c>
      <c r="G1912" t="s">
        <v>1406</v>
      </c>
      <c r="H1912" t="s">
        <v>1336</v>
      </c>
      <c r="I1912" s="88" t="str">
        <f>VLOOKUP(A1912,Base!A:B,2,0)</f>
        <v>16.907.382-1</v>
      </c>
      <c r="J1912" s="99" t="str">
        <f>VLOOKUP(A1912,Base!A:F,6,0)</f>
        <v>OLIVER HANS  BUGUEÑO  MEDEL</v>
      </c>
      <c r="K1912" s="89" t="str">
        <f>IFERROR(IF(VLOOKUP(I1912,Ingreso!K:P,6,0)=0,"Sin turtno ing",VLOOKUP(I1912,Ingreso!K:P,6,0)),IF(F1912&gt;0.25,IF(F1912&lt;0.311805555555556,"Turno A",IF(F1912&gt;0.3125,IF(F1912&lt;0.354166666666667,"Turno C",IF(F1912&gt;0.583333333333333,IF(F1912&lt;0.625,"Turno B",IF(F1912&gt;0.625694444444444,IF(F1912&lt;0.8125,"Turno A",IF(F1912&gt;0.875,IF(F1912&lt;0.936805555555556,"Turno C",IF(F1912&gt;0.9375,IF(F1912&lt;0.979166666666667,"Turno B",""),"")),"")),"")),"")),"")),""))</f>
        <v>Turno B</v>
      </c>
      <c r="L1912" s="91">
        <f t="shared" si="29"/>
        <v>0.3125</v>
      </c>
    </row>
    <row r="1913" spans="1:12" s="40" customFormat="1">
      <c r="A1913">
        <v>16907382</v>
      </c>
      <c r="B1913" t="s">
        <v>158</v>
      </c>
      <c r="C1913" t="s">
        <v>156</v>
      </c>
      <c r="D1913" t="s">
        <v>157</v>
      </c>
      <c r="E1913" t="s">
        <v>1441</v>
      </c>
      <c r="F1913" s="78">
        <v>0.52184027777777775</v>
      </c>
      <c r="G1913" t="s">
        <v>1405</v>
      </c>
      <c r="H1913" t="s">
        <v>1335</v>
      </c>
      <c r="I1913" s="88" t="str">
        <f>VLOOKUP(A1913,Base!A:B,2,0)</f>
        <v>16.907.382-1</v>
      </c>
      <c r="J1913" s="99" t="str">
        <f>VLOOKUP(A1913,Base!A:F,6,0)</f>
        <v>OLIVER HANS  BUGUEÑO  MEDEL</v>
      </c>
      <c r="K1913" s="89" t="str">
        <f>IFERROR(IF(VLOOKUP(I1913,Ingreso!K:P,6,0)=0,"Sin turtno ing",VLOOKUP(I1913,Ingreso!K:P,6,0)),IF(F1913&gt;0.25,IF(F1913&lt;0.311805555555556,"Turno A",IF(F1913&gt;0.3125,IF(F1913&lt;0.354166666666667,"Turno C",IF(F1913&gt;0.583333333333333,IF(F1913&lt;0.625,"Turno B",IF(F1913&gt;0.625694444444444,IF(F1913&lt;0.8125,"Turno A",IF(F1913&gt;0.875,IF(F1913&lt;0.936805555555556,"Turno C",IF(F1913&gt;0.9375,IF(F1913&lt;0.979166666666667,"Turno B",""),"")),"")),"")),"")),"")),""))</f>
        <v>Turno B</v>
      </c>
      <c r="L1913" s="91">
        <f t="shared" si="29"/>
        <v>0.3125</v>
      </c>
    </row>
    <row r="1914" spans="1:12" s="40" customFormat="1">
      <c r="A1914">
        <v>16907382</v>
      </c>
      <c r="B1914" t="s">
        <v>158</v>
      </c>
      <c r="C1914" t="s">
        <v>156</v>
      </c>
      <c r="D1914" t="s">
        <v>157</v>
      </c>
      <c r="E1914" t="s">
        <v>1437</v>
      </c>
      <c r="F1914" s="78">
        <v>0.9486458333333333</v>
      </c>
      <c r="G1914" t="s">
        <v>1406</v>
      </c>
      <c r="H1914" t="s">
        <v>1336</v>
      </c>
      <c r="I1914" s="88" t="str">
        <f>VLOOKUP(A1914,Base!A:B,2,0)</f>
        <v>16.907.382-1</v>
      </c>
      <c r="J1914" s="99" t="str">
        <f>VLOOKUP(A1914,Base!A:F,6,0)</f>
        <v>OLIVER HANS  BUGUEÑO  MEDEL</v>
      </c>
      <c r="K1914" s="89" t="str">
        <f>IFERROR(IF(VLOOKUP(I1914,Ingreso!K:P,6,0)=0,"Sin turtno ing",VLOOKUP(I1914,Ingreso!K:P,6,0)),IF(F1914&gt;0.25,IF(F1914&lt;0.311805555555556,"Turno A",IF(F1914&gt;0.3125,IF(F1914&lt;0.354166666666667,"Turno C",IF(F1914&gt;0.583333333333333,IF(F1914&lt;0.625,"Turno B",IF(F1914&gt;0.625694444444444,IF(F1914&lt;0.8125,"Turno A",IF(F1914&gt;0.875,IF(F1914&lt;0.936805555555556,"Turno C",IF(F1914&gt;0.9375,IF(F1914&lt;0.979166666666667,"Turno B",""),"")),"")),"")),"")),"")),""))</f>
        <v>Turno B</v>
      </c>
      <c r="L1914" s="91">
        <f t="shared" si="29"/>
        <v>0.3125</v>
      </c>
    </row>
    <row r="1915" spans="1:12" s="40" customFormat="1">
      <c r="A1915">
        <v>16907382</v>
      </c>
      <c r="B1915" t="s">
        <v>158</v>
      </c>
      <c r="C1915" t="s">
        <v>156</v>
      </c>
      <c r="D1915" t="s">
        <v>157</v>
      </c>
      <c r="E1915" t="s">
        <v>1437</v>
      </c>
      <c r="F1915" s="78">
        <v>0.52552083333333333</v>
      </c>
      <c r="G1915" t="s">
        <v>1405</v>
      </c>
      <c r="H1915" t="s">
        <v>1335</v>
      </c>
      <c r="I1915" s="88" t="str">
        <f>VLOOKUP(A1915,Base!A:B,2,0)</f>
        <v>16.907.382-1</v>
      </c>
      <c r="J1915" s="99" t="str">
        <f>VLOOKUP(A1915,Base!A:F,6,0)</f>
        <v>OLIVER HANS  BUGUEÑO  MEDEL</v>
      </c>
      <c r="K1915" s="89" t="str">
        <f>IFERROR(IF(VLOOKUP(I1915,Ingreso!K:P,6,0)=0,"Sin turtno ing",VLOOKUP(I1915,Ingreso!K:P,6,0)),IF(F1915&gt;0.25,IF(F1915&lt;0.311805555555556,"Turno A",IF(F1915&gt;0.3125,IF(F1915&lt;0.354166666666667,"Turno C",IF(F1915&gt;0.583333333333333,IF(F1915&lt;0.625,"Turno B",IF(F1915&gt;0.625694444444444,IF(F1915&lt;0.8125,"Turno A",IF(F1915&gt;0.875,IF(F1915&lt;0.936805555555556,"Turno C",IF(F1915&gt;0.9375,IF(F1915&lt;0.979166666666667,"Turno B",""),"")),"")),"")),"")),"")),""))</f>
        <v>Turno B</v>
      </c>
      <c r="L1915" s="91">
        <f t="shared" si="29"/>
        <v>0.3125</v>
      </c>
    </row>
    <row r="1916" spans="1:12" s="40" customFormat="1">
      <c r="A1916">
        <v>16907382</v>
      </c>
      <c r="B1916" t="s">
        <v>158</v>
      </c>
      <c r="C1916" t="s">
        <v>156</v>
      </c>
      <c r="D1916" t="s">
        <v>157</v>
      </c>
      <c r="E1916" t="s">
        <v>1438</v>
      </c>
      <c r="F1916" s="78">
        <v>0.94967592592592587</v>
      </c>
      <c r="G1916" t="s">
        <v>1406</v>
      </c>
      <c r="H1916" t="s">
        <v>1336</v>
      </c>
      <c r="I1916" s="88" t="str">
        <f>VLOOKUP(A1916,Base!A:B,2,0)</f>
        <v>16.907.382-1</v>
      </c>
      <c r="J1916" s="99" t="str">
        <f>VLOOKUP(A1916,Base!A:F,6,0)</f>
        <v>OLIVER HANS  BUGUEÑO  MEDEL</v>
      </c>
      <c r="K1916" s="89" t="str">
        <f>IFERROR(IF(VLOOKUP(I1916,Ingreso!K:P,6,0)=0,"Sin turtno ing",VLOOKUP(I1916,Ingreso!K:P,6,0)),IF(F1916&gt;0.25,IF(F1916&lt;0.311805555555556,"Turno A",IF(F1916&gt;0.3125,IF(F1916&lt;0.354166666666667,"Turno C",IF(F1916&gt;0.583333333333333,IF(F1916&lt;0.625,"Turno B",IF(F1916&gt;0.625694444444444,IF(F1916&lt;0.8125,"Turno A",IF(F1916&gt;0.875,IF(F1916&lt;0.936805555555556,"Turno C",IF(F1916&gt;0.9375,IF(F1916&lt;0.979166666666667,"Turno B",""),"")),"")),"")),"")),"")),""))</f>
        <v>Turno B</v>
      </c>
      <c r="L1916" s="91">
        <f t="shared" si="29"/>
        <v>0.3125</v>
      </c>
    </row>
    <row r="1917" spans="1:12" s="40" customFormat="1">
      <c r="A1917">
        <v>16907382</v>
      </c>
      <c r="B1917" t="s">
        <v>158</v>
      </c>
      <c r="C1917" t="s">
        <v>156</v>
      </c>
      <c r="D1917" t="s">
        <v>157</v>
      </c>
      <c r="E1917" t="s">
        <v>1438</v>
      </c>
      <c r="F1917" s="78">
        <v>0.49684027777777778</v>
      </c>
      <c r="G1917" t="s">
        <v>1405</v>
      </c>
      <c r="H1917" t="s">
        <v>1335</v>
      </c>
      <c r="I1917" s="88" t="str">
        <f>VLOOKUP(A1917,Base!A:B,2,0)</f>
        <v>16.907.382-1</v>
      </c>
      <c r="J1917" s="99" t="str">
        <f>VLOOKUP(A1917,Base!A:F,6,0)</f>
        <v>OLIVER HANS  BUGUEÑO  MEDEL</v>
      </c>
      <c r="K1917" s="89" t="str">
        <f>IFERROR(IF(VLOOKUP(I1917,Ingreso!K:P,6,0)=0,"Sin turtno ing",VLOOKUP(I1917,Ingreso!K:P,6,0)),IF(F1917&gt;0.25,IF(F1917&lt;0.311805555555556,"Turno A",IF(F1917&gt;0.3125,IF(F1917&lt;0.354166666666667,"Turno C",IF(F1917&gt;0.583333333333333,IF(F1917&lt;0.625,"Turno B",IF(F1917&gt;0.625694444444444,IF(F1917&lt;0.8125,"Turno A",IF(F1917&gt;0.875,IF(F1917&lt;0.936805555555556,"Turno C",IF(F1917&gt;0.9375,IF(F1917&lt;0.979166666666667,"Turno B",""),"")),"")),"")),"")),"")),""))</f>
        <v>Turno B</v>
      </c>
      <c r="L1917" s="91">
        <f t="shared" si="29"/>
        <v>0.3125</v>
      </c>
    </row>
    <row r="1918" spans="1:12" s="40" customFormat="1">
      <c r="A1918">
        <v>16907382</v>
      </c>
      <c r="B1918" t="s">
        <v>158</v>
      </c>
      <c r="C1918" t="s">
        <v>156</v>
      </c>
      <c r="D1918" t="s">
        <v>157</v>
      </c>
      <c r="E1918" t="s">
        <v>1439</v>
      </c>
      <c r="F1918" s="78">
        <v>0.95207175925925924</v>
      </c>
      <c r="G1918" t="s">
        <v>1406</v>
      </c>
      <c r="H1918" t="s">
        <v>1336</v>
      </c>
      <c r="I1918" s="88" t="str">
        <f>VLOOKUP(A1918,Base!A:B,2,0)</f>
        <v>16.907.382-1</v>
      </c>
      <c r="J1918" s="99" t="str">
        <f>VLOOKUP(A1918,Base!A:F,6,0)</f>
        <v>OLIVER HANS  BUGUEÑO  MEDEL</v>
      </c>
      <c r="K1918" s="89" t="str">
        <f>IFERROR(IF(VLOOKUP(I1918,Ingreso!K:P,6,0)=0,"Sin turtno ing",VLOOKUP(I1918,Ingreso!K:P,6,0)),IF(F1918&gt;0.25,IF(F1918&lt;0.311805555555556,"Turno A",IF(F1918&gt;0.3125,IF(F1918&lt;0.354166666666667,"Turno C",IF(F1918&gt;0.583333333333333,IF(F1918&lt;0.625,"Turno B",IF(F1918&gt;0.625694444444444,IF(F1918&lt;0.8125,"Turno A",IF(F1918&gt;0.875,IF(F1918&lt;0.936805555555556,"Turno C",IF(F1918&gt;0.9375,IF(F1918&lt;0.979166666666667,"Turno B",""),"")),"")),"")),"")),"")),""))</f>
        <v>Turno B</v>
      </c>
      <c r="L1918" s="91">
        <f t="shared" si="29"/>
        <v>0.3125</v>
      </c>
    </row>
    <row r="1919" spans="1:12" s="40" customFormat="1">
      <c r="A1919">
        <v>16907382</v>
      </c>
      <c r="B1919" t="s">
        <v>158</v>
      </c>
      <c r="C1919" t="s">
        <v>156</v>
      </c>
      <c r="D1919" t="s">
        <v>157</v>
      </c>
      <c r="E1919" t="s">
        <v>1439</v>
      </c>
      <c r="F1919" s="78">
        <v>0.5006828703703704</v>
      </c>
      <c r="G1919" t="s">
        <v>1405</v>
      </c>
      <c r="H1919" t="s">
        <v>1335</v>
      </c>
      <c r="I1919" s="88" t="str">
        <f>VLOOKUP(A1919,Base!A:B,2,0)</f>
        <v>16.907.382-1</v>
      </c>
      <c r="J1919" s="99" t="str">
        <f>VLOOKUP(A1919,Base!A:F,6,0)</f>
        <v>OLIVER HANS  BUGUEÑO  MEDEL</v>
      </c>
      <c r="K1919" s="89" t="str">
        <f>IFERROR(IF(VLOOKUP(I1919,Ingreso!K:P,6,0)=0,"Sin turtno ing",VLOOKUP(I1919,Ingreso!K:P,6,0)),IF(F1919&gt;0.25,IF(F1919&lt;0.311805555555556,"Turno A",IF(F1919&gt;0.3125,IF(F1919&lt;0.354166666666667,"Turno C",IF(F1919&gt;0.583333333333333,IF(F1919&lt;0.625,"Turno B",IF(F1919&gt;0.625694444444444,IF(F1919&lt;0.8125,"Turno A",IF(F1919&gt;0.875,IF(F1919&lt;0.936805555555556,"Turno C",IF(F1919&gt;0.9375,IF(F1919&lt;0.979166666666667,"Turno B",""),"")),"")),"")),"")),"")),""))</f>
        <v>Turno B</v>
      </c>
      <c r="L1919" s="91">
        <f t="shared" si="29"/>
        <v>0.3125</v>
      </c>
    </row>
    <row r="1920" spans="1:12" s="40" customFormat="1">
      <c r="A1920">
        <v>17002272</v>
      </c>
      <c r="B1920" t="s">
        <v>439</v>
      </c>
      <c r="C1920" t="s">
        <v>438</v>
      </c>
      <c r="D1920" t="s">
        <v>33</v>
      </c>
      <c r="E1920" t="s">
        <v>1440</v>
      </c>
      <c r="F1920" s="78">
        <v>0.58780092592592592</v>
      </c>
      <c r="G1920" t="s">
        <v>1406</v>
      </c>
      <c r="H1920" t="s">
        <v>1336</v>
      </c>
      <c r="I1920" s="88" t="str">
        <f>VLOOKUP(A1920,Base!A:B,2,0)</f>
        <v>17.002.272-6</v>
      </c>
      <c r="J1920" s="99" t="str">
        <f>VLOOKUP(A1920,Base!A:F,6,0)</f>
        <v>JUAN DIEGO ALEXIS  GARCES  MUÑOZ</v>
      </c>
      <c r="K1920" s="89" t="str">
        <f>IFERROR(IF(VLOOKUP(I1920,Ingreso!K:P,6,0)=0,"Sin turtno ing",VLOOKUP(I1920,Ingreso!K:P,6,0)),IF(F1920&gt;0.25,IF(F1920&lt;0.311805555555556,"Turno A",IF(F1920&gt;0.3125,IF(F1920&lt;0.354166666666667,"Turno C",IF(F1920&gt;0.583333333333333,IF(F1920&lt;0.625,"Turno B",IF(F1920&gt;0.625694444444444,IF(F1920&lt;0.8125,"Turno A",IF(F1920&gt;0.875,IF(F1920&lt;0.936805555555556,"Turno C",IF(F1920&gt;0.9375,IF(F1920&lt;0.979166666666667,"Turno B",""),"")),"")),"")),"")),"")),""))</f>
        <v>Sin turtno ing</v>
      </c>
      <c r="L1920" s="91" t="e">
        <f t="shared" si="29"/>
        <v>#N/A</v>
      </c>
    </row>
    <row r="1921" spans="1:12" s="40" customFormat="1">
      <c r="A1921">
        <v>17002272</v>
      </c>
      <c r="B1921" t="s">
        <v>439</v>
      </c>
      <c r="C1921" t="s">
        <v>438</v>
      </c>
      <c r="D1921" t="s">
        <v>33</v>
      </c>
      <c r="E1921" t="s">
        <v>1440</v>
      </c>
      <c r="F1921" s="78">
        <v>0.31807870370370367</v>
      </c>
      <c r="G1921" t="s">
        <v>1405</v>
      </c>
      <c r="H1921" t="s">
        <v>1335</v>
      </c>
      <c r="I1921" s="88" t="str">
        <f>VLOOKUP(A1921,Base!A:B,2,0)</f>
        <v>17.002.272-6</v>
      </c>
      <c r="J1921" s="99" t="str">
        <f>VLOOKUP(A1921,Base!A:F,6,0)</f>
        <v>JUAN DIEGO ALEXIS  GARCES  MUÑOZ</v>
      </c>
      <c r="K1921" s="89" t="str">
        <f>IFERROR(IF(VLOOKUP(I1921,Ingreso!K:P,6,0)=0,"Sin turtno ing",VLOOKUP(I1921,Ingreso!K:P,6,0)),IF(F1921&gt;0.25,IF(F1921&lt;0.311805555555556,"Turno A",IF(F1921&gt;0.3125,IF(F1921&lt;0.354166666666667,"Turno C",IF(F1921&gt;0.583333333333333,IF(F1921&lt;0.625,"Turno B",IF(F1921&gt;0.625694444444444,IF(F1921&lt;0.8125,"Turno A",IF(F1921&gt;0.875,IF(F1921&lt;0.936805555555556,"Turno C",IF(F1921&gt;0.9375,IF(F1921&lt;0.979166666666667,"Turno B",""),"")),"")),"")),"")),"")),""))</f>
        <v>Sin turtno ing</v>
      </c>
      <c r="L1921" s="91" t="e">
        <f t="shared" si="29"/>
        <v>#N/A</v>
      </c>
    </row>
    <row r="1922" spans="1:12" s="40" customFormat="1">
      <c r="A1922">
        <v>17002272</v>
      </c>
      <c r="B1922" t="s">
        <v>439</v>
      </c>
      <c r="C1922" t="s">
        <v>438</v>
      </c>
      <c r="D1922" t="s">
        <v>33</v>
      </c>
      <c r="E1922" t="s">
        <v>1441</v>
      </c>
      <c r="F1922" s="78">
        <v>0.63967592592592593</v>
      </c>
      <c r="G1922" t="s">
        <v>1406</v>
      </c>
      <c r="H1922" t="s">
        <v>1336</v>
      </c>
      <c r="I1922" s="88" t="str">
        <f>VLOOKUP(A1922,Base!A:B,2,0)</f>
        <v>17.002.272-6</v>
      </c>
      <c r="J1922" s="99" t="str">
        <f>VLOOKUP(A1922,Base!A:F,6,0)</f>
        <v>JUAN DIEGO ALEXIS  GARCES  MUÑOZ</v>
      </c>
      <c r="K1922" s="89" t="str">
        <f>IFERROR(IF(VLOOKUP(I1922,Ingreso!K:P,6,0)=0,"Sin turtno ing",VLOOKUP(I1922,Ingreso!K:P,6,0)),IF(F1922&gt;0.25,IF(F1922&lt;0.311805555555556,"Turno A",IF(F1922&gt;0.3125,IF(F1922&lt;0.354166666666667,"Turno C",IF(F1922&gt;0.583333333333333,IF(F1922&lt;0.625,"Turno B",IF(F1922&gt;0.625694444444444,IF(F1922&lt;0.8125,"Turno A",IF(F1922&gt;0.875,IF(F1922&lt;0.936805555555556,"Turno C",IF(F1922&gt;0.9375,IF(F1922&lt;0.979166666666667,"Turno B",""),"")),"")),"")),"")),"")),""))</f>
        <v>Sin turtno ing</v>
      </c>
      <c r="L1922" s="91" t="e">
        <f t="shared" si="29"/>
        <v>#N/A</v>
      </c>
    </row>
    <row r="1923" spans="1:12" s="40" customFormat="1">
      <c r="A1923">
        <v>17002272</v>
      </c>
      <c r="B1923" t="s">
        <v>439</v>
      </c>
      <c r="C1923" t="s">
        <v>438</v>
      </c>
      <c r="D1923" t="s">
        <v>33</v>
      </c>
      <c r="E1923" t="s">
        <v>1441</v>
      </c>
      <c r="F1923" s="78">
        <v>0.31525462962962963</v>
      </c>
      <c r="G1923" t="s">
        <v>1405</v>
      </c>
      <c r="H1923" t="s">
        <v>1335</v>
      </c>
      <c r="I1923" s="88" t="str">
        <f>VLOOKUP(A1923,Base!A:B,2,0)</f>
        <v>17.002.272-6</v>
      </c>
      <c r="J1923" s="99" t="str">
        <f>VLOOKUP(A1923,Base!A:F,6,0)</f>
        <v>JUAN DIEGO ALEXIS  GARCES  MUÑOZ</v>
      </c>
      <c r="K1923" s="89" t="str">
        <f>IFERROR(IF(VLOOKUP(I1923,Ingreso!K:P,6,0)=0,"Sin turtno ing",VLOOKUP(I1923,Ingreso!K:P,6,0)),IF(F1923&gt;0.25,IF(F1923&lt;0.311805555555556,"Turno A",IF(F1923&gt;0.3125,IF(F1923&lt;0.354166666666667,"Turno C",IF(F1923&gt;0.583333333333333,IF(F1923&lt;0.625,"Turno B",IF(F1923&gt;0.625694444444444,IF(F1923&lt;0.8125,"Turno A",IF(F1923&gt;0.875,IF(F1923&lt;0.936805555555556,"Turno C",IF(F1923&gt;0.9375,IF(F1923&lt;0.979166666666667,"Turno B",""),"")),"")),"")),"")),"")),""))</f>
        <v>Sin turtno ing</v>
      </c>
      <c r="L1923" s="91" t="e">
        <f t="shared" ref="L1923:L1986" si="30">VLOOKUP(K1923,$S$3:$T$7,2,0)</f>
        <v>#N/A</v>
      </c>
    </row>
    <row r="1924" spans="1:12" s="40" customFormat="1">
      <c r="A1924">
        <v>17002272</v>
      </c>
      <c r="B1924" t="s">
        <v>439</v>
      </c>
      <c r="C1924" t="s">
        <v>438</v>
      </c>
      <c r="D1924" t="s">
        <v>33</v>
      </c>
      <c r="E1924" t="s">
        <v>1437</v>
      </c>
      <c r="F1924" s="78">
        <v>0.64297453703703711</v>
      </c>
      <c r="G1924" t="s">
        <v>1406</v>
      </c>
      <c r="H1924" t="s">
        <v>1336</v>
      </c>
      <c r="I1924" s="88" t="str">
        <f>VLOOKUP(A1924,Base!A:B,2,0)</f>
        <v>17.002.272-6</v>
      </c>
      <c r="J1924" s="99" t="str">
        <f>VLOOKUP(A1924,Base!A:F,6,0)</f>
        <v>JUAN DIEGO ALEXIS  GARCES  MUÑOZ</v>
      </c>
      <c r="K1924" s="89" t="str">
        <f>IFERROR(IF(VLOOKUP(I1924,Ingreso!K:P,6,0)=0,"Sin turtno ing",VLOOKUP(I1924,Ingreso!K:P,6,0)),IF(F1924&gt;0.25,IF(F1924&lt;0.311805555555556,"Turno A",IF(F1924&gt;0.3125,IF(F1924&lt;0.354166666666667,"Turno C",IF(F1924&gt;0.583333333333333,IF(F1924&lt;0.625,"Turno B",IF(F1924&gt;0.625694444444444,IF(F1924&lt;0.8125,"Turno A",IF(F1924&gt;0.875,IF(F1924&lt;0.936805555555556,"Turno C",IF(F1924&gt;0.9375,IF(F1924&lt;0.979166666666667,"Turno B",""),"")),"")),"")),"")),"")),""))</f>
        <v>Sin turtno ing</v>
      </c>
      <c r="L1924" s="91" t="e">
        <f t="shared" si="30"/>
        <v>#N/A</v>
      </c>
    </row>
    <row r="1925" spans="1:12" s="40" customFormat="1">
      <c r="A1925">
        <v>17002272</v>
      </c>
      <c r="B1925" t="s">
        <v>439</v>
      </c>
      <c r="C1925" t="s">
        <v>438</v>
      </c>
      <c r="D1925" t="s">
        <v>33</v>
      </c>
      <c r="E1925" t="s">
        <v>1437</v>
      </c>
      <c r="F1925" s="78">
        <v>0.30603009259259256</v>
      </c>
      <c r="G1925" t="s">
        <v>1405</v>
      </c>
      <c r="H1925" t="s">
        <v>1335</v>
      </c>
      <c r="I1925" s="88" t="str">
        <f>VLOOKUP(A1925,Base!A:B,2,0)</f>
        <v>17.002.272-6</v>
      </c>
      <c r="J1925" s="99" t="str">
        <f>VLOOKUP(A1925,Base!A:F,6,0)</f>
        <v>JUAN DIEGO ALEXIS  GARCES  MUÑOZ</v>
      </c>
      <c r="K1925" s="89" t="str">
        <f>IFERROR(IF(VLOOKUP(I1925,Ingreso!K:P,6,0)=0,"Sin turtno ing",VLOOKUP(I1925,Ingreso!K:P,6,0)),IF(F1925&gt;0.25,IF(F1925&lt;0.311805555555556,"Turno A",IF(F1925&gt;0.3125,IF(F1925&lt;0.354166666666667,"Turno C",IF(F1925&gt;0.583333333333333,IF(F1925&lt;0.625,"Turno B",IF(F1925&gt;0.625694444444444,IF(F1925&lt;0.8125,"Turno A",IF(F1925&gt;0.875,IF(F1925&lt;0.936805555555556,"Turno C",IF(F1925&gt;0.9375,IF(F1925&lt;0.979166666666667,"Turno B",""),"")),"")),"")),"")),"")),""))</f>
        <v>Sin turtno ing</v>
      </c>
      <c r="L1925" s="91" t="e">
        <f t="shared" si="30"/>
        <v>#N/A</v>
      </c>
    </row>
    <row r="1926" spans="1:12" s="40" customFormat="1">
      <c r="A1926">
        <v>17002272</v>
      </c>
      <c r="B1926" t="s">
        <v>439</v>
      </c>
      <c r="C1926" t="s">
        <v>438</v>
      </c>
      <c r="D1926" t="s">
        <v>33</v>
      </c>
      <c r="E1926" t="s">
        <v>1438</v>
      </c>
      <c r="F1926" s="78">
        <v>0.64148148148148143</v>
      </c>
      <c r="G1926" t="s">
        <v>1406</v>
      </c>
      <c r="H1926" t="s">
        <v>1336</v>
      </c>
      <c r="I1926" s="88" t="str">
        <f>VLOOKUP(A1926,Base!A:B,2,0)</f>
        <v>17.002.272-6</v>
      </c>
      <c r="J1926" s="99" t="str">
        <f>VLOOKUP(A1926,Base!A:F,6,0)</f>
        <v>JUAN DIEGO ALEXIS  GARCES  MUÑOZ</v>
      </c>
      <c r="K1926" s="89" t="str">
        <f>IFERROR(IF(VLOOKUP(I1926,Ingreso!K:P,6,0)=0,"Sin turtno ing",VLOOKUP(I1926,Ingreso!K:P,6,0)),IF(F1926&gt;0.25,IF(F1926&lt;0.311805555555556,"Turno A",IF(F1926&gt;0.3125,IF(F1926&lt;0.354166666666667,"Turno C",IF(F1926&gt;0.583333333333333,IF(F1926&lt;0.625,"Turno B",IF(F1926&gt;0.625694444444444,IF(F1926&lt;0.8125,"Turno A",IF(F1926&gt;0.875,IF(F1926&lt;0.936805555555556,"Turno C",IF(F1926&gt;0.9375,IF(F1926&lt;0.979166666666667,"Turno B",""),"")),"")),"")),"")),"")),""))</f>
        <v>Sin turtno ing</v>
      </c>
      <c r="L1926" s="91" t="e">
        <f t="shared" si="30"/>
        <v>#N/A</v>
      </c>
    </row>
    <row r="1927" spans="1:12" s="40" customFormat="1">
      <c r="A1927">
        <v>17002272</v>
      </c>
      <c r="B1927" t="s">
        <v>439</v>
      </c>
      <c r="C1927" t="s">
        <v>438</v>
      </c>
      <c r="D1927" t="s">
        <v>33</v>
      </c>
      <c r="E1927" t="s">
        <v>1438</v>
      </c>
      <c r="F1927" s="78">
        <v>0.301724537037037</v>
      </c>
      <c r="G1927" t="s">
        <v>1405</v>
      </c>
      <c r="H1927" t="s">
        <v>1335</v>
      </c>
      <c r="I1927" s="88" t="str">
        <f>VLOOKUP(A1927,Base!A:B,2,0)</f>
        <v>17.002.272-6</v>
      </c>
      <c r="J1927" s="99" t="str">
        <f>VLOOKUP(A1927,Base!A:F,6,0)</f>
        <v>JUAN DIEGO ALEXIS  GARCES  MUÑOZ</v>
      </c>
      <c r="K1927" s="89" t="str">
        <f>IFERROR(IF(VLOOKUP(I1927,Ingreso!K:P,6,0)=0,"Sin turtno ing",VLOOKUP(I1927,Ingreso!K:P,6,0)),IF(F1927&gt;0.25,IF(F1927&lt;0.311805555555556,"Turno A",IF(F1927&gt;0.3125,IF(F1927&lt;0.354166666666667,"Turno C",IF(F1927&gt;0.583333333333333,IF(F1927&lt;0.625,"Turno B",IF(F1927&gt;0.625694444444444,IF(F1927&lt;0.8125,"Turno A",IF(F1927&gt;0.875,IF(F1927&lt;0.936805555555556,"Turno C",IF(F1927&gt;0.9375,IF(F1927&lt;0.979166666666667,"Turno B",""),"")),"")),"")),"")),"")),""))</f>
        <v>Sin turtno ing</v>
      </c>
      <c r="L1927" s="91" t="e">
        <f t="shared" si="30"/>
        <v>#N/A</v>
      </c>
    </row>
    <row r="1928" spans="1:12" s="40" customFormat="1">
      <c r="A1928">
        <v>17002272</v>
      </c>
      <c r="B1928" t="s">
        <v>439</v>
      </c>
      <c r="C1928" t="s">
        <v>438</v>
      </c>
      <c r="D1928" t="s">
        <v>33</v>
      </c>
      <c r="E1928" t="s">
        <v>1439</v>
      </c>
      <c r="F1928" s="78">
        <v>0.64109953703703704</v>
      </c>
      <c r="G1928" t="s">
        <v>1406</v>
      </c>
      <c r="H1928" t="s">
        <v>1336</v>
      </c>
      <c r="I1928" s="88" t="str">
        <f>VLOOKUP(A1928,Base!A:B,2,0)</f>
        <v>17.002.272-6</v>
      </c>
      <c r="J1928" s="99" t="str">
        <f>VLOOKUP(A1928,Base!A:F,6,0)</f>
        <v>JUAN DIEGO ALEXIS  GARCES  MUÑOZ</v>
      </c>
      <c r="K1928" s="89" t="str">
        <f>IFERROR(IF(VLOOKUP(I1928,Ingreso!K:P,6,0)=0,"Sin turtno ing",VLOOKUP(I1928,Ingreso!K:P,6,0)),IF(F1928&gt;0.25,IF(F1928&lt;0.311805555555556,"Turno A",IF(F1928&gt;0.3125,IF(F1928&lt;0.354166666666667,"Turno C",IF(F1928&gt;0.583333333333333,IF(F1928&lt;0.625,"Turno B",IF(F1928&gt;0.625694444444444,IF(F1928&lt;0.8125,"Turno A",IF(F1928&gt;0.875,IF(F1928&lt;0.936805555555556,"Turno C",IF(F1928&gt;0.9375,IF(F1928&lt;0.979166666666667,"Turno B",""),"")),"")),"")),"")),"")),""))</f>
        <v>Sin turtno ing</v>
      </c>
      <c r="L1928" s="91" t="e">
        <f t="shared" si="30"/>
        <v>#N/A</v>
      </c>
    </row>
    <row r="1929" spans="1:12" s="40" customFormat="1">
      <c r="A1929">
        <v>17002272</v>
      </c>
      <c r="B1929" t="s">
        <v>439</v>
      </c>
      <c r="C1929" t="s">
        <v>438</v>
      </c>
      <c r="D1929" t="s">
        <v>33</v>
      </c>
      <c r="E1929" t="s">
        <v>1439</v>
      </c>
      <c r="F1929" s="78">
        <v>0.31201388888888887</v>
      </c>
      <c r="G1929" t="s">
        <v>1405</v>
      </c>
      <c r="H1929" t="s">
        <v>1335</v>
      </c>
      <c r="I1929" s="88" t="str">
        <f>VLOOKUP(A1929,Base!A:B,2,0)</f>
        <v>17.002.272-6</v>
      </c>
      <c r="J1929" s="99" t="str">
        <f>VLOOKUP(A1929,Base!A:F,6,0)</f>
        <v>JUAN DIEGO ALEXIS  GARCES  MUÑOZ</v>
      </c>
      <c r="K1929" s="89" t="str">
        <f>IFERROR(IF(VLOOKUP(I1929,Ingreso!K:P,6,0)=0,"Sin turtno ing",VLOOKUP(I1929,Ingreso!K:P,6,0)),IF(F1929&gt;0.25,IF(F1929&lt;0.311805555555556,"Turno A",IF(F1929&gt;0.3125,IF(F1929&lt;0.354166666666667,"Turno C",IF(F1929&gt;0.583333333333333,IF(F1929&lt;0.625,"Turno B",IF(F1929&gt;0.625694444444444,IF(F1929&lt;0.8125,"Turno A",IF(F1929&gt;0.875,IF(F1929&lt;0.936805555555556,"Turno C",IF(F1929&gt;0.9375,IF(F1929&lt;0.979166666666667,"Turno B",""),"")),"")),"")),"")),"")),""))</f>
        <v>Sin turtno ing</v>
      </c>
      <c r="L1929" s="91" t="e">
        <f t="shared" si="30"/>
        <v>#N/A</v>
      </c>
    </row>
    <row r="1930" spans="1:12" s="40" customFormat="1">
      <c r="A1930">
        <v>17065312</v>
      </c>
      <c r="B1930" t="s">
        <v>434</v>
      </c>
      <c r="C1930" t="s">
        <v>313</v>
      </c>
      <c r="D1930" t="s">
        <v>244</v>
      </c>
      <c r="E1930" t="s">
        <v>1440</v>
      </c>
      <c r="F1930" s="78">
        <v>0.65600694444444441</v>
      </c>
      <c r="G1930" t="s">
        <v>1406</v>
      </c>
      <c r="H1930" t="s">
        <v>1336</v>
      </c>
      <c r="I1930" s="88" t="str">
        <f>VLOOKUP(A1930,Base!A:B,2,0)</f>
        <v>17.065.312-2</v>
      </c>
      <c r="J1930" s="99" t="str">
        <f>VLOOKUP(A1930,Base!A:F,6,0)</f>
        <v>ARIEL ALFREDO  GALVEZ  CERNA</v>
      </c>
      <c r="K1930" s="89" t="str">
        <f>IFERROR(IF(VLOOKUP(I1930,Ingreso!K:P,6,0)=0,"Sin turtno ing",VLOOKUP(I1930,Ingreso!K:P,6,0)),IF(F1930&gt;0.25,IF(F1930&lt;0.311805555555556,"Turno A",IF(F1930&gt;0.3125,IF(F1930&lt;0.354166666666667,"Turno C",IF(F1930&gt;0.583333333333333,IF(F1930&lt;0.625,"Turno B",IF(F1930&gt;0.625694444444444,IF(F1930&lt;0.8125,"Turno A",IF(F1930&gt;0.875,IF(F1930&lt;0.936805555555556,"Turno C",IF(F1930&gt;0.9375,IF(F1930&lt;0.979166666666667,"Turno B",""),"")),"")),"")),"")),"")),""))</f>
        <v>Turno A</v>
      </c>
      <c r="L1930" s="91">
        <f t="shared" si="30"/>
        <v>0.3125</v>
      </c>
    </row>
    <row r="1931" spans="1:12" s="40" customFormat="1">
      <c r="A1931">
        <v>17065312</v>
      </c>
      <c r="B1931" t="s">
        <v>434</v>
      </c>
      <c r="C1931" t="s">
        <v>313</v>
      </c>
      <c r="D1931" t="s">
        <v>244</v>
      </c>
      <c r="E1931" t="s">
        <v>1440</v>
      </c>
      <c r="F1931" s="78">
        <v>0.30420138888888887</v>
      </c>
      <c r="G1931" t="s">
        <v>1405</v>
      </c>
      <c r="H1931" t="s">
        <v>1335</v>
      </c>
      <c r="I1931" s="88" t="str">
        <f>VLOOKUP(A1931,Base!A:B,2,0)</f>
        <v>17.065.312-2</v>
      </c>
      <c r="J1931" s="99" t="str">
        <f>VLOOKUP(A1931,Base!A:F,6,0)</f>
        <v>ARIEL ALFREDO  GALVEZ  CERNA</v>
      </c>
      <c r="K1931" s="89" t="str">
        <f>IFERROR(IF(VLOOKUP(I1931,Ingreso!K:P,6,0)=0,"Sin turtno ing",VLOOKUP(I1931,Ingreso!K:P,6,0)),IF(F1931&gt;0.25,IF(F1931&lt;0.311805555555556,"Turno A",IF(F1931&gt;0.3125,IF(F1931&lt;0.354166666666667,"Turno C",IF(F1931&gt;0.583333333333333,IF(F1931&lt;0.625,"Turno B",IF(F1931&gt;0.625694444444444,IF(F1931&lt;0.8125,"Turno A",IF(F1931&gt;0.875,IF(F1931&lt;0.936805555555556,"Turno C",IF(F1931&gt;0.9375,IF(F1931&lt;0.979166666666667,"Turno B",""),"")),"")),"")),"")),"")),""))</f>
        <v>Turno A</v>
      </c>
      <c r="L1931" s="91">
        <f t="shared" si="30"/>
        <v>0.3125</v>
      </c>
    </row>
    <row r="1932" spans="1:12" s="40" customFormat="1">
      <c r="A1932">
        <v>17065312</v>
      </c>
      <c r="B1932" t="s">
        <v>434</v>
      </c>
      <c r="C1932" t="s">
        <v>313</v>
      </c>
      <c r="D1932" t="s">
        <v>244</v>
      </c>
      <c r="E1932" t="s">
        <v>1441</v>
      </c>
      <c r="F1932" s="78">
        <v>0.48568287037037039</v>
      </c>
      <c r="G1932" t="s">
        <v>1406</v>
      </c>
      <c r="H1932" t="s">
        <v>1336</v>
      </c>
      <c r="I1932" s="88" t="str">
        <f>VLOOKUP(A1932,Base!A:B,2,0)</f>
        <v>17.065.312-2</v>
      </c>
      <c r="J1932" s="99" t="str">
        <f>VLOOKUP(A1932,Base!A:F,6,0)</f>
        <v>ARIEL ALFREDO  GALVEZ  CERNA</v>
      </c>
      <c r="K1932" s="89" t="str">
        <f>IFERROR(IF(VLOOKUP(I1932,Ingreso!K:P,6,0)=0,"Sin turtno ing",VLOOKUP(I1932,Ingreso!K:P,6,0)),IF(F1932&gt;0.25,IF(F1932&lt;0.311805555555556,"Turno A",IF(F1932&gt;0.3125,IF(F1932&lt;0.354166666666667,"Turno C",IF(F1932&gt;0.583333333333333,IF(F1932&lt;0.625,"Turno B",IF(F1932&gt;0.625694444444444,IF(F1932&lt;0.8125,"Turno A",IF(F1932&gt;0.875,IF(F1932&lt;0.936805555555556,"Turno C",IF(F1932&gt;0.9375,IF(F1932&lt;0.979166666666667,"Turno B",""),"")),"")),"")),"")),"")),""))</f>
        <v/>
      </c>
      <c r="L1932" s="91" t="e">
        <f t="shared" si="30"/>
        <v>#N/A</v>
      </c>
    </row>
    <row r="1933" spans="1:12" s="40" customFormat="1">
      <c r="A1933">
        <v>17065312</v>
      </c>
      <c r="B1933" t="s">
        <v>434</v>
      </c>
      <c r="C1933" t="s">
        <v>313</v>
      </c>
      <c r="D1933" t="s">
        <v>244</v>
      </c>
      <c r="E1933" t="s">
        <v>1441</v>
      </c>
      <c r="F1933" s="78">
        <v>0.33946759259259257</v>
      </c>
      <c r="G1933" t="s">
        <v>1405</v>
      </c>
      <c r="H1933" t="s">
        <v>1335</v>
      </c>
      <c r="I1933" s="88" t="str">
        <f>VLOOKUP(A1933,Base!A:B,2,0)</f>
        <v>17.065.312-2</v>
      </c>
      <c r="J1933" s="99" t="str">
        <f>VLOOKUP(A1933,Base!A:F,6,0)</f>
        <v>ARIEL ALFREDO  GALVEZ  CERNA</v>
      </c>
      <c r="K1933" s="89" t="str">
        <f>IFERROR(IF(VLOOKUP(I1933,Ingreso!K:P,6,0)=0,"Sin turtno ing",VLOOKUP(I1933,Ingreso!K:P,6,0)),IF(F1933&gt;0.25,IF(F1933&lt;0.311805555555556,"Turno A",IF(F1933&gt;0.3125,IF(F1933&lt;0.354166666666667,"Turno C",IF(F1933&gt;0.583333333333333,IF(F1933&lt;0.625,"Turno B",IF(F1933&gt;0.625694444444444,IF(F1933&lt;0.8125,"Turno A",IF(F1933&gt;0.875,IF(F1933&lt;0.936805555555556,"Turno C",IF(F1933&gt;0.9375,IF(F1933&lt;0.979166666666667,"Turno B",""),"")),"")),"")),"")),"")),""))</f>
        <v>Turno C</v>
      </c>
      <c r="L1933" s="91">
        <f t="shared" si="30"/>
        <v>0.375</v>
      </c>
    </row>
    <row r="1934" spans="1:12" s="40" customFormat="1">
      <c r="A1934">
        <v>17065312</v>
      </c>
      <c r="B1934" t="s">
        <v>434</v>
      </c>
      <c r="C1934" t="s">
        <v>313</v>
      </c>
      <c r="D1934" t="s">
        <v>244</v>
      </c>
      <c r="E1934" t="s">
        <v>1437</v>
      </c>
      <c r="F1934" s="78">
        <v>0.86796296296296294</v>
      </c>
      <c r="G1934" t="s">
        <v>1406</v>
      </c>
      <c r="H1934" t="s">
        <v>1336</v>
      </c>
      <c r="I1934" s="88" t="str">
        <f>VLOOKUP(A1934,Base!A:B,2,0)</f>
        <v>17.065.312-2</v>
      </c>
      <c r="J1934" s="99" t="str">
        <f>VLOOKUP(A1934,Base!A:F,6,0)</f>
        <v>ARIEL ALFREDO  GALVEZ  CERNA</v>
      </c>
      <c r="K1934" s="89" t="str">
        <f>IFERROR(IF(VLOOKUP(I1934,Ingreso!K:P,6,0)=0,"Sin turtno ing",VLOOKUP(I1934,Ingreso!K:P,6,0)),IF(F1934&gt;0.25,IF(F1934&lt;0.311805555555556,"Turno A",IF(F1934&gt;0.3125,IF(F1934&lt;0.354166666666667,"Turno C",IF(F1934&gt;0.583333333333333,IF(F1934&lt;0.625,"Turno B",IF(F1934&gt;0.625694444444444,IF(F1934&lt;0.8125,"Turno A",IF(F1934&gt;0.875,IF(F1934&lt;0.936805555555556,"Turno C",IF(F1934&gt;0.9375,IF(F1934&lt;0.979166666666667,"Turno B",""),"")),"")),"")),"")),"")),""))</f>
        <v/>
      </c>
      <c r="L1934" s="91" t="e">
        <f t="shared" si="30"/>
        <v>#N/A</v>
      </c>
    </row>
    <row r="1935" spans="1:12" s="40" customFormat="1">
      <c r="A1935">
        <v>17065312</v>
      </c>
      <c r="B1935" t="s">
        <v>434</v>
      </c>
      <c r="C1935" t="s">
        <v>313</v>
      </c>
      <c r="D1935" t="s">
        <v>244</v>
      </c>
      <c r="E1935" t="s">
        <v>1437</v>
      </c>
      <c r="F1935" s="78">
        <v>0.62229166666666669</v>
      </c>
      <c r="G1935" t="s">
        <v>1405</v>
      </c>
      <c r="H1935" t="s">
        <v>1335</v>
      </c>
      <c r="I1935" s="88" t="str">
        <f>VLOOKUP(A1935,Base!A:B,2,0)</f>
        <v>17.065.312-2</v>
      </c>
      <c r="J1935" s="99" t="str">
        <f>VLOOKUP(A1935,Base!A:F,6,0)</f>
        <v>ARIEL ALFREDO  GALVEZ  CERNA</v>
      </c>
      <c r="K1935" s="89" t="str">
        <f>IFERROR(IF(VLOOKUP(I1935,Ingreso!K:P,6,0)=0,"Sin turtno ing",VLOOKUP(I1935,Ingreso!K:P,6,0)),IF(F1935&gt;0.25,IF(F1935&lt;0.311805555555556,"Turno A",IF(F1935&gt;0.3125,IF(F1935&lt;0.354166666666667,"Turno C",IF(F1935&gt;0.583333333333333,IF(F1935&lt;0.625,"Turno B",IF(F1935&gt;0.625694444444444,IF(F1935&lt;0.8125,"Turno A",IF(F1935&gt;0.875,IF(F1935&lt;0.936805555555556,"Turno C",IF(F1935&gt;0.9375,IF(F1935&lt;0.979166666666667,"Turno B",""),"")),"")),"")),"")),"")),""))</f>
        <v>Turno B</v>
      </c>
      <c r="L1935" s="91">
        <f t="shared" si="30"/>
        <v>0.3125</v>
      </c>
    </row>
    <row r="1936" spans="1:12" s="40" customFormat="1">
      <c r="A1936">
        <v>17065312</v>
      </c>
      <c r="B1936" t="s">
        <v>434</v>
      </c>
      <c r="C1936" t="s">
        <v>313</v>
      </c>
      <c r="D1936" t="s">
        <v>244</v>
      </c>
      <c r="E1936" t="s">
        <v>1438</v>
      </c>
      <c r="F1936" s="78">
        <v>0.5784259259259259</v>
      </c>
      <c r="G1936" t="s">
        <v>1406</v>
      </c>
      <c r="H1936" t="s">
        <v>1336</v>
      </c>
      <c r="I1936" s="88" t="str">
        <f>VLOOKUP(A1936,Base!A:B,2,0)</f>
        <v>17.065.312-2</v>
      </c>
      <c r="J1936" s="99" t="str">
        <f>VLOOKUP(A1936,Base!A:F,6,0)</f>
        <v>ARIEL ALFREDO  GALVEZ  CERNA</v>
      </c>
      <c r="K1936" s="89" t="str">
        <f>IFERROR(IF(VLOOKUP(I1936,Ingreso!K:P,6,0)=0,"Sin turtno ing",VLOOKUP(I1936,Ingreso!K:P,6,0)),IF(F1936&gt;0.25,IF(F1936&lt;0.311805555555556,"Turno A",IF(F1936&gt;0.3125,IF(F1936&lt;0.354166666666667,"Turno C",IF(F1936&gt;0.583333333333333,IF(F1936&lt;0.625,"Turno B",IF(F1936&gt;0.625694444444444,IF(F1936&lt;0.8125,"Turno A",IF(F1936&gt;0.875,IF(F1936&lt;0.936805555555556,"Turno C",IF(F1936&gt;0.9375,IF(F1936&lt;0.979166666666667,"Turno B",""),"")),"")),"")),"")),"")),""))</f>
        <v/>
      </c>
      <c r="L1936" s="91" t="e">
        <f t="shared" si="30"/>
        <v>#N/A</v>
      </c>
    </row>
    <row r="1937" spans="1:12" s="40" customFormat="1">
      <c r="A1937">
        <v>17065312</v>
      </c>
      <c r="B1937" t="s">
        <v>434</v>
      </c>
      <c r="C1937" t="s">
        <v>313</v>
      </c>
      <c r="D1937" t="s">
        <v>244</v>
      </c>
      <c r="E1937" t="s">
        <v>1438</v>
      </c>
      <c r="F1937" s="78">
        <v>0.30476851851851855</v>
      </c>
      <c r="G1937" t="s">
        <v>1405</v>
      </c>
      <c r="H1937" t="s">
        <v>1335</v>
      </c>
      <c r="I1937" s="88" t="str">
        <f>VLOOKUP(A1937,Base!A:B,2,0)</f>
        <v>17.065.312-2</v>
      </c>
      <c r="J1937" s="99" t="str">
        <f>VLOOKUP(A1937,Base!A:F,6,0)</f>
        <v>ARIEL ALFREDO  GALVEZ  CERNA</v>
      </c>
      <c r="K1937" s="89" t="str">
        <f>IFERROR(IF(VLOOKUP(I1937,Ingreso!K:P,6,0)=0,"Sin turtno ing",VLOOKUP(I1937,Ingreso!K:P,6,0)),IF(F1937&gt;0.25,IF(F1937&lt;0.311805555555556,"Turno A",IF(F1937&gt;0.3125,IF(F1937&lt;0.354166666666667,"Turno C",IF(F1937&gt;0.583333333333333,IF(F1937&lt;0.625,"Turno B",IF(F1937&gt;0.625694444444444,IF(F1937&lt;0.8125,"Turno A",IF(F1937&gt;0.875,IF(F1937&lt;0.936805555555556,"Turno C",IF(F1937&gt;0.9375,IF(F1937&lt;0.979166666666667,"Turno B",""),"")),"")),"")),"")),"")),""))</f>
        <v>Turno A</v>
      </c>
      <c r="L1937" s="91">
        <f t="shared" si="30"/>
        <v>0.3125</v>
      </c>
    </row>
    <row r="1938" spans="1:12" s="40" customFormat="1">
      <c r="A1938">
        <v>17065312</v>
      </c>
      <c r="B1938" t="s">
        <v>434</v>
      </c>
      <c r="C1938" t="s">
        <v>313</v>
      </c>
      <c r="D1938" t="s">
        <v>244</v>
      </c>
      <c r="E1938" t="s">
        <v>1439</v>
      </c>
      <c r="F1938" s="78">
        <v>0.92423611111111115</v>
      </c>
      <c r="G1938" t="s">
        <v>1406</v>
      </c>
      <c r="H1938" t="s">
        <v>1336</v>
      </c>
      <c r="I1938" s="88" t="str">
        <f>VLOOKUP(A1938,Base!A:B,2,0)</f>
        <v>17.065.312-2</v>
      </c>
      <c r="J1938" s="99" t="str">
        <f>VLOOKUP(A1938,Base!A:F,6,0)</f>
        <v>ARIEL ALFREDO  GALVEZ  CERNA</v>
      </c>
      <c r="K1938" s="89" t="str">
        <f>IFERROR(IF(VLOOKUP(I1938,Ingreso!K:P,6,0)=0,"Sin turtno ing",VLOOKUP(I1938,Ingreso!K:P,6,0)),IF(F1938&gt;0.25,IF(F1938&lt;0.311805555555556,"Turno A",IF(F1938&gt;0.3125,IF(F1938&lt;0.354166666666667,"Turno C",IF(F1938&gt;0.583333333333333,IF(F1938&lt;0.625,"Turno B",IF(F1938&gt;0.625694444444444,IF(F1938&lt;0.8125,"Turno A",IF(F1938&gt;0.875,IF(F1938&lt;0.936805555555556,"Turno C",IF(F1938&gt;0.9375,IF(F1938&lt;0.979166666666667,"Turno B",""),"")),"")),"")),"")),"")),""))</f>
        <v>Turno C</v>
      </c>
      <c r="L1938" s="91">
        <f t="shared" si="30"/>
        <v>0.375</v>
      </c>
    </row>
    <row r="1939" spans="1:12" s="40" customFormat="1">
      <c r="A1939">
        <v>17065312</v>
      </c>
      <c r="B1939" t="s">
        <v>434</v>
      </c>
      <c r="C1939" t="s">
        <v>313</v>
      </c>
      <c r="D1939" t="s">
        <v>244</v>
      </c>
      <c r="E1939" t="s">
        <v>1439</v>
      </c>
      <c r="F1939" s="78">
        <v>0.60415509259259259</v>
      </c>
      <c r="G1939" t="s">
        <v>1405</v>
      </c>
      <c r="H1939" t="s">
        <v>1335</v>
      </c>
      <c r="I1939" s="88" t="str">
        <f>VLOOKUP(A1939,Base!A:B,2,0)</f>
        <v>17.065.312-2</v>
      </c>
      <c r="J1939" s="99" t="str">
        <f>VLOOKUP(A1939,Base!A:F,6,0)</f>
        <v>ARIEL ALFREDO  GALVEZ  CERNA</v>
      </c>
      <c r="K1939" s="89" t="str">
        <f>IFERROR(IF(VLOOKUP(I1939,Ingreso!K:P,6,0)=0,"Sin turtno ing",VLOOKUP(I1939,Ingreso!K:P,6,0)),IF(F1939&gt;0.25,IF(F1939&lt;0.311805555555556,"Turno A",IF(F1939&gt;0.3125,IF(F1939&lt;0.354166666666667,"Turno C",IF(F1939&gt;0.583333333333333,IF(F1939&lt;0.625,"Turno B",IF(F1939&gt;0.625694444444444,IF(F1939&lt;0.8125,"Turno A",IF(F1939&gt;0.875,IF(F1939&lt;0.936805555555556,"Turno C",IF(F1939&gt;0.9375,IF(F1939&lt;0.979166666666667,"Turno B",""),"")),"")),"")),"")),"")),""))</f>
        <v>Turno B</v>
      </c>
      <c r="L1939" s="91">
        <f t="shared" si="30"/>
        <v>0.3125</v>
      </c>
    </row>
    <row r="1940" spans="1:12" s="40" customFormat="1">
      <c r="A1940">
        <v>17245009</v>
      </c>
      <c r="B1940" t="s">
        <v>787</v>
      </c>
      <c r="C1940" t="s">
        <v>847</v>
      </c>
      <c r="D1940" t="s">
        <v>925</v>
      </c>
      <c r="E1940" t="s">
        <v>1407</v>
      </c>
      <c r="F1940" s="78">
        <v>0</v>
      </c>
      <c r="G1940"/>
      <c r="H1940"/>
      <c r="I1940" s="88" t="str">
        <f>VLOOKUP(A1940,Base!A:B,2,0)</f>
        <v>17.245.009-1</v>
      </c>
      <c r="J1940" s="99" t="str">
        <f>VLOOKUP(A1940,Base!A:F,6,0)</f>
        <v>RODRIGO ALEJANDRO  ROJAS  SALAMANCA</v>
      </c>
      <c r="K1940" s="89" t="str">
        <f>IFERROR(IF(VLOOKUP(I1940,Ingreso!K:P,6,0)=0,"Sin turtno ing",VLOOKUP(I1940,Ingreso!K:P,6,0)),IF(F1940&gt;0.25,IF(F1940&lt;0.311805555555556,"Turno A",IF(F1940&gt;0.3125,IF(F1940&lt;0.354166666666667,"Turno C",IF(F1940&gt;0.583333333333333,IF(F1940&lt;0.625,"Turno B",IF(F1940&gt;0.625694444444444,IF(F1940&lt;0.8125,"Turno A",IF(F1940&gt;0.875,IF(F1940&lt;0.936805555555556,"Turno C",IF(F1940&gt;0.9375,IF(F1940&lt;0.979166666666667,"Turno B",""),"")),"")),"")),"")),"")),""))</f>
        <v>Sin turtno ing</v>
      </c>
      <c r="L1940" s="91" t="e">
        <f t="shared" si="30"/>
        <v>#N/A</v>
      </c>
    </row>
    <row r="1941" spans="1:12" s="40" customFormat="1">
      <c r="A1941">
        <v>17542884</v>
      </c>
      <c r="B1941" t="s">
        <v>239</v>
      </c>
      <c r="C1941" t="s">
        <v>237</v>
      </c>
      <c r="D1941" t="s">
        <v>238</v>
      </c>
      <c r="E1941" t="s">
        <v>1440</v>
      </c>
      <c r="F1941" s="78">
        <v>0.64249999999999996</v>
      </c>
      <c r="G1941" t="s">
        <v>1406</v>
      </c>
      <c r="H1941" t="s">
        <v>1336</v>
      </c>
      <c r="I1941" s="88" t="str">
        <f>VLOOKUP(A1941,Base!A:B,2,0)</f>
        <v>17.542.884-4</v>
      </c>
      <c r="J1941" s="99" t="str">
        <f>VLOOKUP(A1941,Base!A:F,6,0)</f>
        <v>FRANCISCO JAVIER  CASTILLO  AHUMADA</v>
      </c>
      <c r="K1941" s="89" t="str">
        <f>IFERROR(IF(VLOOKUP(I1941,Ingreso!K:P,6,0)=0,"Sin turtno ing",VLOOKUP(I1941,Ingreso!K:P,6,0)),IF(F1941&gt;0.25,IF(F1941&lt;0.311805555555556,"Turno A",IF(F1941&gt;0.3125,IF(F1941&lt;0.354166666666667,"Turno C",IF(F1941&gt;0.583333333333333,IF(F1941&lt;0.625,"Turno B",IF(F1941&gt;0.625694444444444,IF(F1941&lt;0.8125,"Turno A",IF(F1941&gt;0.875,IF(F1941&lt;0.936805555555556,"Turno C",IF(F1941&gt;0.9375,IF(F1941&lt;0.979166666666667,"Turno B",""),"")),"")),"")),"")),"")),""))</f>
        <v>Turno A</v>
      </c>
      <c r="L1941" s="91">
        <f t="shared" si="30"/>
        <v>0.3125</v>
      </c>
    </row>
    <row r="1942" spans="1:12" s="40" customFormat="1">
      <c r="A1942">
        <v>17542884</v>
      </c>
      <c r="B1942" t="s">
        <v>239</v>
      </c>
      <c r="C1942" t="s">
        <v>237</v>
      </c>
      <c r="D1942" t="s">
        <v>238</v>
      </c>
      <c r="E1942" t="s">
        <v>1440</v>
      </c>
      <c r="F1942" s="78">
        <v>0.29671296296296296</v>
      </c>
      <c r="G1942" t="s">
        <v>1405</v>
      </c>
      <c r="H1942" t="s">
        <v>1335</v>
      </c>
      <c r="I1942" s="88" t="str">
        <f>VLOOKUP(A1942,Base!A:B,2,0)</f>
        <v>17.542.884-4</v>
      </c>
      <c r="J1942" s="99" t="str">
        <f>VLOOKUP(A1942,Base!A:F,6,0)</f>
        <v>FRANCISCO JAVIER  CASTILLO  AHUMADA</v>
      </c>
      <c r="K1942" s="89" t="str">
        <f>IFERROR(IF(VLOOKUP(I1942,Ingreso!K:P,6,0)=0,"Sin turtno ing",VLOOKUP(I1942,Ingreso!K:P,6,0)),IF(F1942&gt;0.25,IF(F1942&lt;0.311805555555556,"Turno A",IF(F1942&gt;0.3125,IF(F1942&lt;0.354166666666667,"Turno C",IF(F1942&gt;0.583333333333333,IF(F1942&lt;0.625,"Turno B",IF(F1942&gt;0.625694444444444,IF(F1942&lt;0.8125,"Turno A",IF(F1942&gt;0.875,IF(F1942&lt;0.936805555555556,"Turno C",IF(F1942&gt;0.9375,IF(F1942&lt;0.979166666666667,"Turno B",""),"")),"")),"")),"")),"")),""))</f>
        <v>Turno A</v>
      </c>
      <c r="L1942" s="91">
        <f t="shared" si="30"/>
        <v>0.3125</v>
      </c>
    </row>
    <row r="1943" spans="1:12" s="40" customFormat="1">
      <c r="A1943">
        <v>17542884</v>
      </c>
      <c r="B1943" t="s">
        <v>239</v>
      </c>
      <c r="C1943" t="s">
        <v>237</v>
      </c>
      <c r="D1943" t="s">
        <v>238</v>
      </c>
      <c r="E1943" t="s">
        <v>1441</v>
      </c>
      <c r="F1943" s="78">
        <v>0.64722222222222225</v>
      </c>
      <c r="G1943" t="s">
        <v>1406</v>
      </c>
      <c r="H1943" t="s">
        <v>1336</v>
      </c>
      <c r="I1943" s="88" t="str">
        <f>VLOOKUP(A1943,Base!A:B,2,0)</f>
        <v>17.542.884-4</v>
      </c>
      <c r="J1943" s="99" t="str">
        <f>VLOOKUP(A1943,Base!A:F,6,0)</f>
        <v>FRANCISCO JAVIER  CASTILLO  AHUMADA</v>
      </c>
      <c r="K1943" s="89" t="str">
        <f>IFERROR(IF(VLOOKUP(I1943,Ingreso!K:P,6,0)=0,"Sin turtno ing",VLOOKUP(I1943,Ingreso!K:P,6,0)),IF(F1943&gt;0.25,IF(F1943&lt;0.311805555555556,"Turno A",IF(F1943&gt;0.3125,IF(F1943&lt;0.354166666666667,"Turno C",IF(F1943&gt;0.583333333333333,IF(F1943&lt;0.625,"Turno B",IF(F1943&gt;0.625694444444444,IF(F1943&lt;0.8125,"Turno A",IF(F1943&gt;0.875,IF(F1943&lt;0.936805555555556,"Turno C",IF(F1943&gt;0.9375,IF(F1943&lt;0.979166666666667,"Turno B",""),"")),"")),"")),"")),"")),""))</f>
        <v>Turno A</v>
      </c>
      <c r="L1943" s="91">
        <f t="shared" si="30"/>
        <v>0.3125</v>
      </c>
    </row>
    <row r="1944" spans="1:12" s="40" customFormat="1">
      <c r="A1944">
        <v>17542884</v>
      </c>
      <c r="B1944" t="s">
        <v>239</v>
      </c>
      <c r="C1944" t="s">
        <v>237</v>
      </c>
      <c r="D1944" t="s">
        <v>238</v>
      </c>
      <c r="E1944" t="s">
        <v>1441</v>
      </c>
      <c r="F1944" s="78">
        <v>0.30038194444444444</v>
      </c>
      <c r="G1944" t="s">
        <v>1405</v>
      </c>
      <c r="H1944" t="s">
        <v>1335</v>
      </c>
      <c r="I1944" s="88" t="str">
        <f>VLOOKUP(A1944,Base!A:B,2,0)</f>
        <v>17.542.884-4</v>
      </c>
      <c r="J1944" s="99" t="str">
        <f>VLOOKUP(A1944,Base!A:F,6,0)</f>
        <v>FRANCISCO JAVIER  CASTILLO  AHUMADA</v>
      </c>
      <c r="K1944" s="89" t="str">
        <f>IFERROR(IF(VLOOKUP(I1944,Ingreso!K:P,6,0)=0,"Sin turtno ing",VLOOKUP(I1944,Ingreso!K:P,6,0)),IF(F1944&gt;0.25,IF(F1944&lt;0.311805555555556,"Turno A",IF(F1944&gt;0.3125,IF(F1944&lt;0.354166666666667,"Turno C",IF(F1944&gt;0.583333333333333,IF(F1944&lt;0.625,"Turno B",IF(F1944&gt;0.625694444444444,IF(F1944&lt;0.8125,"Turno A",IF(F1944&gt;0.875,IF(F1944&lt;0.936805555555556,"Turno C",IF(F1944&gt;0.9375,IF(F1944&lt;0.979166666666667,"Turno B",""),"")),"")),"")),"")),"")),""))</f>
        <v>Turno A</v>
      </c>
      <c r="L1944" s="91">
        <f t="shared" si="30"/>
        <v>0.3125</v>
      </c>
    </row>
    <row r="1945" spans="1:12" s="40" customFormat="1">
      <c r="A1945">
        <v>17542884</v>
      </c>
      <c r="B1945" t="s">
        <v>239</v>
      </c>
      <c r="C1945" t="s">
        <v>237</v>
      </c>
      <c r="D1945" t="s">
        <v>238</v>
      </c>
      <c r="E1945" t="s">
        <v>1437</v>
      </c>
      <c r="F1945" s="78">
        <v>0.64103009259259258</v>
      </c>
      <c r="G1945" t="s">
        <v>1406</v>
      </c>
      <c r="H1945" t="s">
        <v>1336</v>
      </c>
      <c r="I1945" s="88" t="str">
        <f>VLOOKUP(A1945,Base!A:B,2,0)</f>
        <v>17.542.884-4</v>
      </c>
      <c r="J1945" s="99" t="str">
        <f>VLOOKUP(A1945,Base!A:F,6,0)</f>
        <v>FRANCISCO JAVIER  CASTILLO  AHUMADA</v>
      </c>
      <c r="K1945" s="89" t="str">
        <f>IFERROR(IF(VLOOKUP(I1945,Ingreso!K:P,6,0)=0,"Sin turtno ing",VLOOKUP(I1945,Ingreso!K:P,6,0)),IF(F1945&gt;0.25,IF(F1945&lt;0.311805555555556,"Turno A",IF(F1945&gt;0.3125,IF(F1945&lt;0.354166666666667,"Turno C",IF(F1945&gt;0.583333333333333,IF(F1945&lt;0.625,"Turno B",IF(F1945&gt;0.625694444444444,IF(F1945&lt;0.8125,"Turno A",IF(F1945&gt;0.875,IF(F1945&lt;0.936805555555556,"Turno C",IF(F1945&gt;0.9375,IF(F1945&lt;0.979166666666667,"Turno B",""),"")),"")),"")),"")),"")),""))</f>
        <v>Turno A</v>
      </c>
      <c r="L1945" s="91">
        <f t="shared" si="30"/>
        <v>0.3125</v>
      </c>
    </row>
    <row r="1946" spans="1:12" s="40" customFormat="1">
      <c r="A1946">
        <v>17542884</v>
      </c>
      <c r="B1946" t="s">
        <v>239</v>
      </c>
      <c r="C1946" t="s">
        <v>237</v>
      </c>
      <c r="D1946" t="s">
        <v>238</v>
      </c>
      <c r="E1946" t="s">
        <v>1437</v>
      </c>
      <c r="F1946" s="78">
        <v>0.2955787037037037</v>
      </c>
      <c r="G1946" t="s">
        <v>1405</v>
      </c>
      <c r="H1946" t="s">
        <v>1335</v>
      </c>
      <c r="I1946" s="88" t="str">
        <f>VLOOKUP(A1946,Base!A:B,2,0)</f>
        <v>17.542.884-4</v>
      </c>
      <c r="J1946" s="99" t="str">
        <f>VLOOKUP(A1946,Base!A:F,6,0)</f>
        <v>FRANCISCO JAVIER  CASTILLO  AHUMADA</v>
      </c>
      <c r="K1946" s="89" t="str">
        <f>IFERROR(IF(VLOOKUP(I1946,Ingreso!K:P,6,0)=0,"Sin turtno ing",VLOOKUP(I1946,Ingreso!K:P,6,0)),IF(F1946&gt;0.25,IF(F1946&lt;0.311805555555556,"Turno A",IF(F1946&gt;0.3125,IF(F1946&lt;0.354166666666667,"Turno C",IF(F1946&gt;0.583333333333333,IF(F1946&lt;0.625,"Turno B",IF(F1946&gt;0.625694444444444,IF(F1946&lt;0.8125,"Turno A",IF(F1946&gt;0.875,IF(F1946&lt;0.936805555555556,"Turno C",IF(F1946&gt;0.9375,IF(F1946&lt;0.979166666666667,"Turno B",""),"")),"")),"")),"")),"")),""))</f>
        <v>Turno A</v>
      </c>
      <c r="L1946" s="91">
        <f t="shared" si="30"/>
        <v>0.3125</v>
      </c>
    </row>
    <row r="1947" spans="1:12" s="40" customFormat="1">
      <c r="A1947">
        <v>17542884</v>
      </c>
      <c r="B1947" t="s">
        <v>239</v>
      </c>
      <c r="C1947" t="s">
        <v>237</v>
      </c>
      <c r="D1947" t="s">
        <v>238</v>
      </c>
      <c r="E1947" t="s">
        <v>1438</v>
      </c>
      <c r="F1947" s="78">
        <v>0.63953703703703701</v>
      </c>
      <c r="G1947" t="s">
        <v>1406</v>
      </c>
      <c r="H1947" t="s">
        <v>1336</v>
      </c>
      <c r="I1947" s="88" t="str">
        <f>VLOOKUP(A1947,Base!A:B,2,0)</f>
        <v>17.542.884-4</v>
      </c>
      <c r="J1947" s="99" t="str">
        <f>VLOOKUP(A1947,Base!A:F,6,0)</f>
        <v>FRANCISCO JAVIER  CASTILLO  AHUMADA</v>
      </c>
      <c r="K1947" s="89" t="str">
        <f>IFERROR(IF(VLOOKUP(I1947,Ingreso!K:P,6,0)=0,"Sin turtno ing",VLOOKUP(I1947,Ingreso!K:P,6,0)),IF(F1947&gt;0.25,IF(F1947&lt;0.311805555555556,"Turno A",IF(F1947&gt;0.3125,IF(F1947&lt;0.354166666666667,"Turno C",IF(F1947&gt;0.583333333333333,IF(F1947&lt;0.625,"Turno B",IF(F1947&gt;0.625694444444444,IF(F1947&lt;0.8125,"Turno A",IF(F1947&gt;0.875,IF(F1947&lt;0.936805555555556,"Turno C",IF(F1947&gt;0.9375,IF(F1947&lt;0.979166666666667,"Turno B",""),"")),"")),"")),"")),"")),""))</f>
        <v>Turno A</v>
      </c>
      <c r="L1947" s="91">
        <f t="shared" si="30"/>
        <v>0.3125</v>
      </c>
    </row>
    <row r="1948" spans="1:12" s="40" customFormat="1">
      <c r="A1948">
        <v>17542884</v>
      </c>
      <c r="B1948" t="s">
        <v>239</v>
      </c>
      <c r="C1948" t="s">
        <v>237</v>
      </c>
      <c r="D1948" t="s">
        <v>238</v>
      </c>
      <c r="E1948" t="s">
        <v>1438</v>
      </c>
      <c r="F1948" s="78">
        <v>0.29537037037037034</v>
      </c>
      <c r="G1948" t="s">
        <v>1405</v>
      </c>
      <c r="H1948" t="s">
        <v>1335</v>
      </c>
      <c r="I1948" s="88" t="str">
        <f>VLOOKUP(A1948,Base!A:B,2,0)</f>
        <v>17.542.884-4</v>
      </c>
      <c r="J1948" s="99" t="str">
        <f>VLOOKUP(A1948,Base!A:F,6,0)</f>
        <v>FRANCISCO JAVIER  CASTILLO  AHUMADA</v>
      </c>
      <c r="K1948" s="89" t="str">
        <f>IFERROR(IF(VLOOKUP(I1948,Ingreso!K:P,6,0)=0,"Sin turtno ing",VLOOKUP(I1948,Ingreso!K:P,6,0)),IF(F1948&gt;0.25,IF(F1948&lt;0.311805555555556,"Turno A",IF(F1948&gt;0.3125,IF(F1948&lt;0.354166666666667,"Turno C",IF(F1948&gt;0.583333333333333,IF(F1948&lt;0.625,"Turno B",IF(F1948&gt;0.625694444444444,IF(F1948&lt;0.8125,"Turno A",IF(F1948&gt;0.875,IF(F1948&lt;0.936805555555556,"Turno C",IF(F1948&gt;0.9375,IF(F1948&lt;0.979166666666667,"Turno B",""),"")),"")),"")),"")),"")),""))</f>
        <v>Turno A</v>
      </c>
      <c r="L1948" s="91">
        <f t="shared" si="30"/>
        <v>0.3125</v>
      </c>
    </row>
    <row r="1949" spans="1:12" s="40" customFormat="1">
      <c r="A1949">
        <v>17542884</v>
      </c>
      <c r="B1949" t="s">
        <v>239</v>
      </c>
      <c r="C1949" t="s">
        <v>237</v>
      </c>
      <c r="D1949" t="s">
        <v>238</v>
      </c>
      <c r="E1949" t="s">
        <v>1439</v>
      </c>
      <c r="F1949" s="78">
        <v>0.64115740740740745</v>
      </c>
      <c r="G1949" t="s">
        <v>1406</v>
      </c>
      <c r="H1949" t="s">
        <v>1336</v>
      </c>
      <c r="I1949" s="88" t="str">
        <f>VLOOKUP(A1949,Base!A:B,2,0)</f>
        <v>17.542.884-4</v>
      </c>
      <c r="J1949" s="99" t="str">
        <f>VLOOKUP(A1949,Base!A:F,6,0)</f>
        <v>FRANCISCO JAVIER  CASTILLO  AHUMADA</v>
      </c>
      <c r="K1949" s="89" t="str">
        <f>IFERROR(IF(VLOOKUP(I1949,Ingreso!K:P,6,0)=0,"Sin turtno ing",VLOOKUP(I1949,Ingreso!K:P,6,0)),IF(F1949&gt;0.25,IF(F1949&lt;0.311805555555556,"Turno A",IF(F1949&gt;0.3125,IF(F1949&lt;0.354166666666667,"Turno C",IF(F1949&gt;0.583333333333333,IF(F1949&lt;0.625,"Turno B",IF(F1949&gt;0.625694444444444,IF(F1949&lt;0.8125,"Turno A",IF(F1949&gt;0.875,IF(F1949&lt;0.936805555555556,"Turno C",IF(F1949&gt;0.9375,IF(F1949&lt;0.979166666666667,"Turno B",""),"")),"")),"")),"")),"")),""))</f>
        <v>Turno A</v>
      </c>
      <c r="L1949" s="91">
        <f t="shared" si="30"/>
        <v>0.3125</v>
      </c>
    </row>
    <row r="1950" spans="1:12" s="40" customFormat="1">
      <c r="A1950">
        <v>17542884</v>
      </c>
      <c r="B1950" t="s">
        <v>239</v>
      </c>
      <c r="C1950" t="s">
        <v>237</v>
      </c>
      <c r="D1950" t="s">
        <v>238</v>
      </c>
      <c r="E1950" t="s">
        <v>1439</v>
      </c>
      <c r="F1950" s="78">
        <v>0.32965277777777779</v>
      </c>
      <c r="G1950" t="s">
        <v>1405</v>
      </c>
      <c r="H1950" t="s">
        <v>1335</v>
      </c>
      <c r="I1950" s="88" t="str">
        <f>VLOOKUP(A1950,Base!A:B,2,0)</f>
        <v>17.542.884-4</v>
      </c>
      <c r="J1950" s="99" t="str">
        <f>VLOOKUP(A1950,Base!A:F,6,0)</f>
        <v>FRANCISCO JAVIER  CASTILLO  AHUMADA</v>
      </c>
      <c r="K1950" s="89" t="str">
        <f>IFERROR(IF(VLOOKUP(I1950,Ingreso!K:P,6,0)=0,"Sin turtno ing",VLOOKUP(I1950,Ingreso!K:P,6,0)),IF(F1950&gt;0.25,IF(F1950&lt;0.311805555555556,"Turno A",IF(F1950&gt;0.3125,IF(F1950&lt;0.354166666666667,"Turno C",IF(F1950&gt;0.583333333333333,IF(F1950&lt;0.625,"Turno B",IF(F1950&gt;0.625694444444444,IF(F1950&lt;0.8125,"Turno A",IF(F1950&gt;0.875,IF(F1950&lt;0.936805555555556,"Turno C",IF(F1950&gt;0.9375,IF(F1950&lt;0.979166666666667,"Turno B",""),"")),"")),"")),"")),"")),""))</f>
        <v>Turno C</v>
      </c>
      <c r="L1950" s="91">
        <f t="shared" si="30"/>
        <v>0.375</v>
      </c>
    </row>
    <row r="1951" spans="1:12" s="40" customFormat="1">
      <c r="A1951">
        <v>17543156</v>
      </c>
      <c r="B1951" t="s">
        <v>749</v>
      </c>
      <c r="C1951" t="s">
        <v>747</v>
      </c>
      <c r="D1951" t="s">
        <v>748</v>
      </c>
      <c r="E1951" t="s">
        <v>1440</v>
      </c>
      <c r="F1951" s="78">
        <v>0.9503125</v>
      </c>
      <c r="G1951" t="s">
        <v>1406</v>
      </c>
      <c r="H1951" t="s">
        <v>1336</v>
      </c>
      <c r="I1951" s="88" t="str">
        <f>VLOOKUP(A1951,Base!A:B,2,0)</f>
        <v>17.543.156-K</v>
      </c>
      <c r="J1951" s="99" t="str">
        <f>VLOOKUP(A1951,Base!A:F,6,0)</f>
        <v>FELIPE ANDRES  PALACIOS  VENEGAS</v>
      </c>
      <c r="K1951" s="89" t="str">
        <f>IFERROR(IF(VLOOKUP(I1951,Ingreso!K:P,6,0)=0,"Sin turtno ing",VLOOKUP(I1951,Ingreso!K:P,6,0)),IF(F1951&gt;0.25,IF(F1951&lt;0.311805555555556,"Turno A",IF(F1951&gt;0.3125,IF(F1951&lt;0.354166666666667,"Turno C",IF(F1951&gt;0.583333333333333,IF(F1951&lt;0.625,"Turno B",IF(F1951&gt;0.625694444444444,IF(F1951&lt;0.8125,"Turno A",IF(F1951&gt;0.875,IF(F1951&lt;0.936805555555556,"Turno C",IF(F1951&gt;0.9375,IF(F1951&lt;0.979166666666667,"Turno B",""),"")),"")),"")),"")),"")),""))</f>
        <v>Turno B</v>
      </c>
      <c r="L1951" s="91">
        <f t="shared" si="30"/>
        <v>0.3125</v>
      </c>
    </row>
    <row r="1952" spans="1:12" s="40" customFormat="1">
      <c r="A1952">
        <v>17543156</v>
      </c>
      <c r="B1952" t="s">
        <v>749</v>
      </c>
      <c r="C1952" t="s">
        <v>747</v>
      </c>
      <c r="D1952" t="s">
        <v>748</v>
      </c>
      <c r="E1952" t="s">
        <v>1440</v>
      </c>
      <c r="F1952" s="78">
        <v>0.60827546296296298</v>
      </c>
      <c r="G1952" t="s">
        <v>1405</v>
      </c>
      <c r="H1952" t="s">
        <v>1335</v>
      </c>
      <c r="I1952" s="88" t="str">
        <f>VLOOKUP(A1952,Base!A:B,2,0)</f>
        <v>17.543.156-K</v>
      </c>
      <c r="J1952" s="99" t="str">
        <f>VLOOKUP(A1952,Base!A:F,6,0)</f>
        <v>FELIPE ANDRES  PALACIOS  VENEGAS</v>
      </c>
      <c r="K1952" s="89" t="str">
        <f>IFERROR(IF(VLOOKUP(I1952,Ingreso!K:P,6,0)=0,"Sin turtno ing",VLOOKUP(I1952,Ingreso!K:P,6,0)),IF(F1952&gt;0.25,IF(F1952&lt;0.311805555555556,"Turno A",IF(F1952&gt;0.3125,IF(F1952&lt;0.354166666666667,"Turno C",IF(F1952&gt;0.583333333333333,IF(F1952&lt;0.625,"Turno B",IF(F1952&gt;0.625694444444444,IF(F1952&lt;0.8125,"Turno A",IF(F1952&gt;0.875,IF(F1952&lt;0.936805555555556,"Turno C",IF(F1952&gt;0.9375,IF(F1952&lt;0.979166666666667,"Turno B",""),"")),"")),"")),"")),"")),""))</f>
        <v>Turno B</v>
      </c>
      <c r="L1952" s="91">
        <f t="shared" si="30"/>
        <v>0.3125</v>
      </c>
    </row>
    <row r="1953" spans="1:12" s="40" customFormat="1">
      <c r="A1953">
        <v>17543156</v>
      </c>
      <c r="B1953" t="s">
        <v>749</v>
      </c>
      <c r="C1953" t="s">
        <v>747</v>
      </c>
      <c r="D1953" t="s">
        <v>748</v>
      </c>
      <c r="E1953" t="s">
        <v>1441</v>
      </c>
      <c r="F1953" s="78">
        <v>0.94944444444444442</v>
      </c>
      <c r="G1953" t="s">
        <v>1406</v>
      </c>
      <c r="H1953" t="s">
        <v>1336</v>
      </c>
      <c r="I1953" s="88" t="str">
        <f>VLOOKUP(A1953,Base!A:B,2,0)</f>
        <v>17.543.156-K</v>
      </c>
      <c r="J1953" s="99" t="str">
        <f>VLOOKUP(A1953,Base!A:F,6,0)</f>
        <v>FELIPE ANDRES  PALACIOS  VENEGAS</v>
      </c>
      <c r="K1953" s="89" t="str">
        <f>IFERROR(IF(VLOOKUP(I1953,Ingreso!K:P,6,0)=0,"Sin turtno ing",VLOOKUP(I1953,Ingreso!K:P,6,0)),IF(F1953&gt;0.25,IF(F1953&lt;0.311805555555556,"Turno A",IF(F1953&gt;0.3125,IF(F1953&lt;0.354166666666667,"Turno C",IF(F1953&gt;0.583333333333333,IF(F1953&lt;0.625,"Turno B",IF(F1953&gt;0.625694444444444,IF(F1953&lt;0.8125,"Turno A",IF(F1953&gt;0.875,IF(F1953&lt;0.936805555555556,"Turno C",IF(F1953&gt;0.9375,IF(F1953&lt;0.979166666666667,"Turno B",""),"")),"")),"")),"")),"")),""))</f>
        <v>Turno B</v>
      </c>
      <c r="L1953" s="91">
        <f t="shared" si="30"/>
        <v>0.3125</v>
      </c>
    </row>
    <row r="1954" spans="1:12" s="40" customFormat="1">
      <c r="A1954">
        <v>17543156</v>
      </c>
      <c r="B1954" t="s">
        <v>749</v>
      </c>
      <c r="C1954" t="s">
        <v>747</v>
      </c>
      <c r="D1954" t="s">
        <v>748</v>
      </c>
      <c r="E1954" t="s">
        <v>1441</v>
      </c>
      <c r="F1954" s="78">
        <v>0.61246527777777782</v>
      </c>
      <c r="G1954" t="s">
        <v>1405</v>
      </c>
      <c r="H1954" t="s">
        <v>1335</v>
      </c>
      <c r="I1954" s="88" t="str">
        <f>VLOOKUP(A1954,Base!A:B,2,0)</f>
        <v>17.543.156-K</v>
      </c>
      <c r="J1954" s="99" t="str">
        <f>VLOOKUP(A1954,Base!A:F,6,0)</f>
        <v>FELIPE ANDRES  PALACIOS  VENEGAS</v>
      </c>
      <c r="K1954" s="89" t="str">
        <f>IFERROR(IF(VLOOKUP(I1954,Ingreso!K:P,6,0)=0,"Sin turtno ing",VLOOKUP(I1954,Ingreso!K:P,6,0)),IF(F1954&gt;0.25,IF(F1954&lt;0.311805555555556,"Turno A",IF(F1954&gt;0.3125,IF(F1954&lt;0.354166666666667,"Turno C",IF(F1954&gt;0.583333333333333,IF(F1954&lt;0.625,"Turno B",IF(F1954&gt;0.625694444444444,IF(F1954&lt;0.8125,"Turno A",IF(F1954&gt;0.875,IF(F1954&lt;0.936805555555556,"Turno C",IF(F1954&gt;0.9375,IF(F1954&lt;0.979166666666667,"Turno B",""),"")),"")),"")),"")),"")),""))</f>
        <v>Turno B</v>
      </c>
      <c r="L1954" s="91">
        <f t="shared" si="30"/>
        <v>0.3125</v>
      </c>
    </row>
    <row r="1955" spans="1:12" s="40" customFormat="1">
      <c r="A1955">
        <v>17543156</v>
      </c>
      <c r="B1955" t="s">
        <v>749</v>
      </c>
      <c r="C1955" t="s">
        <v>747</v>
      </c>
      <c r="D1955" t="s">
        <v>748</v>
      </c>
      <c r="E1955" t="s">
        <v>1437</v>
      </c>
      <c r="F1955" s="78">
        <v>0.94974537037037043</v>
      </c>
      <c r="G1955" t="s">
        <v>1406</v>
      </c>
      <c r="H1955" t="s">
        <v>1336</v>
      </c>
      <c r="I1955" s="88" t="str">
        <f>VLOOKUP(A1955,Base!A:B,2,0)</f>
        <v>17.543.156-K</v>
      </c>
      <c r="J1955" s="99" t="str">
        <f>VLOOKUP(A1955,Base!A:F,6,0)</f>
        <v>FELIPE ANDRES  PALACIOS  VENEGAS</v>
      </c>
      <c r="K1955" s="89" t="str">
        <f>IFERROR(IF(VLOOKUP(I1955,Ingreso!K:P,6,0)=0,"Sin turtno ing",VLOOKUP(I1955,Ingreso!K:P,6,0)),IF(F1955&gt;0.25,IF(F1955&lt;0.311805555555556,"Turno A",IF(F1955&gt;0.3125,IF(F1955&lt;0.354166666666667,"Turno C",IF(F1955&gt;0.583333333333333,IF(F1955&lt;0.625,"Turno B",IF(F1955&gt;0.625694444444444,IF(F1955&lt;0.8125,"Turno A",IF(F1955&gt;0.875,IF(F1955&lt;0.936805555555556,"Turno C",IF(F1955&gt;0.9375,IF(F1955&lt;0.979166666666667,"Turno B",""),"")),"")),"")),"")),"")),""))</f>
        <v>Turno B</v>
      </c>
      <c r="L1955" s="91">
        <f t="shared" si="30"/>
        <v>0.3125</v>
      </c>
    </row>
    <row r="1956" spans="1:12" s="40" customFormat="1">
      <c r="A1956">
        <v>17543156</v>
      </c>
      <c r="B1956" t="s">
        <v>749</v>
      </c>
      <c r="C1956" t="s">
        <v>747</v>
      </c>
      <c r="D1956" t="s">
        <v>748</v>
      </c>
      <c r="E1956" t="s">
        <v>1437</v>
      </c>
      <c r="F1956" s="78">
        <v>0.60594907407407406</v>
      </c>
      <c r="G1956" t="s">
        <v>1405</v>
      </c>
      <c r="H1956" t="s">
        <v>1335</v>
      </c>
      <c r="I1956" s="88" t="str">
        <f>VLOOKUP(A1956,Base!A:B,2,0)</f>
        <v>17.543.156-K</v>
      </c>
      <c r="J1956" s="99" t="str">
        <f>VLOOKUP(A1956,Base!A:F,6,0)</f>
        <v>FELIPE ANDRES  PALACIOS  VENEGAS</v>
      </c>
      <c r="K1956" s="89" t="str">
        <f>IFERROR(IF(VLOOKUP(I1956,Ingreso!K:P,6,0)=0,"Sin turtno ing",VLOOKUP(I1956,Ingreso!K:P,6,0)),IF(F1956&gt;0.25,IF(F1956&lt;0.311805555555556,"Turno A",IF(F1956&gt;0.3125,IF(F1956&lt;0.354166666666667,"Turno C",IF(F1956&gt;0.583333333333333,IF(F1956&lt;0.625,"Turno B",IF(F1956&gt;0.625694444444444,IF(F1956&lt;0.8125,"Turno A",IF(F1956&gt;0.875,IF(F1956&lt;0.936805555555556,"Turno C",IF(F1956&gt;0.9375,IF(F1956&lt;0.979166666666667,"Turno B",""),"")),"")),"")),"")),"")),""))</f>
        <v>Turno B</v>
      </c>
      <c r="L1956" s="91">
        <f t="shared" si="30"/>
        <v>0.3125</v>
      </c>
    </row>
    <row r="1957" spans="1:12" s="40" customFormat="1">
      <c r="A1957">
        <v>17543156</v>
      </c>
      <c r="B1957" t="s">
        <v>749</v>
      </c>
      <c r="C1957" t="s">
        <v>747</v>
      </c>
      <c r="D1957" t="s">
        <v>748</v>
      </c>
      <c r="E1957" t="s">
        <v>1438</v>
      </c>
      <c r="F1957" s="78">
        <v>0.95086805555555554</v>
      </c>
      <c r="G1957" t="s">
        <v>1406</v>
      </c>
      <c r="H1957" t="s">
        <v>1336</v>
      </c>
      <c r="I1957" s="88" t="str">
        <f>VLOOKUP(A1957,Base!A:B,2,0)</f>
        <v>17.543.156-K</v>
      </c>
      <c r="J1957" s="99" t="str">
        <f>VLOOKUP(A1957,Base!A:F,6,0)</f>
        <v>FELIPE ANDRES  PALACIOS  VENEGAS</v>
      </c>
      <c r="K1957" s="89" t="str">
        <f>IFERROR(IF(VLOOKUP(I1957,Ingreso!K:P,6,0)=0,"Sin turtno ing",VLOOKUP(I1957,Ingreso!K:P,6,0)),IF(F1957&gt;0.25,IF(F1957&lt;0.311805555555556,"Turno A",IF(F1957&gt;0.3125,IF(F1957&lt;0.354166666666667,"Turno C",IF(F1957&gt;0.583333333333333,IF(F1957&lt;0.625,"Turno B",IF(F1957&gt;0.625694444444444,IF(F1957&lt;0.8125,"Turno A",IF(F1957&gt;0.875,IF(F1957&lt;0.936805555555556,"Turno C",IF(F1957&gt;0.9375,IF(F1957&lt;0.979166666666667,"Turno B",""),"")),"")),"")),"")),"")),""))</f>
        <v>Turno B</v>
      </c>
      <c r="L1957" s="91">
        <f t="shared" si="30"/>
        <v>0.3125</v>
      </c>
    </row>
    <row r="1958" spans="1:12" s="40" customFormat="1">
      <c r="A1958">
        <v>17543156</v>
      </c>
      <c r="B1958" t="s">
        <v>749</v>
      </c>
      <c r="C1958" t="s">
        <v>747</v>
      </c>
      <c r="D1958" t="s">
        <v>748</v>
      </c>
      <c r="E1958" t="s">
        <v>1438</v>
      </c>
      <c r="F1958" s="78">
        <v>0.60673611111111114</v>
      </c>
      <c r="G1958" t="s">
        <v>1405</v>
      </c>
      <c r="H1958" t="s">
        <v>1335</v>
      </c>
      <c r="I1958" s="88" t="str">
        <f>VLOOKUP(A1958,Base!A:B,2,0)</f>
        <v>17.543.156-K</v>
      </c>
      <c r="J1958" s="99" t="str">
        <f>VLOOKUP(A1958,Base!A:F,6,0)</f>
        <v>FELIPE ANDRES  PALACIOS  VENEGAS</v>
      </c>
      <c r="K1958" s="89" t="str">
        <f>IFERROR(IF(VLOOKUP(I1958,Ingreso!K:P,6,0)=0,"Sin turtno ing",VLOOKUP(I1958,Ingreso!K:P,6,0)),IF(F1958&gt;0.25,IF(F1958&lt;0.311805555555556,"Turno A",IF(F1958&gt;0.3125,IF(F1958&lt;0.354166666666667,"Turno C",IF(F1958&gt;0.583333333333333,IF(F1958&lt;0.625,"Turno B",IF(F1958&gt;0.625694444444444,IF(F1958&lt;0.8125,"Turno A",IF(F1958&gt;0.875,IF(F1958&lt;0.936805555555556,"Turno C",IF(F1958&gt;0.9375,IF(F1958&lt;0.979166666666667,"Turno B",""),"")),"")),"")),"")),"")),""))</f>
        <v>Turno B</v>
      </c>
      <c r="L1958" s="91">
        <f t="shared" si="30"/>
        <v>0.3125</v>
      </c>
    </row>
    <row r="1959" spans="1:12" s="40" customFormat="1">
      <c r="A1959">
        <v>17543156</v>
      </c>
      <c r="B1959" t="s">
        <v>749</v>
      </c>
      <c r="C1959" t="s">
        <v>747</v>
      </c>
      <c r="D1959" t="s">
        <v>748</v>
      </c>
      <c r="E1959" t="s">
        <v>1439</v>
      </c>
      <c r="F1959" s="78">
        <v>0.95030092592592597</v>
      </c>
      <c r="G1959" t="s">
        <v>1406</v>
      </c>
      <c r="H1959" t="s">
        <v>1336</v>
      </c>
      <c r="I1959" s="88" t="str">
        <f>VLOOKUP(A1959,Base!A:B,2,0)</f>
        <v>17.543.156-K</v>
      </c>
      <c r="J1959" s="99" t="str">
        <f>VLOOKUP(A1959,Base!A:F,6,0)</f>
        <v>FELIPE ANDRES  PALACIOS  VENEGAS</v>
      </c>
      <c r="K1959" s="89" t="str">
        <f>IFERROR(IF(VLOOKUP(I1959,Ingreso!K:P,6,0)=0,"Sin turtno ing",VLOOKUP(I1959,Ingreso!K:P,6,0)),IF(F1959&gt;0.25,IF(F1959&lt;0.311805555555556,"Turno A",IF(F1959&gt;0.3125,IF(F1959&lt;0.354166666666667,"Turno C",IF(F1959&gt;0.583333333333333,IF(F1959&lt;0.625,"Turno B",IF(F1959&gt;0.625694444444444,IF(F1959&lt;0.8125,"Turno A",IF(F1959&gt;0.875,IF(F1959&lt;0.936805555555556,"Turno C",IF(F1959&gt;0.9375,IF(F1959&lt;0.979166666666667,"Turno B",""),"")),"")),"")),"")),"")),""))</f>
        <v>Turno B</v>
      </c>
      <c r="L1959" s="91">
        <f t="shared" si="30"/>
        <v>0.3125</v>
      </c>
    </row>
    <row r="1960" spans="1:12" s="40" customFormat="1">
      <c r="A1960">
        <v>17543156</v>
      </c>
      <c r="B1960" t="s">
        <v>749</v>
      </c>
      <c r="C1960" t="s">
        <v>747</v>
      </c>
      <c r="D1960" t="s">
        <v>748</v>
      </c>
      <c r="E1960" t="s">
        <v>1439</v>
      </c>
      <c r="F1960" s="78">
        <v>0.60687499999999994</v>
      </c>
      <c r="G1960" t="s">
        <v>1405</v>
      </c>
      <c r="H1960" t="s">
        <v>1335</v>
      </c>
      <c r="I1960" s="88" t="str">
        <f>VLOOKUP(A1960,Base!A:B,2,0)</f>
        <v>17.543.156-K</v>
      </c>
      <c r="J1960" s="99" t="str">
        <f>VLOOKUP(A1960,Base!A:F,6,0)</f>
        <v>FELIPE ANDRES  PALACIOS  VENEGAS</v>
      </c>
      <c r="K1960" s="89" t="str">
        <f>IFERROR(IF(VLOOKUP(I1960,Ingreso!K:P,6,0)=0,"Sin turtno ing",VLOOKUP(I1960,Ingreso!K:P,6,0)),IF(F1960&gt;0.25,IF(F1960&lt;0.311805555555556,"Turno A",IF(F1960&gt;0.3125,IF(F1960&lt;0.354166666666667,"Turno C",IF(F1960&gt;0.583333333333333,IF(F1960&lt;0.625,"Turno B",IF(F1960&gt;0.625694444444444,IF(F1960&lt;0.8125,"Turno A",IF(F1960&gt;0.875,IF(F1960&lt;0.936805555555556,"Turno C",IF(F1960&gt;0.9375,IF(F1960&lt;0.979166666666667,"Turno B",""),"")),"")),"")),"")),"")),""))</f>
        <v>Turno B</v>
      </c>
      <c r="L1960" s="91">
        <f t="shared" si="30"/>
        <v>0.3125</v>
      </c>
    </row>
    <row r="1961" spans="1:12" s="40" customFormat="1">
      <c r="A1961">
        <v>17546614</v>
      </c>
      <c r="B1961" t="s">
        <v>1427</v>
      </c>
      <c r="C1961" t="s">
        <v>25</v>
      </c>
      <c r="D1961" t="s">
        <v>1339</v>
      </c>
      <c r="E1961" t="s">
        <v>1440</v>
      </c>
      <c r="F1961" s="78">
        <v>0.63094907407407408</v>
      </c>
      <c r="G1961" t="s">
        <v>1406</v>
      </c>
      <c r="H1961" t="s">
        <v>1336</v>
      </c>
      <c r="I1961" s="88" t="str">
        <f>VLOOKUP(A1961,Base!A:B,2,0)</f>
        <v>17.546.614-2</v>
      </c>
      <c r="J1961" s="99" t="str">
        <f>VLOOKUP(A1961,Base!A:F,6,0)</f>
        <v>ISAAC MARTINEZ</v>
      </c>
      <c r="K1961" s="89" t="str">
        <f>IFERROR(IF(VLOOKUP(I1961,Ingreso!K:P,6,0)=0,"Sin turtno ing",VLOOKUP(I1961,Ingreso!K:P,6,0)),IF(F1961&gt;0.25,IF(F1961&lt;0.311805555555556,"Turno A",IF(F1961&gt;0.3125,IF(F1961&lt;0.354166666666667,"Turno C",IF(F1961&gt;0.583333333333333,IF(F1961&lt;0.625,"Turno B",IF(F1961&gt;0.625694444444444,IF(F1961&lt;0.8125,"Turno A",IF(F1961&gt;0.875,IF(F1961&lt;0.936805555555556,"Turno C",IF(F1961&gt;0.9375,IF(F1961&lt;0.979166666666667,"Turno B",""),"")),"")),"")),"")),"")),""))</f>
        <v>Sin turtno ing</v>
      </c>
      <c r="L1961" s="91" t="e">
        <f t="shared" si="30"/>
        <v>#N/A</v>
      </c>
    </row>
    <row r="1962" spans="1:12" s="40" customFormat="1">
      <c r="A1962">
        <v>17546614</v>
      </c>
      <c r="B1962" t="s">
        <v>1427</v>
      </c>
      <c r="C1962" t="s">
        <v>25</v>
      </c>
      <c r="D1962" t="s">
        <v>1339</v>
      </c>
      <c r="E1962" t="s">
        <v>1440</v>
      </c>
      <c r="F1962" s="78">
        <v>0.296875</v>
      </c>
      <c r="G1962" t="s">
        <v>1405</v>
      </c>
      <c r="H1962" t="s">
        <v>1335</v>
      </c>
      <c r="I1962" s="88" t="str">
        <f>VLOOKUP(A1962,Base!A:B,2,0)</f>
        <v>17.546.614-2</v>
      </c>
      <c r="J1962" s="99" t="str">
        <f>VLOOKUP(A1962,Base!A:F,6,0)</f>
        <v>ISAAC MARTINEZ</v>
      </c>
      <c r="K1962" s="89" t="str">
        <f>IFERROR(IF(VLOOKUP(I1962,Ingreso!K:P,6,0)=0,"Sin turtno ing",VLOOKUP(I1962,Ingreso!K:P,6,0)),IF(F1962&gt;0.25,IF(F1962&lt;0.311805555555556,"Turno A",IF(F1962&gt;0.3125,IF(F1962&lt;0.354166666666667,"Turno C",IF(F1962&gt;0.583333333333333,IF(F1962&lt;0.625,"Turno B",IF(F1962&gt;0.625694444444444,IF(F1962&lt;0.8125,"Turno A",IF(F1962&gt;0.875,IF(F1962&lt;0.936805555555556,"Turno C",IF(F1962&gt;0.9375,IF(F1962&lt;0.979166666666667,"Turno B",""),"")),"")),"")),"")),"")),""))</f>
        <v>Sin turtno ing</v>
      </c>
      <c r="L1962" s="91" t="e">
        <f t="shared" si="30"/>
        <v>#N/A</v>
      </c>
    </row>
    <row r="1963" spans="1:12" s="40" customFormat="1">
      <c r="A1963">
        <v>17546614</v>
      </c>
      <c r="B1963" t="s">
        <v>1427</v>
      </c>
      <c r="C1963" t="s">
        <v>25</v>
      </c>
      <c r="D1963" t="s">
        <v>1339</v>
      </c>
      <c r="E1963" t="s">
        <v>1441</v>
      </c>
      <c r="F1963" s="78">
        <v>0.58528935185185182</v>
      </c>
      <c r="G1963" t="s">
        <v>1406</v>
      </c>
      <c r="H1963" t="s">
        <v>1336</v>
      </c>
      <c r="I1963" s="88" t="str">
        <f>VLOOKUP(A1963,Base!A:B,2,0)</f>
        <v>17.546.614-2</v>
      </c>
      <c r="J1963" s="99" t="str">
        <f>VLOOKUP(A1963,Base!A:F,6,0)</f>
        <v>ISAAC MARTINEZ</v>
      </c>
      <c r="K1963" s="89" t="str">
        <f>IFERROR(IF(VLOOKUP(I1963,Ingreso!K:P,6,0)=0,"Sin turtno ing",VLOOKUP(I1963,Ingreso!K:P,6,0)),IF(F1963&gt;0.25,IF(F1963&lt;0.311805555555556,"Turno A",IF(F1963&gt;0.3125,IF(F1963&lt;0.354166666666667,"Turno C",IF(F1963&gt;0.583333333333333,IF(F1963&lt;0.625,"Turno B",IF(F1963&gt;0.625694444444444,IF(F1963&lt;0.8125,"Turno A",IF(F1963&gt;0.875,IF(F1963&lt;0.936805555555556,"Turno C",IF(F1963&gt;0.9375,IF(F1963&lt;0.979166666666667,"Turno B",""),"")),"")),"")),"")),"")),""))</f>
        <v>Sin turtno ing</v>
      </c>
      <c r="L1963" s="91" t="e">
        <f t="shared" si="30"/>
        <v>#N/A</v>
      </c>
    </row>
    <row r="1964" spans="1:12" s="40" customFormat="1">
      <c r="A1964">
        <v>17546614</v>
      </c>
      <c r="B1964" t="s">
        <v>1427</v>
      </c>
      <c r="C1964" t="s">
        <v>25</v>
      </c>
      <c r="D1964" t="s">
        <v>1339</v>
      </c>
      <c r="E1964" t="s">
        <v>1441</v>
      </c>
      <c r="F1964" s="78">
        <v>0.29023148148148148</v>
      </c>
      <c r="G1964" t="s">
        <v>1405</v>
      </c>
      <c r="H1964" t="s">
        <v>1335</v>
      </c>
      <c r="I1964" s="88" t="str">
        <f>VLOOKUP(A1964,Base!A:B,2,0)</f>
        <v>17.546.614-2</v>
      </c>
      <c r="J1964" s="99" t="str">
        <f>VLOOKUP(A1964,Base!A:F,6,0)</f>
        <v>ISAAC MARTINEZ</v>
      </c>
      <c r="K1964" s="89" t="str">
        <f>IFERROR(IF(VLOOKUP(I1964,Ingreso!K:P,6,0)=0,"Sin turtno ing",VLOOKUP(I1964,Ingreso!K:P,6,0)),IF(F1964&gt;0.25,IF(F1964&lt;0.311805555555556,"Turno A",IF(F1964&gt;0.3125,IF(F1964&lt;0.354166666666667,"Turno C",IF(F1964&gt;0.583333333333333,IF(F1964&lt;0.625,"Turno B",IF(F1964&gt;0.625694444444444,IF(F1964&lt;0.8125,"Turno A",IF(F1964&gt;0.875,IF(F1964&lt;0.936805555555556,"Turno C",IF(F1964&gt;0.9375,IF(F1964&lt;0.979166666666667,"Turno B",""),"")),"")),"")),"")),"")),""))</f>
        <v>Sin turtno ing</v>
      </c>
      <c r="L1964" s="91" t="e">
        <f t="shared" si="30"/>
        <v>#N/A</v>
      </c>
    </row>
    <row r="1965" spans="1:12" s="40" customFormat="1">
      <c r="A1965">
        <v>17546614</v>
      </c>
      <c r="B1965" t="s">
        <v>1427</v>
      </c>
      <c r="C1965" t="s">
        <v>25</v>
      </c>
      <c r="D1965" t="s">
        <v>1339</v>
      </c>
      <c r="E1965" t="s">
        <v>1442</v>
      </c>
      <c r="F1965" s="78">
        <v>0.97560185185185189</v>
      </c>
      <c r="G1965" t="s">
        <v>1405</v>
      </c>
      <c r="H1965" t="s">
        <v>1335</v>
      </c>
      <c r="I1965" s="88" t="str">
        <f>VLOOKUP(A1965,Base!A:B,2,0)</f>
        <v>17.546.614-2</v>
      </c>
      <c r="J1965" s="99" t="str">
        <f>VLOOKUP(A1965,Base!A:F,6,0)</f>
        <v>ISAAC MARTINEZ</v>
      </c>
      <c r="K1965" s="89" t="str">
        <f>IFERROR(IF(VLOOKUP(I1965,Ingreso!K:P,6,0)=0,"Sin turtno ing",VLOOKUP(I1965,Ingreso!K:P,6,0)),IF(F1965&gt;0.25,IF(F1965&lt;0.311805555555556,"Turno A",IF(F1965&gt;0.3125,IF(F1965&lt;0.354166666666667,"Turno C",IF(F1965&gt;0.583333333333333,IF(F1965&lt;0.625,"Turno B",IF(F1965&gt;0.625694444444444,IF(F1965&lt;0.8125,"Turno A",IF(F1965&gt;0.875,IF(F1965&lt;0.936805555555556,"Turno C",IF(F1965&gt;0.9375,IF(F1965&lt;0.979166666666667,"Turno B",""),"")),"")),"")),"")),"")),""))</f>
        <v>Sin turtno ing</v>
      </c>
      <c r="L1965" s="91" t="e">
        <f t="shared" si="30"/>
        <v>#N/A</v>
      </c>
    </row>
    <row r="1966" spans="1:12" s="40" customFormat="1">
      <c r="A1966">
        <v>17546614</v>
      </c>
      <c r="B1966" t="s">
        <v>1427</v>
      </c>
      <c r="C1966" t="s">
        <v>25</v>
      </c>
      <c r="D1966" t="s">
        <v>1339</v>
      </c>
      <c r="E1966" t="s">
        <v>1437</v>
      </c>
      <c r="F1966" s="78">
        <v>0.63226851851851851</v>
      </c>
      <c r="G1966" t="s">
        <v>1406</v>
      </c>
      <c r="H1966" t="s">
        <v>1336</v>
      </c>
      <c r="I1966" s="88" t="str">
        <f>VLOOKUP(A1966,Base!A:B,2,0)</f>
        <v>17.546.614-2</v>
      </c>
      <c r="J1966" s="99" t="str">
        <f>VLOOKUP(A1966,Base!A:F,6,0)</f>
        <v>ISAAC MARTINEZ</v>
      </c>
      <c r="K1966" s="89" t="str">
        <f>IFERROR(IF(VLOOKUP(I1966,Ingreso!K:P,6,0)=0,"Sin turtno ing",VLOOKUP(I1966,Ingreso!K:P,6,0)),IF(F1966&gt;0.25,IF(F1966&lt;0.311805555555556,"Turno A",IF(F1966&gt;0.3125,IF(F1966&lt;0.354166666666667,"Turno C",IF(F1966&gt;0.583333333333333,IF(F1966&lt;0.625,"Turno B",IF(F1966&gt;0.625694444444444,IF(F1966&lt;0.8125,"Turno A",IF(F1966&gt;0.875,IF(F1966&lt;0.936805555555556,"Turno C",IF(F1966&gt;0.9375,IF(F1966&lt;0.979166666666667,"Turno B",""),"")),"")),"")),"")),"")),""))</f>
        <v>Sin turtno ing</v>
      </c>
      <c r="L1966" s="91" t="e">
        <f t="shared" si="30"/>
        <v>#N/A</v>
      </c>
    </row>
    <row r="1967" spans="1:12" s="40" customFormat="1">
      <c r="A1967">
        <v>17546614</v>
      </c>
      <c r="B1967" t="s">
        <v>1427</v>
      </c>
      <c r="C1967" t="s">
        <v>25</v>
      </c>
      <c r="D1967" t="s">
        <v>1339</v>
      </c>
      <c r="E1967" t="s">
        <v>1437</v>
      </c>
      <c r="F1967" s="78">
        <v>0.29173611111111114</v>
      </c>
      <c r="G1967" t="s">
        <v>1405</v>
      </c>
      <c r="H1967" t="s">
        <v>1335</v>
      </c>
      <c r="I1967" s="88" t="str">
        <f>VLOOKUP(A1967,Base!A:B,2,0)</f>
        <v>17.546.614-2</v>
      </c>
      <c r="J1967" s="99" t="str">
        <f>VLOOKUP(A1967,Base!A:F,6,0)</f>
        <v>ISAAC MARTINEZ</v>
      </c>
      <c r="K1967" s="89" t="str">
        <f>IFERROR(IF(VLOOKUP(I1967,Ingreso!K:P,6,0)=0,"Sin turtno ing",VLOOKUP(I1967,Ingreso!K:P,6,0)),IF(F1967&gt;0.25,IF(F1967&lt;0.311805555555556,"Turno A",IF(F1967&gt;0.3125,IF(F1967&lt;0.354166666666667,"Turno C",IF(F1967&gt;0.583333333333333,IF(F1967&lt;0.625,"Turno B",IF(F1967&gt;0.625694444444444,IF(F1967&lt;0.8125,"Turno A",IF(F1967&gt;0.875,IF(F1967&lt;0.936805555555556,"Turno C",IF(F1967&gt;0.9375,IF(F1967&lt;0.979166666666667,"Turno B",""),"")),"")),"")),"")),"")),""))</f>
        <v>Sin turtno ing</v>
      </c>
      <c r="L1967" s="91" t="e">
        <f t="shared" si="30"/>
        <v>#N/A</v>
      </c>
    </row>
    <row r="1968" spans="1:12" s="40" customFormat="1">
      <c r="A1968">
        <v>17546614</v>
      </c>
      <c r="B1968" t="s">
        <v>1427</v>
      </c>
      <c r="C1968" t="s">
        <v>25</v>
      </c>
      <c r="D1968" t="s">
        <v>1339</v>
      </c>
      <c r="E1968" t="s">
        <v>1438</v>
      </c>
      <c r="F1968" s="78">
        <v>0.63115740740740744</v>
      </c>
      <c r="G1968" t="s">
        <v>1406</v>
      </c>
      <c r="H1968" t="s">
        <v>1336</v>
      </c>
      <c r="I1968" s="88" t="str">
        <f>VLOOKUP(A1968,Base!A:B,2,0)</f>
        <v>17.546.614-2</v>
      </c>
      <c r="J1968" s="99" t="str">
        <f>VLOOKUP(A1968,Base!A:F,6,0)</f>
        <v>ISAAC MARTINEZ</v>
      </c>
      <c r="K1968" s="89" t="str">
        <f>IFERROR(IF(VLOOKUP(I1968,Ingreso!K:P,6,0)=0,"Sin turtno ing",VLOOKUP(I1968,Ingreso!K:P,6,0)),IF(F1968&gt;0.25,IF(F1968&lt;0.311805555555556,"Turno A",IF(F1968&gt;0.3125,IF(F1968&lt;0.354166666666667,"Turno C",IF(F1968&gt;0.583333333333333,IF(F1968&lt;0.625,"Turno B",IF(F1968&gt;0.625694444444444,IF(F1968&lt;0.8125,"Turno A",IF(F1968&gt;0.875,IF(F1968&lt;0.936805555555556,"Turno C",IF(F1968&gt;0.9375,IF(F1968&lt;0.979166666666667,"Turno B",""),"")),"")),"")),"")),"")),""))</f>
        <v>Sin turtno ing</v>
      </c>
      <c r="L1968" s="91" t="e">
        <f t="shared" si="30"/>
        <v>#N/A</v>
      </c>
    </row>
    <row r="1969" spans="1:12" s="40" customFormat="1">
      <c r="A1969">
        <v>17546614</v>
      </c>
      <c r="B1969" t="s">
        <v>1427</v>
      </c>
      <c r="C1969" t="s">
        <v>25</v>
      </c>
      <c r="D1969" t="s">
        <v>1339</v>
      </c>
      <c r="E1969" t="s">
        <v>1438</v>
      </c>
      <c r="F1969" s="78">
        <v>0.2905787037037037</v>
      </c>
      <c r="G1969" t="s">
        <v>1405</v>
      </c>
      <c r="H1969" t="s">
        <v>1335</v>
      </c>
      <c r="I1969" s="88" t="str">
        <f>VLOOKUP(A1969,Base!A:B,2,0)</f>
        <v>17.546.614-2</v>
      </c>
      <c r="J1969" s="99" t="str">
        <f>VLOOKUP(A1969,Base!A:F,6,0)</f>
        <v>ISAAC MARTINEZ</v>
      </c>
      <c r="K1969" s="89" t="str">
        <f>IFERROR(IF(VLOOKUP(I1969,Ingreso!K:P,6,0)=0,"Sin turtno ing",VLOOKUP(I1969,Ingreso!K:P,6,0)),IF(F1969&gt;0.25,IF(F1969&lt;0.311805555555556,"Turno A",IF(F1969&gt;0.3125,IF(F1969&lt;0.354166666666667,"Turno C",IF(F1969&gt;0.583333333333333,IF(F1969&lt;0.625,"Turno B",IF(F1969&gt;0.625694444444444,IF(F1969&lt;0.8125,"Turno A",IF(F1969&gt;0.875,IF(F1969&lt;0.936805555555556,"Turno C",IF(F1969&gt;0.9375,IF(F1969&lt;0.979166666666667,"Turno B",""),"")),"")),"")),"")),"")),""))</f>
        <v>Sin turtno ing</v>
      </c>
      <c r="L1969" s="91" t="e">
        <f t="shared" si="30"/>
        <v>#N/A</v>
      </c>
    </row>
    <row r="1970" spans="1:12" s="40" customFormat="1">
      <c r="A1970">
        <v>17546614</v>
      </c>
      <c r="B1970" t="s">
        <v>1427</v>
      </c>
      <c r="C1970" t="s">
        <v>25</v>
      </c>
      <c r="D1970" t="s">
        <v>1339</v>
      </c>
      <c r="E1970" t="s">
        <v>1439</v>
      </c>
      <c r="F1970" s="78">
        <v>0.62967592592592592</v>
      </c>
      <c r="G1970" t="s">
        <v>1406</v>
      </c>
      <c r="H1970" t="s">
        <v>1336</v>
      </c>
      <c r="I1970" s="88" t="str">
        <f>VLOOKUP(A1970,Base!A:B,2,0)</f>
        <v>17.546.614-2</v>
      </c>
      <c r="J1970" s="99" t="str">
        <f>VLOOKUP(A1970,Base!A:F,6,0)</f>
        <v>ISAAC MARTINEZ</v>
      </c>
      <c r="K1970" s="89" t="str">
        <f>IFERROR(IF(VLOOKUP(I1970,Ingreso!K:P,6,0)=0,"Sin turtno ing",VLOOKUP(I1970,Ingreso!K:P,6,0)),IF(F1970&gt;0.25,IF(F1970&lt;0.311805555555556,"Turno A",IF(F1970&gt;0.3125,IF(F1970&lt;0.354166666666667,"Turno C",IF(F1970&gt;0.583333333333333,IF(F1970&lt;0.625,"Turno B",IF(F1970&gt;0.625694444444444,IF(F1970&lt;0.8125,"Turno A",IF(F1970&gt;0.875,IF(F1970&lt;0.936805555555556,"Turno C",IF(F1970&gt;0.9375,IF(F1970&lt;0.979166666666667,"Turno B",""),"")),"")),"")),"")),"")),""))</f>
        <v>Sin turtno ing</v>
      </c>
      <c r="L1970" s="91" t="e">
        <f t="shared" si="30"/>
        <v>#N/A</v>
      </c>
    </row>
    <row r="1971" spans="1:12" s="40" customFormat="1">
      <c r="A1971">
        <v>17546614</v>
      </c>
      <c r="B1971" t="s">
        <v>1427</v>
      </c>
      <c r="C1971" t="s">
        <v>25</v>
      </c>
      <c r="D1971" t="s">
        <v>1339</v>
      </c>
      <c r="E1971" t="s">
        <v>1439</v>
      </c>
      <c r="F1971" s="78">
        <v>0.29585648148148147</v>
      </c>
      <c r="G1971" t="s">
        <v>1405</v>
      </c>
      <c r="H1971" t="s">
        <v>1335</v>
      </c>
      <c r="I1971" s="88" t="str">
        <f>VLOOKUP(A1971,Base!A:B,2,0)</f>
        <v>17.546.614-2</v>
      </c>
      <c r="J1971" s="99" t="str">
        <f>VLOOKUP(A1971,Base!A:F,6,0)</f>
        <v>ISAAC MARTINEZ</v>
      </c>
      <c r="K1971" s="89" t="str">
        <f>IFERROR(IF(VLOOKUP(I1971,Ingreso!K:P,6,0)=0,"Sin turtno ing",VLOOKUP(I1971,Ingreso!K:P,6,0)),IF(F1971&gt;0.25,IF(F1971&lt;0.311805555555556,"Turno A",IF(F1971&gt;0.3125,IF(F1971&lt;0.354166666666667,"Turno C",IF(F1971&gt;0.583333333333333,IF(F1971&lt;0.625,"Turno B",IF(F1971&gt;0.625694444444444,IF(F1971&lt;0.8125,"Turno A",IF(F1971&gt;0.875,IF(F1971&lt;0.936805555555556,"Turno C",IF(F1971&gt;0.9375,IF(F1971&lt;0.979166666666667,"Turno B",""),"")),"")),"")),"")),"")),""))</f>
        <v>Sin turtno ing</v>
      </c>
      <c r="L1971" s="91" t="e">
        <f t="shared" si="30"/>
        <v>#N/A</v>
      </c>
    </row>
    <row r="1972" spans="1:12" s="40" customFormat="1">
      <c r="A1972">
        <v>17609782</v>
      </c>
      <c r="B1972" t="s">
        <v>77</v>
      </c>
      <c r="C1972" t="s">
        <v>68</v>
      </c>
      <c r="D1972" t="s">
        <v>76</v>
      </c>
      <c r="E1972" t="s">
        <v>1440</v>
      </c>
      <c r="F1972" s="78">
        <v>0.7336921296296296</v>
      </c>
      <c r="G1972" t="s">
        <v>1406</v>
      </c>
      <c r="H1972" t="s">
        <v>1336</v>
      </c>
      <c r="I1972" s="88" t="str">
        <f>VLOOKUP(A1972,Base!A:B,2,0)</f>
        <v>17.609.782-5</v>
      </c>
      <c r="J1972" s="99" t="str">
        <f>VLOOKUP(A1972,Base!A:F,6,0)</f>
        <v>CRISTIAN DANIEL  ALVAREZ  REYES</v>
      </c>
      <c r="K1972" s="89" t="str">
        <f>IFERROR(IF(VLOOKUP(I1972,Ingreso!K:P,6,0)=0,"Sin turtno ing",VLOOKUP(I1972,Ingreso!K:P,6,0)),IF(F1972&gt;0.25,IF(F1972&lt;0.311805555555556,"Turno A",IF(F1972&gt;0.3125,IF(F1972&lt;0.354166666666667,"Turno C",IF(F1972&gt;0.583333333333333,IF(F1972&lt;0.625,"Turno B",IF(F1972&gt;0.625694444444444,IF(F1972&lt;0.8125,"Turno A",IF(F1972&gt;0.875,IF(F1972&lt;0.936805555555556,"Turno C",IF(F1972&gt;0.9375,IF(F1972&lt;0.979166666666667,"Turno B",""),"")),"")),"")),"")),"")),""))</f>
        <v>Sin turtno ing</v>
      </c>
      <c r="L1972" s="91" t="e">
        <f t="shared" si="30"/>
        <v>#N/A</v>
      </c>
    </row>
    <row r="1973" spans="1:12" s="40" customFormat="1">
      <c r="A1973">
        <v>17609782</v>
      </c>
      <c r="B1973" t="s">
        <v>77</v>
      </c>
      <c r="C1973" t="s">
        <v>68</v>
      </c>
      <c r="D1973" t="s">
        <v>76</v>
      </c>
      <c r="E1973" t="s">
        <v>1440</v>
      </c>
      <c r="F1973" s="78">
        <v>0.32366898148148149</v>
      </c>
      <c r="G1973" t="s">
        <v>1405</v>
      </c>
      <c r="H1973" t="s">
        <v>1335</v>
      </c>
      <c r="I1973" s="88" t="str">
        <f>VLOOKUP(A1973,Base!A:B,2,0)</f>
        <v>17.609.782-5</v>
      </c>
      <c r="J1973" s="99" t="str">
        <f>VLOOKUP(A1973,Base!A:F,6,0)</f>
        <v>CRISTIAN DANIEL  ALVAREZ  REYES</v>
      </c>
      <c r="K1973" s="89" t="str">
        <f>IFERROR(IF(VLOOKUP(I1973,Ingreso!K:P,6,0)=0,"Sin turtno ing",VLOOKUP(I1973,Ingreso!K:P,6,0)),IF(F1973&gt;0.25,IF(F1973&lt;0.311805555555556,"Turno A",IF(F1973&gt;0.3125,IF(F1973&lt;0.354166666666667,"Turno C",IF(F1973&gt;0.583333333333333,IF(F1973&lt;0.625,"Turno B",IF(F1973&gt;0.625694444444444,IF(F1973&lt;0.8125,"Turno A",IF(F1973&gt;0.875,IF(F1973&lt;0.936805555555556,"Turno C",IF(F1973&gt;0.9375,IF(F1973&lt;0.979166666666667,"Turno B",""),"")),"")),"")),"")),"")),""))</f>
        <v>Sin turtno ing</v>
      </c>
      <c r="L1973" s="91" t="e">
        <f t="shared" si="30"/>
        <v>#N/A</v>
      </c>
    </row>
    <row r="1974" spans="1:12" s="40" customFormat="1">
      <c r="A1974">
        <v>17609782</v>
      </c>
      <c r="B1974" t="s">
        <v>77</v>
      </c>
      <c r="C1974" t="s">
        <v>68</v>
      </c>
      <c r="D1974" t="s">
        <v>76</v>
      </c>
      <c r="E1974" t="s">
        <v>1437</v>
      </c>
      <c r="F1974" s="78">
        <v>0.73546296296296287</v>
      </c>
      <c r="G1974" t="s">
        <v>1406</v>
      </c>
      <c r="H1974" t="s">
        <v>1336</v>
      </c>
      <c r="I1974" s="88" t="str">
        <f>VLOOKUP(A1974,Base!A:B,2,0)</f>
        <v>17.609.782-5</v>
      </c>
      <c r="J1974" s="99" t="str">
        <f>VLOOKUP(A1974,Base!A:F,6,0)</f>
        <v>CRISTIAN DANIEL  ALVAREZ  REYES</v>
      </c>
      <c r="K1974" s="89" t="str">
        <f>IFERROR(IF(VLOOKUP(I1974,Ingreso!K:P,6,0)=0,"Sin turtno ing",VLOOKUP(I1974,Ingreso!K:P,6,0)),IF(F1974&gt;0.25,IF(F1974&lt;0.311805555555556,"Turno A",IF(F1974&gt;0.3125,IF(F1974&lt;0.354166666666667,"Turno C",IF(F1974&gt;0.583333333333333,IF(F1974&lt;0.625,"Turno B",IF(F1974&gt;0.625694444444444,IF(F1974&lt;0.8125,"Turno A",IF(F1974&gt;0.875,IF(F1974&lt;0.936805555555556,"Turno C",IF(F1974&gt;0.9375,IF(F1974&lt;0.979166666666667,"Turno B",""),"")),"")),"")),"")),"")),""))</f>
        <v>Sin turtno ing</v>
      </c>
      <c r="L1974" s="91" t="e">
        <f t="shared" si="30"/>
        <v>#N/A</v>
      </c>
    </row>
    <row r="1975" spans="1:12" s="40" customFormat="1">
      <c r="A1975">
        <v>17609782</v>
      </c>
      <c r="B1975" t="s">
        <v>77</v>
      </c>
      <c r="C1975" t="s">
        <v>68</v>
      </c>
      <c r="D1975" t="s">
        <v>76</v>
      </c>
      <c r="E1975" t="s">
        <v>1437</v>
      </c>
      <c r="F1975" s="78">
        <v>0.29465277777777776</v>
      </c>
      <c r="G1975" t="s">
        <v>1405</v>
      </c>
      <c r="H1975" t="s">
        <v>1335</v>
      </c>
      <c r="I1975" s="88" t="str">
        <f>VLOOKUP(A1975,Base!A:B,2,0)</f>
        <v>17.609.782-5</v>
      </c>
      <c r="J1975" s="99" t="str">
        <f>VLOOKUP(A1975,Base!A:F,6,0)</f>
        <v>CRISTIAN DANIEL  ALVAREZ  REYES</v>
      </c>
      <c r="K1975" s="89" t="str">
        <f>IFERROR(IF(VLOOKUP(I1975,Ingreso!K:P,6,0)=0,"Sin turtno ing",VLOOKUP(I1975,Ingreso!K:P,6,0)),IF(F1975&gt;0.25,IF(F1975&lt;0.311805555555556,"Turno A",IF(F1975&gt;0.3125,IF(F1975&lt;0.354166666666667,"Turno C",IF(F1975&gt;0.583333333333333,IF(F1975&lt;0.625,"Turno B",IF(F1975&gt;0.625694444444444,IF(F1975&lt;0.8125,"Turno A",IF(F1975&gt;0.875,IF(F1975&lt;0.936805555555556,"Turno C",IF(F1975&gt;0.9375,IF(F1975&lt;0.979166666666667,"Turno B",""),"")),"")),"")),"")),"")),""))</f>
        <v>Sin turtno ing</v>
      </c>
      <c r="L1975" s="91" t="e">
        <f t="shared" si="30"/>
        <v>#N/A</v>
      </c>
    </row>
    <row r="1976" spans="1:12" s="40" customFormat="1">
      <c r="A1976">
        <v>17609782</v>
      </c>
      <c r="B1976" t="s">
        <v>77</v>
      </c>
      <c r="C1976" t="s">
        <v>68</v>
      </c>
      <c r="D1976" t="s">
        <v>76</v>
      </c>
      <c r="E1976" t="s">
        <v>1438</v>
      </c>
      <c r="F1976" s="78">
        <v>0.73636574074074079</v>
      </c>
      <c r="G1976" t="s">
        <v>1406</v>
      </c>
      <c r="H1976" t="s">
        <v>1336</v>
      </c>
      <c r="I1976" s="88" t="str">
        <f>VLOOKUP(A1976,Base!A:B,2,0)</f>
        <v>17.609.782-5</v>
      </c>
      <c r="J1976" s="99" t="str">
        <f>VLOOKUP(A1976,Base!A:F,6,0)</f>
        <v>CRISTIAN DANIEL  ALVAREZ  REYES</v>
      </c>
      <c r="K1976" s="89" t="str">
        <f>IFERROR(IF(VLOOKUP(I1976,Ingreso!K:P,6,0)=0,"Sin turtno ing",VLOOKUP(I1976,Ingreso!K:P,6,0)),IF(F1976&gt;0.25,IF(F1976&lt;0.311805555555556,"Turno A",IF(F1976&gt;0.3125,IF(F1976&lt;0.354166666666667,"Turno C",IF(F1976&gt;0.583333333333333,IF(F1976&lt;0.625,"Turno B",IF(F1976&gt;0.625694444444444,IF(F1976&lt;0.8125,"Turno A",IF(F1976&gt;0.875,IF(F1976&lt;0.936805555555556,"Turno C",IF(F1976&gt;0.9375,IF(F1976&lt;0.979166666666667,"Turno B",""),"")),"")),"")),"")),"")),""))</f>
        <v>Sin turtno ing</v>
      </c>
      <c r="L1976" s="91" t="e">
        <f t="shared" si="30"/>
        <v>#N/A</v>
      </c>
    </row>
    <row r="1977" spans="1:12" s="40" customFormat="1">
      <c r="A1977">
        <v>17609782</v>
      </c>
      <c r="B1977" t="s">
        <v>77</v>
      </c>
      <c r="C1977" t="s">
        <v>68</v>
      </c>
      <c r="D1977" t="s">
        <v>76</v>
      </c>
      <c r="E1977" t="s">
        <v>1438</v>
      </c>
      <c r="F1977" s="78">
        <v>0.3190162037037037</v>
      </c>
      <c r="G1977" t="s">
        <v>1405</v>
      </c>
      <c r="H1977" t="s">
        <v>1335</v>
      </c>
      <c r="I1977" s="88" t="str">
        <f>VLOOKUP(A1977,Base!A:B,2,0)</f>
        <v>17.609.782-5</v>
      </c>
      <c r="J1977" s="99" t="str">
        <f>VLOOKUP(A1977,Base!A:F,6,0)</f>
        <v>CRISTIAN DANIEL  ALVAREZ  REYES</v>
      </c>
      <c r="K1977" s="89" t="str">
        <f>IFERROR(IF(VLOOKUP(I1977,Ingreso!K:P,6,0)=0,"Sin turtno ing",VLOOKUP(I1977,Ingreso!K:P,6,0)),IF(F1977&gt;0.25,IF(F1977&lt;0.311805555555556,"Turno A",IF(F1977&gt;0.3125,IF(F1977&lt;0.354166666666667,"Turno C",IF(F1977&gt;0.583333333333333,IF(F1977&lt;0.625,"Turno B",IF(F1977&gt;0.625694444444444,IF(F1977&lt;0.8125,"Turno A",IF(F1977&gt;0.875,IF(F1977&lt;0.936805555555556,"Turno C",IF(F1977&gt;0.9375,IF(F1977&lt;0.979166666666667,"Turno B",""),"")),"")),"")),"")),"")),""))</f>
        <v>Sin turtno ing</v>
      </c>
      <c r="L1977" s="91" t="e">
        <f t="shared" si="30"/>
        <v>#N/A</v>
      </c>
    </row>
    <row r="1978" spans="1:12" s="40" customFormat="1">
      <c r="A1978">
        <v>17609782</v>
      </c>
      <c r="B1978" t="s">
        <v>77</v>
      </c>
      <c r="C1978" t="s">
        <v>68</v>
      </c>
      <c r="D1978" t="s">
        <v>76</v>
      </c>
      <c r="E1978" t="s">
        <v>1439</v>
      </c>
      <c r="F1978" s="78">
        <v>0.73672453703703711</v>
      </c>
      <c r="G1978" t="s">
        <v>1406</v>
      </c>
      <c r="H1978" t="s">
        <v>1336</v>
      </c>
      <c r="I1978" s="88" t="str">
        <f>VLOOKUP(A1978,Base!A:B,2,0)</f>
        <v>17.609.782-5</v>
      </c>
      <c r="J1978" s="99" t="str">
        <f>VLOOKUP(A1978,Base!A:F,6,0)</f>
        <v>CRISTIAN DANIEL  ALVAREZ  REYES</v>
      </c>
      <c r="K1978" s="89" t="str">
        <f>IFERROR(IF(VLOOKUP(I1978,Ingreso!K:P,6,0)=0,"Sin turtno ing",VLOOKUP(I1978,Ingreso!K:P,6,0)),IF(F1978&gt;0.25,IF(F1978&lt;0.311805555555556,"Turno A",IF(F1978&gt;0.3125,IF(F1978&lt;0.354166666666667,"Turno C",IF(F1978&gt;0.583333333333333,IF(F1978&lt;0.625,"Turno B",IF(F1978&gt;0.625694444444444,IF(F1978&lt;0.8125,"Turno A",IF(F1978&gt;0.875,IF(F1978&lt;0.936805555555556,"Turno C",IF(F1978&gt;0.9375,IF(F1978&lt;0.979166666666667,"Turno B",""),"")),"")),"")),"")),"")),""))</f>
        <v>Sin turtno ing</v>
      </c>
      <c r="L1978" s="91" t="e">
        <f t="shared" si="30"/>
        <v>#N/A</v>
      </c>
    </row>
    <row r="1979" spans="1:12" s="40" customFormat="1">
      <c r="A1979">
        <v>17609782</v>
      </c>
      <c r="B1979" t="s">
        <v>77</v>
      </c>
      <c r="C1979" t="s">
        <v>68</v>
      </c>
      <c r="D1979" t="s">
        <v>76</v>
      </c>
      <c r="E1979" t="s">
        <v>1439</v>
      </c>
      <c r="F1979" s="78">
        <v>0.32363425925925926</v>
      </c>
      <c r="G1979" t="s">
        <v>1405</v>
      </c>
      <c r="H1979" t="s">
        <v>1335</v>
      </c>
      <c r="I1979" s="88" t="str">
        <f>VLOOKUP(A1979,Base!A:B,2,0)</f>
        <v>17.609.782-5</v>
      </c>
      <c r="J1979" s="99" t="str">
        <f>VLOOKUP(A1979,Base!A:F,6,0)</f>
        <v>CRISTIAN DANIEL  ALVAREZ  REYES</v>
      </c>
      <c r="K1979" s="89" t="str">
        <f>IFERROR(IF(VLOOKUP(I1979,Ingreso!K:P,6,0)=0,"Sin turtno ing",VLOOKUP(I1979,Ingreso!K:P,6,0)),IF(F1979&gt;0.25,IF(F1979&lt;0.311805555555556,"Turno A",IF(F1979&gt;0.3125,IF(F1979&lt;0.354166666666667,"Turno C",IF(F1979&gt;0.583333333333333,IF(F1979&lt;0.625,"Turno B",IF(F1979&gt;0.625694444444444,IF(F1979&lt;0.8125,"Turno A",IF(F1979&gt;0.875,IF(F1979&lt;0.936805555555556,"Turno C",IF(F1979&gt;0.9375,IF(F1979&lt;0.979166666666667,"Turno B",""),"")),"")),"")),"")),"")),""))</f>
        <v>Sin turtno ing</v>
      </c>
      <c r="L1979" s="91" t="e">
        <f t="shared" si="30"/>
        <v>#N/A</v>
      </c>
    </row>
    <row r="1980" spans="1:12" s="40" customFormat="1">
      <c r="A1980">
        <v>17755770</v>
      </c>
      <c r="B1980" t="s">
        <v>617</v>
      </c>
      <c r="C1980" t="s">
        <v>616</v>
      </c>
      <c r="D1980" t="s">
        <v>616</v>
      </c>
      <c r="E1980" t="s">
        <v>1407</v>
      </c>
      <c r="F1980" s="78">
        <v>0</v>
      </c>
      <c r="G1980"/>
      <c r="H1980"/>
      <c r="I1980" s="88" t="str">
        <f>VLOOKUP(A1980,Base!A:B,2,0)</f>
        <v>17.755.770-6</v>
      </c>
      <c r="J1980" s="99" t="str">
        <f>VLOOKUP(A1980,Base!A:F,6,0)</f>
        <v>CRISTIAN EDUARDO  MEZA  MEZA</v>
      </c>
      <c r="K1980" s="89" t="str">
        <f>IFERROR(IF(VLOOKUP(I1980,Ingreso!K:P,6,0)=0,"Sin turtno ing",VLOOKUP(I1980,Ingreso!K:P,6,0)),IF(F1980&gt;0.25,IF(F1980&lt;0.311805555555556,"Turno A",IF(F1980&gt;0.3125,IF(F1980&lt;0.354166666666667,"Turno C",IF(F1980&gt;0.583333333333333,IF(F1980&lt;0.625,"Turno B",IF(F1980&gt;0.625694444444444,IF(F1980&lt;0.8125,"Turno A",IF(F1980&gt;0.875,IF(F1980&lt;0.936805555555556,"Turno C",IF(F1980&gt;0.9375,IF(F1980&lt;0.979166666666667,"Turno B",""),"")),"")),"")),"")),"")),""))</f>
        <v/>
      </c>
      <c r="L1980" s="91" t="e">
        <f t="shared" si="30"/>
        <v>#N/A</v>
      </c>
    </row>
    <row r="1981" spans="1:12" s="40" customFormat="1">
      <c r="A1981">
        <v>17755770</v>
      </c>
      <c r="B1981" t="s">
        <v>617</v>
      </c>
      <c r="C1981" t="s">
        <v>616</v>
      </c>
      <c r="D1981" t="s">
        <v>616</v>
      </c>
      <c r="E1981" t="s">
        <v>1437</v>
      </c>
      <c r="F1981" s="78">
        <v>0.92519675925925926</v>
      </c>
      <c r="G1981" t="s">
        <v>1405</v>
      </c>
      <c r="H1981" t="s">
        <v>1335</v>
      </c>
      <c r="I1981" s="88" t="str">
        <f>VLOOKUP(A1981,Base!A:B,2,0)</f>
        <v>17.755.770-6</v>
      </c>
      <c r="J1981" s="99" t="str">
        <f>VLOOKUP(A1981,Base!A:F,6,0)</f>
        <v>CRISTIAN EDUARDO  MEZA  MEZA</v>
      </c>
      <c r="K1981" s="89" t="str">
        <f>IFERROR(IF(VLOOKUP(I1981,Ingreso!K:P,6,0)=0,"Sin turtno ing",VLOOKUP(I1981,Ingreso!K:P,6,0)),IF(F1981&gt;0.25,IF(F1981&lt;0.311805555555556,"Turno A",IF(F1981&gt;0.3125,IF(F1981&lt;0.354166666666667,"Turno C",IF(F1981&gt;0.583333333333333,IF(F1981&lt;0.625,"Turno B",IF(F1981&gt;0.625694444444444,IF(F1981&lt;0.8125,"Turno A",IF(F1981&gt;0.875,IF(F1981&lt;0.936805555555556,"Turno C",IF(F1981&gt;0.9375,IF(F1981&lt;0.979166666666667,"Turno B",""),"")),"")),"")),"")),"")),""))</f>
        <v>Turno C</v>
      </c>
      <c r="L1981" s="91">
        <f t="shared" si="30"/>
        <v>0.375</v>
      </c>
    </row>
    <row r="1982" spans="1:12" s="40" customFormat="1">
      <c r="A1982">
        <v>17755770</v>
      </c>
      <c r="B1982" t="s">
        <v>617</v>
      </c>
      <c r="C1982" t="s">
        <v>616</v>
      </c>
      <c r="D1982" t="s">
        <v>616</v>
      </c>
      <c r="E1982" t="s">
        <v>1438</v>
      </c>
      <c r="F1982" s="78">
        <v>0.32724537037037038</v>
      </c>
      <c r="G1982" t="s">
        <v>1406</v>
      </c>
      <c r="H1982" t="s">
        <v>1336</v>
      </c>
      <c r="I1982" s="88" t="str">
        <f>VLOOKUP(A1982,Base!A:B,2,0)</f>
        <v>17.755.770-6</v>
      </c>
      <c r="J1982" s="99" t="str">
        <f>VLOOKUP(A1982,Base!A:F,6,0)</f>
        <v>CRISTIAN EDUARDO  MEZA  MEZA</v>
      </c>
      <c r="K1982" s="89" t="str">
        <f>IFERROR(IF(VLOOKUP(I1982,Ingreso!K:P,6,0)=0,"Sin turtno ing",VLOOKUP(I1982,Ingreso!K:P,6,0)),IF(F1982&gt;0.25,IF(F1982&lt;0.311805555555556,"Turno A",IF(F1982&gt;0.3125,IF(F1982&lt;0.354166666666667,"Turno C",IF(F1982&gt;0.583333333333333,IF(F1982&lt;0.625,"Turno B",IF(F1982&gt;0.625694444444444,IF(F1982&lt;0.8125,"Turno A",IF(F1982&gt;0.875,IF(F1982&lt;0.936805555555556,"Turno C",IF(F1982&gt;0.9375,IF(F1982&lt;0.979166666666667,"Turno B",""),"")),"")),"")),"")),"")),""))</f>
        <v>Turno C</v>
      </c>
      <c r="L1982" s="91">
        <f t="shared" si="30"/>
        <v>0.375</v>
      </c>
    </row>
    <row r="1983" spans="1:12" s="40" customFormat="1">
      <c r="A1983">
        <v>17755770</v>
      </c>
      <c r="B1983" t="s">
        <v>617</v>
      </c>
      <c r="C1983" t="s">
        <v>616</v>
      </c>
      <c r="D1983" t="s">
        <v>616</v>
      </c>
      <c r="E1983" t="s">
        <v>1438</v>
      </c>
      <c r="F1983" s="78">
        <v>0.93130787037037033</v>
      </c>
      <c r="G1983" t="s">
        <v>1405</v>
      </c>
      <c r="H1983" t="s">
        <v>1335</v>
      </c>
      <c r="I1983" s="88" t="str">
        <f>VLOOKUP(A1983,Base!A:B,2,0)</f>
        <v>17.755.770-6</v>
      </c>
      <c r="J1983" s="99" t="str">
        <f>VLOOKUP(A1983,Base!A:F,6,0)</f>
        <v>CRISTIAN EDUARDO  MEZA  MEZA</v>
      </c>
      <c r="K1983" s="89" t="str">
        <f>IFERROR(IF(VLOOKUP(I1983,Ingreso!K:P,6,0)=0,"Sin turtno ing",VLOOKUP(I1983,Ingreso!K:P,6,0)),IF(F1983&gt;0.25,IF(F1983&lt;0.311805555555556,"Turno A",IF(F1983&gt;0.3125,IF(F1983&lt;0.354166666666667,"Turno C",IF(F1983&gt;0.583333333333333,IF(F1983&lt;0.625,"Turno B",IF(F1983&gt;0.625694444444444,IF(F1983&lt;0.8125,"Turno A",IF(F1983&gt;0.875,IF(F1983&lt;0.936805555555556,"Turno C",IF(F1983&gt;0.9375,IF(F1983&lt;0.979166666666667,"Turno B",""),"")),"")),"")),"")),"")),""))</f>
        <v>Turno C</v>
      </c>
      <c r="L1983" s="91">
        <f t="shared" si="30"/>
        <v>0.375</v>
      </c>
    </row>
    <row r="1984" spans="1:12" s="40" customFormat="1">
      <c r="A1984">
        <v>17755770</v>
      </c>
      <c r="B1984" t="s">
        <v>617</v>
      </c>
      <c r="C1984" t="s">
        <v>616</v>
      </c>
      <c r="D1984" t="s">
        <v>616</v>
      </c>
      <c r="E1984" t="s">
        <v>1439</v>
      </c>
      <c r="F1984" s="78">
        <v>0.32837962962962963</v>
      </c>
      <c r="G1984" t="s">
        <v>1406</v>
      </c>
      <c r="H1984" t="s">
        <v>1336</v>
      </c>
      <c r="I1984" s="88" t="str">
        <f>VLOOKUP(A1984,Base!A:B,2,0)</f>
        <v>17.755.770-6</v>
      </c>
      <c r="J1984" s="99" t="str">
        <f>VLOOKUP(A1984,Base!A:F,6,0)</f>
        <v>CRISTIAN EDUARDO  MEZA  MEZA</v>
      </c>
      <c r="K1984" s="89" t="str">
        <f>IFERROR(IF(VLOOKUP(I1984,Ingreso!K:P,6,0)=0,"Sin turtno ing",VLOOKUP(I1984,Ingreso!K:P,6,0)),IF(F1984&gt;0.25,IF(F1984&lt;0.311805555555556,"Turno A",IF(F1984&gt;0.3125,IF(F1984&lt;0.354166666666667,"Turno C",IF(F1984&gt;0.583333333333333,IF(F1984&lt;0.625,"Turno B",IF(F1984&gt;0.625694444444444,IF(F1984&lt;0.8125,"Turno A",IF(F1984&gt;0.875,IF(F1984&lt;0.936805555555556,"Turno C",IF(F1984&gt;0.9375,IF(F1984&lt;0.979166666666667,"Turno B",""),"")),"")),"")),"")),"")),""))</f>
        <v>Turno C</v>
      </c>
      <c r="L1984" s="91">
        <f t="shared" si="30"/>
        <v>0.375</v>
      </c>
    </row>
    <row r="1985" spans="1:12" s="40" customFormat="1">
      <c r="A1985">
        <v>17926694</v>
      </c>
      <c r="B1985" t="s">
        <v>1380</v>
      </c>
      <c r="C1985" t="s">
        <v>1379</v>
      </c>
      <c r="D1985" t="s">
        <v>1155</v>
      </c>
      <c r="E1985" t="s">
        <v>1440</v>
      </c>
      <c r="F1985" s="78">
        <v>0.73421296296296301</v>
      </c>
      <c r="G1985" t="s">
        <v>1406</v>
      </c>
      <c r="H1985" t="s">
        <v>1336</v>
      </c>
      <c r="I1985" s="88" t="str">
        <f>VLOOKUP(A1985,Base!A:B,2,0)</f>
        <v>17.926.694-6</v>
      </c>
      <c r="J1985" s="99" t="str">
        <f>VLOOKUP(A1985,Base!A:F,6,0)</f>
        <v>JAEL DENNISSE DENIS ESCOBAR</v>
      </c>
      <c r="K1985" s="89" t="str">
        <f>IFERROR(IF(VLOOKUP(I1985,Ingreso!K:P,6,0)=0,"Sin turtno ing",VLOOKUP(I1985,Ingreso!K:P,6,0)),IF(F1985&gt;0.25,IF(F1985&lt;0.311805555555556,"Turno A",IF(F1985&gt;0.3125,IF(F1985&lt;0.354166666666667,"Turno C",IF(F1985&gt;0.583333333333333,IF(F1985&lt;0.625,"Turno B",IF(F1985&gt;0.625694444444444,IF(F1985&lt;0.8125,"Turno A",IF(F1985&gt;0.875,IF(F1985&lt;0.936805555555556,"Turno C",IF(F1985&gt;0.9375,IF(F1985&lt;0.979166666666667,"Turno B",""),"")),"")),"")),"")),"")),""))</f>
        <v>Sin turtno ing</v>
      </c>
      <c r="L1985" s="91" t="e">
        <f t="shared" si="30"/>
        <v>#N/A</v>
      </c>
    </row>
    <row r="1986" spans="1:12" s="40" customFormat="1">
      <c r="A1986">
        <v>17926694</v>
      </c>
      <c r="B1986" t="s">
        <v>1380</v>
      </c>
      <c r="C1986" t="s">
        <v>1379</v>
      </c>
      <c r="D1986" t="s">
        <v>1155</v>
      </c>
      <c r="E1986" t="s">
        <v>1440</v>
      </c>
      <c r="F1986" s="78">
        <v>0.36481481481481487</v>
      </c>
      <c r="G1986" t="s">
        <v>1405</v>
      </c>
      <c r="H1986" t="s">
        <v>1335</v>
      </c>
      <c r="I1986" s="88" t="str">
        <f>VLOOKUP(A1986,Base!A:B,2,0)</f>
        <v>17.926.694-6</v>
      </c>
      <c r="J1986" s="99" t="str">
        <f>VLOOKUP(A1986,Base!A:F,6,0)</f>
        <v>JAEL DENNISSE DENIS ESCOBAR</v>
      </c>
      <c r="K1986" s="89" t="str">
        <f>IFERROR(IF(VLOOKUP(I1986,Ingreso!K:P,6,0)=0,"Sin turtno ing",VLOOKUP(I1986,Ingreso!K:P,6,0)),IF(F1986&gt;0.25,IF(F1986&lt;0.311805555555556,"Turno A",IF(F1986&gt;0.3125,IF(F1986&lt;0.354166666666667,"Turno C",IF(F1986&gt;0.583333333333333,IF(F1986&lt;0.625,"Turno B",IF(F1986&gt;0.625694444444444,IF(F1986&lt;0.8125,"Turno A",IF(F1986&gt;0.875,IF(F1986&lt;0.936805555555556,"Turno C",IF(F1986&gt;0.9375,IF(F1986&lt;0.979166666666667,"Turno B",""),"")),"")),"")),"")),"")),""))</f>
        <v>Sin turtno ing</v>
      </c>
      <c r="L1986" s="91" t="e">
        <f t="shared" si="30"/>
        <v>#N/A</v>
      </c>
    </row>
    <row r="1987" spans="1:12" s="40" customFormat="1">
      <c r="A1987">
        <v>17926694</v>
      </c>
      <c r="B1987" t="s">
        <v>1380</v>
      </c>
      <c r="C1987" t="s">
        <v>1379</v>
      </c>
      <c r="D1987" t="s">
        <v>1155</v>
      </c>
      <c r="E1987" t="s">
        <v>1441</v>
      </c>
      <c r="F1987" s="78">
        <v>0.63968749999999996</v>
      </c>
      <c r="G1987" t="s">
        <v>1406</v>
      </c>
      <c r="H1987" t="s">
        <v>1336</v>
      </c>
      <c r="I1987" s="88" t="str">
        <f>VLOOKUP(A1987,Base!A:B,2,0)</f>
        <v>17.926.694-6</v>
      </c>
      <c r="J1987" s="99" t="str">
        <f>VLOOKUP(A1987,Base!A:F,6,0)</f>
        <v>JAEL DENNISSE DENIS ESCOBAR</v>
      </c>
      <c r="K1987" s="89" t="str">
        <f>IFERROR(IF(VLOOKUP(I1987,Ingreso!K:P,6,0)=0,"Sin turtno ing",VLOOKUP(I1987,Ingreso!K:P,6,0)),IF(F1987&gt;0.25,IF(F1987&lt;0.311805555555556,"Turno A",IF(F1987&gt;0.3125,IF(F1987&lt;0.354166666666667,"Turno C",IF(F1987&gt;0.583333333333333,IF(F1987&lt;0.625,"Turno B",IF(F1987&gt;0.625694444444444,IF(F1987&lt;0.8125,"Turno A",IF(F1987&gt;0.875,IF(F1987&lt;0.936805555555556,"Turno C",IF(F1987&gt;0.9375,IF(F1987&lt;0.979166666666667,"Turno B",""),"")),"")),"")),"")),"")),""))</f>
        <v>Sin turtno ing</v>
      </c>
      <c r="L1987" s="91" t="e">
        <f t="shared" ref="L1987:L2050" si="31">VLOOKUP(K1987,$S$3:$T$7,2,0)</f>
        <v>#N/A</v>
      </c>
    </row>
    <row r="1988" spans="1:12" s="40" customFormat="1">
      <c r="A1988">
        <v>17926694</v>
      </c>
      <c r="B1988" t="s">
        <v>1380</v>
      </c>
      <c r="C1988" t="s">
        <v>1379</v>
      </c>
      <c r="D1988" t="s">
        <v>1155</v>
      </c>
      <c r="E1988" t="s">
        <v>1441</v>
      </c>
      <c r="F1988" s="78">
        <v>0.36532407407407402</v>
      </c>
      <c r="G1988" t="s">
        <v>1405</v>
      </c>
      <c r="H1988" t="s">
        <v>1335</v>
      </c>
      <c r="I1988" s="88" t="str">
        <f>VLOOKUP(A1988,Base!A:B,2,0)</f>
        <v>17.926.694-6</v>
      </c>
      <c r="J1988" s="99" t="str">
        <f>VLOOKUP(A1988,Base!A:F,6,0)</f>
        <v>JAEL DENNISSE DENIS ESCOBAR</v>
      </c>
      <c r="K1988" s="89" t="str">
        <f>IFERROR(IF(VLOOKUP(I1988,Ingreso!K:P,6,0)=0,"Sin turtno ing",VLOOKUP(I1988,Ingreso!K:P,6,0)),IF(F1988&gt;0.25,IF(F1988&lt;0.311805555555556,"Turno A",IF(F1988&gt;0.3125,IF(F1988&lt;0.354166666666667,"Turno C",IF(F1988&gt;0.583333333333333,IF(F1988&lt;0.625,"Turno B",IF(F1988&gt;0.625694444444444,IF(F1988&lt;0.8125,"Turno A",IF(F1988&gt;0.875,IF(F1988&lt;0.936805555555556,"Turno C",IF(F1988&gt;0.9375,IF(F1988&lt;0.979166666666667,"Turno B",""),"")),"")),"")),"")),"")),""))</f>
        <v>Sin turtno ing</v>
      </c>
      <c r="L1988" s="91" t="e">
        <f t="shared" si="31"/>
        <v>#N/A</v>
      </c>
    </row>
    <row r="1989" spans="1:12" s="40" customFormat="1">
      <c r="A1989">
        <v>17926694</v>
      </c>
      <c r="B1989" t="s">
        <v>1380</v>
      </c>
      <c r="C1989" t="s">
        <v>1379</v>
      </c>
      <c r="D1989" t="s">
        <v>1155</v>
      </c>
      <c r="E1989" t="s">
        <v>1437</v>
      </c>
      <c r="F1989" s="78">
        <v>0.76667824074074076</v>
      </c>
      <c r="G1989" t="s">
        <v>1406</v>
      </c>
      <c r="H1989" t="s">
        <v>1336</v>
      </c>
      <c r="I1989" s="88" t="str">
        <f>VLOOKUP(A1989,Base!A:B,2,0)</f>
        <v>17.926.694-6</v>
      </c>
      <c r="J1989" s="99" t="str">
        <f>VLOOKUP(A1989,Base!A:F,6,0)</f>
        <v>JAEL DENNISSE DENIS ESCOBAR</v>
      </c>
      <c r="K1989" s="89" t="str">
        <f>IFERROR(IF(VLOOKUP(I1989,Ingreso!K:P,6,0)=0,"Sin turtno ing",VLOOKUP(I1989,Ingreso!K:P,6,0)),IF(F1989&gt;0.25,IF(F1989&lt;0.311805555555556,"Turno A",IF(F1989&gt;0.3125,IF(F1989&lt;0.354166666666667,"Turno C",IF(F1989&gt;0.583333333333333,IF(F1989&lt;0.625,"Turno B",IF(F1989&gt;0.625694444444444,IF(F1989&lt;0.8125,"Turno A",IF(F1989&gt;0.875,IF(F1989&lt;0.936805555555556,"Turno C",IF(F1989&gt;0.9375,IF(F1989&lt;0.979166666666667,"Turno B",""),"")),"")),"")),"")),"")),""))</f>
        <v>Sin turtno ing</v>
      </c>
      <c r="L1989" s="91" t="e">
        <f t="shared" si="31"/>
        <v>#N/A</v>
      </c>
    </row>
    <row r="1990" spans="1:12" s="40" customFormat="1">
      <c r="A1990">
        <v>17926694</v>
      </c>
      <c r="B1990" t="s">
        <v>1380</v>
      </c>
      <c r="C1990" t="s">
        <v>1379</v>
      </c>
      <c r="D1990" t="s">
        <v>1155</v>
      </c>
      <c r="E1990" t="s">
        <v>1437</v>
      </c>
      <c r="F1990" s="78">
        <v>0.31631944444444443</v>
      </c>
      <c r="G1990" t="s">
        <v>1405</v>
      </c>
      <c r="H1990" t="s">
        <v>1335</v>
      </c>
      <c r="I1990" s="88" t="str">
        <f>VLOOKUP(A1990,Base!A:B,2,0)</f>
        <v>17.926.694-6</v>
      </c>
      <c r="J1990" s="99" t="str">
        <f>VLOOKUP(A1990,Base!A:F,6,0)</f>
        <v>JAEL DENNISSE DENIS ESCOBAR</v>
      </c>
      <c r="K1990" s="89" t="str">
        <f>IFERROR(IF(VLOOKUP(I1990,Ingreso!K:P,6,0)=0,"Sin turtno ing",VLOOKUP(I1990,Ingreso!K:P,6,0)),IF(F1990&gt;0.25,IF(F1990&lt;0.311805555555556,"Turno A",IF(F1990&gt;0.3125,IF(F1990&lt;0.354166666666667,"Turno C",IF(F1990&gt;0.583333333333333,IF(F1990&lt;0.625,"Turno B",IF(F1990&gt;0.625694444444444,IF(F1990&lt;0.8125,"Turno A",IF(F1990&gt;0.875,IF(F1990&lt;0.936805555555556,"Turno C",IF(F1990&gt;0.9375,IF(F1990&lt;0.979166666666667,"Turno B",""),"")),"")),"")),"")),"")),""))</f>
        <v>Sin turtno ing</v>
      </c>
      <c r="L1990" s="91" t="e">
        <f t="shared" si="31"/>
        <v>#N/A</v>
      </c>
    </row>
    <row r="1991" spans="1:12" s="40" customFormat="1">
      <c r="A1991">
        <v>17926694</v>
      </c>
      <c r="B1991" t="s">
        <v>1380</v>
      </c>
      <c r="C1991" t="s">
        <v>1379</v>
      </c>
      <c r="D1991" t="s">
        <v>1155</v>
      </c>
      <c r="E1991" t="s">
        <v>1438</v>
      </c>
      <c r="F1991" s="78">
        <v>0.77560185185185182</v>
      </c>
      <c r="G1991" t="s">
        <v>1406</v>
      </c>
      <c r="H1991" t="s">
        <v>1336</v>
      </c>
      <c r="I1991" s="88" t="str">
        <f>VLOOKUP(A1991,Base!A:B,2,0)</f>
        <v>17.926.694-6</v>
      </c>
      <c r="J1991" s="99" t="str">
        <f>VLOOKUP(A1991,Base!A:F,6,0)</f>
        <v>JAEL DENNISSE DENIS ESCOBAR</v>
      </c>
      <c r="K1991" s="89" t="str">
        <f>IFERROR(IF(VLOOKUP(I1991,Ingreso!K:P,6,0)=0,"Sin turtno ing",VLOOKUP(I1991,Ingreso!K:P,6,0)),IF(F1991&gt;0.25,IF(F1991&lt;0.311805555555556,"Turno A",IF(F1991&gt;0.3125,IF(F1991&lt;0.354166666666667,"Turno C",IF(F1991&gt;0.583333333333333,IF(F1991&lt;0.625,"Turno B",IF(F1991&gt;0.625694444444444,IF(F1991&lt;0.8125,"Turno A",IF(F1991&gt;0.875,IF(F1991&lt;0.936805555555556,"Turno C",IF(F1991&gt;0.9375,IF(F1991&lt;0.979166666666667,"Turno B",""),"")),"")),"")),"")),"")),""))</f>
        <v>Sin turtno ing</v>
      </c>
      <c r="L1991" s="91" t="e">
        <f t="shared" si="31"/>
        <v>#N/A</v>
      </c>
    </row>
    <row r="1992" spans="1:12" s="40" customFormat="1">
      <c r="A1992">
        <v>17926694</v>
      </c>
      <c r="B1992" t="s">
        <v>1380</v>
      </c>
      <c r="C1992" t="s">
        <v>1379</v>
      </c>
      <c r="D1992" t="s">
        <v>1155</v>
      </c>
      <c r="E1992" t="s">
        <v>1438</v>
      </c>
      <c r="F1992" s="78">
        <v>0.35655092592592591</v>
      </c>
      <c r="G1992" t="s">
        <v>1405</v>
      </c>
      <c r="H1992" t="s">
        <v>1335</v>
      </c>
      <c r="I1992" s="88" t="str">
        <f>VLOOKUP(A1992,Base!A:B,2,0)</f>
        <v>17.926.694-6</v>
      </c>
      <c r="J1992" s="99" t="str">
        <f>VLOOKUP(A1992,Base!A:F,6,0)</f>
        <v>JAEL DENNISSE DENIS ESCOBAR</v>
      </c>
      <c r="K1992" s="89" t="str">
        <f>IFERROR(IF(VLOOKUP(I1992,Ingreso!K:P,6,0)=0,"Sin turtno ing",VLOOKUP(I1992,Ingreso!K:P,6,0)),IF(F1992&gt;0.25,IF(F1992&lt;0.311805555555556,"Turno A",IF(F1992&gt;0.3125,IF(F1992&lt;0.354166666666667,"Turno C",IF(F1992&gt;0.583333333333333,IF(F1992&lt;0.625,"Turno B",IF(F1992&gt;0.625694444444444,IF(F1992&lt;0.8125,"Turno A",IF(F1992&gt;0.875,IF(F1992&lt;0.936805555555556,"Turno C",IF(F1992&gt;0.9375,IF(F1992&lt;0.979166666666667,"Turno B",""),"")),"")),"")),"")),"")),""))</f>
        <v>Sin turtno ing</v>
      </c>
      <c r="L1992" s="91" t="e">
        <f t="shared" si="31"/>
        <v>#N/A</v>
      </c>
    </row>
    <row r="1993" spans="1:12" s="40" customFormat="1">
      <c r="A1993">
        <v>17926694</v>
      </c>
      <c r="B1993" t="s">
        <v>1380</v>
      </c>
      <c r="C1993" t="s">
        <v>1379</v>
      </c>
      <c r="D1993" t="s">
        <v>1155</v>
      </c>
      <c r="E1993" t="s">
        <v>1439</v>
      </c>
      <c r="F1993" s="78">
        <v>0.78300925925925924</v>
      </c>
      <c r="G1993" t="s">
        <v>1406</v>
      </c>
      <c r="H1993" t="s">
        <v>1336</v>
      </c>
      <c r="I1993" s="88" t="str">
        <f>VLOOKUP(A1993,Base!A:B,2,0)</f>
        <v>17.926.694-6</v>
      </c>
      <c r="J1993" s="99" t="str">
        <f>VLOOKUP(A1993,Base!A:F,6,0)</f>
        <v>JAEL DENNISSE DENIS ESCOBAR</v>
      </c>
      <c r="K1993" s="89" t="str">
        <f>IFERROR(IF(VLOOKUP(I1993,Ingreso!K:P,6,0)=0,"Sin turtno ing",VLOOKUP(I1993,Ingreso!K:P,6,0)),IF(F1993&gt;0.25,IF(F1993&lt;0.311805555555556,"Turno A",IF(F1993&gt;0.3125,IF(F1993&lt;0.354166666666667,"Turno C",IF(F1993&gt;0.583333333333333,IF(F1993&lt;0.625,"Turno B",IF(F1993&gt;0.625694444444444,IF(F1993&lt;0.8125,"Turno A",IF(F1993&gt;0.875,IF(F1993&lt;0.936805555555556,"Turno C",IF(F1993&gt;0.9375,IF(F1993&lt;0.979166666666667,"Turno B",""),"")),"")),"")),"")),"")),""))</f>
        <v>Sin turtno ing</v>
      </c>
      <c r="L1993" s="91" t="e">
        <f t="shared" si="31"/>
        <v>#N/A</v>
      </c>
    </row>
    <row r="1994" spans="1:12" s="40" customFormat="1">
      <c r="A1994">
        <v>17926694</v>
      </c>
      <c r="B1994" t="s">
        <v>1380</v>
      </c>
      <c r="C1994" t="s">
        <v>1379</v>
      </c>
      <c r="D1994" t="s">
        <v>1155</v>
      </c>
      <c r="E1994" t="s">
        <v>1439</v>
      </c>
      <c r="F1994" s="78">
        <v>0.36387731481481483</v>
      </c>
      <c r="G1994" t="s">
        <v>1405</v>
      </c>
      <c r="H1994" t="s">
        <v>1335</v>
      </c>
      <c r="I1994" s="88" t="str">
        <f>VLOOKUP(A1994,Base!A:B,2,0)</f>
        <v>17.926.694-6</v>
      </c>
      <c r="J1994" s="99" t="str">
        <f>VLOOKUP(A1994,Base!A:F,6,0)</f>
        <v>JAEL DENNISSE DENIS ESCOBAR</v>
      </c>
      <c r="K1994" s="89" t="str">
        <f>IFERROR(IF(VLOOKUP(I1994,Ingreso!K:P,6,0)=0,"Sin turtno ing",VLOOKUP(I1994,Ingreso!K:P,6,0)),IF(F1994&gt;0.25,IF(F1994&lt;0.311805555555556,"Turno A",IF(F1994&gt;0.3125,IF(F1994&lt;0.354166666666667,"Turno C",IF(F1994&gt;0.583333333333333,IF(F1994&lt;0.625,"Turno B",IF(F1994&gt;0.625694444444444,IF(F1994&lt;0.8125,"Turno A",IF(F1994&gt;0.875,IF(F1994&lt;0.936805555555556,"Turno C",IF(F1994&gt;0.9375,IF(F1994&lt;0.979166666666667,"Turno B",""),"")),"")),"")),"")),"")),""))</f>
        <v>Sin turtno ing</v>
      </c>
      <c r="L1994" s="91" t="e">
        <f t="shared" si="31"/>
        <v>#N/A</v>
      </c>
    </row>
    <row r="1995" spans="1:12" s="40" customFormat="1">
      <c r="A1995">
        <v>17929108</v>
      </c>
      <c r="B1995" t="s">
        <v>334</v>
      </c>
      <c r="C1995" t="s">
        <v>332</v>
      </c>
      <c r="D1995" t="s">
        <v>333</v>
      </c>
      <c r="E1995" t="s">
        <v>1440</v>
      </c>
      <c r="F1995" s="78">
        <v>0.71467592592592588</v>
      </c>
      <c r="G1995" t="s">
        <v>1406</v>
      </c>
      <c r="H1995" t="s">
        <v>1336</v>
      </c>
      <c r="I1995" s="88" t="str">
        <f>VLOOKUP(A1995,Base!A:B,2,0)</f>
        <v>17.929.108-8</v>
      </c>
      <c r="J1995" s="99" t="str">
        <f>VLOOKUP(A1995,Base!A:F,6,0)</f>
        <v>CRISTIAN ALFREDO  DONOSO  SANTIBAÑEZ</v>
      </c>
      <c r="K1995" s="89" t="str">
        <f>IFERROR(IF(VLOOKUP(I1995,Ingreso!K:P,6,0)=0,"Sin turtno ing",VLOOKUP(I1995,Ingreso!K:P,6,0)),IF(F1995&gt;0.25,IF(F1995&lt;0.311805555555556,"Turno A",IF(F1995&gt;0.3125,IF(F1995&lt;0.354166666666667,"Turno C",IF(F1995&gt;0.583333333333333,IF(F1995&lt;0.625,"Turno B",IF(F1995&gt;0.625694444444444,IF(F1995&lt;0.8125,"Turno A",IF(F1995&gt;0.875,IF(F1995&lt;0.936805555555556,"Turno C",IF(F1995&gt;0.9375,IF(F1995&lt;0.979166666666667,"Turno B",""),"")),"")),"")),"")),"")),""))</f>
        <v>Turno A</v>
      </c>
      <c r="L1995" s="91">
        <f t="shared" si="31"/>
        <v>0.3125</v>
      </c>
    </row>
    <row r="1996" spans="1:12">
      <c r="A1996">
        <v>17929108</v>
      </c>
      <c r="B1996" t="s">
        <v>334</v>
      </c>
      <c r="C1996" t="s">
        <v>332</v>
      </c>
      <c r="D1996" t="s">
        <v>333</v>
      </c>
      <c r="E1996" t="s">
        <v>1440</v>
      </c>
      <c r="F1996" s="78">
        <v>0.29537037037037034</v>
      </c>
      <c r="G1996" t="s">
        <v>1405</v>
      </c>
      <c r="H1996" t="s">
        <v>1335</v>
      </c>
      <c r="I1996" s="88" t="str">
        <f>VLOOKUP(A1996,Base!A:B,2,0)</f>
        <v>17.929.108-8</v>
      </c>
      <c r="J1996" s="99" t="str">
        <f>VLOOKUP(A1996,Base!A:F,6,0)</f>
        <v>CRISTIAN ALFREDO  DONOSO  SANTIBAÑEZ</v>
      </c>
      <c r="K1996" s="89" t="str">
        <f>IFERROR(IF(VLOOKUP(I1996,Ingreso!K:P,6,0)=0,"Sin turtno ing",VLOOKUP(I1996,Ingreso!K:P,6,0)),IF(F1996&gt;0.25,IF(F1996&lt;0.311805555555556,"Turno A",IF(F1996&gt;0.3125,IF(F1996&lt;0.354166666666667,"Turno C",IF(F1996&gt;0.583333333333333,IF(F1996&lt;0.625,"Turno B",IF(F1996&gt;0.625694444444444,IF(F1996&lt;0.8125,"Turno A",IF(F1996&gt;0.875,IF(F1996&lt;0.936805555555556,"Turno C",IF(F1996&gt;0.9375,IF(F1996&lt;0.979166666666667,"Turno B",""),"")),"")),"")),"")),"")),""))</f>
        <v>Turno A</v>
      </c>
      <c r="L1996" s="91">
        <f t="shared" si="31"/>
        <v>0.3125</v>
      </c>
    </row>
    <row r="1997" spans="1:12">
      <c r="A1997">
        <v>17929108</v>
      </c>
      <c r="B1997" t="s">
        <v>334</v>
      </c>
      <c r="C1997" t="s">
        <v>332</v>
      </c>
      <c r="D1997" t="s">
        <v>333</v>
      </c>
      <c r="E1997" t="s">
        <v>1441</v>
      </c>
      <c r="F1997" s="78">
        <v>0.70988425925925924</v>
      </c>
      <c r="G1997" t="s">
        <v>1406</v>
      </c>
      <c r="H1997" t="s">
        <v>1336</v>
      </c>
      <c r="I1997" s="88" t="str">
        <f>VLOOKUP(A1997,Base!A:B,2,0)</f>
        <v>17.929.108-8</v>
      </c>
      <c r="J1997" s="99" t="str">
        <f>VLOOKUP(A1997,Base!A:F,6,0)</f>
        <v>CRISTIAN ALFREDO  DONOSO  SANTIBAÑEZ</v>
      </c>
      <c r="K1997" s="89" t="str">
        <f>IFERROR(IF(VLOOKUP(I1997,Ingreso!K:P,6,0)=0,"Sin turtno ing",VLOOKUP(I1997,Ingreso!K:P,6,0)),IF(F1997&gt;0.25,IF(F1997&lt;0.311805555555556,"Turno A",IF(F1997&gt;0.3125,IF(F1997&lt;0.354166666666667,"Turno C",IF(F1997&gt;0.583333333333333,IF(F1997&lt;0.625,"Turno B",IF(F1997&gt;0.625694444444444,IF(F1997&lt;0.8125,"Turno A",IF(F1997&gt;0.875,IF(F1997&lt;0.936805555555556,"Turno C",IF(F1997&gt;0.9375,IF(F1997&lt;0.979166666666667,"Turno B",""),"")),"")),"")),"")),"")),""))</f>
        <v>Turno A</v>
      </c>
      <c r="L1997" s="91">
        <f t="shared" si="31"/>
        <v>0.3125</v>
      </c>
    </row>
    <row r="1998" spans="1:12">
      <c r="A1998">
        <v>17929108</v>
      </c>
      <c r="B1998" t="s">
        <v>334</v>
      </c>
      <c r="C1998" t="s">
        <v>332</v>
      </c>
      <c r="D1998" t="s">
        <v>333</v>
      </c>
      <c r="E1998" t="s">
        <v>1441</v>
      </c>
      <c r="F1998" s="78">
        <v>0.29449074074074072</v>
      </c>
      <c r="G1998" t="s">
        <v>1405</v>
      </c>
      <c r="H1998" t="s">
        <v>1335</v>
      </c>
      <c r="I1998" s="88" t="str">
        <f>VLOOKUP(A1998,Base!A:B,2,0)</f>
        <v>17.929.108-8</v>
      </c>
      <c r="J1998" s="99" t="str">
        <f>VLOOKUP(A1998,Base!A:F,6,0)</f>
        <v>CRISTIAN ALFREDO  DONOSO  SANTIBAÑEZ</v>
      </c>
      <c r="K1998" s="89" t="str">
        <f>IFERROR(IF(VLOOKUP(I1998,Ingreso!K:P,6,0)=0,"Sin turtno ing",VLOOKUP(I1998,Ingreso!K:P,6,0)),IF(F1998&gt;0.25,IF(F1998&lt;0.311805555555556,"Turno A",IF(F1998&gt;0.3125,IF(F1998&lt;0.354166666666667,"Turno C",IF(F1998&gt;0.583333333333333,IF(F1998&lt;0.625,"Turno B",IF(F1998&gt;0.625694444444444,IF(F1998&lt;0.8125,"Turno A",IF(F1998&gt;0.875,IF(F1998&lt;0.936805555555556,"Turno C",IF(F1998&gt;0.9375,IF(F1998&lt;0.979166666666667,"Turno B",""),"")),"")),"")),"")),"")),""))</f>
        <v>Turno A</v>
      </c>
      <c r="L1998" s="91">
        <f t="shared" si="31"/>
        <v>0.3125</v>
      </c>
    </row>
    <row r="1999" spans="1:12">
      <c r="A1999">
        <v>17929108</v>
      </c>
      <c r="B1999" t="s">
        <v>334</v>
      </c>
      <c r="C1999" t="s">
        <v>332</v>
      </c>
      <c r="D1999" t="s">
        <v>333</v>
      </c>
      <c r="E1999" t="s">
        <v>1437</v>
      </c>
      <c r="F1999" s="78">
        <v>0.73298611111111101</v>
      </c>
      <c r="G1999" t="s">
        <v>1406</v>
      </c>
      <c r="H1999" t="s">
        <v>1336</v>
      </c>
      <c r="I1999" s="88" t="str">
        <f>VLOOKUP(A1999,Base!A:B,2,0)</f>
        <v>17.929.108-8</v>
      </c>
      <c r="J1999" s="99" t="str">
        <f>VLOOKUP(A1999,Base!A:F,6,0)</f>
        <v>CRISTIAN ALFREDO  DONOSO  SANTIBAÑEZ</v>
      </c>
      <c r="K1999" s="89" t="str">
        <f>IFERROR(IF(VLOOKUP(I1999,Ingreso!K:P,6,0)=0,"Sin turtno ing",VLOOKUP(I1999,Ingreso!K:P,6,0)),IF(F1999&gt;0.25,IF(F1999&lt;0.311805555555556,"Turno A",IF(F1999&gt;0.3125,IF(F1999&lt;0.354166666666667,"Turno C",IF(F1999&gt;0.583333333333333,IF(F1999&lt;0.625,"Turno B",IF(F1999&gt;0.625694444444444,IF(F1999&lt;0.8125,"Turno A",IF(F1999&gt;0.875,IF(F1999&lt;0.936805555555556,"Turno C",IF(F1999&gt;0.9375,IF(F1999&lt;0.979166666666667,"Turno B",""),"")),"")),"")),"")),"")),""))</f>
        <v>Turno A</v>
      </c>
      <c r="L1999" s="91">
        <f t="shared" si="31"/>
        <v>0.3125</v>
      </c>
    </row>
    <row r="2000" spans="1:12">
      <c r="A2000">
        <v>17929108</v>
      </c>
      <c r="B2000" t="s">
        <v>334</v>
      </c>
      <c r="C2000" t="s">
        <v>332</v>
      </c>
      <c r="D2000" t="s">
        <v>333</v>
      </c>
      <c r="E2000" t="s">
        <v>1437</v>
      </c>
      <c r="F2000" s="78">
        <v>0.29332175925925924</v>
      </c>
      <c r="G2000" t="s">
        <v>1405</v>
      </c>
      <c r="H2000" t="s">
        <v>1335</v>
      </c>
      <c r="I2000" s="88" t="str">
        <f>VLOOKUP(A2000,Base!A:B,2,0)</f>
        <v>17.929.108-8</v>
      </c>
      <c r="J2000" s="99" t="str">
        <f>VLOOKUP(A2000,Base!A:F,6,0)</f>
        <v>CRISTIAN ALFREDO  DONOSO  SANTIBAÑEZ</v>
      </c>
      <c r="K2000" s="89" t="str">
        <f>IFERROR(IF(VLOOKUP(I2000,Ingreso!K:P,6,0)=0,"Sin turtno ing",VLOOKUP(I2000,Ingreso!K:P,6,0)),IF(F2000&gt;0.25,IF(F2000&lt;0.311805555555556,"Turno A",IF(F2000&gt;0.3125,IF(F2000&lt;0.354166666666667,"Turno C",IF(F2000&gt;0.583333333333333,IF(F2000&lt;0.625,"Turno B",IF(F2000&gt;0.625694444444444,IF(F2000&lt;0.8125,"Turno A",IF(F2000&gt;0.875,IF(F2000&lt;0.936805555555556,"Turno C",IF(F2000&gt;0.9375,IF(F2000&lt;0.979166666666667,"Turno B",""),"")),"")),"")),"")),"")),""))</f>
        <v>Turno A</v>
      </c>
      <c r="L2000" s="91">
        <f t="shared" si="31"/>
        <v>0.3125</v>
      </c>
    </row>
    <row r="2001" spans="1:12">
      <c r="A2001">
        <v>17929108</v>
      </c>
      <c r="B2001" t="s">
        <v>334</v>
      </c>
      <c r="C2001" t="s">
        <v>332</v>
      </c>
      <c r="D2001" t="s">
        <v>333</v>
      </c>
      <c r="E2001" t="s">
        <v>1438</v>
      </c>
      <c r="F2001" s="78">
        <v>0.72541666666666671</v>
      </c>
      <c r="G2001" t="s">
        <v>1406</v>
      </c>
      <c r="H2001" t="s">
        <v>1336</v>
      </c>
      <c r="I2001" s="88" t="str">
        <f>VLOOKUP(A2001,Base!A:B,2,0)</f>
        <v>17.929.108-8</v>
      </c>
      <c r="J2001" s="99" t="str">
        <f>VLOOKUP(A2001,Base!A:F,6,0)</f>
        <v>CRISTIAN ALFREDO  DONOSO  SANTIBAÑEZ</v>
      </c>
      <c r="K2001" s="89" t="str">
        <f>IFERROR(IF(VLOOKUP(I2001,Ingreso!K:P,6,0)=0,"Sin turtno ing",VLOOKUP(I2001,Ingreso!K:P,6,0)),IF(F2001&gt;0.25,IF(F2001&lt;0.311805555555556,"Turno A",IF(F2001&gt;0.3125,IF(F2001&lt;0.354166666666667,"Turno C",IF(F2001&gt;0.583333333333333,IF(F2001&lt;0.625,"Turno B",IF(F2001&gt;0.625694444444444,IF(F2001&lt;0.8125,"Turno A",IF(F2001&gt;0.875,IF(F2001&lt;0.936805555555556,"Turno C",IF(F2001&gt;0.9375,IF(F2001&lt;0.979166666666667,"Turno B",""),"")),"")),"")),"")),"")),""))</f>
        <v>Turno A</v>
      </c>
      <c r="L2001" s="91">
        <f t="shared" si="31"/>
        <v>0.3125</v>
      </c>
    </row>
    <row r="2002" spans="1:12">
      <c r="A2002">
        <v>17929108</v>
      </c>
      <c r="B2002" t="s">
        <v>334</v>
      </c>
      <c r="C2002" t="s">
        <v>332</v>
      </c>
      <c r="D2002" t="s">
        <v>333</v>
      </c>
      <c r="E2002" t="s">
        <v>1438</v>
      </c>
      <c r="F2002" s="78">
        <v>0.29425925925925928</v>
      </c>
      <c r="G2002" t="s">
        <v>1405</v>
      </c>
      <c r="H2002" t="s">
        <v>1335</v>
      </c>
      <c r="I2002" s="88" t="str">
        <f>VLOOKUP(A2002,Base!A:B,2,0)</f>
        <v>17.929.108-8</v>
      </c>
      <c r="J2002" s="99" t="str">
        <f>VLOOKUP(A2002,Base!A:F,6,0)</f>
        <v>CRISTIAN ALFREDO  DONOSO  SANTIBAÑEZ</v>
      </c>
      <c r="K2002" s="89" t="str">
        <f>IFERROR(IF(VLOOKUP(I2002,Ingreso!K:P,6,0)=0,"Sin turtno ing",VLOOKUP(I2002,Ingreso!K:P,6,0)),IF(F2002&gt;0.25,IF(F2002&lt;0.311805555555556,"Turno A",IF(F2002&gt;0.3125,IF(F2002&lt;0.354166666666667,"Turno C",IF(F2002&gt;0.583333333333333,IF(F2002&lt;0.625,"Turno B",IF(F2002&gt;0.625694444444444,IF(F2002&lt;0.8125,"Turno A",IF(F2002&gt;0.875,IF(F2002&lt;0.936805555555556,"Turno C",IF(F2002&gt;0.9375,IF(F2002&lt;0.979166666666667,"Turno B",""),"")),"")),"")),"")),"")),""))</f>
        <v>Turno A</v>
      </c>
      <c r="L2002" s="91">
        <f t="shared" si="31"/>
        <v>0.3125</v>
      </c>
    </row>
    <row r="2003" spans="1:12">
      <c r="A2003">
        <v>17929108</v>
      </c>
      <c r="B2003" t="s">
        <v>334</v>
      </c>
      <c r="C2003" t="s">
        <v>332</v>
      </c>
      <c r="D2003" t="s">
        <v>333</v>
      </c>
      <c r="E2003" t="s">
        <v>1439</v>
      </c>
      <c r="F2003" s="78">
        <v>0.73271990740740733</v>
      </c>
      <c r="G2003" t="s">
        <v>1406</v>
      </c>
      <c r="H2003" t="s">
        <v>1336</v>
      </c>
      <c r="I2003" s="88" t="str">
        <f>VLOOKUP(A2003,Base!A:B,2,0)</f>
        <v>17.929.108-8</v>
      </c>
      <c r="J2003" s="99" t="str">
        <f>VLOOKUP(A2003,Base!A:F,6,0)</f>
        <v>CRISTIAN ALFREDO  DONOSO  SANTIBAÑEZ</v>
      </c>
      <c r="K2003" s="89" t="str">
        <f>IFERROR(IF(VLOOKUP(I2003,Ingreso!K:P,6,0)=0,"Sin turtno ing",VLOOKUP(I2003,Ingreso!K:P,6,0)),IF(F2003&gt;0.25,IF(F2003&lt;0.311805555555556,"Turno A",IF(F2003&gt;0.3125,IF(F2003&lt;0.354166666666667,"Turno C",IF(F2003&gt;0.583333333333333,IF(F2003&lt;0.625,"Turno B",IF(F2003&gt;0.625694444444444,IF(F2003&lt;0.8125,"Turno A",IF(F2003&gt;0.875,IF(F2003&lt;0.936805555555556,"Turno C",IF(F2003&gt;0.9375,IF(F2003&lt;0.979166666666667,"Turno B",""),"")),"")),"")),"")),"")),""))</f>
        <v>Turno A</v>
      </c>
      <c r="L2003" s="91">
        <f t="shared" si="31"/>
        <v>0.3125</v>
      </c>
    </row>
    <row r="2004" spans="1:12">
      <c r="A2004">
        <v>17929108</v>
      </c>
      <c r="B2004" t="s">
        <v>334</v>
      </c>
      <c r="C2004" t="s">
        <v>332</v>
      </c>
      <c r="D2004" t="s">
        <v>333</v>
      </c>
      <c r="E2004" t="s">
        <v>1439</v>
      </c>
      <c r="F2004" s="78">
        <v>0.29491898148148149</v>
      </c>
      <c r="G2004" t="s">
        <v>1405</v>
      </c>
      <c r="H2004" t="s">
        <v>1335</v>
      </c>
      <c r="I2004" s="88" t="str">
        <f>VLOOKUP(A2004,Base!A:B,2,0)</f>
        <v>17.929.108-8</v>
      </c>
      <c r="J2004" s="99" t="str">
        <f>VLOOKUP(A2004,Base!A:F,6,0)</f>
        <v>CRISTIAN ALFREDO  DONOSO  SANTIBAÑEZ</v>
      </c>
      <c r="K2004" s="89" t="str">
        <f>IFERROR(IF(VLOOKUP(I2004,Ingreso!K:P,6,0)=0,"Sin turtno ing",VLOOKUP(I2004,Ingreso!K:P,6,0)),IF(F2004&gt;0.25,IF(F2004&lt;0.311805555555556,"Turno A",IF(F2004&gt;0.3125,IF(F2004&lt;0.354166666666667,"Turno C",IF(F2004&gt;0.583333333333333,IF(F2004&lt;0.625,"Turno B",IF(F2004&gt;0.625694444444444,IF(F2004&lt;0.8125,"Turno A",IF(F2004&gt;0.875,IF(F2004&lt;0.936805555555556,"Turno C",IF(F2004&gt;0.9375,IF(F2004&lt;0.979166666666667,"Turno B",""),"")),"")),"")),"")),"")),""))</f>
        <v>Turno A</v>
      </c>
      <c r="L2004" s="91">
        <f t="shared" si="31"/>
        <v>0.3125</v>
      </c>
    </row>
    <row r="2005" spans="1:12">
      <c r="A2005">
        <v>18045411</v>
      </c>
      <c r="B2005" t="s">
        <v>1297</v>
      </c>
      <c r="C2005" t="s">
        <v>83</v>
      </c>
      <c r="D2005" t="s">
        <v>83</v>
      </c>
      <c r="E2005" t="s">
        <v>1440</v>
      </c>
      <c r="F2005" s="78">
        <v>0.94901620370370365</v>
      </c>
      <c r="G2005" t="s">
        <v>1406</v>
      </c>
      <c r="H2005" t="s">
        <v>1336</v>
      </c>
      <c r="I2005" s="88" t="str">
        <f>VLOOKUP(A2005,Base!A:B,2,0)</f>
        <v>18.045.411-k</v>
      </c>
      <c r="J2005" s="99" t="str">
        <f>VLOOKUP(A2005,Base!A:F,6,0)</f>
        <v>RICARDO ANDRES GONZALES GONZALES</v>
      </c>
      <c r="K2005" s="89" t="str">
        <f>IFERROR(IF(VLOOKUP(I2005,Ingreso!K:P,6,0)=0,"Sin turtno ing",VLOOKUP(I2005,Ingreso!K:P,6,0)),IF(F2005&gt;0.25,IF(F2005&lt;0.311805555555556,"Turno A",IF(F2005&gt;0.3125,IF(F2005&lt;0.354166666666667,"Turno C",IF(F2005&gt;0.583333333333333,IF(F2005&lt;0.625,"Turno B",IF(F2005&gt;0.625694444444444,IF(F2005&lt;0.8125,"Turno A",IF(F2005&gt;0.875,IF(F2005&lt;0.936805555555556,"Turno C",IF(F2005&gt;0.9375,IF(F2005&lt;0.979166666666667,"Turno B",""),"")),"")),"")),"")),"")),""))</f>
        <v>Turno B</v>
      </c>
      <c r="L2005" s="91">
        <f t="shared" si="31"/>
        <v>0.3125</v>
      </c>
    </row>
    <row r="2006" spans="1:12">
      <c r="A2006">
        <v>18045411</v>
      </c>
      <c r="B2006" t="s">
        <v>1297</v>
      </c>
      <c r="C2006" t="s">
        <v>83</v>
      </c>
      <c r="D2006" t="s">
        <v>83</v>
      </c>
      <c r="E2006" t="s">
        <v>1440</v>
      </c>
      <c r="F2006" s="78">
        <v>0.60944444444444446</v>
      </c>
      <c r="G2006" t="s">
        <v>1405</v>
      </c>
      <c r="H2006" t="s">
        <v>1335</v>
      </c>
      <c r="I2006" s="88" t="str">
        <f>VLOOKUP(A2006,Base!A:B,2,0)</f>
        <v>18.045.411-k</v>
      </c>
      <c r="J2006" s="99" t="str">
        <f>VLOOKUP(A2006,Base!A:F,6,0)</f>
        <v>RICARDO ANDRES GONZALES GONZALES</v>
      </c>
      <c r="K2006" s="89" t="str">
        <f>IFERROR(IF(VLOOKUP(I2006,Ingreso!K:P,6,0)=0,"Sin turtno ing",VLOOKUP(I2006,Ingreso!K:P,6,0)),IF(F2006&gt;0.25,IF(F2006&lt;0.311805555555556,"Turno A",IF(F2006&gt;0.3125,IF(F2006&lt;0.354166666666667,"Turno C",IF(F2006&gt;0.583333333333333,IF(F2006&lt;0.625,"Turno B",IF(F2006&gt;0.625694444444444,IF(F2006&lt;0.8125,"Turno A",IF(F2006&gt;0.875,IF(F2006&lt;0.936805555555556,"Turno C",IF(F2006&gt;0.9375,IF(F2006&lt;0.979166666666667,"Turno B",""),"")),"")),"")),"")),"")),""))</f>
        <v>Turno B</v>
      </c>
      <c r="L2006" s="91">
        <f t="shared" si="31"/>
        <v>0.3125</v>
      </c>
    </row>
    <row r="2007" spans="1:12">
      <c r="A2007">
        <v>18045411</v>
      </c>
      <c r="B2007" t="s">
        <v>1297</v>
      </c>
      <c r="C2007" t="s">
        <v>83</v>
      </c>
      <c r="D2007" t="s">
        <v>83</v>
      </c>
      <c r="E2007" t="s">
        <v>1441</v>
      </c>
      <c r="F2007" s="78">
        <v>0.94931712962962955</v>
      </c>
      <c r="G2007" t="s">
        <v>1406</v>
      </c>
      <c r="H2007" t="s">
        <v>1336</v>
      </c>
      <c r="I2007" s="88" t="str">
        <f>VLOOKUP(A2007,Base!A:B,2,0)</f>
        <v>18.045.411-k</v>
      </c>
      <c r="J2007" s="99" t="str">
        <f>VLOOKUP(A2007,Base!A:F,6,0)</f>
        <v>RICARDO ANDRES GONZALES GONZALES</v>
      </c>
      <c r="K2007" s="89" t="str">
        <f>IFERROR(IF(VLOOKUP(I2007,Ingreso!K:P,6,0)=0,"Sin turtno ing",VLOOKUP(I2007,Ingreso!K:P,6,0)),IF(F2007&gt;0.25,IF(F2007&lt;0.311805555555556,"Turno A",IF(F2007&gt;0.3125,IF(F2007&lt;0.354166666666667,"Turno C",IF(F2007&gt;0.583333333333333,IF(F2007&lt;0.625,"Turno B",IF(F2007&gt;0.625694444444444,IF(F2007&lt;0.8125,"Turno A",IF(F2007&gt;0.875,IF(F2007&lt;0.936805555555556,"Turno C",IF(F2007&gt;0.9375,IF(F2007&lt;0.979166666666667,"Turno B",""),"")),"")),"")),"")),"")),""))</f>
        <v>Turno B</v>
      </c>
      <c r="L2007" s="91">
        <f t="shared" si="31"/>
        <v>0.3125</v>
      </c>
    </row>
    <row r="2008" spans="1:12">
      <c r="A2008">
        <v>18045411</v>
      </c>
      <c r="B2008" t="s">
        <v>1297</v>
      </c>
      <c r="C2008" t="s">
        <v>83</v>
      </c>
      <c r="D2008" t="s">
        <v>83</v>
      </c>
      <c r="E2008" t="s">
        <v>1441</v>
      </c>
      <c r="F2008" s="78">
        <v>0.60968750000000005</v>
      </c>
      <c r="G2008" t="s">
        <v>1405</v>
      </c>
      <c r="H2008" t="s">
        <v>1335</v>
      </c>
      <c r="I2008" s="88" t="str">
        <f>VLOOKUP(A2008,Base!A:B,2,0)</f>
        <v>18.045.411-k</v>
      </c>
      <c r="J2008" s="99" t="str">
        <f>VLOOKUP(A2008,Base!A:F,6,0)</f>
        <v>RICARDO ANDRES GONZALES GONZALES</v>
      </c>
      <c r="K2008" s="89" t="str">
        <f>IFERROR(IF(VLOOKUP(I2008,Ingreso!K:P,6,0)=0,"Sin turtno ing",VLOOKUP(I2008,Ingreso!K:P,6,0)),IF(F2008&gt;0.25,IF(F2008&lt;0.311805555555556,"Turno A",IF(F2008&gt;0.3125,IF(F2008&lt;0.354166666666667,"Turno C",IF(F2008&gt;0.583333333333333,IF(F2008&lt;0.625,"Turno B",IF(F2008&gt;0.625694444444444,IF(F2008&lt;0.8125,"Turno A",IF(F2008&gt;0.875,IF(F2008&lt;0.936805555555556,"Turno C",IF(F2008&gt;0.9375,IF(F2008&lt;0.979166666666667,"Turno B",""),"")),"")),"")),"")),"")),""))</f>
        <v>Turno B</v>
      </c>
      <c r="L2008" s="91">
        <f t="shared" si="31"/>
        <v>0.3125</v>
      </c>
    </row>
    <row r="2009" spans="1:12">
      <c r="A2009">
        <v>18045411</v>
      </c>
      <c r="B2009" t="s">
        <v>1297</v>
      </c>
      <c r="C2009" t="s">
        <v>83</v>
      </c>
      <c r="D2009" t="s">
        <v>83</v>
      </c>
      <c r="E2009" t="s">
        <v>1437</v>
      </c>
      <c r="F2009" s="78">
        <v>0.94943287037037039</v>
      </c>
      <c r="G2009" t="s">
        <v>1406</v>
      </c>
      <c r="H2009" t="s">
        <v>1336</v>
      </c>
      <c r="I2009" s="88" t="str">
        <f>VLOOKUP(A2009,Base!A:B,2,0)</f>
        <v>18.045.411-k</v>
      </c>
      <c r="J2009" s="99" t="str">
        <f>VLOOKUP(A2009,Base!A:F,6,0)</f>
        <v>RICARDO ANDRES GONZALES GONZALES</v>
      </c>
      <c r="K2009" s="89" t="str">
        <f>IFERROR(IF(VLOOKUP(I2009,Ingreso!K:P,6,0)=0,"Sin turtno ing",VLOOKUP(I2009,Ingreso!K:P,6,0)),IF(F2009&gt;0.25,IF(F2009&lt;0.311805555555556,"Turno A",IF(F2009&gt;0.3125,IF(F2009&lt;0.354166666666667,"Turno C",IF(F2009&gt;0.583333333333333,IF(F2009&lt;0.625,"Turno B",IF(F2009&gt;0.625694444444444,IF(F2009&lt;0.8125,"Turno A",IF(F2009&gt;0.875,IF(F2009&lt;0.936805555555556,"Turno C",IF(F2009&gt;0.9375,IF(F2009&lt;0.979166666666667,"Turno B",""),"")),"")),"")),"")),"")),""))</f>
        <v>Turno B</v>
      </c>
      <c r="L2009" s="91">
        <f t="shared" si="31"/>
        <v>0.3125</v>
      </c>
    </row>
    <row r="2010" spans="1:12">
      <c r="A2010">
        <v>18045411</v>
      </c>
      <c r="B2010" t="s">
        <v>1297</v>
      </c>
      <c r="C2010" t="s">
        <v>83</v>
      </c>
      <c r="D2010" t="s">
        <v>83</v>
      </c>
      <c r="E2010" t="s">
        <v>1437</v>
      </c>
      <c r="F2010" s="78">
        <v>0.60763888888888895</v>
      </c>
      <c r="G2010" t="s">
        <v>1405</v>
      </c>
      <c r="H2010" t="s">
        <v>1335</v>
      </c>
      <c r="I2010" s="88" t="str">
        <f>VLOOKUP(A2010,Base!A:B,2,0)</f>
        <v>18.045.411-k</v>
      </c>
      <c r="J2010" s="99" t="str">
        <f>VLOOKUP(A2010,Base!A:F,6,0)</f>
        <v>RICARDO ANDRES GONZALES GONZALES</v>
      </c>
      <c r="K2010" s="89" t="str">
        <f>IFERROR(IF(VLOOKUP(I2010,Ingreso!K:P,6,0)=0,"Sin turtno ing",VLOOKUP(I2010,Ingreso!K:P,6,0)),IF(F2010&gt;0.25,IF(F2010&lt;0.311805555555556,"Turno A",IF(F2010&gt;0.3125,IF(F2010&lt;0.354166666666667,"Turno C",IF(F2010&gt;0.583333333333333,IF(F2010&lt;0.625,"Turno B",IF(F2010&gt;0.625694444444444,IF(F2010&lt;0.8125,"Turno A",IF(F2010&gt;0.875,IF(F2010&lt;0.936805555555556,"Turno C",IF(F2010&gt;0.9375,IF(F2010&lt;0.979166666666667,"Turno B",""),"")),"")),"")),"")),"")),""))</f>
        <v>Turno B</v>
      </c>
      <c r="L2010" s="91">
        <f t="shared" si="31"/>
        <v>0.3125</v>
      </c>
    </row>
    <row r="2011" spans="1:12">
      <c r="A2011">
        <v>18045411</v>
      </c>
      <c r="B2011" t="s">
        <v>1297</v>
      </c>
      <c r="C2011" t="s">
        <v>83</v>
      </c>
      <c r="D2011" t="s">
        <v>83</v>
      </c>
      <c r="E2011" t="s">
        <v>1438</v>
      </c>
      <c r="F2011" s="78">
        <v>0.94939814814814805</v>
      </c>
      <c r="G2011" t="s">
        <v>1406</v>
      </c>
      <c r="H2011" t="s">
        <v>1336</v>
      </c>
      <c r="I2011" s="88" t="str">
        <f>VLOOKUP(A2011,Base!A:B,2,0)</f>
        <v>18.045.411-k</v>
      </c>
      <c r="J2011" s="99" t="str">
        <f>VLOOKUP(A2011,Base!A:F,6,0)</f>
        <v>RICARDO ANDRES GONZALES GONZALES</v>
      </c>
      <c r="K2011" s="89" t="str">
        <f>IFERROR(IF(VLOOKUP(I2011,Ingreso!K:P,6,0)=0,"Sin turtno ing",VLOOKUP(I2011,Ingreso!K:P,6,0)),IF(F2011&gt;0.25,IF(F2011&lt;0.311805555555556,"Turno A",IF(F2011&gt;0.3125,IF(F2011&lt;0.354166666666667,"Turno C",IF(F2011&gt;0.583333333333333,IF(F2011&lt;0.625,"Turno B",IF(F2011&gt;0.625694444444444,IF(F2011&lt;0.8125,"Turno A",IF(F2011&gt;0.875,IF(F2011&lt;0.936805555555556,"Turno C",IF(F2011&gt;0.9375,IF(F2011&lt;0.979166666666667,"Turno B",""),"")),"")),"")),"")),"")),""))</f>
        <v>Turno B</v>
      </c>
      <c r="L2011" s="91">
        <f t="shared" si="31"/>
        <v>0.3125</v>
      </c>
    </row>
    <row r="2012" spans="1:12">
      <c r="A2012">
        <v>18045411</v>
      </c>
      <c r="B2012" t="s">
        <v>1297</v>
      </c>
      <c r="C2012" t="s">
        <v>83</v>
      </c>
      <c r="D2012" t="s">
        <v>83</v>
      </c>
      <c r="E2012" t="s">
        <v>1438</v>
      </c>
      <c r="F2012" s="78">
        <v>0.61030092592592589</v>
      </c>
      <c r="G2012" t="s">
        <v>1405</v>
      </c>
      <c r="H2012" t="s">
        <v>1335</v>
      </c>
      <c r="I2012" s="88" t="str">
        <f>VLOOKUP(A2012,Base!A:B,2,0)</f>
        <v>18.045.411-k</v>
      </c>
      <c r="J2012" s="99" t="str">
        <f>VLOOKUP(A2012,Base!A:F,6,0)</f>
        <v>RICARDO ANDRES GONZALES GONZALES</v>
      </c>
      <c r="K2012" s="89" t="str">
        <f>IFERROR(IF(VLOOKUP(I2012,Ingreso!K:P,6,0)=0,"Sin turtno ing",VLOOKUP(I2012,Ingreso!K:P,6,0)),IF(F2012&gt;0.25,IF(F2012&lt;0.311805555555556,"Turno A",IF(F2012&gt;0.3125,IF(F2012&lt;0.354166666666667,"Turno C",IF(F2012&gt;0.583333333333333,IF(F2012&lt;0.625,"Turno B",IF(F2012&gt;0.625694444444444,IF(F2012&lt;0.8125,"Turno A",IF(F2012&gt;0.875,IF(F2012&lt;0.936805555555556,"Turno C",IF(F2012&gt;0.9375,IF(F2012&lt;0.979166666666667,"Turno B",""),"")),"")),"")),"")),"")),""))</f>
        <v>Turno B</v>
      </c>
      <c r="L2012" s="91">
        <f t="shared" si="31"/>
        <v>0.3125</v>
      </c>
    </row>
    <row r="2013" spans="1:12">
      <c r="A2013">
        <v>18045411</v>
      </c>
      <c r="B2013" t="s">
        <v>1297</v>
      </c>
      <c r="C2013" t="s">
        <v>83</v>
      </c>
      <c r="D2013" t="s">
        <v>83</v>
      </c>
      <c r="E2013" t="s">
        <v>1439</v>
      </c>
      <c r="F2013" s="78">
        <v>0.95104166666666667</v>
      </c>
      <c r="G2013" t="s">
        <v>1406</v>
      </c>
      <c r="H2013" t="s">
        <v>1336</v>
      </c>
      <c r="I2013" s="88" t="str">
        <f>VLOOKUP(A2013,Base!A:B,2,0)</f>
        <v>18.045.411-k</v>
      </c>
      <c r="J2013" s="99" t="str">
        <f>VLOOKUP(A2013,Base!A:F,6,0)</f>
        <v>RICARDO ANDRES GONZALES GONZALES</v>
      </c>
      <c r="K2013" s="89" t="str">
        <f>IFERROR(IF(VLOOKUP(I2013,Ingreso!K:P,6,0)=0,"Sin turtno ing",VLOOKUP(I2013,Ingreso!K:P,6,0)),IF(F2013&gt;0.25,IF(F2013&lt;0.311805555555556,"Turno A",IF(F2013&gt;0.3125,IF(F2013&lt;0.354166666666667,"Turno C",IF(F2013&gt;0.583333333333333,IF(F2013&lt;0.625,"Turno B",IF(F2013&gt;0.625694444444444,IF(F2013&lt;0.8125,"Turno A",IF(F2013&gt;0.875,IF(F2013&lt;0.936805555555556,"Turno C",IF(F2013&gt;0.9375,IF(F2013&lt;0.979166666666667,"Turno B",""),"")),"")),"")),"")),"")),""))</f>
        <v>Turno B</v>
      </c>
      <c r="L2013" s="91">
        <f t="shared" si="31"/>
        <v>0.3125</v>
      </c>
    </row>
    <row r="2014" spans="1:12">
      <c r="A2014">
        <v>18045411</v>
      </c>
      <c r="B2014" t="s">
        <v>1297</v>
      </c>
      <c r="C2014" t="s">
        <v>83</v>
      </c>
      <c r="D2014" t="s">
        <v>83</v>
      </c>
      <c r="E2014" t="s">
        <v>1439</v>
      </c>
      <c r="F2014" s="78">
        <v>0.60875000000000001</v>
      </c>
      <c r="G2014" t="s">
        <v>1405</v>
      </c>
      <c r="H2014" t="s">
        <v>1335</v>
      </c>
      <c r="I2014" s="88" t="str">
        <f>VLOOKUP(A2014,Base!A:B,2,0)</f>
        <v>18.045.411-k</v>
      </c>
      <c r="J2014" s="99" t="str">
        <f>VLOOKUP(A2014,Base!A:F,6,0)</f>
        <v>RICARDO ANDRES GONZALES GONZALES</v>
      </c>
      <c r="K2014" s="89" t="str">
        <f>IFERROR(IF(VLOOKUP(I2014,Ingreso!K:P,6,0)=0,"Sin turtno ing",VLOOKUP(I2014,Ingreso!K:P,6,0)),IF(F2014&gt;0.25,IF(F2014&lt;0.311805555555556,"Turno A",IF(F2014&gt;0.3125,IF(F2014&lt;0.354166666666667,"Turno C",IF(F2014&gt;0.583333333333333,IF(F2014&lt;0.625,"Turno B",IF(F2014&gt;0.625694444444444,IF(F2014&lt;0.8125,"Turno A",IF(F2014&gt;0.875,IF(F2014&lt;0.936805555555556,"Turno C",IF(F2014&gt;0.9375,IF(F2014&lt;0.979166666666667,"Turno B",""),"")),"")),"")),"")),"")),""))</f>
        <v>Turno B</v>
      </c>
      <c r="L2014" s="91">
        <f t="shared" si="31"/>
        <v>0.3125</v>
      </c>
    </row>
    <row r="2015" spans="1:12">
      <c r="A2015">
        <v>18074081</v>
      </c>
      <c r="B2015" t="s">
        <v>890</v>
      </c>
      <c r="C2015" t="s">
        <v>76</v>
      </c>
      <c r="D2015" t="s">
        <v>889</v>
      </c>
      <c r="E2015" t="s">
        <v>1440</v>
      </c>
      <c r="F2015" s="78">
        <v>0.32056712962962963</v>
      </c>
      <c r="G2015" t="s">
        <v>1406</v>
      </c>
      <c r="H2015" t="s">
        <v>1336</v>
      </c>
      <c r="I2015" s="88" t="str">
        <f>VLOOKUP(A2015,Base!A:B,2,0)</f>
        <v>18.074.081-3</v>
      </c>
      <c r="J2015" s="99" t="str">
        <f>VLOOKUP(A2015,Base!A:F,6,0)</f>
        <v>MATIAS ANDRES  REYES  SERRANO</v>
      </c>
      <c r="K2015" s="89" t="str">
        <f>IFERROR(IF(VLOOKUP(I2015,Ingreso!K:P,6,0)=0,"Sin turtno ing",VLOOKUP(I2015,Ingreso!K:P,6,0)),IF(F2015&gt;0.25,IF(F2015&lt;0.311805555555556,"Turno A",IF(F2015&gt;0.3125,IF(F2015&lt;0.354166666666667,"Turno C",IF(F2015&gt;0.583333333333333,IF(F2015&lt;0.625,"Turno B",IF(F2015&gt;0.625694444444444,IF(F2015&lt;0.8125,"Turno A",IF(F2015&gt;0.875,IF(F2015&lt;0.936805555555556,"Turno C",IF(F2015&gt;0.9375,IF(F2015&lt;0.979166666666667,"Turno B",""),"")),"")),"")),"")),"")),""))</f>
        <v>Turno C</v>
      </c>
      <c r="L2015" s="91">
        <f t="shared" si="31"/>
        <v>0.375</v>
      </c>
    </row>
    <row r="2016" spans="1:12">
      <c r="A2016">
        <v>18074081</v>
      </c>
      <c r="B2016" t="s">
        <v>890</v>
      </c>
      <c r="C2016" t="s">
        <v>76</v>
      </c>
      <c r="D2016" t="s">
        <v>889</v>
      </c>
      <c r="E2016" t="s">
        <v>1437</v>
      </c>
      <c r="F2016" s="78">
        <v>0.91668981481481471</v>
      </c>
      <c r="G2016" t="s">
        <v>1405</v>
      </c>
      <c r="H2016" t="s">
        <v>1335</v>
      </c>
      <c r="I2016" s="88" t="str">
        <f>VLOOKUP(A2016,Base!A:B,2,0)</f>
        <v>18.074.081-3</v>
      </c>
      <c r="J2016" s="99" t="str">
        <f>VLOOKUP(A2016,Base!A:F,6,0)</f>
        <v>MATIAS ANDRES  REYES  SERRANO</v>
      </c>
      <c r="K2016" s="89" t="str">
        <f>IFERROR(IF(VLOOKUP(I2016,Ingreso!K:P,6,0)=0,"Sin turtno ing",VLOOKUP(I2016,Ingreso!K:P,6,0)),IF(F2016&gt;0.25,IF(F2016&lt;0.311805555555556,"Turno A",IF(F2016&gt;0.3125,IF(F2016&lt;0.354166666666667,"Turno C",IF(F2016&gt;0.583333333333333,IF(F2016&lt;0.625,"Turno B",IF(F2016&gt;0.625694444444444,IF(F2016&lt;0.8125,"Turno A",IF(F2016&gt;0.875,IF(F2016&lt;0.936805555555556,"Turno C",IF(F2016&gt;0.9375,IF(F2016&lt;0.979166666666667,"Turno B",""),"")),"")),"")),"")),"")),""))</f>
        <v>Turno C</v>
      </c>
      <c r="L2016" s="91">
        <f t="shared" si="31"/>
        <v>0.375</v>
      </c>
    </row>
    <row r="2017" spans="1:12">
      <c r="A2017">
        <v>18074081</v>
      </c>
      <c r="B2017" t="s">
        <v>890</v>
      </c>
      <c r="C2017" t="s">
        <v>76</v>
      </c>
      <c r="D2017" t="s">
        <v>889</v>
      </c>
      <c r="E2017" t="s">
        <v>1438</v>
      </c>
      <c r="F2017" s="78">
        <v>0.32622685185185185</v>
      </c>
      <c r="G2017" t="s">
        <v>1406</v>
      </c>
      <c r="H2017" t="s">
        <v>1336</v>
      </c>
      <c r="I2017" s="88" t="str">
        <f>VLOOKUP(A2017,Base!A:B,2,0)</f>
        <v>18.074.081-3</v>
      </c>
      <c r="J2017" s="99" t="str">
        <f>VLOOKUP(A2017,Base!A:F,6,0)</f>
        <v>MATIAS ANDRES  REYES  SERRANO</v>
      </c>
      <c r="K2017" s="89" t="str">
        <f>IFERROR(IF(VLOOKUP(I2017,Ingreso!K:P,6,0)=0,"Sin turtno ing",VLOOKUP(I2017,Ingreso!K:P,6,0)),IF(F2017&gt;0.25,IF(F2017&lt;0.311805555555556,"Turno A",IF(F2017&gt;0.3125,IF(F2017&lt;0.354166666666667,"Turno C",IF(F2017&gt;0.583333333333333,IF(F2017&lt;0.625,"Turno B",IF(F2017&gt;0.625694444444444,IF(F2017&lt;0.8125,"Turno A",IF(F2017&gt;0.875,IF(F2017&lt;0.936805555555556,"Turno C",IF(F2017&gt;0.9375,IF(F2017&lt;0.979166666666667,"Turno B",""),"")),"")),"")),"")),"")),""))</f>
        <v>Turno C</v>
      </c>
      <c r="L2017" s="91">
        <f t="shared" si="31"/>
        <v>0.375</v>
      </c>
    </row>
    <row r="2018" spans="1:12">
      <c r="A2018">
        <v>18074081</v>
      </c>
      <c r="B2018" t="s">
        <v>890</v>
      </c>
      <c r="C2018" t="s">
        <v>76</v>
      </c>
      <c r="D2018" t="s">
        <v>889</v>
      </c>
      <c r="E2018" t="s">
        <v>1438</v>
      </c>
      <c r="F2018" s="78">
        <v>0.91730324074074077</v>
      </c>
      <c r="G2018" t="s">
        <v>1405</v>
      </c>
      <c r="H2018" t="s">
        <v>1335</v>
      </c>
      <c r="I2018" s="88" t="str">
        <f>VLOOKUP(A2018,Base!A:B,2,0)</f>
        <v>18.074.081-3</v>
      </c>
      <c r="J2018" s="99" t="str">
        <f>VLOOKUP(A2018,Base!A:F,6,0)</f>
        <v>MATIAS ANDRES  REYES  SERRANO</v>
      </c>
      <c r="K2018" s="89" t="str">
        <f>IFERROR(IF(VLOOKUP(I2018,Ingreso!K:P,6,0)=0,"Sin turtno ing",VLOOKUP(I2018,Ingreso!K:P,6,0)),IF(F2018&gt;0.25,IF(F2018&lt;0.311805555555556,"Turno A",IF(F2018&gt;0.3125,IF(F2018&lt;0.354166666666667,"Turno C",IF(F2018&gt;0.583333333333333,IF(F2018&lt;0.625,"Turno B",IF(F2018&gt;0.625694444444444,IF(F2018&lt;0.8125,"Turno A",IF(F2018&gt;0.875,IF(F2018&lt;0.936805555555556,"Turno C",IF(F2018&gt;0.9375,IF(F2018&lt;0.979166666666667,"Turno B",""),"")),"")),"")),"")),"")),""))</f>
        <v>Turno C</v>
      </c>
      <c r="L2018" s="91">
        <f t="shared" si="31"/>
        <v>0.375</v>
      </c>
    </row>
    <row r="2019" spans="1:12">
      <c r="A2019">
        <v>18074081</v>
      </c>
      <c r="B2019" t="s">
        <v>890</v>
      </c>
      <c r="C2019" t="s">
        <v>76</v>
      </c>
      <c r="D2019" t="s">
        <v>889</v>
      </c>
      <c r="E2019" t="s">
        <v>1439</v>
      </c>
      <c r="F2019" s="78">
        <v>0.32285879629629627</v>
      </c>
      <c r="G2019" t="s">
        <v>1406</v>
      </c>
      <c r="H2019" t="s">
        <v>1336</v>
      </c>
      <c r="I2019" s="88" t="str">
        <f>VLOOKUP(A2019,Base!A:B,2,0)</f>
        <v>18.074.081-3</v>
      </c>
      <c r="J2019" s="99" t="str">
        <f>VLOOKUP(A2019,Base!A:F,6,0)</f>
        <v>MATIAS ANDRES  REYES  SERRANO</v>
      </c>
      <c r="K2019" s="89" t="str">
        <f>IFERROR(IF(VLOOKUP(I2019,Ingreso!K:P,6,0)=0,"Sin turtno ing",VLOOKUP(I2019,Ingreso!K:P,6,0)),IF(F2019&gt;0.25,IF(F2019&lt;0.311805555555556,"Turno A",IF(F2019&gt;0.3125,IF(F2019&lt;0.354166666666667,"Turno C",IF(F2019&gt;0.583333333333333,IF(F2019&lt;0.625,"Turno B",IF(F2019&gt;0.625694444444444,IF(F2019&lt;0.8125,"Turno A",IF(F2019&gt;0.875,IF(F2019&lt;0.936805555555556,"Turno C",IF(F2019&gt;0.9375,IF(F2019&lt;0.979166666666667,"Turno B",""),"")),"")),"")),"")),"")),""))</f>
        <v>Turno C</v>
      </c>
      <c r="L2019" s="91">
        <f t="shared" si="31"/>
        <v>0.375</v>
      </c>
    </row>
    <row r="2020" spans="1:12">
      <c r="A2020">
        <v>18074081</v>
      </c>
      <c r="B2020" t="s">
        <v>890</v>
      </c>
      <c r="C2020" t="s">
        <v>76</v>
      </c>
      <c r="D2020" t="s">
        <v>889</v>
      </c>
      <c r="E2020" t="s">
        <v>1439</v>
      </c>
      <c r="F2020" s="78">
        <v>0.91937500000000005</v>
      </c>
      <c r="G2020" t="s">
        <v>1405</v>
      </c>
      <c r="H2020" t="s">
        <v>1335</v>
      </c>
      <c r="I2020" s="88" t="str">
        <f>VLOOKUP(A2020,Base!A:B,2,0)</f>
        <v>18.074.081-3</v>
      </c>
      <c r="J2020" s="99" t="str">
        <f>VLOOKUP(A2020,Base!A:F,6,0)</f>
        <v>MATIAS ANDRES  REYES  SERRANO</v>
      </c>
      <c r="K2020" s="89" t="str">
        <f>IFERROR(IF(VLOOKUP(I2020,Ingreso!K:P,6,0)=0,"Sin turtno ing",VLOOKUP(I2020,Ingreso!K:P,6,0)),IF(F2020&gt;0.25,IF(F2020&lt;0.311805555555556,"Turno A",IF(F2020&gt;0.3125,IF(F2020&lt;0.354166666666667,"Turno C",IF(F2020&gt;0.583333333333333,IF(F2020&lt;0.625,"Turno B",IF(F2020&gt;0.625694444444444,IF(F2020&lt;0.8125,"Turno A",IF(F2020&gt;0.875,IF(F2020&lt;0.936805555555556,"Turno C",IF(F2020&gt;0.9375,IF(F2020&lt;0.979166666666667,"Turno B",""),"")),"")),"")),"")),"")),""))</f>
        <v>Turno C</v>
      </c>
      <c r="L2020" s="91">
        <f t="shared" si="31"/>
        <v>0.375</v>
      </c>
    </row>
    <row r="2021" spans="1:12">
      <c r="A2021">
        <v>18187438</v>
      </c>
      <c r="B2021" t="s">
        <v>1303</v>
      </c>
      <c r="C2021" t="s">
        <v>1428</v>
      </c>
      <c r="D2021" t="s">
        <v>1302</v>
      </c>
      <c r="E2021" t="s">
        <v>1440</v>
      </c>
      <c r="F2021" s="78">
        <v>0.63773148148148151</v>
      </c>
      <c r="G2021" t="s">
        <v>1406</v>
      </c>
      <c r="H2021" t="s">
        <v>1336</v>
      </c>
      <c r="I2021" s="88" t="str">
        <f>VLOOKUP(A2021,Base!A:B,2,0)</f>
        <v>18.187.438-4</v>
      </c>
      <c r="J2021" s="99" t="str">
        <f>VLOOKUP(A2021,Base!A:F,6,0)</f>
        <v>NICOLAS FRANCISCO GAVELO DEVIA</v>
      </c>
      <c r="K2021" s="89" t="str">
        <f>IFERROR(IF(VLOOKUP(I2021,Ingreso!K:P,6,0)=0,"Sin turtno ing",VLOOKUP(I2021,Ingreso!K:P,6,0)),IF(F2021&gt;0.25,IF(F2021&lt;0.311805555555556,"Turno A",IF(F2021&gt;0.3125,IF(F2021&lt;0.354166666666667,"Turno C",IF(F2021&gt;0.583333333333333,IF(F2021&lt;0.625,"Turno B",IF(F2021&gt;0.625694444444444,IF(F2021&lt;0.8125,"Turno A",IF(F2021&gt;0.875,IF(F2021&lt;0.936805555555556,"Turno C",IF(F2021&gt;0.9375,IF(F2021&lt;0.979166666666667,"Turno B",""),"")),"")),"")),"")),"")),""))</f>
        <v>Turno A</v>
      </c>
      <c r="L2021" s="91">
        <f t="shared" si="31"/>
        <v>0.3125</v>
      </c>
    </row>
    <row r="2022" spans="1:12">
      <c r="A2022">
        <v>18187438</v>
      </c>
      <c r="B2022" t="s">
        <v>1303</v>
      </c>
      <c r="C2022" t="s">
        <v>1428</v>
      </c>
      <c r="D2022" t="s">
        <v>1302</v>
      </c>
      <c r="E2022" t="s">
        <v>1440</v>
      </c>
      <c r="F2022" s="78">
        <v>0.29113425925925923</v>
      </c>
      <c r="G2022" t="s">
        <v>1405</v>
      </c>
      <c r="H2022" t="s">
        <v>1335</v>
      </c>
      <c r="I2022" s="88" t="str">
        <f>VLOOKUP(A2022,Base!A:B,2,0)</f>
        <v>18.187.438-4</v>
      </c>
      <c r="J2022" s="99" t="str">
        <f>VLOOKUP(A2022,Base!A:F,6,0)</f>
        <v>NICOLAS FRANCISCO GAVELO DEVIA</v>
      </c>
      <c r="K2022" s="89" t="str">
        <f>IFERROR(IF(VLOOKUP(I2022,Ingreso!K:P,6,0)=0,"Sin turtno ing",VLOOKUP(I2022,Ingreso!K:P,6,0)),IF(F2022&gt;0.25,IF(F2022&lt;0.311805555555556,"Turno A",IF(F2022&gt;0.3125,IF(F2022&lt;0.354166666666667,"Turno C",IF(F2022&gt;0.583333333333333,IF(F2022&lt;0.625,"Turno B",IF(F2022&gt;0.625694444444444,IF(F2022&lt;0.8125,"Turno A",IF(F2022&gt;0.875,IF(F2022&lt;0.936805555555556,"Turno C",IF(F2022&gt;0.9375,IF(F2022&lt;0.979166666666667,"Turno B",""),"")),"")),"")),"")),"")),""))</f>
        <v>Turno A</v>
      </c>
      <c r="L2022" s="91">
        <f t="shared" si="31"/>
        <v>0.3125</v>
      </c>
    </row>
    <row r="2023" spans="1:12">
      <c r="A2023">
        <v>18187438</v>
      </c>
      <c r="B2023" t="s">
        <v>1303</v>
      </c>
      <c r="C2023" t="s">
        <v>1428</v>
      </c>
      <c r="D2023" t="s">
        <v>1302</v>
      </c>
      <c r="E2023" t="s">
        <v>1441</v>
      </c>
      <c r="F2023" s="78">
        <v>0.63893518518518522</v>
      </c>
      <c r="G2023" t="s">
        <v>1406</v>
      </c>
      <c r="H2023" t="s">
        <v>1336</v>
      </c>
      <c r="I2023" s="88" t="str">
        <f>VLOOKUP(A2023,Base!A:B,2,0)</f>
        <v>18.187.438-4</v>
      </c>
      <c r="J2023" s="99" t="str">
        <f>VLOOKUP(A2023,Base!A:F,6,0)</f>
        <v>NICOLAS FRANCISCO GAVELO DEVIA</v>
      </c>
      <c r="K2023" s="89" t="str">
        <f>IFERROR(IF(VLOOKUP(I2023,Ingreso!K:P,6,0)=0,"Sin turtno ing",VLOOKUP(I2023,Ingreso!K:P,6,0)),IF(F2023&gt;0.25,IF(F2023&lt;0.311805555555556,"Turno A",IF(F2023&gt;0.3125,IF(F2023&lt;0.354166666666667,"Turno C",IF(F2023&gt;0.583333333333333,IF(F2023&lt;0.625,"Turno B",IF(F2023&gt;0.625694444444444,IF(F2023&lt;0.8125,"Turno A",IF(F2023&gt;0.875,IF(F2023&lt;0.936805555555556,"Turno C",IF(F2023&gt;0.9375,IF(F2023&lt;0.979166666666667,"Turno B",""),"")),"")),"")),"")),"")),""))</f>
        <v>Turno A</v>
      </c>
      <c r="L2023" s="91">
        <f t="shared" si="31"/>
        <v>0.3125</v>
      </c>
    </row>
    <row r="2024" spans="1:12">
      <c r="A2024">
        <v>18187438</v>
      </c>
      <c r="B2024" t="s">
        <v>1303</v>
      </c>
      <c r="C2024" t="s">
        <v>1428</v>
      </c>
      <c r="D2024" t="s">
        <v>1302</v>
      </c>
      <c r="E2024" t="s">
        <v>1441</v>
      </c>
      <c r="F2024" s="78">
        <v>0.29498842592592595</v>
      </c>
      <c r="G2024" t="s">
        <v>1405</v>
      </c>
      <c r="H2024" t="s">
        <v>1335</v>
      </c>
      <c r="I2024" s="88" t="str">
        <f>VLOOKUP(A2024,Base!A:B,2,0)</f>
        <v>18.187.438-4</v>
      </c>
      <c r="J2024" s="99" t="str">
        <f>VLOOKUP(A2024,Base!A:F,6,0)</f>
        <v>NICOLAS FRANCISCO GAVELO DEVIA</v>
      </c>
      <c r="K2024" s="89" t="str">
        <f>IFERROR(IF(VLOOKUP(I2024,Ingreso!K:P,6,0)=0,"Sin turtno ing",VLOOKUP(I2024,Ingreso!K:P,6,0)),IF(F2024&gt;0.25,IF(F2024&lt;0.311805555555556,"Turno A",IF(F2024&gt;0.3125,IF(F2024&lt;0.354166666666667,"Turno C",IF(F2024&gt;0.583333333333333,IF(F2024&lt;0.625,"Turno B",IF(F2024&gt;0.625694444444444,IF(F2024&lt;0.8125,"Turno A",IF(F2024&gt;0.875,IF(F2024&lt;0.936805555555556,"Turno C",IF(F2024&gt;0.9375,IF(F2024&lt;0.979166666666667,"Turno B",""),"")),"")),"")),"")),"")),""))</f>
        <v>Turno A</v>
      </c>
      <c r="L2024" s="91">
        <f t="shared" si="31"/>
        <v>0.3125</v>
      </c>
    </row>
    <row r="2025" spans="1:12">
      <c r="A2025">
        <v>18187438</v>
      </c>
      <c r="B2025" t="s">
        <v>1303</v>
      </c>
      <c r="C2025" t="s">
        <v>1428</v>
      </c>
      <c r="D2025" t="s">
        <v>1302</v>
      </c>
      <c r="E2025" t="s">
        <v>1437</v>
      </c>
      <c r="F2025" s="78">
        <v>0.63567129629629626</v>
      </c>
      <c r="G2025" t="s">
        <v>1406</v>
      </c>
      <c r="H2025" t="s">
        <v>1336</v>
      </c>
      <c r="I2025" s="88" t="str">
        <f>VLOOKUP(A2025,Base!A:B,2,0)</f>
        <v>18.187.438-4</v>
      </c>
      <c r="J2025" s="99" t="str">
        <f>VLOOKUP(A2025,Base!A:F,6,0)</f>
        <v>NICOLAS FRANCISCO GAVELO DEVIA</v>
      </c>
      <c r="K2025" s="89" t="str">
        <f>IFERROR(IF(VLOOKUP(I2025,Ingreso!K:P,6,0)=0,"Sin turtno ing",VLOOKUP(I2025,Ingreso!K:P,6,0)),IF(F2025&gt;0.25,IF(F2025&lt;0.311805555555556,"Turno A",IF(F2025&gt;0.3125,IF(F2025&lt;0.354166666666667,"Turno C",IF(F2025&gt;0.583333333333333,IF(F2025&lt;0.625,"Turno B",IF(F2025&gt;0.625694444444444,IF(F2025&lt;0.8125,"Turno A",IF(F2025&gt;0.875,IF(F2025&lt;0.936805555555556,"Turno C",IF(F2025&gt;0.9375,IF(F2025&lt;0.979166666666667,"Turno B",""),"")),"")),"")),"")),"")),""))</f>
        <v>Turno A</v>
      </c>
      <c r="L2025" s="91">
        <f t="shared" si="31"/>
        <v>0.3125</v>
      </c>
    </row>
    <row r="2026" spans="1:12">
      <c r="A2026">
        <v>18187438</v>
      </c>
      <c r="B2026" t="s">
        <v>1303</v>
      </c>
      <c r="C2026" t="s">
        <v>1428</v>
      </c>
      <c r="D2026" t="s">
        <v>1302</v>
      </c>
      <c r="E2026" t="s">
        <v>1437</v>
      </c>
      <c r="F2026" s="78">
        <v>0.29163194444444446</v>
      </c>
      <c r="G2026" t="s">
        <v>1405</v>
      </c>
      <c r="H2026" t="s">
        <v>1335</v>
      </c>
      <c r="I2026" s="88" t="str">
        <f>VLOOKUP(A2026,Base!A:B,2,0)</f>
        <v>18.187.438-4</v>
      </c>
      <c r="J2026" s="99" t="str">
        <f>VLOOKUP(A2026,Base!A:F,6,0)</f>
        <v>NICOLAS FRANCISCO GAVELO DEVIA</v>
      </c>
      <c r="K2026" s="89" t="str">
        <f>IFERROR(IF(VLOOKUP(I2026,Ingreso!K:P,6,0)=0,"Sin turtno ing",VLOOKUP(I2026,Ingreso!K:P,6,0)),IF(F2026&gt;0.25,IF(F2026&lt;0.311805555555556,"Turno A",IF(F2026&gt;0.3125,IF(F2026&lt;0.354166666666667,"Turno C",IF(F2026&gt;0.583333333333333,IF(F2026&lt;0.625,"Turno B",IF(F2026&gt;0.625694444444444,IF(F2026&lt;0.8125,"Turno A",IF(F2026&gt;0.875,IF(F2026&lt;0.936805555555556,"Turno C",IF(F2026&gt;0.9375,IF(F2026&lt;0.979166666666667,"Turno B",""),"")),"")),"")),"")),"")),""))</f>
        <v>Turno A</v>
      </c>
      <c r="L2026" s="91">
        <f t="shared" si="31"/>
        <v>0.3125</v>
      </c>
    </row>
    <row r="2027" spans="1:12">
      <c r="A2027">
        <v>18187438</v>
      </c>
      <c r="B2027" t="s">
        <v>1303</v>
      </c>
      <c r="C2027" t="s">
        <v>1428</v>
      </c>
      <c r="D2027" t="s">
        <v>1302</v>
      </c>
      <c r="E2027" t="s">
        <v>1438</v>
      </c>
      <c r="F2027" s="78">
        <v>0.63483796296296291</v>
      </c>
      <c r="G2027" t="s">
        <v>1406</v>
      </c>
      <c r="H2027" t="s">
        <v>1336</v>
      </c>
      <c r="I2027" s="88" t="str">
        <f>VLOOKUP(A2027,Base!A:B,2,0)</f>
        <v>18.187.438-4</v>
      </c>
      <c r="J2027" s="99" t="str">
        <f>VLOOKUP(A2027,Base!A:F,6,0)</f>
        <v>NICOLAS FRANCISCO GAVELO DEVIA</v>
      </c>
      <c r="K2027" s="89" t="str">
        <f>IFERROR(IF(VLOOKUP(I2027,Ingreso!K:P,6,0)=0,"Sin turtno ing",VLOOKUP(I2027,Ingreso!K:P,6,0)),IF(F2027&gt;0.25,IF(F2027&lt;0.311805555555556,"Turno A",IF(F2027&gt;0.3125,IF(F2027&lt;0.354166666666667,"Turno C",IF(F2027&gt;0.583333333333333,IF(F2027&lt;0.625,"Turno B",IF(F2027&gt;0.625694444444444,IF(F2027&lt;0.8125,"Turno A",IF(F2027&gt;0.875,IF(F2027&lt;0.936805555555556,"Turno C",IF(F2027&gt;0.9375,IF(F2027&lt;0.979166666666667,"Turno B",""),"")),"")),"")),"")),"")),""))</f>
        <v>Turno A</v>
      </c>
      <c r="L2027" s="91">
        <f t="shared" si="31"/>
        <v>0.3125</v>
      </c>
    </row>
    <row r="2028" spans="1:12">
      <c r="A2028">
        <v>18187438</v>
      </c>
      <c r="B2028" t="s">
        <v>1303</v>
      </c>
      <c r="C2028" t="s">
        <v>1428</v>
      </c>
      <c r="D2028" t="s">
        <v>1302</v>
      </c>
      <c r="E2028" t="s">
        <v>1438</v>
      </c>
      <c r="F2028" s="78">
        <v>0.29068287037037038</v>
      </c>
      <c r="G2028" t="s">
        <v>1405</v>
      </c>
      <c r="H2028" t="s">
        <v>1335</v>
      </c>
      <c r="I2028" s="88" t="str">
        <f>VLOOKUP(A2028,Base!A:B,2,0)</f>
        <v>18.187.438-4</v>
      </c>
      <c r="J2028" s="99" t="str">
        <f>VLOOKUP(A2028,Base!A:F,6,0)</f>
        <v>NICOLAS FRANCISCO GAVELO DEVIA</v>
      </c>
      <c r="K2028" s="89" t="str">
        <f>IFERROR(IF(VLOOKUP(I2028,Ingreso!K:P,6,0)=0,"Sin turtno ing",VLOOKUP(I2028,Ingreso!K:P,6,0)),IF(F2028&gt;0.25,IF(F2028&lt;0.311805555555556,"Turno A",IF(F2028&gt;0.3125,IF(F2028&lt;0.354166666666667,"Turno C",IF(F2028&gt;0.583333333333333,IF(F2028&lt;0.625,"Turno B",IF(F2028&gt;0.625694444444444,IF(F2028&lt;0.8125,"Turno A",IF(F2028&gt;0.875,IF(F2028&lt;0.936805555555556,"Turno C",IF(F2028&gt;0.9375,IF(F2028&lt;0.979166666666667,"Turno B",""),"")),"")),"")),"")),"")),""))</f>
        <v>Turno A</v>
      </c>
      <c r="L2028" s="91">
        <f t="shared" si="31"/>
        <v>0.3125</v>
      </c>
    </row>
    <row r="2029" spans="1:12">
      <c r="A2029">
        <v>18187438</v>
      </c>
      <c r="B2029" t="s">
        <v>1303</v>
      </c>
      <c r="C2029" t="s">
        <v>1428</v>
      </c>
      <c r="D2029" t="s">
        <v>1302</v>
      </c>
      <c r="E2029" t="s">
        <v>1439</v>
      </c>
      <c r="F2029" s="78">
        <v>0.63837962962962969</v>
      </c>
      <c r="G2029" t="s">
        <v>1406</v>
      </c>
      <c r="H2029" t="s">
        <v>1336</v>
      </c>
      <c r="I2029" s="88" t="str">
        <f>VLOOKUP(A2029,Base!A:B,2,0)</f>
        <v>18.187.438-4</v>
      </c>
      <c r="J2029" s="99" t="str">
        <f>VLOOKUP(A2029,Base!A:F,6,0)</f>
        <v>NICOLAS FRANCISCO GAVELO DEVIA</v>
      </c>
      <c r="K2029" s="89" t="str">
        <f>IFERROR(IF(VLOOKUP(I2029,Ingreso!K:P,6,0)=0,"Sin turtno ing",VLOOKUP(I2029,Ingreso!K:P,6,0)),IF(F2029&gt;0.25,IF(F2029&lt;0.311805555555556,"Turno A",IF(F2029&gt;0.3125,IF(F2029&lt;0.354166666666667,"Turno C",IF(F2029&gt;0.583333333333333,IF(F2029&lt;0.625,"Turno B",IF(F2029&gt;0.625694444444444,IF(F2029&lt;0.8125,"Turno A",IF(F2029&gt;0.875,IF(F2029&lt;0.936805555555556,"Turno C",IF(F2029&gt;0.9375,IF(F2029&lt;0.979166666666667,"Turno B",""),"")),"")),"")),"")),"")),""))</f>
        <v>Turno A</v>
      </c>
      <c r="L2029" s="91">
        <f t="shared" si="31"/>
        <v>0.3125</v>
      </c>
    </row>
    <row r="2030" spans="1:12">
      <c r="A2030">
        <v>18187438</v>
      </c>
      <c r="B2030" t="s">
        <v>1303</v>
      </c>
      <c r="C2030" t="s">
        <v>1428</v>
      </c>
      <c r="D2030" t="s">
        <v>1302</v>
      </c>
      <c r="E2030" t="s">
        <v>1439</v>
      </c>
      <c r="F2030" s="78">
        <v>0.29570601851851852</v>
      </c>
      <c r="G2030" t="s">
        <v>1405</v>
      </c>
      <c r="H2030" t="s">
        <v>1335</v>
      </c>
      <c r="I2030" s="88" t="str">
        <f>VLOOKUP(A2030,Base!A:B,2,0)</f>
        <v>18.187.438-4</v>
      </c>
      <c r="J2030" s="99" t="str">
        <f>VLOOKUP(A2030,Base!A:F,6,0)</f>
        <v>NICOLAS FRANCISCO GAVELO DEVIA</v>
      </c>
      <c r="K2030" s="89" t="str">
        <f>IFERROR(IF(VLOOKUP(I2030,Ingreso!K:P,6,0)=0,"Sin turtno ing",VLOOKUP(I2030,Ingreso!K:P,6,0)),IF(F2030&gt;0.25,IF(F2030&lt;0.311805555555556,"Turno A",IF(F2030&gt;0.3125,IF(F2030&lt;0.354166666666667,"Turno C",IF(F2030&gt;0.583333333333333,IF(F2030&lt;0.625,"Turno B",IF(F2030&gt;0.625694444444444,IF(F2030&lt;0.8125,"Turno A",IF(F2030&gt;0.875,IF(F2030&lt;0.936805555555556,"Turno C",IF(F2030&gt;0.9375,IF(F2030&lt;0.979166666666667,"Turno B",""),"")),"")),"")),"")),"")),""))</f>
        <v>Turno A</v>
      </c>
      <c r="L2030" s="91">
        <f t="shared" si="31"/>
        <v>0.3125</v>
      </c>
    </row>
    <row r="2031" spans="1:12">
      <c r="A2031">
        <v>18364293</v>
      </c>
      <c r="B2031" t="s">
        <v>1429</v>
      </c>
      <c r="C2031" t="s">
        <v>1292</v>
      </c>
      <c r="D2031" t="s">
        <v>184</v>
      </c>
      <c r="E2031" t="s">
        <v>1440</v>
      </c>
      <c r="F2031" s="78">
        <v>0.32556712962962964</v>
      </c>
      <c r="G2031" t="s">
        <v>1406</v>
      </c>
      <c r="H2031" t="s">
        <v>1336</v>
      </c>
      <c r="I2031" s="88" t="str">
        <f>VLOOKUP(A2031,Base!A:B,2,0)</f>
        <v>18.364.293-6</v>
      </c>
      <c r="J2031" s="99" t="str">
        <f>VLOOKUP(A2031,Base!A:F,6,0)</f>
        <v>CRISTOPHER ANDRES ZUÑIGA CACERES</v>
      </c>
      <c r="K2031" s="89" t="str">
        <f>IFERROR(IF(VLOOKUP(I2031,Ingreso!K:P,6,0)=0,"Sin turtno ing",VLOOKUP(I2031,Ingreso!K:P,6,0)),IF(F2031&gt;0.25,IF(F2031&lt;0.311805555555556,"Turno A",IF(F2031&gt;0.3125,IF(F2031&lt;0.354166666666667,"Turno C",IF(F2031&gt;0.583333333333333,IF(F2031&lt;0.625,"Turno B",IF(F2031&gt;0.625694444444444,IF(F2031&lt;0.8125,"Turno A",IF(F2031&gt;0.875,IF(F2031&lt;0.936805555555556,"Turno C",IF(F2031&gt;0.9375,IF(F2031&lt;0.979166666666667,"Turno B",""),"")),"")),"")),"")),"")),""))</f>
        <v>Turno C</v>
      </c>
      <c r="L2031" s="91">
        <f t="shared" si="31"/>
        <v>0.375</v>
      </c>
    </row>
    <row r="2032" spans="1:12">
      <c r="A2032">
        <v>18364293</v>
      </c>
      <c r="B2032" t="s">
        <v>1429</v>
      </c>
      <c r="C2032" t="s">
        <v>1292</v>
      </c>
      <c r="D2032" t="s">
        <v>184</v>
      </c>
      <c r="E2032" t="s">
        <v>1440</v>
      </c>
      <c r="F2032" s="78">
        <v>0.92349537037037033</v>
      </c>
      <c r="G2032" t="s">
        <v>1405</v>
      </c>
      <c r="H2032" t="s">
        <v>1335</v>
      </c>
      <c r="I2032" s="88" t="str">
        <f>VLOOKUP(A2032,Base!A:B,2,0)</f>
        <v>18.364.293-6</v>
      </c>
      <c r="J2032" s="99" t="str">
        <f>VLOOKUP(A2032,Base!A:F,6,0)</f>
        <v>CRISTOPHER ANDRES ZUÑIGA CACERES</v>
      </c>
      <c r="K2032" s="89" t="str">
        <f>IFERROR(IF(VLOOKUP(I2032,Ingreso!K:P,6,0)=0,"Sin turtno ing",VLOOKUP(I2032,Ingreso!K:P,6,0)),IF(F2032&gt;0.25,IF(F2032&lt;0.311805555555556,"Turno A",IF(F2032&gt;0.3125,IF(F2032&lt;0.354166666666667,"Turno C",IF(F2032&gt;0.583333333333333,IF(F2032&lt;0.625,"Turno B",IF(F2032&gt;0.625694444444444,IF(F2032&lt;0.8125,"Turno A",IF(F2032&gt;0.875,IF(F2032&lt;0.936805555555556,"Turno C",IF(F2032&gt;0.9375,IF(F2032&lt;0.979166666666667,"Turno B",""),"")),"")),"")),"")),"")),""))</f>
        <v>Turno C</v>
      </c>
      <c r="L2032" s="91">
        <f t="shared" si="31"/>
        <v>0.375</v>
      </c>
    </row>
    <row r="2033" spans="1:12">
      <c r="A2033">
        <v>18364293</v>
      </c>
      <c r="B2033" t="s">
        <v>1429</v>
      </c>
      <c r="C2033" t="s">
        <v>1292</v>
      </c>
      <c r="D2033" t="s">
        <v>184</v>
      </c>
      <c r="E2033" t="s">
        <v>1441</v>
      </c>
      <c r="F2033" s="78">
        <v>0.32453703703703701</v>
      </c>
      <c r="G2033" t="s">
        <v>1406</v>
      </c>
      <c r="H2033" t="s">
        <v>1336</v>
      </c>
      <c r="I2033" s="88" t="str">
        <f>VLOOKUP(A2033,Base!A:B,2,0)</f>
        <v>18.364.293-6</v>
      </c>
      <c r="J2033" s="99" t="str">
        <f>VLOOKUP(A2033,Base!A:F,6,0)</f>
        <v>CRISTOPHER ANDRES ZUÑIGA CACERES</v>
      </c>
      <c r="K2033" s="89" t="str">
        <f>IFERROR(IF(VLOOKUP(I2033,Ingreso!K:P,6,0)=0,"Sin turtno ing",VLOOKUP(I2033,Ingreso!K:P,6,0)),IF(F2033&gt;0.25,IF(F2033&lt;0.311805555555556,"Turno A",IF(F2033&gt;0.3125,IF(F2033&lt;0.354166666666667,"Turno C",IF(F2033&gt;0.583333333333333,IF(F2033&lt;0.625,"Turno B",IF(F2033&gt;0.625694444444444,IF(F2033&lt;0.8125,"Turno A",IF(F2033&gt;0.875,IF(F2033&lt;0.936805555555556,"Turno C",IF(F2033&gt;0.9375,IF(F2033&lt;0.979166666666667,"Turno B",""),"")),"")),"")),"")),"")),""))</f>
        <v>Turno C</v>
      </c>
      <c r="L2033" s="91">
        <f t="shared" si="31"/>
        <v>0.375</v>
      </c>
    </row>
    <row r="2034" spans="1:12">
      <c r="A2034">
        <v>18364293</v>
      </c>
      <c r="B2034" t="s">
        <v>1429</v>
      </c>
      <c r="C2034" t="s">
        <v>1292</v>
      </c>
      <c r="D2034" t="s">
        <v>184</v>
      </c>
      <c r="E2034" t="s">
        <v>1437</v>
      </c>
      <c r="F2034" s="78">
        <v>0.91907407407407404</v>
      </c>
      <c r="G2034" t="s">
        <v>1405</v>
      </c>
      <c r="H2034" t="s">
        <v>1335</v>
      </c>
      <c r="I2034" s="88" t="str">
        <f>VLOOKUP(A2034,Base!A:B,2,0)</f>
        <v>18.364.293-6</v>
      </c>
      <c r="J2034" s="99" t="str">
        <f>VLOOKUP(A2034,Base!A:F,6,0)</f>
        <v>CRISTOPHER ANDRES ZUÑIGA CACERES</v>
      </c>
      <c r="K2034" s="89" t="str">
        <f>IFERROR(IF(VLOOKUP(I2034,Ingreso!K:P,6,0)=0,"Sin turtno ing",VLOOKUP(I2034,Ingreso!K:P,6,0)),IF(F2034&gt;0.25,IF(F2034&lt;0.311805555555556,"Turno A",IF(F2034&gt;0.3125,IF(F2034&lt;0.354166666666667,"Turno C",IF(F2034&gt;0.583333333333333,IF(F2034&lt;0.625,"Turno B",IF(F2034&gt;0.625694444444444,IF(F2034&lt;0.8125,"Turno A",IF(F2034&gt;0.875,IF(F2034&lt;0.936805555555556,"Turno C",IF(F2034&gt;0.9375,IF(F2034&lt;0.979166666666667,"Turno B",""),"")),"")),"")),"")),"")),""))</f>
        <v>Turno C</v>
      </c>
      <c r="L2034" s="91">
        <f t="shared" si="31"/>
        <v>0.375</v>
      </c>
    </row>
    <row r="2035" spans="1:12">
      <c r="A2035">
        <v>18364293</v>
      </c>
      <c r="B2035" t="s">
        <v>1429</v>
      </c>
      <c r="C2035" t="s">
        <v>1292</v>
      </c>
      <c r="D2035" t="s">
        <v>184</v>
      </c>
      <c r="E2035" t="s">
        <v>1438</v>
      </c>
      <c r="F2035" s="78">
        <v>0.31981481481481483</v>
      </c>
      <c r="G2035" t="s">
        <v>1406</v>
      </c>
      <c r="H2035" t="s">
        <v>1336</v>
      </c>
      <c r="I2035" s="88" t="str">
        <f>VLOOKUP(A2035,Base!A:B,2,0)</f>
        <v>18.364.293-6</v>
      </c>
      <c r="J2035" s="99" t="str">
        <f>VLOOKUP(A2035,Base!A:F,6,0)</f>
        <v>CRISTOPHER ANDRES ZUÑIGA CACERES</v>
      </c>
      <c r="K2035" s="89" t="str">
        <f>IFERROR(IF(VLOOKUP(I2035,Ingreso!K:P,6,0)=0,"Sin turtno ing",VLOOKUP(I2035,Ingreso!K:P,6,0)),IF(F2035&gt;0.25,IF(F2035&lt;0.311805555555556,"Turno A",IF(F2035&gt;0.3125,IF(F2035&lt;0.354166666666667,"Turno C",IF(F2035&gt;0.583333333333333,IF(F2035&lt;0.625,"Turno B",IF(F2035&gt;0.625694444444444,IF(F2035&lt;0.8125,"Turno A",IF(F2035&gt;0.875,IF(F2035&lt;0.936805555555556,"Turno C",IF(F2035&gt;0.9375,IF(F2035&lt;0.979166666666667,"Turno B",""),"")),"")),"")),"")),"")),""))</f>
        <v>Turno C</v>
      </c>
      <c r="L2035" s="91">
        <f t="shared" si="31"/>
        <v>0.375</v>
      </c>
    </row>
    <row r="2036" spans="1:12">
      <c r="A2036">
        <v>18364293</v>
      </c>
      <c r="B2036" t="s">
        <v>1429</v>
      </c>
      <c r="C2036" t="s">
        <v>1292</v>
      </c>
      <c r="D2036" t="s">
        <v>184</v>
      </c>
      <c r="E2036" t="s">
        <v>1438</v>
      </c>
      <c r="F2036" s="78">
        <v>0.91964120370370372</v>
      </c>
      <c r="G2036" t="s">
        <v>1405</v>
      </c>
      <c r="H2036" t="s">
        <v>1335</v>
      </c>
      <c r="I2036" s="88" t="str">
        <f>VLOOKUP(A2036,Base!A:B,2,0)</f>
        <v>18.364.293-6</v>
      </c>
      <c r="J2036" s="99" t="str">
        <f>VLOOKUP(A2036,Base!A:F,6,0)</f>
        <v>CRISTOPHER ANDRES ZUÑIGA CACERES</v>
      </c>
      <c r="K2036" s="89" t="str">
        <f>IFERROR(IF(VLOOKUP(I2036,Ingreso!K:P,6,0)=0,"Sin turtno ing",VLOOKUP(I2036,Ingreso!K:P,6,0)),IF(F2036&gt;0.25,IF(F2036&lt;0.311805555555556,"Turno A",IF(F2036&gt;0.3125,IF(F2036&lt;0.354166666666667,"Turno C",IF(F2036&gt;0.583333333333333,IF(F2036&lt;0.625,"Turno B",IF(F2036&gt;0.625694444444444,IF(F2036&lt;0.8125,"Turno A",IF(F2036&gt;0.875,IF(F2036&lt;0.936805555555556,"Turno C",IF(F2036&gt;0.9375,IF(F2036&lt;0.979166666666667,"Turno B",""),"")),"")),"")),"")),"")),""))</f>
        <v>Turno C</v>
      </c>
      <c r="L2036" s="91">
        <f t="shared" si="31"/>
        <v>0.375</v>
      </c>
    </row>
    <row r="2037" spans="1:12">
      <c r="A2037">
        <v>18364293</v>
      </c>
      <c r="B2037" t="s">
        <v>1429</v>
      </c>
      <c r="C2037" t="s">
        <v>1292</v>
      </c>
      <c r="D2037" t="s">
        <v>184</v>
      </c>
      <c r="E2037" t="s">
        <v>1439</v>
      </c>
      <c r="F2037" s="78">
        <v>0.32223379629629628</v>
      </c>
      <c r="G2037" t="s">
        <v>1406</v>
      </c>
      <c r="H2037" t="s">
        <v>1336</v>
      </c>
      <c r="I2037" s="88" t="str">
        <f>VLOOKUP(A2037,Base!A:B,2,0)</f>
        <v>18.364.293-6</v>
      </c>
      <c r="J2037" s="99" t="str">
        <f>VLOOKUP(A2037,Base!A:F,6,0)</f>
        <v>CRISTOPHER ANDRES ZUÑIGA CACERES</v>
      </c>
      <c r="K2037" s="89" t="str">
        <f>IFERROR(IF(VLOOKUP(I2037,Ingreso!K:P,6,0)=0,"Sin turtno ing",VLOOKUP(I2037,Ingreso!K:P,6,0)),IF(F2037&gt;0.25,IF(F2037&lt;0.311805555555556,"Turno A",IF(F2037&gt;0.3125,IF(F2037&lt;0.354166666666667,"Turno C",IF(F2037&gt;0.583333333333333,IF(F2037&lt;0.625,"Turno B",IF(F2037&gt;0.625694444444444,IF(F2037&lt;0.8125,"Turno A",IF(F2037&gt;0.875,IF(F2037&lt;0.936805555555556,"Turno C",IF(F2037&gt;0.9375,IF(F2037&lt;0.979166666666667,"Turno B",""),"")),"")),"")),"")),"")),""))</f>
        <v>Turno C</v>
      </c>
      <c r="L2037" s="91">
        <f t="shared" si="31"/>
        <v>0.375</v>
      </c>
    </row>
    <row r="2038" spans="1:12">
      <c r="A2038">
        <v>18364293</v>
      </c>
      <c r="B2038" t="s">
        <v>1429</v>
      </c>
      <c r="C2038" t="s">
        <v>1292</v>
      </c>
      <c r="D2038" t="s">
        <v>184</v>
      </c>
      <c r="E2038" t="s">
        <v>1439</v>
      </c>
      <c r="F2038" s="78">
        <v>0.91905092592592597</v>
      </c>
      <c r="G2038" t="s">
        <v>1405</v>
      </c>
      <c r="H2038" t="s">
        <v>1335</v>
      </c>
      <c r="I2038" s="88" t="str">
        <f>VLOOKUP(A2038,Base!A:B,2,0)</f>
        <v>18.364.293-6</v>
      </c>
      <c r="J2038" s="99" t="str">
        <f>VLOOKUP(A2038,Base!A:F,6,0)</f>
        <v>CRISTOPHER ANDRES ZUÑIGA CACERES</v>
      </c>
      <c r="K2038" s="89" t="str">
        <f>IFERROR(IF(VLOOKUP(I2038,Ingreso!K:P,6,0)=0,"Sin turtno ing",VLOOKUP(I2038,Ingreso!K:P,6,0)),IF(F2038&gt;0.25,IF(F2038&lt;0.311805555555556,"Turno A",IF(F2038&gt;0.3125,IF(F2038&lt;0.354166666666667,"Turno C",IF(F2038&gt;0.583333333333333,IF(F2038&lt;0.625,"Turno B",IF(F2038&gt;0.625694444444444,IF(F2038&lt;0.8125,"Turno A",IF(F2038&gt;0.875,IF(F2038&lt;0.936805555555556,"Turno C",IF(F2038&gt;0.9375,IF(F2038&lt;0.979166666666667,"Turno B",""),"")),"")),"")),"")),"")),""))</f>
        <v>Turno C</v>
      </c>
      <c r="L2038" s="91">
        <f t="shared" si="31"/>
        <v>0.375</v>
      </c>
    </row>
    <row r="2039" spans="1:12">
      <c r="A2039">
        <v>20342651</v>
      </c>
      <c r="B2039" t="s">
        <v>792</v>
      </c>
      <c r="C2039" t="s">
        <v>785</v>
      </c>
      <c r="D2039" t="s">
        <v>791</v>
      </c>
      <c r="E2039" t="s">
        <v>1440</v>
      </c>
      <c r="F2039" s="78">
        <v>0.31697916666666665</v>
      </c>
      <c r="G2039" t="s">
        <v>1406</v>
      </c>
      <c r="H2039" t="s">
        <v>1336</v>
      </c>
      <c r="I2039" s="88" t="str">
        <f>VLOOKUP(A2039,Base!A:B,2,0)</f>
        <v>20.342.651-8</v>
      </c>
      <c r="J2039" s="99" t="str">
        <f>VLOOKUP(A2039,Base!A:F,6,0)</f>
        <v>CARLOS PATRICIO  PEREZ  SALAZAR</v>
      </c>
      <c r="K2039" s="89" t="str">
        <f>IFERROR(IF(VLOOKUP(I2039,Ingreso!K:P,6,0)=0,"Sin turtno ing",VLOOKUP(I2039,Ingreso!K:P,6,0)),IF(F2039&gt;0.25,IF(F2039&lt;0.311805555555556,"Turno A",IF(F2039&gt;0.3125,IF(F2039&lt;0.354166666666667,"Turno C",IF(F2039&gt;0.583333333333333,IF(F2039&lt;0.625,"Turno B",IF(F2039&gt;0.625694444444444,IF(F2039&lt;0.8125,"Turno A",IF(F2039&gt;0.875,IF(F2039&lt;0.936805555555556,"Turno C",IF(F2039&gt;0.9375,IF(F2039&lt;0.979166666666667,"Turno B",""),"")),"")),"")),"")),"")),""))</f>
        <v>Turno C</v>
      </c>
      <c r="L2039" s="91">
        <f t="shared" si="31"/>
        <v>0.375</v>
      </c>
    </row>
    <row r="2040" spans="1:12">
      <c r="A2040">
        <v>20342651</v>
      </c>
      <c r="B2040" t="s">
        <v>792</v>
      </c>
      <c r="C2040" t="s">
        <v>785</v>
      </c>
      <c r="D2040" t="s">
        <v>791</v>
      </c>
      <c r="E2040" t="s">
        <v>1440</v>
      </c>
      <c r="F2040" s="78">
        <v>0.8065972222222223</v>
      </c>
      <c r="G2040" t="s">
        <v>1405</v>
      </c>
      <c r="H2040" t="s">
        <v>1335</v>
      </c>
      <c r="I2040" s="88" t="str">
        <f>VLOOKUP(A2040,Base!A:B,2,0)</f>
        <v>20.342.651-8</v>
      </c>
      <c r="J2040" s="99" t="str">
        <f>VLOOKUP(A2040,Base!A:F,6,0)</f>
        <v>CARLOS PATRICIO  PEREZ  SALAZAR</v>
      </c>
      <c r="K2040" s="89" t="str">
        <f>IFERROR(IF(VLOOKUP(I2040,Ingreso!K:P,6,0)=0,"Sin turtno ing",VLOOKUP(I2040,Ingreso!K:P,6,0)),IF(F2040&gt;0.25,IF(F2040&lt;0.311805555555556,"Turno A",IF(F2040&gt;0.3125,IF(F2040&lt;0.354166666666667,"Turno C",IF(F2040&gt;0.583333333333333,IF(F2040&lt;0.625,"Turno B",IF(F2040&gt;0.625694444444444,IF(F2040&lt;0.8125,"Turno A",IF(F2040&gt;0.875,IF(F2040&lt;0.936805555555556,"Turno C",IF(F2040&gt;0.9375,IF(F2040&lt;0.979166666666667,"Turno B",""),"")),"")),"")),"")),"")),""))</f>
        <v>Turno A</v>
      </c>
      <c r="L2040" s="91">
        <f t="shared" si="31"/>
        <v>0.3125</v>
      </c>
    </row>
    <row r="2041" spans="1:12">
      <c r="A2041">
        <v>20342651</v>
      </c>
      <c r="B2041" t="s">
        <v>792</v>
      </c>
      <c r="C2041" t="s">
        <v>785</v>
      </c>
      <c r="D2041" t="s">
        <v>791</v>
      </c>
      <c r="E2041" t="s">
        <v>1441</v>
      </c>
      <c r="F2041" s="78">
        <v>0.31456018518518519</v>
      </c>
      <c r="G2041" t="s">
        <v>1406</v>
      </c>
      <c r="H2041" t="s">
        <v>1336</v>
      </c>
      <c r="I2041" s="88" t="str">
        <f>VLOOKUP(A2041,Base!A:B,2,0)</f>
        <v>20.342.651-8</v>
      </c>
      <c r="J2041" s="99" t="str">
        <f>VLOOKUP(A2041,Base!A:F,6,0)</f>
        <v>CARLOS PATRICIO  PEREZ  SALAZAR</v>
      </c>
      <c r="K2041" s="89" t="str">
        <f>IFERROR(IF(VLOOKUP(I2041,Ingreso!K:P,6,0)=0,"Sin turtno ing",VLOOKUP(I2041,Ingreso!K:P,6,0)),IF(F2041&gt;0.25,IF(F2041&lt;0.311805555555556,"Turno A",IF(F2041&gt;0.3125,IF(F2041&lt;0.354166666666667,"Turno C",IF(F2041&gt;0.583333333333333,IF(F2041&lt;0.625,"Turno B",IF(F2041&gt;0.625694444444444,IF(F2041&lt;0.8125,"Turno A",IF(F2041&gt;0.875,IF(F2041&lt;0.936805555555556,"Turno C",IF(F2041&gt;0.9375,IF(F2041&lt;0.979166666666667,"Turno B",""),"")),"")),"")),"")),"")),""))</f>
        <v>Turno C</v>
      </c>
      <c r="L2041" s="91">
        <f t="shared" si="31"/>
        <v>0.375</v>
      </c>
    </row>
    <row r="2042" spans="1:12">
      <c r="A2042">
        <v>20342651</v>
      </c>
      <c r="B2042" t="s">
        <v>792</v>
      </c>
      <c r="C2042" t="s">
        <v>785</v>
      </c>
      <c r="D2042" t="s">
        <v>791</v>
      </c>
      <c r="E2042" t="s">
        <v>1436</v>
      </c>
      <c r="F2042" s="78">
        <v>0.97723379629629636</v>
      </c>
      <c r="G2042" t="s">
        <v>1405</v>
      </c>
      <c r="H2042" t="s">
        <v>1335</v>
      </c>
      <c r="I2042" s="88" t="str">
        <f>VLOOKUP(A2042,Base!A:B,2,0)</f>
        <v>20.342.651-8</v>
      </c>
      <c r="J2042" s="99" t="str">
        <f>VLOOKUP(A2042,Base!A:F,6,0)</f>
        <v>CARLOS PATRICIO  PEREZ  SALAZAR</v>
      </c>
      <c r="K2042" s="89" t="str">
        <f>IFERROR(IF(VLOOKUP(I2042,Ingreso!K:P,6,0)=0,"Sin turtno ing",VLOOKUP(I2042,Ingreso!K:P,6,0)),IF(F2042&gt;0.25,IF(F2042&lt;0.311805555555556,"Turno A",IF(F2042&gt;0.3125,IF(F2042&lt;0.354166666666667,"Turno C",IF(F2042&gt;0.583333333333333,IF(F2042&lt;0.625,"Turno B",IF(F2042&gt;0.625694444444444,IF(F2042&lt;0.8125,"Turno A",IF(F2042&gt;0.875,IF(F2042&lt;0.936805555555556,"Turno C",IF(F2042&gt;0.9375,IF(F2042&lt;0.979166666666667,"Turno B",""),"")),"")),"")),"")),"")),""))</f>
        <v>Turno B</v>
      </c>
      <c r="L2042" s="91">
        <f t="shared" si="31"/>
        <v>0.3125</v>
      </c>
    </row>
    <row r="2043" spans="1:12">
      <c r="A2043">
        <v>20342651</v>
      </c>
      <c r="B2043" t="s">
        <v>792</v>
      </c>
      <c r="C2043" t="s">
        <v>785</v>
      </c>
      <c r="D2043" t="s">
        <v>791</v>
      </c>
      <c r="E2043" t="s">
        <v>1437</v>
      </c>
      <c r="F2043" s="78">
        <v>0.31658564814814816</v>
      </c>
      <c r="G2043" t="s">
        <v>1406</v>
      </c>
      <c r="H2043" t="s">
        <v>1336</v>
      </c>
      <c r="I2043" s="88" t="str">
        <f>VLOOKUP(A2043,Base!A:B,2,0)</f>
        <v>20.342.651-8</v>
      </c>
      <c r="J2043" s="99" t="str">
        <f>VLOOKUP(A2043,Base!A:F,6,0)</f>
        <v>CARLOS PATRICIO  PEREZ  SALAZAR</v>
      </c>
      <c r="K2043" s="89" t="str">
        <f>IFERROR(IF(VLOOKUP(I2043,Ingreso!K:P,6,0)=0,"Sin turtno ing",VLOOKUP(I2043,Ingreso!K:P,6,0)),IF(F2043&gt;0.25,IF(F2043&lt;0.311805555555556,"Turno A",IF(F2043&gt;0.3125,IF(F2043&lt;0.354166666666667,"Turno C",IF(F2043&gt;0.583333333333333,IF(F2043&lt;0.625,"Turno B",IF(F2043&gt;0.625694444444444,IF(F2043&lt;0.8125,"Turno A",IF(F2043&gt;0.875,IF(F2043&lt;0.936805555555556,"Turno C",IF(F2043&gt;0.9375,IF(F2043&lt;0.979166666666667,"Turno B",""),"")),"")),"")),"")),"")),""))</f>
        <v>Turno C</v>
      </c>
      <c r="L2043" s="91">
        <f t="shared" si="31"/>
        <v>0.375</v>
      </c>
    </row>
    <row r="2044" spans="1:12">
      <c r="A2044">
        <v>20342651</v>
      </c>
      <c r="B2044" t="s">
        <v>792</v>
      </c>
      <c r="C2044" t="s">
        <v>785</v>
      </c>
      <c r="D2044" t="s">
        <v>791</v>
      </c>
      <c r="E2044" t="s">
        <v>1437</v>
      </c>
      <c r="F2044" s="78">
        <v>0.92331018518518515</v>
      </c>
      <c r="G2044" t="s">
        <v>1405</v>
      </c>
      <c r="H2044" t="s">
        <v>1335</v>
      </c>
      <c r="I2044" s="88" t="str">
        <f>VLOOKUP(A2044,Base!A:B,2,0)</f>
        <v>20.342.651-8</v>
      </c>
      <c r="J2044" s="99" t="str">
        <f>VLOOKUP(A2044,Base!A:F,6,0)</f>
        <v>CARLOS PATRICIO  PEREZ  SALAZAR</v>
      </c>
      <c r="K2044" s="89" t="str">
        <f>IFERROR(IF(VLOOKUP(I2044,Ingreso!K:P,6,0)=0,"Sin turtno ing",VLOOKUP(I2044,Ingreso!K:P,6,0)),IF(F2044&gt;0.25,IF(F2044&lt;0.311805555555556,"Turno A",IF(F2044&gt;0.3125,IF(F2044&lt;0.354166666666667,"Turno C",IF(F2044&gt;0.583333333333333,IF(F2044&lt;0.625,"Turno B",IF(F2044&gt;0.625694444444444,IF(F2044&lt;0.8125,"Turno A",IF(F2044&gt;0.875,IF(F2044&lt;0.936805555555556,"Turno C",IF(F2044&gt;0.9375,IF(F2044&lt;0.979166666666667,"Turno B",""),"")),"")),"")),"")),"")),""))</f>
        <v>Turno C</v>
      </c>
      <c r="L2044" s="91">
        <f t="shared" si="31"/>
        <v>0.375</v>
      </c>
    </row>
    <row r="2045" spans="1:12">
      <c r="A2045">
        <v>20342651</v>
      </c>
      <c r="B2045" t="s">
        <v>792</v>
      </c>
      <c r="C2045" t="s">
        <v>785</v>
      </c>
      <c r="D2045" t="s">
        <v>791</v>
      </c>
      <c r="E2045" t="s">
        <v>1438</v>
      </c>
      <c r="F2045" s="78">
        <v>0.31471064814814814</v>
      </c>
      <c r="G2045" t="s">
        <v>1406</v>
      </c>
      <c r="H2045" t="s">
        <v>1336</v>
      </c>
      <c r="I2045" s="88" t="str">
        <f>VLOOKUP(A2045,Base!A:B,2,0)</f>
        <v>20.342.651-8</v>
      </c>
      <c r="J2045" s="99" t="str">
        <f>VLOOKUP(A2045,Base!A:F,6,0)</f>
        <v>CARLOS PATRICIO  PEREZ  SALAZAR</v>
      </c>
      <c r="K2045" s="89" t="str">
        <f>IFERROR(IF(VLOOKUP(I2045,Ingreso!K:P,6,0)=0,"Sin turtno ing",VLOOKUP(I2045,Ingreso!K:P,6,0)),IF(F2045&gt;0.25,IF(F2045&lt;0.311805555555556,"Turno A",IF(F2045&gt;0.3125,IF(F2045&lt;0.354166666666667,"Turno C",IF(F2045&gt;0.583333333333333,IF(F2045&lt;0.625,"Turno B",IF(F2045&gt;0.625694444444444,IF(F2045&lt;0.8125,"Turno A",IF(F2045&gt;0.875,IF(F2045&lt;0.936805555555556,"Turno C",IF(F2045&gt;0.9375,IF(F2045&lt;0.979166666666667,"Turno B",""),"")),"")),"")),"")),"")),""))</f>
        <v>Turno C</v>
      </c>
      <c r="L2045" s="91">
        <f t="shared" si="31"/>
        <v>0.375</v>
      </c>
    </row>
    <row r="2046" spans="1:12">
      <c r="A2046">
        <v>20342651</v>
      </c>
      <c r="B2046" t="s">
        <v>792</v>
      </c>
      <c r="C2046" t="s">
        <v>785</v>
      </c>
      <c r="D2046" t="s">
        <v>791</v>
      </c>
      <c r="E2046" t="s">
        <v>1438</v>
      </c>
      <c r="F2046" s="78">
        <v>0.79829861111111111</v>
      </c>
      <c r="G2046" t="s">
        <v>1405</v>
      </c>
      <c r="H2046" t="s">
        <v>1335</v>
      </c>
      <c r="I2046" s="88" t="str">
        <f>VLOOKUP(A2046,Base!A:B,2,0)</f>
        <v>20.342.651-8</v>
      </c>
      <c r="J2046" s="99" t="str">
        <f>VLOOKUP(A2046,Base!A:F,6,0)</f>
        <v>CARLOS PATRICIO  PEREZ  SALAZAR</v>
      </c>
      <c r="K2046" s="89" t="str">
        <f>IFERROR(IF(VLOOKUP(I2046,Ingreso!K:P,6,0)=0,"Sin turtno ing",VLOOKUP(I2046,Ingreso!K:P,6,0)),IF(F2046&gt;0.25,IF(F2046&lt;0.311805555555556,"Turno A",IF(F2046&gt;0.3125,IF(F2046&lt;0.354166666666667,"Turno C",IF(F2046&gt;0.583333333333333,IF(F2046&lt;0.625,"Turno B",IF(F2046&gt;0.625694444444444,IF(F2046&lt;0.8125,"Turno A",IF(F2046&gt;0.875,IF(F2046&lt;0.936805555555556,"Turno C",IF(F2046&gt;0.9375,IF(F2046&lt;0.979166666666667,"Turno B",""),"")),"")),"")),"")),"")),""))</f>
        <v>Turno A</v>
      </c>
      <c r="L2046" s="91">
        <f t="shared" si="31"/>
        <v>0.3125</v>
      </c>
    </row>
    <row r="2047" spans="1:12">
      <c r="A2047">
        <v>20342651</v>
      </c>
      <c r="B2047" t="s">
        <v>792</v>
      </c>
      <c r="C2047" t="s">
        <v>785</v>
      </c>
      <c r="D2047" t="s">
        <v>791</v>
      </c>
      <c r="E2047" t="s">
        <v>1439</v>
      </c>
      <c r="F2047" s="78">
        <v>0.315462962962963</v>
      </c>
      <c r="G2047" t="s">
        <v>1406</v>
      </c>
      <c r="H2047" t="s">
        <v>1336</v>
      </c>
      <c r="I2047" s="88" t="str">
        <f>VLOOKUP(A2047,Base!A:B,2,0)</f>
        <v>20.342.651-8</v>
      </c>
      <c r="J2047" s="99" t="str">
        <f>VLOOKUP(A2047,Base!A:F,6,0)</f>
        <v>CARLOS PATRICIO  PEREZ  SALAZAR</v>
      </c>
      <c r="K2047" s="89" t="str">
        <f>IFERROR(IF(VLOOKUP(I2047,Ingreso!K:P,6,0)=0,"Sin turtno ing",VLOOKUP(I2047,Ingreso!K:P,6,0)),IF(F2047&gt;0.25,IF(F2047&lt;0.311805555555556,"Turno A",IF(F2047&gt;0.3125,IF(F2047&lt;0.354166666666667,"Turno C",IF(F2047&gt;0.583333333333333,IF(F2047&lt;0.625,"Turno B",IF(F2047&gt;0.625694444444444,IF(F2047&lt;0.8125,"Turno A",IF(F2047&gt;0.875,IF(F2047&lt;0.936805555555556,"Turno C",IF(F2047&gt;0.9375,IF(F2047&lt;0.979166666666667,"Turno B",""),"")),"")),"")),"")),"")),""))</f>
        <v>Turno C</v>
      </c>
      <c r="L2047" s="91">
        <f t="shared" si="31"/>
        <v>0.375</v>
      </c>
    </row>
    <row r="2048" spans="1:12">
      <c r="A2048">
        <v>20342651</v>
      </c>
      <c r="B2048" t="s">
        <v>792</v>
      </c>
      <c r="C2048" t="s">
        <v>785</v>
      </c>
      <c r="D2048" t="s">
        <v>791</v>
      </c>
      <c r="E2048" t="s">
        <v>1439</v>
      </c>
      <c r="F2048" s="78">
        <v>0.8003703703703704</v>
      </c>
      <c r="G2048" t="s">
        <v>1405</v>
      </c>
      <c r="H2048" t="s">
        <v>1335</v>
      </c>
      <c r="I2048" s="88" t="str">
        <f>VLOOKUP(A2048,Base!A:B,2,0)</f>
        <v>20.342.651-8</v>
      </c>
      <c r="J2048" s="99" t="str">
        <f>VLOOKUP(A2048,Base!A:F,6,0)</f>
        <v>CARLOS PATRICIO  PEREZ  SALAZAR</v>
      </c>
      <c r="K2048" s="89" t="str">
        <f>IFERROR(IF(VLOOKUP(I2048,Ingreso!K:P,6,0)=0,"Sin turtno ing",VLOOKUP(I2048,Ingreso!K:P,6,0)),IF(F2048&gt;0.25,IF(F2048&lt;0.311805555555556,"Turno A",IF(F2048&gt;0.3125,IF(F2048&lt;0.354166666666667,"Turno C",IF(F2048&gt;0.583333333333333,IF(F2048&lt;0.625,"Turno B",IF(F2048&gt;0.625694444444444,IF(F2048&lt;0.8125,"Turno A",IF(F2048&gt;0.875,IF(F2048&lt;0.936805555555556,"Turno C",IF(F2048&gt;0.9375,IF(F2048&lt;0.979166666666667,"Turno B",""),"")),"")),"")),"")),"")),""))</f>
        <v>Turno A</v>
      </c>
      <c r="L2048" s="91">
        <f t="shared" si="31"/>
        <v>0.3125</v>
      </c>
    </row>
    <row r="2049" spans="1:12">
      <c r="A2049">
        <v>21318186</v>
      </c>
      <c r="B2049" t="s">
        <v>1144</v>
      </c>
      <c r="C2049" t="s">
        <v>332</v>
      </c>
      <c r="D2049" t="s">
        <v>1143</v>
      </c>
      <c r="E2049" t="s">
        <v>1440</v>
      </c>
      <c r="F2049" s="78">
        <v>0.73971064814814813</v>
      </c>
      <c r="G2049" t="s">
        <v>1406</v>
      </c>
      <c r="H2049" t="s">
        <v>1336</v>
      </c>
      <c r="I2049" s="88" t="str">
        <f>VLOOKUP(A2049,Base!A:B,2,0)</f>
        <v>21.318.186-6</v>
      </c>
      <c r="J2049" s="99" t="str">
        <f>VLOOKUP(A2049,Base!A:F,6,0)</f>
        <v>CLAUDIO ALBERTO  DONOSO  ROSAS</v>
      </c>
      <c r="K2049" s="89" t="str">
        <f>IFERROR(IF(VLOOKUP(I2049,Ingreso!K:P,6,0)=0,"Sin turtno ing",VLOOKUP(I2049,Ingreso!K:P,6,0)),IF(F2049&gt;0.25,IF(F2049&lt;0.311805555555556,"Turno A",IF(F2049&gt;0.3125,IF(F2049&lt;0.354166666666667,"Turno C",IF(F2049&gt;0.583333333333333,IF(F2049&lt;0.625,"Turno B",IF(F2049&gt;0.625694444444444,IF(F2049&lt;0.8125,"Turno A",IF(F2049&gt;0.875,IF(F2049&lt;0.936805555555556,"Turno C",IF(F2049&gt;0.9375,IF(F2049&lt;0.979166666666667,"Turno B",""),"")),"")),"")),"")),"")),""))</f>
        <v>Turno A</v>
      </c>
      <c r="L2049" s="91">
        <f t="shared" si="31"/>
        <v>0.3125</v>
      </c>
    </row>
    <row r="2050" spans="1:12">
      <c r="A2050">
        <v>21318186</v>
      </c>
      <c r="B2050" t="s">
        <v>1144</v>
      </c>
      <c r="C2050" t="s">
        <v>332</v>
      </c>
      <c r="D2050" t="s">
        <v>1143</v>
      </c>
      <c r="E2050" t="s">
        <v>1440</v>
      </c>
      <c r="F2050" s="78">
        <v>0.29631944444444441</v>
      </c>
      <c r="G2050" t="s">
        <v>1405</v>
      </c>
      <c r="H2050" t="s">
        <v>1335</v>
      </c>
      <c r="I2050" s="88" t="str">
        <f>VLOOKUP(A2050,Base!A:B,2,0)</f>
        <v>21.318.186-6</v>
      </c>
      <c r="J2050" s="99" t="str">
        <f>VLOOKUP(A2050,Base!A:F,6,0)</f>
        <v>CLAUDIO ALBERTO  DONOSO  ROSAS</v>
      </c>
      <c r="K2050" s="89" t="str">
        <f>IFERROR(IF(VLOOKUP(I2050,Ingreso!K:P,6,0)=0,"Sin turtno ing",VLOOKUP(I2050,Ingreso!K:P,6,0)),IF(F2050&gt;0.25,IF(F2050&lt;0.311805555555556,"Turno A",IF(F2050&gt;0.3125,IF(F2050&lt;0.354166666666667,"Turno C",IF(F2050&gt;0.583333333333333,IF(F2050&lt;0.625,"Turno B",IF(F2050&gt;0.625694444444444,IF(F2050&lt;0.8125,"Turno A",IF(F2050&gt;0.875,IF(F2050&lt;0.936805555555556,"Turno C",IF(F2050&gt;0.9375,IF(F2050&lt;0.979166666666667,"Turno B",""),"")),"")),"")),"")),"")),""))</f>
        <v>Turno A</v>
      </c>
      <c r="L2050" s="91">
        <f t="shared" si="31"/>
        <v>0.3125</v>
      </c>
    </row>
    <row r="2051" spans="1:12">
      <c r="A2051">
        <v>21318186</v>
      </c>
      <c r="B2051" t="s">
        <v>1144</v>
      </c>
      <c r="C2051" t="s">
        <v>332</v>
      </c>
      <c r="D2051" t="s">
        <v>1143</v>
      </c>
      <c r="E2051" t="s">
        <v>1441</v>
      </c>
      <c r="F2051" s="78">
        <v>0.95923611111111118</v>
      </c>
      <c r="G2051" t="s">
        <v>1406</v>
      </c>
      <c r="H2051" t="s">
        <v>1336</v>
      </c>
      <c r="I2051" s="88" t="str">
        <f>VLOOKUP(A2051,Base!A:B,2,0)</f>
        <v>21.318.186-6</v>
      </c>
      <c r="J2051" s="99" t="str">
        <f>VLOOKUP(A2051,Base!A:F,6,0)</f>
        <v>CLAUDIO ALBERTO  DONOSO  ROSAS</v>
      </c>
      <c r="K2051" s="89" t="str">
        <f>IFERROR(IF(VLOOKUP(I2051,Ingreso!K:P,6,0)=0,"Sin turtno ing",VLOOKUP(I2051,Ingreso!K:P,6,0)),IF(F2051&gt;0.25,IF(F2051&lt;0.311805555555556,"Turno A",IF(F2051&gt;0.3125,IF(F2051&lt;0.354166666666667,"Turno C",IF(F2051&gt;0.583333333333333,IF(F2051&lt;0.625,"Turno B",IF(F2051&gt;0.625694444444444,IF(F2051&lt;0.8125,"Turno A",IF(F2051&gt;0.875,IF(F2051&lt;0.936805555555556,"Turno C",IF(F2051&gt;0.9375,IF(F2051&lt;0.979166666666667,"Turno B",""),"")),"")),"")),"")),"")),""))</f>
        <v>Turno B</v>
      </c>
      <c r="L2051" s="91">
        <f t="shared" ref="L2051:L2085" si="32">VLOOKUP(K2051,$S$3:$T$7,2,0)</f>
        <v>0.3125</v>
      </c>
    </row>
    <row r="2052" spans="1:12">
      <c r="A2052">
        <v>21318186</v>
      </c>
      <c r="B2052" t="s">
        <v>1144</v>
      </c>
      <c r="C2052" t="s">
        <v>332</v>
      </c>
      <c r="D2052" t="s">
        <v>1143</v>
      </c>
      <c r="E2052" t="s">
        <v>1441</v>
      </c>
      <c r="F2052" s="78">
        <v>0.29493055555555553</v>
      </c>
      <c r="G2052" t="s">
        <v>1405</v>
      </c>
      <c r="H2052" t="s">
        <v>1335</v>
      </c>
      <c r="I2052" s="88" t="str">
        <f>VLOOKUP(A2052,Base!A:B,2,0)</f>
        <v>21.318.186-6</v>
      </c>
      <c r="J2052" s="99" t="str">
        <f>VLOOKUP(A2052,Base!A:F,6,0)</f>
        <v>CLAUDIO ALBERTO  DONOSO  ROSAS</v>
      </c>
      <c r="K2052" s="89" t="str">
        <f>IFERROR(IF(VLOOKUP(I2052,Ingreso!K:P,6,0)=0,"Sin turtno ing",VLOOKUP(I2052,Ingreso!K:P,6,0)),IF(F2052&gt;0.25,IF(F2052&lt;0.311805555555556,"Turno A",IF(F2052&gt;0.3125,IF(F2052&lt;0.354166666666667,"Turno C",IF(F2052&gt;0.583333333333333,IF(F2052&lt;0.625,"Turno B",IF(F2052&gt;0.625694444444444,IF(F2052&lt;0.8125,"Turno A",IF(F2052&gt;0.875,IF(F2052&lt;0.936805555555556,"Turno C",IF(F2052&gt;0.9375,IF(F2052&lt;0.979166666666667,"Turno B",""),"")),"")),"")),"")),"")),""))</f>
        <v>Turno A</v>
      </c>
      <c r="L2052" s="91">
        <f t="shared" si="32"/>
        <v>0.3125</v>
      </c>
    </row>
    <row r="2053" spans="1:12">
      <c r="A2053">
        <v>21318186</v>
      </c>
      <c r="B2053" t="s">
        <v>1144</v>
      </c>
      <c r="C2053" t="s">
        <v>332</v>
      </c>
      <c r="D2053" t="s">
        <v>1143</v>
      </c>
      <c r="E2053" t="s">
        <v>1437</v>
      </c>
      <c r="F2053" s="78">
        <v>0.83978009259259256</v>
      </c>
      <c r="G2053" t="s">
        <v>1406</v>
      </c>
      <c r="H2053" t="s">
        <v>1336</v>
      </c>
      <c r="I2053" s="88" t="str">
        <f>VLOOKUP(A2053,Base!A:B,2,0)</f>
        <v>21.318.186-6</v>
      </c>
      <c r="J2053" s="99" t="str">
        <f>VLOOKUP(A2053,Base!A:F,6,0)</f>
        <v>CLAUDIO ALBERTO  DONOSO  ROSAS</v>
      </c>
      <c r="K2053" s="89" t="str">
        <f>IFERROR(IF(VLOOKUP(I2053,Ingreso!K:P,6,0)=0,"Sin turtno ing",VLOOKUP(I2053,Ingreso!K:P,6,0)),IF(F2053&gt;0.25,IF(F2053&lt;0.311805555555556,"Turno A",IF(F2053&gt;0.3125,IF(F2053&lt;0.354166666666667,"Turno C",IF(F2053&gt;0.583333333333333,IF(F2053&lt;0.625,"Turno B",IF(F2053&gt;0.625694444444444,IF(F2053&lt;0.8125,"Turno A",IF(F2053&gt;0.875,IF(F2053&lt;0.936805555555556,"Turno C",IF(F2053&gt;0.9375,IF(F2053&lt;0.979166666666667,"Turno B",""),"")),"")),"")),"")),"")),""))</f>
        <v/>
      </c>
      <c r="L2053" s="91" t="e">
        <f t="shared" si="32"/>
        <v>#N/A</v>
      </c>
    </row>
    <row r="2054" spans="1:12">
      <c r="A2054">
        <v>21318186</v>
      </c>
      <c r="B2054" t="s">
        <v>1144</v>
      </c>
      <c r="C2054" t="s">
        <v>332</v>
      </c>
      <c r="D2054" t="s">
        <v>1143</v>
      </c>
      <c r="E2054" t="s">
        <v>1437</v>
      </c>
      <c r="F2054" s="78">
        <v>0.29421296296296295</v>
      </c>
      <c r="G2054" t="s">
        <v>1405</v>
      </c>
      <c r="H2054" t="s">
        <v>1335</v>
      </c>
      <c r="I2054" s="88" t="str">
        <f>VLOOKUP(A2054,Base!A:B,2,0)</f>
        <v>21.318.186-6</v>
      </c>
      <c r="J2054" s="99" t="str">
        <f>VLOOKUP(A2054,Base!A:F,6,0)</f>
        <v>CLAUDIO ALBERTO  DONOSO  ROSAS</v>
      </c>
      <c r="K2054" s="89" t="str">
        <f>IFERROR(IF(VLOOKUP(I2054,Ingreso!K:P,6,0)=0,"Sin turtno ing",VLOOKUP(I2054,Ingreso!K:P,6,0)),IF(F2054&gt;0.25,IF(F2054&lt;0.311805555555556,"Turno A",IF(F2054&gt;0.3125,IF(F2054&lt;0.354166666666667,"Turno C",IF(F2054&gt;0.583333333333333,IF(F2054&lt;0.625,"Turno B",IF(F2054&gt;0.625694444444444,IF(F2054&lt;0.8125,"Turno A",IF(F2054&gt;0.875,IF(F2054&lt;0.936805555555556,"Turno C",IF(F2054&gt;0.9375,IF(F2054&lt;0.979166666666667,"Turno B",""),"")),"")),"")),"")),"")),""))</f>
        <v>Turno A</v>
      </c>
      <c r="L2054" s="91">
        <f t="shared" si="32"/>
        <v>0.3125</v>
      </c>
    </row>
    <row r="2055" spans="1:12">
      <c r="A2055">
        <v>21318186</v>
      </c>
      <c r="B2055" t="s">
        <v>1144</v>
      </c>
      <c r="C2055" t="s">
        <v>332</v>
      </c>
      <c r="D2055" t="s">
        <v>1143</v>
      </c>
      <c r="E2055" t="s">
        <v>1438</v>
      </c>
      <c r="F2055" s="78">
        <v>0.84398148148148155</v>
      </c>
      <c r="G2055" t="s">
        <v>1406</v>
      </c>
      <c r="H2055" t="s">
        <v>1336</v>
      </c>
      <c r="I2055" s="88" t="str">
        <f>VLOOKUP(A2055,Base!A:B,2,0)</f>
        <v>21.318.186-6</v>
      </c>
      <c r="J2055" s="99" t="str">
        <f>VLOOKUP(A2055,Base!A:F,6,0)</f>
        <v>CLAUDIO ALBERTO  DONOSO  ROSAS</v>
      </c>
      <c r="K2055" s="89" t="str">
        <f>IFERROR(IF(VLOOKUP(I2055,Ingreso!K:P,6,0)=0,"Sin turtno ing",VLOOKUP(I2055,Ingreso!K:P,6,0)),IF(F2055&gt;0.25,IF(F2055&lt;0.311805555555556,"Turno A",IF(F2055&gt;0.3125,IF(F2055&lt;0.354166666666667,"Turno C",IF(F2055&gt;0.583333333333333,IF(F2055&lt;0.625,"Turno B",IF(F2055&gt;0.625694444444444,IF(F2055&lt;0.8125,"Turno A",IF(F2055&gt;0.875,IF(F2055&lt;0.936805555555556,"Turno C",IF(F2055&gt;0.9375,IF(F2055&lt;0.979166666666667,"Turno B",""),"")),"")),"")),"")),"")),""))</f>
        <v/>
      </c>
      <c r="L2055" s="91" t="e">
        <f t="shared" si="32"/>
        <v>#N/A</v>
      </c>
    </row>
    <row r="2056" spans="1:12">
      <c r="A2056">
        <v>21318186</v>
      </c>
      <c r="B2056" t="s">
        <v>1144</v>
      </c>
      <c r="C2056" t="s">
        <v>332</v>
      </c>
      <c r="D2056" t="s">
        <v>1143</v>
      </c>
      <c r="E2056" t="s">
        <v>1438</v>
      </c>
      <c r="F2056" s="78">
        <v>0.29511574074074071</v>
      </c>
      <c r="G2056" t="s">
        <v>1405</v>
      </c>
      <c r="H2056" t="s">
        <v>1335</v>
      </c>
      <c r="I2056" s="88" t="str">
        <f>VLOOKUP(A2056,Base!A:B,2,0)</f>
        <v>21.318.186-6</v>
      </c>
      <c r="J2056" s="99" t="str">
        <f>VLOOKUP(A2056,Base!A:F,6,0)</f>
        <v>CLAUDIO ALBERTO  DONOSO  ROSAS</v>
      </c>
      <c r="K2056" s="89" t="str">
        <f>IFERROR(IF(VLOOKUP(I2056,Ingreso!K:P,6,0)=0,"Sin turtno ing",VLOOKUP(I2056,Ingreso!K:P,6,0)),IF(F2056&gt;0.25,IF(F2056&lt;0.311805555555556,"Turno A",IF(F2056&gt;0.3125,IF(F2056&lt;0.354166666666667,"Turno C",IF(F2056&gt;0.583333333333333,IF(F2056&lt;0.625,"Turno B",IF(F2056&gt;0.625694444444444,IF(F2056&lt;0.8125,"Turno A",IF(F2056&gt;0.875,IF(F2056&lt;0.936805555555556,"Turno C",IF(F2056&gt;0.9375,IF(F2056&lt;0.979166666666667,"Turno B",""),"")),"")),"")),"")),"")),""))</f>
        <v>Turno A</v>
      </c>
      <c r="L2056" s="91">
        <f t="shared" si="32"/>
        <v>0.3125</v>
      </c>
    </row>
    <row r="2057" spans="1:12">
      <c r="A2057">
        <v>21318186</v>
      </c>
      <c r="B2057" t="s">
        <v>1144</v>
      </c>
      <c r="C2057" t="s">
        <v>332</v>
      </c>
      <c r="D2057" t="s">
        <v>1143</v>
      </c>
      <c r="E2057" t="s">
        <v>1439</v>
      </c>
      <c r="F2057" s="78">
        <v>0.73677083333333337</v>
      </c>
      <c r="G2057" t="s">
        <v>1406</v>
      </c>
      <c r="H2057" t="s">
        <v>1336</v>
      </c>
      <c r="I2057" s="88" t="str">
        <f>VLOOKUP(A2057,Base!A:B,2,0)</f>
        <v>21.318.186-6</v>
      </c>
      <c r="J2057" s="99" t="str">
        <f>VLOOKUP(A2057,Base!A:F,6,0)</f>
        <v>CLAUDIO ALBERTO  DONOSO  ROSAS</v>
      </c>
      <c r="K2057" s="89" t="str">
        <f>IFERROR(IF(VLOOKUP(I2057,Ingreso!K:P,6,0)=0,"Sin turtno ing",VLOOKUP(I2057,Ingreso!K:P,6,0)),IF(F2057&gt;0.25,IF(F2057&lt;0.311805555555556,"Turno A",IF(F2057&gt;0.3125,IF(F2057&lt;0.354166666666667,"Turno C",IF(F2057&gt;0.583333333333333,IF(F2057&lt;0.625,"Turno B",IF(F2057&gt;0.625694444444444,IF(F2057&lt;0.8125,"Turno A",IF(F2057&gt;0.875,IF(F2057&lt;0.936805555555556,"Turno C",IF(F2057&gt;0.9375,IF(F2057&lt;0.979166666666667,"Turno B",""),"")),"")),"")),"")),"")),""))</f>
        <v>Turno A</v>
      </c>
      <c r="L2057" s="91">
        <f t="shared" si="32"/>
        <v>0.3125</v>
      </c>
    </row>
    <row r="2058" spans="1:12">
      <c r="A2058">
        <v>21318186</v>
      </c>
      <c r="B2058" t="s">
        <v>1144</v>
      </c>
      <c r="C2058" t="s">
        <v>332</v>
      </c>
      <c r="D2058" t="s">
        <v>1143</v>
      </c>
      <c r="E2058" t="s">
        <v>1439</v>
      </c>
      <c r="F2058" s="78">
        <v>0.29550925925925925</v>
      </c>
      <c r="G2058" t="s">
        <v>1405</v>
      </c>
      <c r="H2058" t="s">
        <v>1335</v>
      </c>
      <c r="I2058" s="88" t="str">
        <f>VLOOKUP(A2058,Base!A:B,2,0)</f>
        <v>21.318.186-6</v>
      </c>
      <c r="J2058" s="99" t="str">
        <f>VLOOKUP(A2058,Base!A:F,6,0)</f>
        <v>CLAUDIO ALBERTO  DONOSO  ROSAS</v>
      </c>
      <c r="K2058" s="89" t="str">
        <f>IFERROR(IF(VLOOKUP(I2058,Ingreso!K:P,6,0)=0,"Sin turtno ing",VLOOKUP(I2058,Ingreso!K:P,6,0)),IF(F2058&gt;0.25,IF(F2058&lt;0.311805555555556,"Turno A",IF(F2058&gt;0.3125,IF(F2058&lt;0.354166666666667,"Turno C",IF(F2058&gt;0.583333333333333,IF(F2058&lt;0.625,"Turno B",IF(F2058&gt;0.625694444444444,IF(F2058&lt;0.8125,"Turno A",IF(F2058&gt;0.875,IF(F2058&lt;0.936805555555556,"Turno C",IF(F2058&gt;0.9375,IF(F2058&lt;0.979166666666667,"Turno B",""),"")),"")),"")),"")),"")),""))</f>
        <v>Turno A</v>
      </c>
      <c r="L2058" s="91">
        <f t="shared" si="32"/>
        <v>0.3125</v>
      </c>
    </row>
    <row r="2059" spans="1:12">
      <c r="A2059">
        <v>21516766</v>
      </c>
      <c r="B2059" t="s">
        <v>339</v>
      </c>
      <c r="C2059" t="s">
        <v>1043</v>
      </c>
      <c r="D2059" t="s">
        <v>1044</v>
      </c>
      <c r="E2059" t="s">
        <v>1436</v>
      </c>
      <c r="F2059" s="78">
        <v>0.98803240740740739</v>
      </c>
      <c r="G2059" t="s">
        <v>1405</v>
      </c>
      <c r="H2059" t="s">
        <v>1335</v>
      </c>
      <c r="I2059" s="88" t="str">
        <f>VLOOKUP(A2059,Base!A:B,2,0)</f>
        <v>21.516.766-6</v>
      </c>
      <c r="J2059" s="99" t="str">
        <f>VLOOKUP(A2059,Base!A:F,6,0)</f>
        <v>LUIS  VALDEZ  WERNLI</v>
      </c>
      <c r="K2059" s="89" t="str">
        <f>IFERROR(IF(VLOOKUP(I2059,Ingreso!K:P,6,0)=0,"Sin turtno ing",VLOOKUP(I2059,Ingreso!K:P,6,0)),IF(F2059&gt;0.25,IF(F2059&lt;0.311805555555556,"Turno A",IF(F2059&gt;0.3125,IF(F2059&lt;0.354166666666667,"Turno C",IF(F2059&gt;0.583333333333333,IF(F2059&lt;0.625,"Turno B",IF(F2059&gt;0.625694444444444,IF(F2059&lt;0.8125,"Turno A",IF(F2059&gt;0.875,IF(F2059&lt;0.936805555555556,"Turno C",IF(F2059&gt;0.9375,IF(F2059&lt;0.979166666666667,"Turno B",""),"")),"")),"")),"")),"")),""))</f>
        <v>Turno C</v>
      </c>
      <c r="L2059" s="91">
        <f t="shared" si="32"/>
        <v>0.375</v>
      </c>
    </row>
    <row r="2060" spans="1:12">
      <c r="A2060">
        <v>21516766</v>
      </c>
      <c r="B2060" t="s">
        <v>339</v>
      </c>
      <c r="C2060" t="s">
        <v>1043</v>
      </c>
      <c r="D2060" t="s">
        <v>1044</v>
      </c>
      <c r="E2060" t="s">
        <v>1437</v>
      </c>
      <c r="F2060" s="78">
        <v>0.31650462962962961</v>
      </c>
      <c r="G2060" t="s">
        <v>1406</v>
      </c>
      <c r="H2060" t="s">
        <v>1336</v>
      </c>
      <c r="I2060" s="88" t="str">
        <f>VLOOKUP(A2060,Base!A:B,2,0)</f>
        <v>21.516.766-6</v>
      </c>
      <c r="J2060" s="99" t="str">
        <f>VLOOKUP(A2060,Base!A:F,6,0)</f>
        <v>LUIS  VALDEZ  WERNLI</v>
      </c>
      <c r="K2060" s="89" t="str">
        <f>IFERROR(IF(VLOOKUP(I2060,Ingreso!K:P,6,0)=0,"Sin turtno ing",VLOOKUP(I2060,Ingreso!K:P,6,0)),IF(F2060&gt;0.25,IF(F2060&lt;0.311805555555556,"Turno A",IF(F2060&gt;0.3125,IF(F2060&lt;0.354166666666667,"Turno C",IF(F2060&gt;0.583333333333333,IF(F2060&lt;0.625,"Turno B",IF(F2060&gt;0.625694444444444,IF(F2060&lt;0.8125,"Turno A",IF(F2060&gt;0.875,IF(F2060&lt;0.936805555555556,"Turno C",IF(F2060&gt;0.9375,IF(F2060&lt;0.979166666666667,"Turno B",""),"")),"")),"")),"")),"")),""))</f>
        <v>Turno C</v>
      </c>
      <c r="L2060" s="91">
        <f t="shared" si="32"/>
        <v>0.375</v>
      </c>
    </row>
    <row r="2061" spans="1:12">
      <c r="A2061">
        <v>22637242</v>
      </c>
      <c r="B2061" t="s">
        <v>70</v>
      </c>
      <c r="C2061" t="s">
        <v>68</v>
      </c>
      <c r="D2061" t="s">
        <v>1430</v>
      </c>
      <c r="E2061" t="s">
        <v>1440</v>
      </c>
      <c r="F2061" s="78">
        <v>0.76101851851851843</v>
      </c>
      <c r="G2061" t="s">
        <v>1406</v>
      </c>
      <c r="H2061" t="s">
        <v>1336</v>
      </c>
      <c r="I2061" s="88" t="str">
        <f>VLOOKUP(A2061,Base!A:B,2,0)</f>
        <v>22.637.242-3</v>
      </c>
      <c r="J2061" s="99" t="str">
        <f>VLOOKUP(A2061,Base!A:F,6,0)</f>
        <v>MARISOL  ALVAREZ  CONTRERAS</v>
      </c>
      <c r="K2061" s="89" t="str">
        <f>IFERROR(IF(VLOOKUP(I2061,Ingreso!K:P,6,0)=0,"Sin turtno ing",VLOOKUP(I2061,Ingreso!K:P,6,0)),IF(F2061&gt;0.25,IF(F2061&lt;0.311805555555556,"Turno A",IF(F2061&gt;0.3125,IF(F2061&lt;0.354166666666667,"Turno C",IF(F2061&gt;0.583333333333333,IF(F2061&lt;0.625,"Turno B",IF(F2061&gt;0.625694444444444,IF(F2061&lt;0.8125,"Turno A",IF(F2061&gt;0.875,IF(F2061&lt;0.936805555555556,"Turno C",IF(F2061&gt;0.9375,IF(F2061&lt;0.979166666666667,"Turno B",""),"")),"")),"")),"")),"")),""))</f>
        <v>Turno A</v>
      </c>
      <c r="L2061" s="91">
        <f t="shared" si="32"/>
        <v>0.3125</v>
      </c>
    </row>
    <row r="2062" spans="1:12">
      <c r="A2062">
        <v>22637242</v>
      </c>
      <c r="B2062" t="s">
        <v>70</v>
      </c>
      <c r="C2062" t="s">
        <v>68</v>
      </c>
      <c r="D2062" t="s">
        <v>1430</v>
      </c>
      <c r="E2062" t="s">
        <v>1440</v>
      </c>
      <c r="F2062" s="78">
        <v>0.35542824074074075</v>
      </c>
      <c r="G2062" t="s">
        <v>1405</v>
      </c>
      <c r="H2062" t="s">
        <v>1335</v>
      </c>
      <c r="I2062" s="88" t="str">
        <f>VLOOKUP(A2062,Base!A:B,2,0)</f>
        <v>22.637.242-3</v>
      </c>
      <c r="J2062" s="99" t="str">
        <f>VLOOKUP(A2062,Base!A:F,6,0)</f>
        <v>MARISOL  ALVAREZ  CONTRERAS</v>
      </c>
      <c r="K2062" s="89" t="str">
        <f>IFERROR(IF(VLOOKUP(I2062,Ingreso!K:P,6,0)=0,"Sin turtno ing",VLOOKUP(I2062,Ingreso!K:P,6,0)),IF(F2062&gt;0.25,IF(F2062&lt;0.311805555555556,"Turno A",IF(F2062&gt;0.3125,IF(F2062&lt;0.354166666666667,"Turno C",IF(F2062&gt;0.583333333333333,IF(F2062&lt;0.625,"Turno B",IF(F2062&gt;0.625694444444444,IF(F2062&lt;0.8125,"Turno A",IF(F2062&gt;0.875,IF(F2062&lt;0.936805555555556,"Turno C",IF(F2062&gt;0.9375,IF(F2062&lt;0.979166666666667,"Turno B",""),"")),"")),"")),"")),"")),""))</f>
        <v/>
      </c>
      <c r="L2062" s="91" t="e">
        <f t="shared" si="32"/>
        <v>#N/A</v>
      </c>
    </row>
    <row r="2063" spans="1:12">
      <c r="A2063">
        <v>22637242</v>
      </c>
      <c r="B2063" t="s">
        <v>70</v>
      </c>
      <c r="C2063" t="s">
        <v>68</v>
      </c>
      <c r="D2063" t="s">
        <v>1430</v>
      </c>
      <c r="E2063" t="s">
        <v>1437</v>
      </c>
      <c r="F2063" s="78">
        <v>0.79018518518518521</v>
      </c>
      <c r="G2063" t="s">
        <v>1406</v>
      </c>
      <c r="H2063" t="s">
        <v>1336</v>
      </c>
      <c r="I2063" s="88" t="str">
        <f>VLOOKUP(A2063,Base!A:B,2,0)</f>
        <v>22.637.242-3</v>
      </c>
      <c r="J2063" s="99" t="str">
        <f>VLOOKUP(A2063,Base!A:F,6,0)</f>
        <v>MARISOL  ALVAREZ  CONTRERAS</v>
      </c>
      <c r="K2063" s="89" t="str">
        <f>IFERROR(IF(VLOOKUP(I2063,Ingreso!K:P,6,0)=0,"Sin turtno ing",VLOOKUP(I2063,Ingreso!K:P,6,0)),IF(F2063&gt;0.25,IF(F2063&lt;0.311805555555556,"Turno A",IF(F2063&gt;0.3125,IF(F2063&lt;0.354166666666667,"Turno C",IF(F2063&gt;0.583333333333333,IF(F2063&lt;0.625,"Turno B",IF(F2063&gt;0.625694444444444,IF(F2063&lt;0.8125,"Turno A",IF(F2063&gt;0.875,IF(F2063&lt;0.936805555555556,"Turno C",IF(F2063&gt;0.9375,IF(F2063&lt;0.979166666666667,"Turno B",""),"")),"")),"")),"")),"")),""))</f>
        <v>Turno A</v>
      </c>
      <c r="L2063" s="91">
        <f t="shared" si="32"/>
        <v>0.3125</v>
      </c>
    </row>
    <row r="2064" spans="1:12">
      <c r="A2064">
        <v>22637242</v>
      </c>
      <c r="B2064" t="s">
        <v>70</v>
      </c>
      <c r="C2064" t="s">
        <v>68</v>
      </c>
      <c r="D2064" t="s">
        <v>1430</v>
      </c>
      <c r="E2064" t="s">
        <v>1437</v>
      </c>
      <c r="F2064" s="78">
        <v>0.35623842592592592</v>
      </c>
      <c r="G2064" t="s">
        <v>1405</v>
      </c>
      <c r="H2064" t="s">
        <v>1335</v>
      </c>
      <c r="I2064" s="88" t="str">
        <f>VLOOKUP(A2064,Base!A:B,2,0)</f>
        <v>22.637.242-3</v>
      </c>
      <c r="J2064" s="99" t="str">
        <f>VLOOKUP(A2064,Base!A:F,6,0)</f>
        <v>MARISOL  ALVAREZ  CONTRERAS</v>
      </c>
      <c r="K2064" s="89" t="str">
        <f>IFERROR(IF(VLOOKUP(I2064,Ingreso!K:P,6,0)=0,"Sin turtno ing",VLOOKUP(I2064,Ingreso!K:P,6,0)),IF(F2064&gt;0.25,IF(F2064&lt;0.311805555555556,"Turno A",IF(F2064&gt;0.3125,IF(F2064&lt;0.354166666666667,"Turno C",IF(F2064&gt;0.583333333333333,IF(F2064&lt;0.625,"Turno B",IF(F2064&gt;0.625694444444444,IF(F2064&lt;0.8125,"Turno A",IF(F2064&gt;0.875,IF(F2064&lt;0.936805555555556,"Turno C",IF(F2064&gt;0.9375,IF(F2064&lt;0.979166666666667,"Turno B",""),"")),"")),"")),"")),"")),""))</f>
        <v/>
      </c>
      <c r="L2064" s="91" t="e">
        <f t="shared" si="32"/>
        <v>#N/A</v>
      </c>
    </row>
    <row r="2065" spans="1:12">
      <c r="A2065">
        <v>22637242</v>
      </c>
      <c r="B2065" t="s">
        <v>70</v>
      </c>
      <c r="C2065" t="s">
        <v>68</v>
      </c>
      <c r="D2065" t="s">
        <v>1430</v>
      </c>
      <c r="E2065" t="s">
        <v>1438</v>
      </c>
      <c r="F2065" s="78">
        <v>0.7999074074074074</v>
      </c>
      <c r="G2065" t="s">
        <v>1406</v>
      </c>
      <c r="H2065" t="s">
        <v>1336</v>
      </c>
      <c r="I2065" s="88" t="str">
        <f>VLOOKUP(A2065,Base!A:B,2,0)</f>
        <v>22.637.242-3</v>
      </c>
      <c r="J2065" s="99" t="str">
        <f>VLOOKUP(A2065,Base!A:F,6,0)</f>
        <v>MARISOL  ALVAREZ  CONTRERAS</v>
      </c>
      <c r="K2065" s="89" t="str">
        <f>IFERROR(IF(VLOOKUP(I2065,Ingreso!K:P,6,0)=0,"Sin turtno ing",VLOOKUP(I2065,Ingreso!K:P,6,0)),IF(F2065&gt;0.25,IF(F2065&lt;0.311805555555556,"Turno A",IF(F2065&gt;0.3125,IF(F2065&lt;0.354166666666667,"Turno C",IF(F2065&gt;0.583333333333333,IF(F2065&lt;0.625,"Turno B",IF(F2065&gt;0.625694444444444,IF(F2065&lt;0.8125,"Turno A",IF(F2065&gt;0.875,IF(F2065&lt;0.936805555555556,"Turno C",IF(F2065&gt;0.9375,IF(F2065&lt;0.979166666666667,"Turno B",""),"")),"")),"")),"")),"")),""))</f>
        <v>Turno A</v>
      </c>
      <c r="L2065" s="91">
        <f t="shared" si="32"/>
        <v>0.3125</v>
      </c>
    </row>
    <row r="2066" spans="1:12">
      <c r="A2066">
        <v>22637242</v>
      </c>
      <c r="B2066" t="s">
        <v>70</v>
      </c>
      <c r="C2066" t="s">
        <v>68</v>
      </c>
      <c r="D2066" t="s">
        <v>1430</v>
      </c>
      <c r="E2066" t="s">
        <v>1438</v>
      </c>
      <c r="F2066" s="78">
        <v>0.35596064814814815</v>
      </c>
      <c r="G2066" t="s">
        <v>1405</v>
      </c>
      <c r="H2066" t="s">
        <v>1335</v>
      </c>
      <c r="I2066" s="88" t="str">
        <f>VLOOKUP(A2066,Base!A:B,2,0)</f>
        <v>22.637.242-3</v>
      </c>
      <c r="J2066" s="99" t="str">
        <f>VLOOKUP(A2066,Base!A:F,6,0)</f>
        <v>MARISOL  ALVAREZ  CONTRERAS</v>
      </c>
      <c r="K2066" s="89" t="str">
        <f>IFERROR(IF(VLOOKUP(I2066,Ingreso!K:P,6,0)=0,"Sin turtno ing",VLOOKUP(I2066,Ingreso!K:P,6,0)),IF(F2066&gt;0.25,IF(F2066&lt;0.311805555555556,"Turno A",IF(F2066&gt;0.3125,IF(F2066&lt;0.354166666666667,"Turno C",IF(F2066&gt;0.583333333333333,IF(F2066&lt;0.625,"Turno B",IF(F2066&gt;0.625694444444444,IF(F2066&lt;0.8125,"Turno A",IF(F2066&gt;0.875,IF(F2066&lt;0.936805555555556,"Turno C",IF(F2066&gt;0.9375,IF(F2066&lt;0.979166666666667,"Turno B",""),"")),"")),"")),"")),"")),""))</f>
        <v/>
      </c>
      <c r="L2066" s="91" t="e">
        <f t="shared" si="32"/>
        <v>#N/A</v>
      </c>
    </row>
    <row r="2067" spans="1:12">
      <c r="A2067">
        <v>22637242</v>
      </c>
      <c r="B2067" t="s">
        <v>70</v>
      </c>
      <c r="C2067" t="s">
        <v>68</v>
      </c>
      <c r="D2067" t="s">
        <v>1430</v>
      </c>
      <c r="E2067" t="s">
        <v>1439</v>
      </c>
      <c r="F2067" s="78">
        <v>0.76314814814814813</v>
      </c>
      <c r="G2067" t="s">
        <v>1406</v>
      </c>
      <c r="H2067" t="s">
        <v>1336</v>
      </c>
      <c r="I2067" s="88" t="str">
        <f>VLOOKUP(A2067,Base!A:B,2,0)</f>
        <v>22.637.242-3</v>
      </c>
      <c r="J2067" s="99" t="str">
        <f>VLOOKUP(A2067,Base!A:F,6,0)</f>
        <v>MARISOL  ALVAREZ  CONTRERAS</v>
      </c>
      <c r="K2067" s="89" t="str">
        <f>IFERROR(IF(VLOOKUP(I2067,Ingreso!K:P,6,0)=0,"Sin turtno ing",VLOOKUP(I2067,Ingreso!K:P,6,0)),IF(F2067&gt;0.25,IF(F2067&lt;0.311805555555556,"Turno A",IF(F2067&gt;0.3125,IF(F2067&lt;0.354166666666667,"Turno C",IF(F2067&gt;0.583333333333333,IF(F2067&lt;0.625,"Turno B",IF(F2067&gt;0.625694444444444,IF(F2067&lt;0.8125,"Turno A",IF(F2067&gt;0.875,IF(F2067&lt;0.936805555555556,"Turno C",IF(F2067&gt;0.9375,IF(F2067&lt;0.979166666666667,"Turno B",""),"")),"")),"")),"")),"")),""))</f>
        <v>Turno A</v>
      </c>
      <c r="L2067" s="91">
        <f t="shared" si="32"/>
        <v>0.3125</v>
      </c>
    </row>
    <row r="2068" spans="1:12">
      <c r="A2068">
        <v>22637242</v>
      </c>
      <c r="B2068" t="s">
        <v>70</v>
      </c>
      <c r="C2068" t="s">
        <v>68</v>
      </c>
      <c r="D2068" t="s">
        <v>1430</v>
      </c>
      <c r="E2068" t="s">
        <v>1439</v>
      </c>
      <c r="F2068" s="78">
        <v>0.35799768518518515</v>
      </c>
      <c r="G2068" t="s">
        <v>1405</v>
      </c>
      <c r="H2068" t="s">
        <v>1335</v>
      </c>
      <c r="I2068" s="88" t="str">
        <f>VLOOKUP(A2068,Base!A:B,2,0)</f>
        <v>22.637.242-3</v>
      </c>
      <c r="J2068" s="99" t="str">
        <f>VLOOKUP(A2068,Base!A:F,6,0)</f>
        <v>MARISOL  ALVAREZ  CONTRERAS</v>
      </c>
      <c r="K2068" s="89" t="str">
        <f>IFERROR(IF(VLOOKUP(I2068,Ingreso!K:P,6,0)=0,"Sin turtno ing",VLOOKUP(I2068,Ingreso!K:P,6,0)),IF(F2068&gt;0.25,IF(F2068&lt;0.311805555555556,"Turno A",IF(F2068&gt;0.3125,IF(F2068&lt;0.354166666666667,"Turno C",IF(F2068&gt;0.583333333333333,IF(F2068&lt;0.625,"Turno B",IF(F2068&gt;0.625694444444444,IF(F2068&lt;0.8125,"Turno A",IF(F2068&gt;0.875,IF(F2068&lt;0.936805555555556,"Turno C",IF(F2068&gt;0.9375,IF(F2068&lt;0.979166666666667,"Turno B",""),"")),"")),"")),"")),"")),""))</f>
        <v/>
      </c>
      <c r="L2068" s="91" t="e">
        <f t="shared" si="32"/>
        <v>#N/A</v>
      </c>
    </row>
    <row r="2069" spans="1:12">
      <c r="A2069">
        <v>23040236</v>
      </c>
      <c r="B2069" t="s">
        <v>1314</v>
      </c>
      <c r="C2069" t="s">
        <v>785</v>
      </c>
      <c r="D2069" t="s">
        <v>791</v>
      </c>
      <c r="E2069" t="s">
        <v>1440</v>
      </c>
      <c r="F2069" s="78">
        <v>0.64956018518518521</v>
      </c>
      <c r="G2069" t="s">
        <v>1406</v>
      </c>
      <c r="H2069" t="s">
        <v>1336</v>
      </c>
      <c r="I2069" s="88" t="str">
        <f>VLOOKUP(A2069,Base!A:B,2,0)</f>
        <v>23.040.236-1</v>
      </c>
      <c r="J2069" s="99" t="str">
        <f>VLOOKUP(A2069,Base!A:F,6,0)</f>
        <v>SEBASTIAN PEREZ</v>
      </c>
      <c r="K2069" s="89" t="str">
        <f>IFERROR(IF(VLOOKUP(I2069,Ingreso!K:P,6,0)=0,"Sin turtno ing",VLOOKUP(I2069,Ingreso!K:P,6,0)),IF(F2069&gt;0.25,IF(F2069&lt;0.311805555555556,"Turno A",IF(F2069&gt;0.3125,IF(F2069&lt;0.354166666666667,"Turno C",IF(F2069&gt;0.583333333333333,IF(F2069&lt;0.625,"Turno B",IF(F2069&gt;0.625694444444444,IF(F2069&lt;0.8125,"Turno A",IF(F2069&gt;0.875,IF(F2069&lt;0.936805555555556,"Turno C",IF(F2069&gt;0.9375,IF(F2069&lt;0.979166666666667,"Turno B",""),"")),"")),"")),"")),"")),""))</f>
        <v>Sin turtno ing</v>
      </c>
      <c r="L2069" s="91" t="e">
        <f t="shared" si="32"/>
        <v>#N/A</v>
      </c>
    </row>
    <row r="2070" spans="1:12">
      <c r="A2070">
        <v>23040236</v>
      </c>
      <c r="B2070" t="s">
        <v>1314</v>
      </c>
      <c r="C2070" t="s">
        <v>785</v>
      </c>
      <c r="D2070" t="s">
        <v>791</v>
      </c>
      <c r="E2070" t="s">
        <v>1440</v>
      </c>
      <c r="F2070" s="78">
        <v>0.36734953703703704</v>
      </c>
      <c r="G2070" t="s">
        <v>1405</v>
      </c>
      <c r="H2070" t="s">
        <v>1335</v>
      </c>
      <c r="I2070" s="88" t="str">
        <f>VLOOKUP(A2070,Base!A:B,2,0)</f>
        <v>23.040.236-1</v>
      </c>
      <c r="J2070" s="99" t="str">
        <f>VLOOKUP(A2070,Base!A:F,6,0)</f>
        <v>SEBASTIAN PEREZ</v>
      </c>
      <c r="K2070" s="89" t="str">
        <f>IFERROR(IF(VLOOKUP(I2070,Ingreso!K:P,6,0)=0,"Sin turtno ing",VLOOKUP(I2070,Ingreso!K:P,6,0)),IF(F2070&gt;0.25,IF(F2070&lt;0.311805555555556,"Turno A",IF(F2070&gt;0.3125,IF(F2070&lt;0.354166666666667,"Turno C",IF(F2070&gt;0.583333333333333,IF(F2070&lt;0.625,"Turno B",IF(F2070&gt;0.625694444444444,IF(F2070&lt;0.8125,"Turno A",IF(F2070&gt;0.875,IF(F2070&lt;0.936805555555556,"Turno C",IF(F2070&gt;0.9375,IF(F2070&lt;0.979166666666667,"Turno B",""),"")),"")),"")),"")),"")),""))</f>
        <v>Sin turtno ing</v>
      </c>
      <c r="L2070" s="91" t="e">
        <f t="shared" si="32"/>
        <v>#N/A</v>
      </c>
    </row>
    <row r="2071" spans="1:12">
      <c r="A2071">
        <v>23040236</v>
      </c>
      <c r="B2071" t="s">
        <v>1314</v>
      </c>
      <c r="C2071" t="s">
        <v>785</v>
      </c>
      <c r="D2071" t="s">
        <v>791</v>
      </c>
      <c r="E2071" t="s">
        <v>1437</v>
      </c>
      <c r="F2071" s="78">
        <v>0.73552083333333329</v>
      </c>
      <c r="G2071" t="s">
        <v>1406</v>
      </c>
      <c r="H2071" t="s">
        <v>1336</v>
      </c>
      <c r="I2071" s="88" t="str">
        <f>VLOOKUP(A2071,Base!A:B,2,0)</f>
        <v>23.040.236-1</v>
      </c>
      <c r="J2071" s="99" t="str">
        <f>VLOOKUP(A2071,Base!A:F,6,0)</f>
        <v>SEBASTIAN PEREZ</v>
      </c>
      <c r="K2071" s="89" t="str">
        <f>IFERROR(IF(VLOOKUP(I2071,Ingreso!K:P,6,0)=0,"Sin turtno ing",VLOOKUP(I2071,Ingreso!K:P,6,0)),IF(F2071&gt;0.25,IF(F2071&lt;0.311805555555556,"Turno A",IF(F2071&gt;0.3125,IF(F2071&lt;0.354166666666667,"Turno C",IF(F2071&gt;0.583333333333333,IF(F2071&lt;0.625,"Turno B",IF(F2071&gt;0.625694444444444,IF(F2071&lt;0.8125,"Turno A",IF(F2071&gt;0.875,IF(F2071&lt;0.936805555555556,"Turno C",IF(F2071&gt;0.9375,IF(F2071&lt;0.979166666666667,"Turno B",""),"")),"")),"")),"")),"")),""))</f>
        <v>Sin turtno ing</v>
      </c>
      <c r="L2071" s="91" t="e">
        <f t="shared" si="32"/>
        <v>#N/A</v>
      </c>
    </row>
    <row r="2072" spans="1:12">
      <c r="A2072">
        <v>23040236</v>
      </c>
      <c r="B2072" t="s">
        <v>1314</v>
      </c>
      <c r="C2072" t="s">
        <v>785</v>
      </c>
      <c r="D2072" t="s">
        <v>791</v>
      </c>
      <c r="E2072" t="s">
        <v>1437</v>
      </c>
      <c r="F2072" s="78">
        <v>0.29178240740740741</v>
      </c>
      <c r="G2072" t="s">
        <v>1405</v>
      </c>
      <c r="H2072" t="s">
        <v>1335</v>
      </c>
      <c r="I2072" s="88" t="str">
        <f>VLOOKUP(A2072,Base!A:B,2,0)</f>
        <v>23.040.236-1</v>
      </c>
      <c r="J2072" s="99" t="str">
        <f>VLOOKUP(A2072,Base!A:F,6,0)</f>
        <v>SEBASTIAN PEREZ</v>
      </c>
      <c r="K2072" s="89" t="str">
        <f>IFERROR(IF(VLOOKUP(I2072,Ingreso!K:P,6,0)=0,"Sin turtno ing",VLOOKUP(I2072,Ingreso!K:P,6,0)),IF(F2072&gt;0.25,IF(F2072&lt;0.311805555555556,"Turno A",IF(F2072&gt;0.3125,IF(F2072&lt;0.354166666666667,"Turno C",IF(F2072&gt;0.583333333333333,IF(F2072&lt;0.625,"Turno B",IF(F2072&gt;0.625694444444444,IF(F2072&lt;0.8125,"Turno A",IF(F2072&gt;0.875,IF(F2072&lt;0.936805555555556,"Turno C",IF(F2072&gt;0.9375,IF(F2072&lt;0.979166666666667,"Turno B",""),"")),"")),"")),"")),"")),""))</f>
        <v>Sin turtno ing</v>
      </c>
      <c r="L2072" s="91" t="e">
        <f t="shared" si="32"/>
        <v>#N/A</v>
      </c>
    </row>
    <row r="2073" spans="1:12">
      <c r="A2073">
        <v>23040236</v>
      </c>
      <c r="B2073" t="s">
        <v>1314</v>
      </c>
      <c r="C2073" t="s">
        <v>785</v>
      </c>
      <c r="D2073" t="s">
        <v>791</v>
      </c>
      <c r="E2073" t="s">
        <v>1438</v>
      </c>
      <c r="F2073" s="78">
        <v>0.7362847222222223</v>
      </c>
      <c r="G2073" t="s">
        <v>1406</v>
      </c>
      <c r="H2073" t="s">
        <v>1336</v>
      </c>
      <c r="I2073" s="88" t="str">
        <f>VLOOKUP(A2073,Base!A:B,2,0)</f>
        <v>23.040.236-1</v>
      </c>
      <c r="J2073" s="99" t="str">
        <f>VLOOKUP(A2073,Base!A:F,6,0)</f>
        <v>SEBASTIAN PEREZ</v>
      </c>
      <c r="K2073" s="89" t="str">
        <f>IFERROR(IF(VLOOKUP(I2073,Ingreso!K:P,6,0)=0,"Sin turtno ing",VLOOKUP(I2073,Ingreso!K:P,6,0)),IF(F2073&gt;0.25,IF(F2073&lt;0.311805555555556,"Turno A",IF(F2073&gt;0.3125,IF(F2073&lt;0.354166666666667,"Turno C",IF(F2073&gt;0.583333333333333,IF(F2073&lt;0.625,"Turno B",IF(F2073&gt;0.625694444444444,IF(F2073&lt;0.8125,"Turno A",IF(F2073&gt;0.875,IF(F2073&lt;0.936805555555556,"Turno C",IF(F2073&gt;0.9375,IF(F2073&lt;0.979166666666667,"Turno B",""),"")),"")),"")),"")),"")),""))</f>
        <v>Sin turtno ing</v>
      </c>
      <c r="L2073" s="91" t="e">
        <f t="shared" si="32"/>
        <v>#N/A</v>
      </c>
    </row>
    <row r="2074" spans="1:12">
      <c r="A2074">
        <v>23040236</v>
      </c>
      <c r="B2074" t="s">
        <v>1314</v>
      </c>
      <c r="C2074" t="s">
        <v>785</v>
      </c>
      <c r="D2074" t="s">
        <v>791</v>
      </c>
      <c r="E2074" t="s">
        <v>1438</v>
      </c>
      <c r="F2074" s="78">
        <v>0.29053240740740743</v>
      </c>
      <c r="G2074" t="s">
        <v>1405</v>
      </c>
      <c r="H2074" t="s">
        <v>1335</v>
      </c>
      <c r="I2074" s="88" t="str">
        <f>VLOOKUP(A2074,Base!A:B,2,0)</f>
        <v>23.040.236-1</v>
      </c>
      <c r="J2074" s="99" t="str">
        <f>VLOOKUP(A2074,Base!A:F,6,0)</f>
        <v>SEBASTIAN PEREZ</v>
      </c>
      <c r="K2074" s="89" t="str">
        <f>IFERROR(IF(VLOOKUP(I2074,Ingreso!K:P,6,0)=0,"Sin turtno ing",VLOOKUP(I2074,Ingreso!K:P,6,0)),IF(F2074&gt;0.25,IF(F2074&lt;0.311805555555556,"Turno A",IF(F2074&gt;0.3125,IF(F2074&lt;0.354166666666667,"Turno C",IF(F2074&gt;0.583333333333333,IF(F2074&lt;0.625,"Turno B",IF(F2074&gt;0.625694444444444,IF(F2074&lt;0.8125,"Turno A",IF(F2074&gt;0.875,IF(F2074&lt;0.936805555555556,"Turno C",IF(F2074&gt;0.9375,IF(F2074&lt;0.979166666666667,"Turno B",""),"")),"")),"")),"")),"")),""))</f>
        <v>Sin turtno ing</v>
      </c>
      <c r="L2074" s="91" t="e">
        <f t="shared" si="32"/>
        <v>#N/A</v>
      </c>
    </row>
    <row r="2075" spans="1:12">
      <c r="A2075">
        <v>23040236</v>
      </c>
      <c r="B2075" t="s">
        <v>1314</v>
      </c>
      <c r="C2075" t="s">
        <v>785</v>
      </c>
      <c r="D2075" t="s">
        <v>791</v>
      </c>
      <c r="E2075" t="s">
        <v>1439</v>
      </c>
      <c r="F2075" s="78">
        <v>0.73666666666666669</v>
      </c>
      <c r="G2075" t="s">
        <v>1406</v>
      </c>
      <c r="H2075" t="s">
        <v>1336</v>
      </c>
      <c r="I2075" s="88" t="str">
        <f>VLOOKUP(A2075,Base!A:B,2,0)</f>
        <v>23.040.236-1</v>
      </c>
      <c r="J2075" s="99" t="str">
        <f>VLOOKUP(A2075,Base!A:F,6,0)</f>
        <v>SEBASTIAN PEREZ</v>
      </c>
      <c r="K2075" s="89" t="str">
        <f>IFERROR(IF(VLOOKUP(I2075,Ingreso!K:P,6,0)=0,"Sin turtno ing",VLOOKUP(I2075,Ingreso!K:P,6,0)),IF(F2075&gt;0.25,IF(F2075&lt;0.311805555555556,"Turno A",IF(F2075&gt;0.3125,IF(F2075&lt;0.354166666666667,"Turno C",IF(F2075&gt;0.583333333333333,IF(F2075&lt;0.625,"Turno B",IF(F2075&gt;0.625694444444444,IF(F2075&lt;0.8125,"Turno A",IF(F2075&gt;0.875,IF(F2075&lt;0.936805555555556,"Turno C",IF(F2075&gt;0.9375,IF(F2075&lt;0.979166666666667,"Turno B",""),"")),"")),"")),"")),"")),""))</f>
        <v>Sin turtno ing</v>
      </c>
      <c r="L2075" s="91" t="e">
        <f t="shared" si="32"/>
        <v>#N/A</v>
      </c>
    </row>
    <row r="2076" spans="1:12">
      <c r="A2076">
        <v>23040236</v>
      </c>
      <c r="B2076" t="s">
        <v>1314</v>
      </c>
      <c r="C2076" t="s">
        <v>785</v>
      </c>
      <c r="D2076" t="s">
        <v>791</v>
      </c>
      <c r="E2076" t="s">
        <v>1439</v>
      </c>
      <c r="F2076" s="78">
        <v>0.31049768518518517</v>
      </c>
      <c r="G2076" t="s">
        <v>1405</v>
      </c>
      <c r="H2076" t="s">
        <v>1335</v>
      </c>
      <c r="I2076" s="88" t="str">
        <f>VLOOKUP(A2076,Base!A:B,2,0)</f>
        <v>23.040.236-1</v>
      </c>
      <c r="J2076" s="99" t="str">
        <f>VLOOKUP(A2076,Base!A:F,6,0)</f>
        <v>SEBASTIAN PEREZ</v>
      </c>
      <c r="K2076" s="89" t="str">
        <f>IFERROR(IF(VLOOKUP(I2076,Ingreso!K:P,6,0)=0,"Sin turtno ing",VLOOKUP(I2076,Ingreso!K:P,6,0)),IF(F2076&gt;0.25,IF(F2076&lt;0.311805555555556,"Turno A",IF(F2076&gt;0.3125,IF(F2076&lt;0.354166666666667,"Turno C",IF(F2076&gt;0.583333333333333,IF(F2076&lt;0.625,"Turno B",IF(F2076&gt;0.625694444444444,IF(F2076&lt;0.8125,"Turno A",IF(F2076&gt;0.875,IF(F2076&lt;0.936805555555556,"Turno C",IF(F2076&gt;0.9375,IF(F2076&lt;0.979166666666667,"Turno B",""),"")),"")),"")),"")),"")),""))</f>
        <v>Sin turtno ing</v>
      </c>
      <c r="L2076" s="91" t="e">
        <f t="shared" si="32"/>
        <v>#N/A</v>
      </c>
    </row>
    <row r="2077" spans="1:12">
      <c r="A2077"/>
      <c r="B2077"/>
      <c r="C2077"/>
      <c r="D2077"/>
      <c r="E2077"/>
      <c r="F2077" s="78"/>
      <c r="G2077"/>
      <c r="H2077"/>
      <c r="I2077" s="88" t="e">
        <f>VLOOKUP(A2077,Base!A:B,2,0)</f>
        <v>#N/A</v>
      </c>
      <c r="J2077" s="99" t="e">
        <f>VLOOKUP(A2077,Base!A:F,6,0)</f>
        <v>#N/A</v>
      </c>
      <c r="K2077" s="89" t="str">
        <f>IFERROR(IF(VLOOKUP(I2077,Ingreso!K:P,6,0)=0,"Sin turtno ing",VLOOKUP(I2077,Ingreso!K:P,6,0)),IF(F2077&gt;0.25,IF(F2077&lt;0.311805555555556,"Turno A",IF(F2077&gt;0.3125,IF(F2077&lt;0.354166666666667,"Turno C",IF(F2077&gt;0.583333333333333,IF(F2077&lt;0.625,"Turno B",IF(F2077&gt;0.625694444444444,IF(F2077&lt;0.8125,"Turno A",IF(F2077&gt;0.875,IF(F2077&lt;0.936805555555556,"Turno C",IF(F2077&gt;0.9375,IF(F2077&lt;0.979166666666667,"Turno B",""),"")),"")),"")),"")),"")),""))</f>
        <v/>
      </c>
      <c r="L2077" s="91" t="e">
        <f t="shared" si="32"/>
        <v>#N/A</v>
      </c>
    </row>
    <row r="2078" spans="1:12">
      <c r="A2078"/>
      <c r="B2078"/>
      <c r="C2078"/>
      <c r="D2078"/>
      <c r="E2078"/>
      <c r="F2078" s="78"/>
      <c r="G2078"/>
      <c r="H2078"/>
      <c r="I2078" s="88" t="e">
        <f>VLOOKUP(A2078,Base!A:B,2,0)</f>
        <v>#N/A</v>
      </c>
      <c r="J2078" s="99" t="e">
        <f>VLOOKUP(A2078,Base!A:F,6,0)</f>
        <v>#N/A</v>
      </c>
      <c r="K2078" s="89" t="str">
        <f>IFERROR(IF(VLOOKUP(I2078,Ingreso!K:P,6,0)=0,"Sin turtno ing",VLOOKUP(I2078,Ingreso!K:P,6,0)),IF(F2078&gt;0.25,IF(F2078&lt;0.311805555555556,"Turno A",IF(F2078&gt;0.3125,IF(F2078&lt;0.354166666666667,"Turno C",IF(F2078&gt;0.583333333333333,IF(F2078&lt;0.625,"Turno B",IF(F2078&gt;0.625694444444444,IF(F2078&lt;0.8125,"Turno A",IF(F2078&gt;0.875,IF(F2078&lt;0.936805555555556,"Turno C",IF(F2078&gt;0.9375,IF(F2078&lt;0.979166666666667,"Turno B",""),"")),"")),"")),"")),"")),""))</f>
        <v/>
      </c>
      <c r="L2078" s="91" t="e">
        <f t="shared" si="32"/>
        <v>#N/A</v>
      </c>
    </row>
    <row r="2079" spans="1:12">
      <c r="A2079"/>
      <c r="B2079"/>
      <c r="C2079"/>
      <c r="D2079"/>
      <c r="E2079"/>
      <c r="F2079" s="78"/>
      <c r="G2079"/>
      <c r="H2079"/>
      <c r="I2079" s="88" t="e">
        <f>VLOOKUP(A2079,Base!A:B,2,0)</f>
        <v>#N/A</v>
      </c>
      <c r="J2079" s="99" t="e">
        <f>VLOOKUP(A2079,Base!A:F,6,0)</f>
        <v>#N/A</v>
      </c>
      <c r="K2079" s="89" t="str">
        <f>IFERROR(IF(VLOOKUP(I2079,Ingreso!K:P,6,0)=0,"Sin turtno ing",VLOOKUP(I2079,Ingreso!K:P,6,0)),IF(F2079&gt;0.25,IF(F2079&lt;0.311805555555556,"Turno A",IF(F2079&gt;0.3125,IF(F2079&lt;0.354166666666667,"Turno C",IF(F2079&gt;0.583333333333333,IF(F2079&lt;0.625,"Turno B",IF(F2079&gt;0.625694444444444,IF(F2079&lt;0.8125,"Turno A",IF(F2079&gt;0.875,IF(F2079&lt;0.936805555555556,"Turno C",IF(F2079&gt;0.9375,IF(F2079&lt;0.979166666666667,"Turno B",""),"")),"")),"")),"")),"")),""))</f>
        <v/>
      </c>
      <c r="L2079" s="91" t="e">
        <f t="shared" si="32"/>
        <v>#N/A</v>
      </c>
    </row>
    <row r="2080" spans="1:12">
      <c r="A2080"/>
      <c r="B2080"/>
      <c r="C2080"/>
      <c r="D2080"/>
      <c r="E2080"/>
      <c r="F2080" s="78"/>
      <c r="G2080"/>
      <c r="H2080"/>
      <c r="I2080" s="88" t="e">
        <f>VLOOKUP(A2080,Base!A:B,2,0)</f>
        <v>#N/A</v>
      </c>
      <c r="J2080" s="99" t="e">
        <f>VLOOKUP(A2080,Base!A:F,6,0)</f>
        <v>#N/A</v>
      </c>
      <c r="K2080" s="89" t="str">
        <f>IFERROR(IF(VLOOKUP(I2080,Ingreso!K:P,6,0)=0,"Sin turtno ing",VLOOKUP(I2080,Ingreso!K:P,6,0)),IF(F2080&gt;0.25,IF(F2080&lt;0.311805555555556,"Turno A",IF(F2080&gt;0.3125,IF(F2080&lt;0.354166666666667,"Turno C",IF(F2080&gt;0.583333333333333,IF(F2080&lt;0.625,"Turno B",IF(F2080&gt;0.625694444444444,IF(F2080&lt;0.8125,"Turno A",IF(F2080&gt;0.875,IF(F2080&lt;0.936805555555556,"Turno C",IF(F2080&gt;0.9375,IF(F2080&lt;0.979166666666667,"Turno B",""),"")),"")),"")),"")),"")),""))</f>
        <v/>
      </c>
      <c r="L2080" s="91" t="e">
        <f t="shared" si="32"/>
        <v>#N/A</v>
      </c>
    </row>
    <row r="2081" spans="1:12">
      <c r="A2081"/>
      <c r="B2081"/>
      <c r="C2081"/>
      <c r="D2081"/>
      <c r="E2081"/>
      <c r="F2081" s="78"/>
      <c r="G2081"/>
      <c r="H2081"/>
      <c r="I2081" s="88" t="e">
        <f>VLOOKUP(A2081,Base!A:B,2,0)</f>
        <v>#N/A</v>
      </c>
      <c r="J2081" s="99" t="e">
        <f>VLOOKUP(A2081,Base!A:F,6,0)</f>
        <v>#N/A</v>
      </c>
      <c r="K2081" s="89" t="str">
        <f>IFERROR(IF(VLOOKUP(I2081,Ingreso!K:P,6,0)=0,"Sin turtno ing",VLOOKUP(I2081,Ingreso!K:P,6,0)),IF(F2081&gt;0.25,IF(F2081&lt;0.311805555555556,"Turno A",IF(F2081&gt;0.3125,IF(F2081&lt;0.354166666666667,"Turno C",IF(F2081&gt;0.583333333333333,IF(F2081&lt;0.625,"Turno B",IF(F2081&gt;0.625694444444444,IF(F2081&lt;0.8125,"Turno A",IF(F2081&gt;0.875,IF(F2081&lt;0.936805555555556,"Turno C",IF(F2081&gt;0.9375,IF(F2081&lt;0.979166666666667,"Turno B",""),"")),"")),"")),"")),"")),""))</f>
        <v/>
      </c>
      <c r="L2081" s="91" t="e">
        <f t="shared" si="32"/>
        <v>#N/A</v>
      </c>
    </row>
    <row r="2082" spans="1:12">
      <c r="A2082"/>
      <c r="B2082"/>
      <c r="C2082"/>
      <c r="D2082"/>
      <c r="E2082"/>
      <c r="F2082" s="78"/>
      <c r="G2082"/>
      <c r="H2082"/>
      <c r="I2082" s="88" t="e">
        <f>VLOOKUP(A2082,Base!A:B,2,0)</f>
        <v>#N/A</v>
      </c>
      <c r="J2082" s="99" t="e">
        <f>VLOOKUP(A2082,Base!A:F,6,0)</f>
        <v>#N/A</v>
      </c>
      <c r="K2082" s="89" t="str">
        <f>IFERROR(IF(VLOOKUP(I2082,Ingreso!K:P,6,0)=0,"Sin turtno ing",VLOOKUP(I2082,Ingreso!K:P,6,0)),IF(F2082&gt;0.25,IF(F2082&lt;0.311805555555556,"Turno A",IF(F2082&gt;0.3125,IF(F2082&lt;0.354166666666667,"Turno C",IF(F2082&gt;0.583333333333333,IF(F2082&lt;0.625,"Turno B",IF(F2082&gt;0.625694444444444,IF(F2082&lt;0.8125,"Turno A",IF(F2082&gt;0.875,IF(F2082&lt;0.936805555555556,"Turno C",IF(F2082&gt;0.9375,IF(F2082&lt;0.979166666666667,"Turno B",""),"")),"")),"")),"")),"")),""))</f>
        <v/>
      </c>
      <c r="L2082" s="91" t="e">
        <f t="shared" si="32"/>
        <v>#N/A</v>
      </c>
    </row>
    <row r="2083" spans="1:12">
      <c r="A2083"/>
      <c r="B2083"/>
      <c r="C2083"/>
      <c r="D2083"/>
      <c r="E2083"/>
      <c r="F2083" s="78"/>
      <c r="G2083"/>
      <c r="H2083"/>
      <c r="I2083" s="88" t="e">
        <f>VLOOKUP(A2083,Base!A:B,2,0)</f>
        <v>#N/A</v>
      </c>
      <c r="J2083" s="99" t="e">
        <f>VLOOKUP(A2083,Base!A:F,6,0)</f>
        <v>#N/A</v>
      </c>
      <c r="K2083" s="89" t="str">
        <f>IFERROR(IF(VLOOKUP(I2083,Ingreso!K:P,6,0)=0,"Sin turtno ing",VLOOKUP(I2083,Ingreso!K:P,6,0)),IF(F2083&gt;0.25,IF(F2083&lt;0.311805555555556,"Turno A",IF(F2083&gt;0.3125,IF(F2083&lt;0.354166666666667,"Turno C",IF(F2083&gt;0.583333333333333,IF(F2083&lt;0.625,"Turno B",IF(F2083&gt;0.625694444444444,IF(F2083&lt;0.8125,"Turno A",IF(F2083&gt;0.875,IF(F2083&lt;0.936805555555556,"Turno C",IF(F2083&gt;0.9375,IF(F2083&lt;0.979166666666667,"Turno B",""),"")),"")),"")),"")),"")),""))</f>
        <v/>
      </c>
      <c r="L2083" s="91" t="e">
        <f t="shared" si="32"/>
        <v>#N/A</v>
      </c>
    </row>
    <row r="2084" spans="1:12">
      <c r="A2084"/>
      <c r="B2084"/>
      <c r="C2084"/>
      <c r="D2084"/>
      <c r="E2084"/>
      <c r="F2084" s="78"/>
      <c r="G2084"/>
      <c r="H2084"/>
      <c r="I2084" s="88" t="e">
        <f>VLOOKUP(A2084,Base!A:B,2,0)</f>
        <v>#N/A</v>
      </c>
      <c r="J2084" s="99" t="e">
        <f>VLOOKUP(A2084,Base!A:F,6,0)</f>
        <v>#N/A</v>
      </c>
      <c r="K2084" s="89" t="str">
        <f>IFERROR(IF(VLOOKUP(I2084,Ingreso!K:P,6,0)=0,"Sin turtno ing",VLOOKUP(I2084,Ingreso!K:P,6,0)),IF(F2084&gt;0.25,IF(F2084&lt;0.311805555555556,"Turno A",IF(F2084&gt;0.3125,IF(F2084&lt;0.354166666666667,"Turno C",IF(F2084&gt;0.583333333333333,IF(F2084&lt;0.625,"Turno B",IF(F2084&gt;0.625694444444444,IF(F2084&lt;0.8125,"Turno A",IF(F2084&gt;0.875,IF(F2084&lt;0.936805555555556,"Turno C",IF(F2084&gt;0.9375,IF(F2084&lt;0.979166666666667,"Turno B",""),"")),"")),"")),"")),"")),""))</f>
        <v/>
      </c>
      <c r="L2084" s="91" t="e">
        <f t="shared" si="32"/>
        <v>#N/A</v>
      </c>
    </row>
    <row r="2085" spans="1:12">
      <c r="A2085"/>
      <c r="B2085"/>
      <c r="C2085"/>
      <c r="D2085"/>
      <c r="E2085"/>
      <c r="F2085" s="78"/>
      <c r="G2085"/>
      <c r="H2085"/>
      <c r="I2085" s="88" t="e">
        <f>VLOOKUP(A2085,Base!A:B,2,0)</f>
        <v>#N/A</v>
      </c>
      <c r="J2085" s="99" t="e">
        <f>VLOOKUP(A2085,Base!A:F,6,0)</f>
        <v>#N/A</v>
      </c>
      <c r="K2085" s="89" t="str">
        <f>IFERROR(IF(VLOOKUP(I2085,Ingreso!K:P,6,0)=0,"Sin turtno ing",VLOOKUP(I2085,Ingreso!K:P,6,0)),IF(F2085&gt;0.25,IF(F2085&lt;0.311805555555556,"Turno A",IF(F2085&gt;0.3125,IF(F2085&lt;0.354166666666667,"Turno C",IF(F2085&gt;0.583333333333333,IF(F2085&lt;0.625,"Turno B",IF(F2085&gt;0.625694444444444,IF(F2085&lt;0.8125,"Turno A",IF(F2085&gt;0.875,IF(F2085&lt;0.936805555555556,"Turno C",IF(F2085&gt;0.9375,IF(F2085&lt;0.979166666666667,"Turno B",""),"")),"")),"")),"")),"")),""))</f>
        <v/>
      </c>
      <c r="L2085" s="91" t="e">
        <f t="shared" si="32"/>
        <v>#N/A</v>
      </c>
    </row>
    <row r="2086" spans="1:12">
      <c r="A2086"/>
      <c r="B2086"/>
      <c r="C2086"/>
      <c r="D2086"/>
      <c r="E2086"/>
      <c r="F2086" s="78"/>
      <c r="G2086"/>
      <c r="H2086"/>
    </row>
    <row r="2087" spans="1:12">
      <c r="A2087"/>
      <c r="B2087"/>
      <c r="C2087"/>
      <c r="D2087"/>
      <c r="E2087"/>
      <c r="F2087" s="78"/>
      <c r="G2087"/>
      <c r="H2087"/>
    </row>
    <row r="2088" spans="1:12">
      <c r="A2088"/>
      <c r="B2088"/>
      <c r="C2088"/>
      <c r="D2088"/>
      <c r="E2088"/>
      <c r="F2088" s="78"/>
      <c r="G2088"/>
      <c r="H2088"/>
    </row>
    <row r="2089" spans="1:12">
      <c r="A2089"/>
      <c r="B2089"/>
      <c r="C2089"/>
      <c r="D2089"/>
      <c r="E2089"/>
      <c r="F2089" s="78"/>
      <c r="G2089"/>
      <c r="H2089"/>
    </row>
    <row r="2090" spans="1:12">
      <c r="A2090"/>
      <c r="B2090"/>
      <c r="C2090"/>
      <c r="D2090"/>
      <c r="E2090"/>
      <c r="F2090" s="78"/>
      <c r="G2090"/>
      <c r="H2090"/>
    </row>
    <row r="2091" spans="1:12">
      <c r="A2091"/>
      <c r="B2091"/>
      <c r="C2091"/>
      <c r="D2091"/>
      <c r="E2091"/>
      <c r="F2091" s="78"/>
      <c r="G2091"/>
      <c r="H2091"/>
    </row>
    <row r="2092" spans="1:12">
      <c r="A2092"/>
      <c r="B2092"/>
      <c r="C2092"/>
      <c r="D2092"/>
      <c r="E2092"/>
      <c r="F2092" s="78"/>
      <c r="G2092"/>
      <c r="H2092"/>
    </row>
    <row r="2093" spans="1:12">
      <c r="A2093"/>
      <c r="B2093"/>
      <c r="C2093"/>
      <c r="D2093"/>
      <c r="E2093"/>
      <c r="F2093" s="78"/>
      <c r="G2093"/>
      <c r="H2093"/>
    </row>
    <row r="2094" spans="1:12">
      <c r="A2094"/>
      <c r="B2094"/>
      <c r="C2094"/>
      <c r="D2094"/>
      <c r="E2094"/>
      <c r="F2094" s="78"/>
      <c r="G2094"/>
      <c r="H2094"/>
    </row>
    <row r="2095" spans="1:12">
      <c r="A2095"/>
      <c r="B2095"/>
      <c r="C2095"/>
      <c r="D2095"/>
      <c r="E2095"/>
      <c r="F2095" s="78"/>
      <c r="G2095"/>
      <c r="H2095"/>
    </row>
    <row r="2096" spans="1:12">
      <c r="A2096"/>
      <c r="B2096"/>
      <c r="C2096"/>
      <c r="D2096"/>
      <c r="E2096"/>
      <c r="F2096" s="78"/>
      <c r="G2096"/>
      <c r="H2096"/>
    </row>
    <row r="2097" spans="1:8">
      <c r="A2097"/>
      <c r="B2097"/>
      <c r="C2097"/>
      <c r="D2097"/>
      <c r="E2097"/>
      <c r="F2097" s="78"/>
      <c r="G2097"/>
      <c r="H2097"/>
    </row>
    <row r="2098" spans="1:8">
      <c r="A2098"/>
      <c r="B2098"/>
      <c r="C2098"/>
      <c r="D2098"/>
      <c r="E2098"/>
      <c r="F2098" s="78"/>
      <c r="G2098"/>
      <c r="H2098"/>
    </row>
    <row r="2099" spans="1:8">
      <c r="A2099"/>
      <c r="B2099"/>
      <c r="C2099"/>
      <c r="D2099"/>
      <c r="E2099"/>
      <c r="F2099" s="78"/>
      <c r="G2099"/>
      <c r="H2099"/>
    </row>
    <row r="2100" spans="1:8">
      <c r="A2100"/>
      <c r="B2100"/>
      <c r="C2100"/>
      <c r="D2100"/>
      <c r="E2100"/>
      <c r="F2100" s="78"/>
      <c r="G2100"/>
      <c r="H2100"/>
    </row>
    <row r="2101" spans="1:8">
      <c r="A2101"/>
      <c r="B2101"/>
      <c r="C2101"/>
      <c r="D2101"/>
      <c r="E2101"/>
      <c r="F2101" s="78"/>
      <c r="G2101"/>
      <c r="H2101"/>
    </row>
    <row r="2102" spans="1:8">
      <c r="A2102"/>
      <c r="B2102"/>
      <c r="C2102"/>
      <c r="D2102"/>
      <c r="E2102"/>
      <c r="F2102" s="78"/>
      <c r="G2102"/>
      <c r="H2102"/>
    </row>
    <row r="2103" spans="1:8">
      <c r="A2103"/>
      <c r="B2103"/>
      <c r="C2103"/>
      <c r="D2103"/>
      <c r="E2103"/>
      <c r="F2103" s="78"/>
      <c r="G2103"/>
      <c r="H2103"/>
    </row>
    <row r="2104" spans="1:8">
      <c r="A2104"/>
      <c r="B2104"/>
      <c r="C2104"/>
      <c r="D2104"/>
      <c r="E2104"/>
      <c r="F2104" s="78"/>
      <c r="G2104"/>
      <c r="H2104"/>
    </row>
    <row r="2105" spans="1:8">
      <c r="A2105"/>
      <c r="B2105"/>
      <c r="C2105"/>
      <c r="D2105"/>
      <c r="E2105"/>
      <c r="F2105" s="78"/>
      <c r="G2105"/>
      <c r="H2105"/>
    </row>
    <row r="2106" spans="1:8">
      <c r="A2106"/>
      <c r="B2106"/>
      <c r="C2106"/>
      <c r="D2106"/>
      <c r="E2106"/>
      <c r="F2106" s="78"/>
      <c r="G2106"/>
      <c r="H2106"/>
    </row>
    <row r="2107" spans="1:8">
      <c r="A2107"/>
      <c r="B2107"/>
      <c r="C2107"/>
      <c r="D2107"/>
      <c r="E2107"/>
      <c r="F2107" s="78"/>
      <c r="G2107"/>
      <c r="H2107"/>
    </row>
    <row r="2108" spans="1:8">
      <c r="A2108"/>
      <c r="B2108"/>
      <c r="C2108"/>
      <c r="D2108"/>
      <c r="E2108"/>
      <c r="F2108" s="78"/>
      <c r="G2108"/>
      <c r="H2108"/>
    </row>
    <row r="2109" spans="1:8">
      <c r="A2109"/>
      <c r="B2109"/>
      <c r="C2109"/>
      <c r="D2109"/>
      <c r="E2109"/>
      <c r="F2109" s="78"/>
      <c r="G2109"/>
      <c r="H2109"/>
    </row>
    <row r="2110" spans="1:8">
      <c r="A2110"/>
      <c r="B2110"/>
      <c r="C2110"/>
      <c r="D2110"/>
      <c r="E2110"/>
      <c r="F2110" s="78"/>
      <c r="G2110"/>
      <c r="H2110"/>
    </row>
    <row r="2111" spans="1:8">
      <c r="A2111"/>
      <c r="B2111"/>
      <c r="C2111"/>
      <c r="D2111"/>
      <c r="E2111"/>
      <c r="F2111" s="78"/>
      <c r="G2111"/>
      <c r="H2111"/>
    </row>
    <row r="2112" spans="1:8">
      <c r="A2112"/>
      <c r="B2112"/>
      <c r="C2112"/>
      <c r="D2112"/>
      <c r="E2112"/>
      <c r="F2112" s="78"/>
      <c r="G2112"/>
      <c r="H2112"/>
    </row>
    <row r="2113" spans="1:8">
      <c r="A2113"/>
      <c r="B2113"/>
      <c r="C2113"/>
      <c r="D2113"/>
      <c r="E2113"/>
      <c r="F2113" s="78"/>
      <c r="G2113"/>
      <c r="H2113"/>
    </row>
    <row r="2114" spans="1:8">
      <c r="A2114"/>
      <c r="B2114"/>
      <c r="C2114"/>
      <c r="D2114"/>
      <c r="E2114"/>
      <c r="F2114" s="78"/>
      <c r="G2114"/>
      <c r="H2114"/>
    </row>
    <row r="2115" spans="1:8">
      <c r="A2115"/>
      <c r="B2115"/>
      <c r="C2115"/>
      <c r="D2115"/>
      <c r="E2115"/>
      <c r="F2115" s="78"/>
      <c r="G2115"/>
      <c r="H2115"/>
    </row>
    <row r="2116" spans="1:8">
      <c r="A2116"/>
      <c r="B2116"/>
      <c r="C2116"/>
      <c r="D2116"/>
      <c r="E2116"/>
      <c r="F2116" s="78"/>
      <c r="G2116"/>
      <c r="H2116"/>
    </row>
    <row r="2117" spans="1:8">
      <c r="A2117"/>
      <c r="B2117"/>
      <c r="C2117"/>
      <c r="D2117"/>
      <c r="E2117"/>
      <c r="F2117" s="78"/>
      <c r="G2117"/>
      <c r="H2117"/>
    </row>
    <row r="2118" spans="1:8">
      <c r="A2118"/>
      <c r="B2118"/>
      <c r="C2118"/>
      <c r="D2118"/>
      <c r="E2118"/>
      <c r="F2118" s="78"/>
      <c r="G2118"/>
      <c r="H2118"/>
    </row>
    <row r="2119" spans="1:8">
      <c r="A2119"/>
      <c r="B2119"/>
      <c r="C2119"/>
      <c r="D2119"/>
      <c r="E2119"/>
      <c r="F2119" s="78"/>
      <c r="G2119"/>
      <c r="H2119"/>
    </row>
    <row r="2120" spans="1:8">
      <c r="A2120"/>
      <c r="B2120"/>
      <c r="C2120"/>
      <c r="D2120"/>
      <c r="E2120"/>
      <c r="F2120" s="78"/>
      <c r="G2120"/>
      <c r="H2120"/>
    </row>
    <row r="2121" spans="1:8">
      <c r="A2121"/>
      <c r="B2121"/>
      <c r="C2121"/>
      <c r="D2121"/>
      <c r="E2121"/>
      <c r="F2121" s="78"/>
      <c r="G2121"/>
      <c r="H2121"/>
    </row>
    <row r="2122" spans="1:8">
      <c r="A2122"/>
      <c r="B2122"/>
      <c r="C2122"/>
      <c r="D2122"/>
      <c r="E2122"/>
      <c r="F2122" s="78"/>
      <c r="G2122"/>
      <c r="H2122"/>
    </row>
    <row r="2123" spans="1:8">
      <c r="A2123"/>
      <c r="B2123"/>
      <c r="C2123"/>
      <c r="D2123"/>
      <c r="E2123"/>
      <c r="F2123" s="78"/>
      <c r="G2123"/>
      <c r="H2123"/>
    </row>
    <row r="2124" spans="1:8">
      <c r="A2124"/>
      <c r="B2124"/>
      <c r="C2124"/>
      <c r="D2124"/>
      <c r="E2124"/>
      <c r="F2124" s="78"/>
      <c r="G2124"/>
      <c r="H2124"/>
    </row>
    <row r="2125" spans="1:8">
      <c r="A2125"/>
      <c r="B2125"/>
      <c r="C2125"/>
      <c r="D2125"/>
      <c r="E2125"/>
      <c r="F2125" s="78"/>
      <c r="G2125"/>
      <c r="H2125"/>
    </row>
    <row r="2126" spans="1:8">
      <c r="A2126"/>
      <c r="B2126"/>
      <c r="C2126"/>
      <c r="D2126"/>
      <c r="E2126"/>
      <c r="F2126" s="78"/>
      <c r="G2126"/>
      <c r="H2126"/>
    </row>
    <row r="2127" spans="1:8">
      <c r="A2127"/>
      <c r="B2127"/>
      <c r="C2127"/>
      <c r="D2127"/>
      <c r="E2127"/>
      <c r="F2127" s="78"/>
      <c r="G2127"/>
      <c r="H2127"/>
    </row>
    <row r="2128" spans="1:8">
      <c r="A2128"/>
      <c r="B2128"/>
      <c r="C2128"/>
      <c r="D2128"/>
      <c r="E2128"/>
      <c r="F2128" s="78"/>
      <c r="G2128"/>
      <c r="H2128"/>
    </row>
    <row r="2129" spans="1:8">
      <c r="A2129"/>
      <c r="B2129"/>
      <c r="C2129"/>
      <c r="D2129"/>
      <c r="E2129"/>
      <c r="F2129" s="78"/>
      <c r="G2129"/>
      <c r="H2129"/>
    </row>
    <row r="2130" spans="1:8">
      <c r="A2130"/>
      <c r="B2130"/>
      <c r="C2130"/>
      <c r="D2130"/>
      <c r="E2130"/>
      <c r="F2130" s="78"/>
      <c r="G2130"/>
      <c r="H2130"/>
    </row>
    <row r="2131" spans="1:8">
      <c r="A2131"/>
      <c r="B2131"/>
      <c r="C2131"/>
      <c r="D2131"/>
      <c r="E2131"/>
      <c r="F2131" s="78"/>
      <c r="G2131"/>
      <c r="H2131"/>
    </row>
    <row r="2132" spans="1:8">
      <c r="A2132"/>
      <c r="B2132"/>
      <c r="C2132"/>
      <c r="D2132"/>
      <c r="E2132"/>
      <c r="F2132" s="78"/>
      <c r="G2132"/>
      <c r="H2132"/>
    </row>
    <row r="2133" spans="1:8">
      <c r="A2133"/>
      <c r="B2133"/>
      <c r="C2133"/>
      <c r="D2133"/>
      <c r="E2133"/>
      <c r="F2133" s="78"/>
      <c r="G2133"/>
      <c r="H2133"/>
    </row>
    <row r="2134" spans="1:8">
      <c r="A2134"/>
      <c r="B2134"/>
      <c r="C2134"/>
      <c r="D2134"/>
      <c r="E2134"/>
      <c r="F2134" s="78"/>
      <c r="G2134"/>
      <c r="H2134"/>
    </row>
    <row r="2135" spans="1:8">
      <c r="A2135"/>
      <c r="B2135"/>
      <c r="C2135"/>
      <c r="D2135"/>
      <c r="E2135"/>
      <c r="F2135" s="78"/>
      <c r="G2135"/>
      <c r="H2135"/>
    </row>
    <row r="2136" spans="1:8">
      <c r="A2136"/>
      <c r="B2136"/>
      <c r="C2136"/>
      <c r="D2136"/>
      <c r="E2136"/>
      <c r="F2136" s="78"/>
      <c r="G2136"/>
      <c r="H2136"/>
    </row>
    <row r="2137" spans="1:8">
      <c r="A2137"/>
      <c r="B2137"/>
      <c r="C2137"/>
      <c r="D2137"/>
      <c r="E2137"/>
      <c r="F2137" s="78"/>
      <c r="G2137"/>
      <c r="H2137"/>
    </row>
    <row r="2138" spans="1:8">
      <c r="A2138"/>
      <c r="B2138"/>
      <c r="C2138"/>
      <c r="D2138"/>
      <c r="E2138"/>
      <c r="F2138" s="78"/>
      <c r="G2138"/>
      <c r="H2138"/>
    </row>
    <row r="2139" spans="1:8">
      <c r="A2139"/>
      <c r="B2139"/>
      <c r="C2139"/>
      <c r="D2139"/>
      <c r="E2139"/>
      <c r="F2139" s="78"/>
      <c r="G2139"/>
      <c r="H2139"/>
    </row>
    <row r="2140" spans="1:8">
      <c r="A2140"/>
      <c r="B2140"/>
      <c r="C2140"/>
      <c r="D2140"/>
      <c r="E2140"/>
      <c r="F2140" s="78"/>
      <c r="G2140"/>
      <c r="H2140"/>
    </row>
    <row r="2141" spans="1:8">
      <c r="A2141"/>
      <c r="B2141"/>
      <c r="C2141"/>
      <c r="D2141"/>
      <c r="E2141"/>
      <c r="F2141" s="78"/>
      <c r="G2141"/>
      <c r="H2141"/>
    </row>
    <row r="2142" spans="1:8">
      <c r="A2142"/>
      <c r="B2142"/>
      <c r="C2142"/>
      <c r="D2142"/>
      <c r="E2142"/>
      <c r="F2142" s="78"/>
      <c r="G2142"/>
      <c r="H2142"/>
    </row>
    <row r="2143" spans="1:8">
      <c r="A2143"/>
      <c r="B2143"/>
      <c r="C2143"/>
      <c r="D2143"/>
      <c r="E2143"/>
      <c r="F2143" s="78"/>
      <c r="G2143"/>
      <c r="H2143"/>
    </row>
    <row r="2144" spans="1:8">
      <c r="A2144"/>
      <c r="B2144"/>
      <c r="C2144"/>
      <c r="D2144"/>
      <c r="E2144"/>
      <c r="F2144" s="78"/>
      <c r="G2144"/>
      <c r="H2144"/>
    </row>
    <row r="2145" spans="1:8">
      <c r="A2145"/>
      <c r="B2145"/>
      <c r="C2145"/>
      <c r="D2145"/>
      <c r="E2145"/>
      <c r="F2145" s="78"/>
      <c r="G2145"/>
      <c r="H2145"/>
    </row>
    <row r="2146" spans="1:8">
      <c r="A2146"/>
      <c r="B2146"/>
      <c r="C2146"/>
      <c r="D2146"/>
      <c r="E2146"/>
      <c r="F2146" s="78"/>
      <c r="G2146"/>
      <c r="H2146"/>
    </row>
    <row r="2147" spans="1:8">
      <c r="A2147"/>
      <c r="B2147"/>
      <c r="C2147"/>
      <c r="D2147"/>
      <c r="E2147"/>
      <c r="F2147" s="78"/>
      <c r="G2147"/>
      <c r="H2147"/>
    </row>
    <row r="2148" spans="1:8">
      <c r="A2148"/>
      <c r="B2148"/>
      <c r="C2148"/>
      <c r="D2148"/>
      <c r="E2148"/>
      <c r="F2148" s="78"/>
      <c r="G2148"/>
      <c r="H2148"/>
    </row>
    <row r="2149" spans="1:8">
      <c r="A2149"/>
      <c r="B2149"/>
      <c r="C2149"/>
      <c r="D2149"/>
      <c r="E2149"/>
      <c r="F2149" s="78"/>
      <c r="G2149"/>
      <c r="H2149"/>
    </row>
    <row r="2150" spans="1:8">
      <c r="A2150"/>
      <c r="B2150"/>
      <c r="C2150"/>
      <c r="D2150"/>
      <c r="E2150"/>
      <c r="F2150" s="78"/>
      <c r="G2150"/>
      <c r="H2150"/>
    </row>
    <row r="2151" spans="1:8">
      <c r="A2151"/>
      <c r="B2151"/>
      <c r="C2151"/>
      <c r="D2151"/>
      <c r="E2151"/>
      <c r="F2151" s="78"/>
      <c r="G2151"/>
      <c r="H2151"/>
    </row>
    <row r="2152" spans="1:8">
      <c r="A2152"/>
      <c r="B2152"/>
      <c r="C2152"/>
      <c r="D2152"/>
      <c r="E2152"/>
      <c r="F2152" s="78"/>
      <c r="G2152"/>
      <c r="H2152"/>
    </row>
    <row r="2153" spans="1:8">
      <c r="A2153"/>
      <c r="B2153"/>
      <c r="C2153"/>
      <c r="D2153"/>
      <c r="E2153"/>
      <c r="F2153" s="78"/>
      <c r="G2153"/>
      <c r="H2153"/>
    </row>
    <row r="2154" spans="1:8">
      <c r="A2154"/>
      <c r="B2154"/>
      <c r="C2154"/>
      <c r="D2154"/>
      <c r="E2154"/>
      <c r="F2154" s="78"/>
      <c r="G2154"/>
      <c r="H2154"/>
    </row>
    <row r="2155" spans="1:8">
      <c r="A2155"/>
      <c r="B2155"/>
      <c r="C2155"/>
      <c r="D2155"/>
      <c r="E2155"/>
      <c r="F2155" s="78"/>
      <c r="G2155"/>
      <c r="H2155"/>
    </row>
    <row r="2156" spans="1:8">
      <c r="A2156"/>
      <c r="B2156"/>
      <c r="C2156"/>
      <c r="D2156"/>
      <c r="E2156"/>
      <c r="F2156" s="78"/>
      <c r="G2156"/>
      <c r="H2156"/>
    </row>
    <row r="2157" spans="1:8">
      <c r="A2157"/>
      <c r="B2157"/>
      <c r="C2157"/>
      <c r="D2157"/>
      <c r="E2157"/>
      <c r="F2157" s="78"/>
      <c r="G2157"/>
      <c r="H2157"/>
    </row>
    <row r="2158" spans="1:8">
      <c r="A2158"/>
      <c r="B2158"/>
      <c r="C2158"/>
      <c r="D2158"/>
      <c r="E2158"/>
      <c r="F2158" s="78"/>
      <c r="G2158"/>
      <c r="H2158"/>
    </row>
    <row r="2159" spans="1:8">
      <c r="A2159"/>
      <c r="B2159"/>
      <c r="C2159"/>
      <c r="D2159"/>
      <c r="E2159"/>
      <c r="F2159" s="78"/>
      <c r="G2159"/>
      <c r="H2159"/>
    </row>
    <row r="2160" spans="1:8">
      <c r="A2160"/>
      <c r="B2160"/>
      <c r="C2160"/>
      <c r="D2160"/>
      <c r="E2160"/>
      <c r="F2160" s="78"/>
      <c r="G2160"/>
      <c r="H2160"/>
    </row>
    <row r="2161" spans="1:8">
      <c r="A2161"/>
      <c r="B2161"/>
      <c r="C2161"/>
      <c r="D2161"/>
      <c r="E2161"/>
      <c r="F2161" s="78"/>
      <c r="G2161"/>
      <c r="H2161"/>
    </row>
    <row r="2162" spans="1:8">
      <c r="A2162"/>
      <c r="B2162"/>
      <c r="C2162"/>
      <c r="D2162"/>
      <c r="E2162"/>
      <c r="F2162" s="78"/>
      <c r="G2162"/>
      <c r="H2162"/>
    </row>
    <row r="2163" spans="1:8">
      <c r="A2163"/>
      <c r="B2163"/>
      <c r="C2163"/>
      <c r="D2163"/>
      <c r="E2163"/>
      <c r="F2163" s="78"/>
      <c r="G2163"/>
      <c r="H2163"/>
    </row>
    <row r="2164" spans="1:8">
      <c r="A2164"/>
      <c r="B2164"/>
      <c r="C2164"/>
      <c r="D2164"/>
      <c r="E2164"/>
      <c r="F2164" s="78"/>
      <c r="G2164"/>
      <c r="H2164"/>
    </row>
    <row r="2165" spans="1:8">
      <c r="A2165"/>
      <c r="B2165"/>
      <c r="C2165"/>
      <c r="D2165"/>
      <c r="E2165"/>
      <c r="F2165" s="78"/>
      <c r="G2165"/>
      <c r="H2165"/>
    </row>
    <row r="2166" spans="1:8">
      <c r="A2166"/>
      <c r="B2166"/>
      <c r="C2166"/>
      <c r="D2166"/>
      <c r="E2166"/>
      <c r="F2166" s="78"/>
      <c r="G2166"/>
      <c r="H2166"/>
    </row>
    <row r="2167" spans="1:8">
      <c r="A2167"/>
      <c r="B2167"/>
      <c r="C2167"/>
      <c r="D2167"/>
      <c r="E2167"/>
      <c r="F2167" s="78"/>
      <c r="G2167"/>
      <c r="H2167"/>
    </row>
    <row r="2168" spans="1:8">
      <c r="A2168"/>
      <c r="B2168"/>
      <c r="C2168"/>
      <c r="D2168"/>
      <c r="E2168"/>
      <c r="F2168" s="78"/>
      <c r="G2168"/>
      <c r="H2168"/>
    </row>
    <row r="2169" spans="1:8">
      <c r="A2169"/>
      <c r="B2169"/>
      <c r="C2169"/>
      <c r="D2169"/>
      <c r="E2169"/>
      <c r="F2169" s="78"/>
      <c r="G2169"/>
      <c r="H2169"/>
    </row>
    <row r="2170" spans="1:8">
      <c r="A2170"/>
      <c r="B2170"/>
      <c r="C2170"/>
      <c r="D2170"/>
      <c r="E2170"/>
      <c r="F2170" s="78"/>
      <c r="G2170"/>
      <c r="H2170"/>
    </row>
    <row r="2171" spans="1:8">
      <c r="A2171"/>
      <c r="B2171"/>
      <c r="C2171"/>
      <c r="D2171"/>
      <c r="E2171"/>
      <c r="F2171" s="78"/>
      <c r="G2171"/>
      <c r="H2171"/>
    </row>
    <row r="2172" spans="1:8">
      <c r="A2172"/>
      <c r="B2172"/>
      <c r="C2172"/>
      <c r="D2172"/>
      <c r="E2172"/>
      <c r="F2172" s="78"/>
      <c r="G2172"/>
      <c r="H2172"/>
    </row>
    <row r="2173" spans="1:8">
      <c r="A2173"/>
      <c r="B2173"/>
      <c r="C2173"/>
      <c r="D2173"/>
      <c r="E2173"/>
      <c r="F2173" s="78"/>
      <c r="G2173"/>
      <c r="H2173"/>
    </row>
    <row r="2174" spans="1:8">
      <c r="A2174"/>
      <c r="B2174"/>
      <c r="C2174"/>
      <c r="D2174"/>
      <c r="E2174"/>
      <c r="F2174" s="78"/>
      <c r="G2174"/>
      <c r="H2174"/>
    </row>
    <row r="2175" spans="1:8">
      <c r="A2175"/>
      <c r="B2175"/>
      <c r="C2175"/>
      <c r="D2175"/>
      <c r="E2175"/>
      <c r="F2175" s="78"/>
      <c r="G2175"/>
      <c r="H2175"/>
    </row>
    <row r="2176" spans="1:8">
      <c r="A2176"/>
      <c r="B2176"/>
      <c r="C2176"/>
      <c r="D2176"/>
      <c r="E2176"/>
      <c r="F2176" s="78"/>
      <c r="G2176"/>
      <c r="H2176"/>
    </row>
    <row r="2177" spans="1:8">
      <c r="A2177"/>
      <c r="B2177"/>
      <c r="C2177"/>
      <c r="D2177"/>
      <c r="E2177"/>
      <c r="F2177" s="78"/>
      <c r="G2177"/>
      <c r="H2177"/>
    </row>
    <row r="2178" spans="1:8">
      <c r="A2178"/>
      <c r="B2178"/>
      <c r="C2178"/>
      <c r="D2178"/>
      <c r="E2178"/>
      <c r="F2178" s="78"/>
      <c r="G2178"/>
      <c r="H2178"/>
    </row>
    <row r="2179" spans="1:8">
      <c r="A2179"/>
      <c r="B2179"/>
      <c r="C2179"/>
      <c r="D2179"/>
      <c r="E2179"/>
      <c r="F2179" s="78"/>
      <c r="G2179"/>
      <c r="H2179"/>
    </row>
    <row r="2180" spans="1:8">
      <c r="A2180"/>
      <c r="B2180"/>
      <c r="C2180"/>
      <c r="D2180"/>
      <c r="E2180"/>
      <c r="F2180" s="78"/>
      <c r="G2180"/>
      <c r="H2180"/>
    </row>
    <row r="2181" spans="1:8">
      <c r="A2181"/>
      <c r="B2181"/>
      <c r="C2181"/>
      <c r="D2181"/>
      <c r="E2181"/>
      <c r="F2181" s="78"/>
      <c r="G2181"/>
      <c r="H2181"/>
    </row>
    <row r="2182" spans="1:8">
      <c r="A2182"/>
      <c r="B2182"/>
      <c r="C2182"/>
      <c r="D2182"/>
      <c r="E2182"/>
      <c r="F2182" s="78"/>
      <c r="G2182"/>
      <c r="H2182"/>
    </row>
    <row r="2183" spans="1:8">
      <c r="A2183"/>
      <c r="B2183"/>
      <c r="C2183"/>
      <c r="D2183"/>
      <c r="E2183"/>
      <c r="F2183" s="78"/>
      <c r="G2183"/>
      <c r="H2183"/>
    </row>
    <row r="2184" spans="1:8">
      <c r="A2184"/>
      <c r="B2184"/>
      <c r="C2184"/>
      <c r="D2184"/>
      <c r="E2184"/>
      <c r="F2184" s="78"/>
      <c r="G2184"/>
      <c r="H2184"/>
    </row>
    <row r="2185" spans="1:8">
      <c r="A2185"/>
      <c r="B2185"/>
      <c r="C2185"/>
      <c r="D2185"/>
      <c r="E2185"/>
      <c r="F2185" s="78"/>
      <c r="G2185"/>
      <c r="H2185"/>
    </row>
    <row r="2186" spans="1:8">
      <c r="A2186"/>
      <c r="B2186"/>
      <c r="C2186"/>
      <c r="D2186"/>
      <c r="E2186"/>
      <c r="F2186" s="78"/>
      <c r="G2186"/>
      <c r="H2186"/>
    </row>
    <row r="2187" spans="1:8">
      <c r="A2187"/>
      <c r="B2187"/>
      <c r="C2187"/>
      <c r="D2187"/>
      <c r="E2187"/>
      <c r="F2187" s="78"/>
      <c r="G2187"/>
      <c r="H2187"/>
    </row>
    <row r="2188" spans="1:8">
      <c r="A2188"/>
      <c r="B2188"/>
      <c r="C2188"/>
      <c r="D2188"/>
      <c r="E2188"/>
      <c r="F2188" s="78"/>
      <c r="G2188"/>
      <c r="H2188"/>
    </row>
    <row r="2189" spans="1:8">
      <c r="A2189"/>
      <c r="B2189"/>
      <c r="C2189"/>
      <c r="D2189"/>
      <c r="E2189"/>
      <c r="F2189" s="78"/>
      <c r="G2189"/>
      <c r="H2189"/>
    </row>
    <row r="2190" spans="1:8">
      <c r="A2190"/>
      <c r="B2190"/>
      <c r="C2190"/>
      <c r="D2190"/>
      <c r="E2190"/>
      <c r="F2190" s="78"/>
      <c r="G2190"/>
      <c r="H2190"/>
    </row>
    <row r="2191" spans="1:8">
      <c r="A2191"/>
      <c r="B2191"/>
      <c r="C2191"/>
      <c r="D2191"/>
      <c r="E2191"/>
      <c r="F2191" s="78"/>
      <c r="G2191"/>
      <c r="H2191"/>
    </row>
    <row r="2192" spans="1:8">
      <c r="A2192"/>
      <c r="B2192"/>
      <c r="C2192"/>
      <c r="D2192"/>
      <c r="E2192"/>
      <c r="F2192" s="78"/>
      <c r="G2192"/>
      <c r="H2192"/>
    </row>
    <row r="2193" spans="1:8">
      <c r="A2193"/>
      <c r="B2193"/>
      <c r="C2193"/>
      <c r="D2193"/>
      <c r="E2193"/>
      <c r="F2193" s="78"/>
      <c r="G2193"/>
      <c r="H2193"/>
    </row>
    <row r="2194" spans="1:8">
      <c r="A2194"/>
      <c r="B2194"/>
      <c r="C2194"/>
      <c r="D2194"/>
      <c r="E2194"/>
      <c r="F2194" s="78"/>
      <c r="G2194"/>
      <c r="H2194"/>
    </row>
    <row r="2195" spans="1:8">
      <c r="A2195"/>
      <c r="B2195"/>
      <c r="C2195"/>
      <c r="D2195"/>
      <c r="E2195"/>
      <c r="F2195" s="78"/>
      <c r="G2195"/>
      <c r="H2195"/>
    </row>
    <row r="2196" spans="1:8">
      <c r="A2196"/>
      <c r="B2196"/>
      <c r="C2196"/>
      <c r="D2196"/>
      <c r="E2196"/>
      <c r="F2196" s="78"/>
      <c r="G2196"/>
      <c r="H2196"/>
    </row>
    <row r="2197" spans="1:8">
      <c r="A2197"/>
      <c r="B2197"/>
      <c r="C2197"/>
      <c r="D2197"/>
      <c r="E2197"/>
      <c r="F2197" s="78"/>
      <c r="G2197"/>
      <c r="H2197"/>
    </row>
    <row r="2198" spans="1:8">
      <c r="A2198"/>
      <c r="B2198"/>
      <c r="C2198"/>
      <c r="D2198"/>
      <c r="E2198"/>
      <c r="F2198" s="78"/>
      <c r="G2198"/>
      <c r="H2198"/>
    </row>
    <row r="2199" spans="1:8">
      <c r="A2199"/>
      <c r="B2199"/>
      <c r="C2199"/>
      <c r="D2199"/>
      <c r="E2199"/>
      <c r="F2199" s="78"/>
      <c r="G2199"/>
      <c r="H2199"/>
    </row>
    <row r="2200" spans="1:8">
      <c r="A2200"/>
      <c r="B2200"/>
      <c r="C2200"/>
      <c r="D2200"/>
      <c r="E2200"/>
      <c r="F2200" s="78"/>
      <c r="G2200"/>
      <c r="H2200"/>
    </row>
    <row r="2201" spans="1:8">
      <c r="A2201"/>
      <c r="B2201"/>
      <c r="C2201"/>
      <c r="D2201"/>
      <c r="E2201"/>
      <c r="F2201" s="78"/>
      <c r="G2201"/>
      <c r="H2201"/>
    </row>
    <row r="2202" spans="1:8">
      <c r="A2202"/>
      <c r="B2202"/>
      <c r="C2202"/>
      <c r="D2202"/>
      <c r="E2202"/>
      <c r="F2202" s="78"/>
      <c r="G2202"/>
      <c r="H2202"/>
    </row>
    <row r="2203" spans="1:8">
      <c r="A2203"/>
      <c r="B2203"/>
      <c r="C2203"/>
      <c r="D2203"/>
      <c r="E2203"/>
      <c r="F2203" s="78"/>
      <c r="G2203"/>
      <c r="H2203"/>
    </row>
    <row r="2204" spans="1:8">
      <c r="A2204"/>
      <c r="B2204"/>
      <c r="C2204"/>
      <c r="D2204"/>
      <c r="E2204"/>
      <c r="F2204" s="78"/>
      <c r="G2204"/>
      <c r="H2204"/>
    </row>
    <row r="2205" spans="1:8">
      <c r="A2205"/>
      <c r="B2205"/>
      <c r="C2205"/>
      <c r="D2205"/>
      <c r="E2205"/>
      <c r="F2205" s="78"/>
      <c r="G2205"/>
      <c r="H2205"/>
    </row>
    <row r="2206" spans="1:8">
      <c r="A2206"/>
      <c r="B2206"/>
      <c r="C2206"/>
      <c r="D2206"/>
      <c r="E2206"/>
      <c r="F2206" s="78"/>
      <c r="G2206"/>
      <c r="H2206"/>
    </row>
    <row r="2207" spans="1:8">
      <c r="A2207"/>
      <c r="B2207"/>
      <c r="C2207"/>
      <c r="D2207"/>
      <c r="E2207"/>
      <c r="F2207" s="78"/>
      <c r="G2207"/>
      <c r="H2207"/>
    </row>
    <row r="2208" spans="1:8">
      <c r="A2208"/>
      <c r="B2208"/>
      <c r="C2208"/>
      <c r="D2208"/>
      <c r="E2208"/>
      <c r="F2208" s="78"/>
      <c r="G2208"/>
      <c r="H2208"/>
    </row>
    <row r="2209" spans="1:8">
      <c r="A2209"/>
      <c r="B2209"/>
      <c r="C2209"/>
      <c r="D2209"/>
      <c r="E2209"/>
      <c r="F2209" s="78"/>
      <c r="G2209"/>
      <c r="H2209"/>
    </row>
    <row r="2210" spans="1:8">
      <c r="A2210"/>
      <c r="B2210"/>
      <c r="C2210"/>
      <c r="D2210"/>
      <c r="E2210"/>
      <c r="F2210" s="78"/>
      <c r="G2210"/>
      <c r="H2210"/>
    </row>
    <row r="2211" spans="1:8">
      <c r="A2211"/>
      <c r="B2211"/>
      <c r="C2211"/>
      <c r="D2211"/>
      <c r="E2211"/>
      <c r="F2211" s="78"/>
      <c r="G2211"/>
      <c r="H2211"/>
    </row>
    <row r="2212" spans="1:8">
      <c r="A2212"/>
      <c r="B2212"/>
      <c r="C2212"/>
      <c r="D2212"/>
      <c r="E2212"/>
      <c r="F2212" s="78"/>
      <c r="G2212"/>
      <c r="H2212"/>
    </row>
    <row r="2213" spans="1:8">
      <c r="A2213"/>
      <c r="B2213"/>
      <c r="C2213"/>
      <c r="D2213"/>
      <c r="E2213"/>
      <c r="F2213" s="78"/>
      <c r="G2213"/>
      <c r="H2213"/>
    </row>
    <row r="2214" spans="1:8">
      <c r="A2214"/>
      <c r="B2214"/>
      <c r="C2214"/>
      <c r="D2214"/>
      <c r="E2214"/>
      <c r="F2214" s="78"/>
      <c r="G2214"/>
      <c r="H2214"/>
    </row>
    <row r="2215" spans="1:8">
      <c r="A2215"/>
      <c r="B2215"/>
      <c r="C2215"/>
      <c r="D2215"/>
      <c r="E2215"/>
      <c r="F2215" s="78"/>
      <c r="G2215"/>
      <c r="H2215"/>
    </row>
    <row r="2216" spans="1:8">
      <c r="A2216"/>
      <c r="B2216"/>
      <c r="C2216"/>
      <c r="D2216"/>
      <c r="E2216"/>
      <c r="F2216" s="78"/>
      <c r="G2216"/>
      <c r="H2216"/>
    </row>
    <row r="2217" spans="1:8">
      <c r="A2217"/>
      <c r="B2217"/>
      <c r="C2217"/>
      <c r="D2217"/>
      <c r="E2217"/>
      <c r="F2217" s="78"/>
      <c r="G2217"/>
      <c r="H2217"/>
    </row>
    <row r="2218" spans="1:8">
      <c r="A2218"/>
      <c r="B2218"/>
      <c r="C2218"/>
      <c r="D2218"/>
      <c r="E2218"/>
      <c r="F2218" s="78"/>
      <c r="G2218"/>
      <c r="H2218"/>
    </row>
    <row r="2219" spans="1:8">
      <c r="A2219"/>
      <c r="B2219"/>
      <c r="C2219"/>
      <c r="D2219"/>
      <c r="E2219"/>
      <c r="F2219" s="78"/>
      <c r="G2219"/>
      <c r="H2219"/>
    </row>
    <row r="2220" spans="1:8">
      <c r="A2220"/>
      <c r="B2220"/>
      <c r="C2220"/>
      <c r="D2220"/>
      <c r="E2220"/>
      <c r="F2220" s="78"/>
      <c r="G2220"/>
      <c r="H2220"/>
    </row>
    <row r="2221" spans="1:8">
      <c r="A2221"/>
      <c r="B2221"/>
      <c r="C2221"/>
      <c r="D2221"/>
      <c r="E2221"/>
      <c r="F2221" s="78"/>
      <c r="G2221"/>
      <c r="H2221"/>
    </row>
    <row r="2222" spans="1:8">
      <c r="A2222"/>
      <c r="B2222"/>
      <c r="C2222"/>
      <c r="D2222"/>
      <c r="E2222"/>
      <c r="F2222" s="78"/>
      <c r="G2222"/>
      <c r="H2222"/>
    </row>
    <row r="2223" spans="1:8">
      <c r="A2223"/>
      <c r="B2223"/>
      <c r="C2223"/>
      <c r="D2223"/>
      <c r="E2223"/>
      <c r="F2223" s="78"/>
      <c r="G2223"/>
      <c r="H2223"/>
    </row>
    <row r="2224" spans="1:8">
      <c r="A2224"/>
      <c r="B2224"/>
      <c r="C2224"/>
      <c r="D2224"/>
      <c r="E2224"/>
      <c r="F2224" s="78"/>
      <c r="G2224"/>
      <c r="H2224"/>
    </row>
    <row r="2225" spans="1:8">
      <c r="A2225"/>
      <c r="B2225"/>
      <c r="C2225"/>
      <c r="D2225"/>
      <c r="E2225"/>
      <c r="F2225" s="78"/>
      <c r="G2225"/>
      <c r="H2225"/>
    </row>
    <row r="2226" spans="1:8">
      <c r="A2226"/>
      <c r="B2226"/>
      <c r="C2226"/>
      <c r="D2226"/>
      <c r="E2226"/>
      <c r="F2226" s="78"/>
      <c r="G2226"/>
      <c r="H2226"/>
    </row>
    <row r="2227" spans="1:8">
      <c r="A2227"/>
      <c r="B2227"/>
      <c r="C2227"/>
      <c r="D2227"/>
      <c r="E2227"/>
      <c r="F2227" s="78"/>
      <c r="G2227"/>
      <c r="H2227"/>
    </row>
    <row r="2228" spans="1:8">
      <c r="A2228"/>
      <c r="B2228"/>
      <c r="C2228"/>
      <c r="D2228"/>
      <c r="E2228"/>
      <c r="F2228" s="78"/>
      <c r="G2228"/>
      <c r="H2228"/>
    </row>
    <row r="2229" spans="1:8">
      <c r="A2229"/>
      <c r="B2229"/>
      <c r="C2229"/>
      <c r="D2229"/>
      <c r="E2229"/>
      <c r="F2229" s="78"/>
      <c r="G2229"/>
      <c r="H2229"/>
    </row>
    <row r="2230" spans="1:8">
      <c r="A2230"/>
      <c r="B2230"/>
      <c r="C2230"/>
      <c r="D2230"/>
      <c r="E2230"/>
      <c r="F2230" s="78"/>
      <c r="G2230"/>
      <c r="H2230"/>
    </row>
    <row r="2231" spans="1:8">
      <c r="A2231"/>
      <c r="B2231"/>
      <c r="C2231"/>
      <c r="D2231"/>
      <c r="E2231"/>
      <c r="F2231" s="78"/>
      <c r="G2231"/>
      <c r="H2231"/>
    </row>
    <row r="2232" spans="1:8">
      <c r="A2232"/>
      <c r="B2232"/>
      <c r="C2232"/>
      <c r="D2232"/>
      <c r="E2232"/>
      <c r="F2232" s="78"/>
      <c r="G2232"/>
      <c r="H2232"/>
    </row>
    <row r="2233" spans="1:8">
      <c r="A2233"/>
      <c r="B2233"/>
      <c r="C2233"/>
      <c r="D2233"/>
      <c r="E2233"/>
      <c r="F2233" s="78"/>
      <c r="G2233"/>
      <c r="H2233"/>
    </row>
    <row r="2234" spans="1:8">
      <c r="A2234"/>
      <c r="B2234"/>
      <c r="C2234"/>
      <c r="D2234"/>
      <c r="E2234"/>
      <c r="F2234" s="78"/>
      <c r="G2234"/>
      <c r="H2234"/>
    </row>
    <row r="2235" spans="1:8">
      <c r="A2235"/>
      <c r="B2235"/>
      <c r="C2235"/>
      <c r="D2235"/>
      <c r="E2235"/>
      <c r="F2235" s="78"/>
      <c r="G2235"/>
      <c r="H2235"/>
    </row>
    <row r="2236" spans="1:8">
      <c r="A2236"/>
      <c r="B2236"/>
      <c r="C2236"/>
      <c r="D2236"/>
      <c r="E2236"/>
      <c r="F2236" s="78"/>
      <c r="G2236"/>
      <c r="H2236"/>
    </row>
    <row r="2237" spans="1:8">
      <c r="A2237"/>
      <c r="B2237"/>
      <c r="C2237"/>
      <c r="D2237"/>
      <c r="E2237"/>
      <c r="F2237" s="78"/>
      <c r="G2237"/>
      <c r="H2237"/>
    </row>
    <row r="2238" spans="1:8">
      <c r="A2238"/>
      <c r="B2238"/>
      <c r="C2238"/>
      <c r="D2238"/>
      <c r="E2238"/>
      <c r="F2238" s="78"/>
      <c r="G2238"/>
      <c r="H2238"/>
    </row>
    <row r="2239" spans="1:8">
      <c r="A2239"/>
      <c r="B2239"/>
      <c r="C2239"/>
      <c r="D2239"/>
      <c r="E2239"/>
      <c r="F2239" s="78"/>
      <c r="G2239"/>
      <c r="H2239"/>
    </row>
    <row r="2240" spans="1:8">
      <c r="A2240"/>
      <c r="B2240"/>
      <c r="C2240"/>
      <c r="D2240"/>
      <c r="E2240"/>
      <c r="F2240" s="78"/>
      <c r="G2240"/>
      <c r="H2240"/>
    </row>
    <row r="2241" spans="1:8">
      <c r="A2241"/>
      <c r="B2241"/>
      <c r="C2241"/>
      <c r="D2241"/>
      <c r="E2241"/>
      <c r="F2241" s="78"/>
      <c r="G2241"/>
      <c r="H2241"/>
    </row>
    <row r="2242" spans="1:8">
      <c r="A2242"/>
      <c r="B2242"/>
      <c r="C2242"/>
      <c r="D2242"/>
      <c r="E2242"/>
      <c r="F2242" s="78"/>
      <c r="G2242"/>
      <c r="H2242"/>
    </row>
    <row r="2243" spans="1:8">
      <c r="A2243"/>
      <c r="B2243"/>
      <c r="C2243"/>
      <c r="D2243"/>
      <c r="E2243"/>
      <c r="F2243" s="78"/>
      <c r="G2243"/>
      <c r="H2243"/>
    </row>
    <row r="2244" spans="1:8">
      <c r="A2244"/>
      <c r="B2244"/>
      <c r="C2244"/>
      <c r="D2244"/>
      <c r="E2244"/>
      <c r="F2244" s="78"/>
      <c r="G2244"/>
      <c r="H2244"/>
    </row>
    <row r="2245" spans="1:8">
      <c r="A2245"/>
      <c r="B2245"/>
      <c r="C2245"/>
      <c r="D2245"/>
      <c r="E2245"/>
      <c r="F2245" s="78"/>
      <c r="G2245"/>
      <c r="H2245"/>
    </row>
    <row r="2246" spans="1:8">
      <c r="A2246"/>
      <c r="B2246"/>
      <c r="C2246"/>
      <c r="D2246"/>
      <c r="E2246"/>
      <c r="F2246" s="78"/>
      <c r="G2246"/>
      <c r="H2246"/>
    </row>
    <row r="2247" spans="1:8">
      <c r="A2247"/>
      <c r="B2247"/>
      <c r="C2247"/>
      <c r="D2247"/>
      <c r="E2247"/>
      <c r="F2247" s="78"/>
      <c r="G2247"/>
      <c r="H2247"/>
    </row>
    <row r="2248" spans="1:8">
      <c r="A2248"/>
      <c r="B2248"/>
      <c r="C2248"/>
      <c r="D2248"/>
      <c r="E2248"/>
      <c r="F2248" s="78"/>
      <c r="G2248"/>
      <c r="H2248"/>
    </row>
    <row r="2249" spans="1:8">
      <c r="A2249"/>
      <c r="B2249"/>
      <c r="C2249"/>
      <c r="D2249"/>
      <c r="E2249"/>
      <c r="F2249" s="78"/>
      <c r="G2249"/>
      <c r="H2249"/>
    </row>
    <row r="2250" spans="1:8">
      <c r="A2250"/>
      <c r="B2250"/>
      <c r="C2250"/>
      <c r="D2250"/>
      <c r="E2250"/>
      <c r="F2250" s="78"/>
      <c r="G2250"/>
      <c r="H2250"/>
    </row>
    <row r="2251" spans="1:8">
      <c r="A2251"/>
      <c r="B2251"/>
      <c r="C2251"/>
      <c r="D2251"/>
      <c r="E2251"/>
      <c r="F2251" s="78"/>
      <c r="G2251"/>
      <c r="H2251"/>
    </row>
    <row r="2252" spans="1:8">
      <c r="A2252"/>
      <c r="B2252"/>
      <c r="C2252"/>
      <c r="D2252"/>
      <c r="E2252"/>
      <c r="F2252" s="78"/>
      <c r="G2252"/>
      <c r="H2252"/>
    </row>
    <row r="2253" spans="1:8">
      <c r="A2253"/>
      <c r="B2253"/>
      <c r="C2253"/>
      <c r="D2253"/>
      <c r="E2253"/>
      <c r="F2253" s="78"/>
      <c r="G2253"/>
      <c r="H2253"/>
    </row>
    <row r="2254" spans="1:8">
      <c r="A2254"/>
      <c r="B2254"/>
      <c r="C2254"/>
      <c r="D2254"/>
      <c r="E2254"/>
      <c r="F2254" s="78"/>
      <c r="G2254"/>
      <c r="H2254"/>
    </row>
    <row r="2255" spans="1:8">
      <c r="A2255"/>
      <c r="B2255"/>
      <c r="C2255"/>
      <c r="D2255"/>
      <c r="E2255"/>
      <c r="F2255" s="78"/>
      <c r="G2255"/>
      <c r="H2255"/>
    </row>
    <row r="2256" spans="1:8">
      <c r="A2256"/>
      <c r="B2256"/>
      <c r="C2256"/>
      <c r="D2256"/>
      <c r="E2256"/>
      <c r="F2256" s="78"/>
      <c r="G2256"/>
      <c r="H2256"/>
    </row>
    <row r="2257" spans="1:8">
      <c r="A2257"/>
      <c r="B2257"/>
      <c r="C2257"/>
      <c r="D2257"/>
      <c r="E2257"/>
      <c r="F2257" s="78"/>
      <c r="G2257"/>
      <c r="H2257"/>
    </row>
    <row r="2258" spans="1:8">
      <c r="A2258"/>
      <c r="B2258"/>
      <c r="C2258"/>
      <c r="D2258"/>
      <c r="E2258"/>
      <c r="F2258" s="78"/>
      <c r="G2258"/>
      <c r="H2258"/>
    </row>
    <row r="2259" spans="1:8">
      <c r="A2259"/>
      <c r="B2259"/>
      <c r="C2259"/>
      <c r="D2259"/>
      <c r="E2259"/>
      <c r="F2259" s="78"/>
      <c r="G2259"/>
      <c r="H2259"/>
    </row>
    <row r="2260" spans="1:8">
      <c r="A2260"/>
      <c r="B2260"/>
      <c r="C2260"/>
      <c r="D2260"/>
      <c r="E2260"/>
      <c r="F2260" s="78"/>
      <c r="G2260"/>
      <c r="H2260"/>
    </row>
    <row r="2261" spans="1:8">
      <c r="A2261"/>
      <c r="B2261"/>
      <c r="C2261"/>
      <c r="D2261"/>
      <c r="E2261"/>
      <c r="F2261" s="78"/>
      <c r="G2261"/>
      <c r="H2261"/>
    </row>
    <row r="2262" spans="1:8">
      <c r="A2262"/>
      <c r="B2262"/>
      <c r="C2262"/>
      <c r="D2262"/>
      <c r="E2262"/>
      <c r="F2262" s="78"/>
      <c r="G2262"/>
      <c r="H2262"/>
    </row>
    <row r="2263" spans="1:8">
      <c r="A2263"/>
      <c r="B2263"/>
      <c r="C2263"/>
      <c r="D2263"/>
      <c r="E2263"/>
      <c r="F2263" s="78"/>
      <c r="G2263"/>
      <c r="H2263"/>
    </row>
    <row r="2264" spans="1:8">
      <c r="A2264"/>
      <c r="B2264"/>
      <c r="C2264"/>
      <c r="D2264"/>
      <c r="E2264"/>
      <c r="F2264" s="78"/>
      <c r="G2264"/>
      <c r="H2264"/>
    </row>
    <row r="2265" spans="1:8">
      <c r="A2265"/>
      <c r="B2265"/>
      <c r="C2265"/>
      <c r="D2265"/>
      <c r="E2265"/>
      <c r="F2265" s="78"/>
      <c r="G2265"/>
      <c r="H2265"/>
    </row>
    <row r="2266" spans="1:8">
      <c r="A2266"/>
      <c r="B2266"/>
      <c r="C2266"/>
      <c r="D2266"/>
      <c r="E2266"/>
      <c r="F2266" s="78"/>
      <c r="G2266"/>
      <c r="H2266"/>
    </row>
    <row r="2267" spans="1:8">
      <c r="A2267"/>
      <c r="B2267"/>
      <c r="C2267"/>
      <c r="D2267"/>
      <c r="E2267"/>
      <c r="F2267" s="78"/>
      <c r="G2267"/>
      <c r="H2267"/>
    </row>
    <row r="2268" spans="1:8">
      <c r="A2268"/>
      <c r="B2268"/>
      <c r="C2268"/>
      <c r="D2268"/>
      <c r="E2268"/>
      <c r="F2268" s="78"/>
      <c r="G2268"/>
      <c r="H2268"/>
    </row>
    <row r="2269" spans="1:8">
      <c r="A2269"/>
      <c r="B2269"/>
      <c r="C2269"/>
      <c r="D2269"/>
      <c r="E2269"/>
      <c r="F2269" s="78"/>
      <c r="G2269"/>
      <c r="H2269"/>
    </row>
    <row r="2270" spans="1:8">
      <c r="A2270"/>
      <c r="B2270"/>
      <c r="C2270"/>
      <c r="D2270"/>
      <c r="E2270"/>
      <c r="F2270" s="78"/>
      <c r="G2270"/>
      <c r="H2270"/>
    </row>
    <row r="2271" spans="1:8">
      <c r="A2271"/>
      <c r="B2271"/>
      <c r="C2271"/>
      <c r="D2271"/>
      <c r="E2271"/>
      <c r="F2271" s="78"/>
      <c r="G2271"/>
      <c r="H2271"/>
    </row>
    <row r="2272" spans="1:8">
      <c r="A2272"/>
      <c r="B2272"/>
      <c r="C2272"/>
      <c r="D2272"/>
      <c r="E2272"/>
      <c r="F2272" s="78"/>
      <c r="G2272"/>
      <c r="H2272"/>
    </row>
    <row r="2273" spans="1:8">
      <c r="A2273"/>
      <c r="B2273"/>
      <c r="C2273"/>
      <c r="D2273"/>
      <c r="E2273"/>
      <c r="F2273" s="78"/>
      <c r="G2273"/>
      <c r="H2273"/>
    </row>
    <row r="2274" spans="1:8">
      <c r="A2274"/>
      <c r="B2274"/>
      <c r="C2274"/>
      <c r="D2274"/>
      <c r="E2274"/>
      <c r="F2274" s="78"/>
      <c r="G2274"/>
      <c r="H2274"/>
    </row>
    <row r="2275" spans="1:8">
      <c r="A2275"/>
      <c r="B2275"/>
      <c r="C2275"/>
      <c r="D2275"/>
      <c r="E2275"/>
      <c r="F2275" s="78"/>
      <c r="G2275"/>
      <c r="H2275"/>
    </row>
    <row r="2276" spans="1:8">
      <c r="A2276"/>
      <c r="B2276"/>
      <c r="C2276"/>
      <c r="D2276"/>
      <c r="E2276"/>
      <c r="F2276" s="78"/>
      <c r="G2276"/>
      <c r="H2276"/>
    </row>
    <row r="2277" spans="1:8">
      <c r="A2277"/>
      <c r="B2277"/>
      <c r="C2277"/>
      <c r="D2277"/>
      <c r="E2277"/>
      <c r="F2277" s="78"/>
      <c r="G2277"/>
      <c r="H2277"/>
    </row>
    <row r="2278" spans="1:8">
      <c r="A2278"/>
      <c r="B2278"/>
      <c r="C2278"/>
      <c r="D2278"/>
      <c r="E2278"/>
      <c r="F2278" s="78"/>
      <c r="G2278"/>
      <c r="H2278"/>
    </row>
    <row r="2279" spans="1:8">
      <c r="A2279"/>
      <c r="B2279"/>
      <c r="C2279"/>
      <c r="D2279"/>
      <c r="E2279"/>
      <c r="F2279" s="78"/>
      <c r="G2279"/>
      <c r="H2279"/>
    </row>
    <row r="2280" spans="1:8">
      <c r="A2280"/>
      <c r="B2280"/>
      <c r="C2280"/>
      <c r="D2280"/>
      <c r="E2280"/>
      <c r="F2280" s="78"/>
      <c r="G2280"/>
      <c r="H2280"/>
    </row>
    <row r="2281" spans="1:8">
      <c r="A2281"/>
      <c r="B2281"/>
      <c r="C2281"/>
      <c r="D2281"/>
      <c r="E2281"/>
      <c r="F2281" s="78"/>
      <c r="G2281"/>
      <c r="H2281"/>
    </row>
    <row r="2282" spans="1:8">
      <c r="A2282"/>
      <c r="B2282"/>
      <c r="C2282"/>
      <c r="D2282"/>
      <c r="E2282"/>
      <c r="F2282" s="78"/>
      <c r="G2282"/>
      <c r="H2282"/>
    </row>
    <row r="2283" spans="1:8">
      <c r="A2283"/>
      <c r="B2283"/>
      <c r="C2283"/>
      <c r="D2283"/>
      <c r="E2283"/>
      <c r="F2283" s="78"/>
      <c r="G2283"/>
      <c r="H2283"/>
    </row>
    <row r="2284" spans="1:8">
      <c r="A2284"/>
      <c r="B2284"/>
      <c r="C2284"/>
      <c r="D2284"/>
      <c r="E2284"/>
      <c r="F2284" s="78"/>
      <c r="G2284"/>
      <c r="H2284"/>
    </row>
    <row r="2285" spans="1:8">
      <c r="A2285"/>
      <c r="B2285"/>
      <c r="C2285"/>
      <c r="D2285"/>
      <c r="E2285"/>
      <c r="F2285" s="78"/>
      <c r="G2285"/>
      <c r="H2285"/>
    </row>
    <row r="2286" spans="1:8">
      <c r="A2286"/>
      <c r="B2286"/>
      <c r="C2286"/>
      <c r="D2286"/>
      <c r="E2286"/>
      <c r="F2286" s="78"/>
      <c r="G2286"/>
      <c r="H2286"/>
    </row>
    <row r="2287" spans="1:8">
      <c r="A2287"/>
      <c r="B2287"/>
      <c r="C2287"/>
      <c r="D2287"/>
      <c r="E2287"/>
      <c r="F2287" s="78"/>
      <c r="G2287"/>
      <c r="H2287"/>
    </row>
    <row r="2288" spans="1:8">
      <c r="A2288"/>
      <c r="B2288"/>
      <c r="C2288"/>
      <c r="D2288"/>
      <c r="E2288"/>
      <c r="F2288" s="78"/>
      <c r="G2288"/>
      <c r="H2288"/>
    </row>
    <row r="2289" spans="1:8">
      <c r="A2289"/>
      <c r="B2289"/>
      <c r="C2289"/>
      <c r="D2289"/>
      <c r="E2289"/>
      <c r="F2289" s="78"/>
      <c r="G2289"/>
      <c r="H2289"/>
    </row>
    <row r="2290" spans="1:8">
      <c r="A2290"/>
      <c r="B2290"/>
      <c r="C2290"/>
      <c r="D2290"/>
      <c r="E2290"/>
      <c r="F2290" s="78"/>
      <c r="G2290"/>
      <c r="H2290"/>
    </row>
    <row r="2291" spans="1:8">
      <c r="A2291"/>
      <c r="B2291"/>
      <c r="C2291"/>
      <c r="D2291"/>
      <c r="E2291"/>
      <c r="F2291" s="78"/>
      <c r="G2291"/>
      <c r="H2291"/>
    </row>
    <row r="2292" spans="1:8">
      <c r="A2292"/>
      <c r="B2292"/>
      <c r="C2292"/>
      <c r="D2292"/>
      <c r="E2292"/>
      <c r="F2292" s="78"/>
      <c r="G2292"/>
      <c r="H2292"/>
    </row>
    <row r="2293" spans="1:8">
      <c r="A2293"/>
      <c r="B2293"/>
      <c r="C2293"/>
      <c r="D2293"/>
      <c r="E2293"/>
      <c r="F2293" s="78"/>
      <c r="G2293"/>
      <c r="H2293"/>
    </row>
    <row r="2294" spans="1:8">
      <c r="A2294"/>
      <c r="B2294"/>
      <c r="C2294"/>
      <c r="D2294"/>
      <c r="E2294"/>
      <c r="F2294" s="78"/>
      <c r="G2294"/>
      <c r="H2294"/>
    </row>
    <row r="2295" spans="1:8">
      <c r="A2295"/>
      <c r="B2295"/>
      <c r="C2295"/>
      <c r="D2295"/>
      <c r="E2295"/>
      <c r="F2295" s="78"/>
      <c r="G2295"/>
      <c r="H2295"/>
    </row>
    <row r="2296" spans="1:8">
      <c r="A2296"/>
      <c r="B2296"/>
      <c r="C2296"/>
      <c r="D2296"/>
      <c r="E2296"/>
      <c r="F2296" s="78"/>
      <c r="G2296"/>
      <c r="H2296"/>
    </row>
    <row r="2297" spans="1:8">
      <c r="A2297"/>
      <c r="B2297"/>
      <c r="C2297"/>
      <c r="D2297"/>
      <c r="E2297"/>
      <c r="F2297" s="78"/>
      <c r="G2297"/>
      <c r="H2297"/>
    </row>
    <row r="2298" spans="1:8">
      <c r="A2298"/>
      <c r="B2298"/>
      <c r="C2298"/>
      <c r="D2298"/>
      <c r="E2298"/>
      <c r="F2298" s="78"/>
      <c r="G2298"/>
      <c r="H2298"/>
    </row>
    <row r="2299" spans="1:8">
      <c r="A2299"/>
      <c r="B2299"/>
      <c r="C2299"/>
      <c r="D2299"/>
      <c r="E2299"/>
      <c r="F2299" s="78"/>
      <c r="G2299"/>
      <c r="H2299"/>
    </row>
    <row r="2300" spans="1:8">
      <c r="A2300"/>
      <c r="B2300"/>
      <c r="C2300"/>
      <c r="D2300"/>
      <c r="E2300"/>
      <c r="F2300" s="78"/>
      <c r="G2300"/>
      <c r="H2300"/>
    </row>
    <row r="2301" spans="1:8">
      <c r="A2301"/>
      <c r="B2301"/>
      <c r="C2301"/>
      <c r="D2301"/>
      <c r="E2301"/>
      <c r="F2301" s="78"/>
      <c r="G2301"/>
      <c r="H2301"/>
    </row>
    <row r="2302" spans="1:8">
      <c r="A2302"/>
      <c r="B2302"/>
      <c r="C2302"/>
      <c r="D2302"/>
      <c r="E2302"/>
      <c r="F2302" s="78"/>
      <c r="G2302"/>
      <c r="H2302"/>
    </row>
    <row r="2303" spans="1:8">
      <c r="A2303"/>
      <c r="B2303"/>
      <c r="C2303"/>
      <c r="D2303"/>
      <c r="E2303"/>
      <c r="F2303" s="78"/>
      <c r="G2303"/>
      <c r="H2303"/>
    </row>
    <row r="2304" spans="1:8">
      <c r="A2304"/>
      <c r="B2304"/>
      <c r="C2304"/>
      <c r="D2304"/>
      <c r="E2304"/>
      <c r="F2304" s="78"/>
      <c r="G2304"/>
      <c r="H2304"/>
    </row>
    <row r="2305" spans="1:8">
      <c r="A2305"/>
      <c r="B2305"/>
      <c r="C2305"/>
      <c r="D2305"/>
      <c r="E2305"/>
      <c r="F2305" s="78"/>
      <c r="G2305"/>
      <c r="H2305"/>
    </row>
    <row r="2306" spans="1:8">
      <c r="A2306"/>
      <c r="B2306"/>
      <c r="C2306"/>
      <c r="D2306"/>
      <c r="E2306"/>
      <c r="F2306" s="78"/>
      <c r="G2306"/>
      <c r="H2306"/>
    </row>
    <row r="2307" spans="1:8">
      <c r="A2307"/>
      <c r="B2307"/>
      <c r="C2307"/>
      <c r="D2307"/>
      <c r="E2307"/>
      <c r="F2307" s="78"/>
      <c r="G2307"/>
      <c r="H2307"/>
    </row>
    <row r="2308" spans="1:8">
      <c r="A2308"/>
      <c r="B2308"/>
      <c r="C2308"/>
      <c r="D2308"/>
      <c r="E2308"/>
      <c r="F2308" s="78"/>
      <c r="G2308"/>
      <c r="H2308"/>
    </row>
    <row r="2309" spans="1:8">
      <c r="A2309"/>
      <c r="B2309"/>
      <c r="C2309"/>
      <c r="D2309"/>
      <c r="E2309"/>
      <c r="F2309" s="78"/>
      <c r="G2309"/>
      <c r="H2309"/>
    </row>
    <row r="2310" spans="1:8">
      <c r="A2310"/>
      <c r="B2310"/>
      <c r="C2310"/>
      <c r="D2310"/>
      <c r="E2310"/>
      <c r="F2310" s="78"/>
      <c r="G2310"/>
      <c r="H2310"/>
    </row>
    <row r="2311" spans="1:8">
      <c r="A2311"/>
      <c r="B2311"/>
      <c r="C2311"/>
      <c r="D2311"/>
      <c r="E2311"/>
      <c r="F2311" s="78"/>
      <c r="G2311"/>
      <c r="H2311"/>
    </row>
    <row r="2312" spans="1:8">
      <c r="A2312"/>
      <c r="B2312"/>
      <c r="C2312"/>
      <c r="D2312"/>
      <c r="E2312"/>
      <c r="F2312" s="78"/>
      <c r="G2312"/>
      <c r="H2312"/>
    </row>
    <row r="2313" spans="1:8">
      <c r="A2313"/>
      <c r="B2313"/>
      <c r="C2313"/>
      <c r="D2313"/>
      <c r="E2313"/>
      <c r="F2313" s="78"/>
      <c r="G2313"/>
      <c r="H2313"/>
    </row>
    <row r="2314" spans="1:8">
      <c r="A2314"/>
      <c r="B2314"/>
      <c r="C2314"/>
      <c r="D2314"/>
      <c r="E2314"/>
      <c r="F2314" s="78"/>
      <c r="G2314"/>
      <c r="H2314"/>
    </row>
    <row r="2315" spans="1:8">
      <c r="A2315"/>
      <c r="B2315"/>
      <c r="C2315"/>
      <c r="D2315"/>
      <c r="E2315"/>
      <c r="F2315" s="78"/>
      <c r="G2315"/>
      <c r="H2315"/>
    </row>
    <row r="2316" spans="1:8">
      <c r="A2316"/>
      <c r="B2316"/>
      <c r="C2316"/>
      <c r="D2316"/>
      <c r="E2316"/>
      <c r="F2316" s="78"/>
      <c r="G2316"/>
      <c r="H2316"/>
    </row>
    <row r="2317" spans="1:8">
      <c r="A2317"/>
      <c r="B2317"/>
      <c r="C2317"/>
      <c r="D2317"/>
      <c r="E2317"/>
      <c r="F2317" s="78"/>
      <c r="G2317"/>
      <c r="H2317"/>
    </row>
    <row r="2318" spans="1:8">
      <c r="A2318"/>
      <c r="B2318"/>
      <c r="C2318"/>
      <c r="D2318"/>
      <c r="E2318"/>
      <c r="F2318" s="78"/>
      <c r="G2318"/>
      <c r="H2318"/>
    </row>
    <row r="2319" spans="1:8">
      <c r="A2319"/>
      <c r="B2319"/>
      <c r="C2319"/>
      <c r="D2319"/>
      <c r="E2319"/>
      <c r="F2319" s="78"/>
      <c r="G2319"/>
      <c r="H2319"/>
    </row>
    <row r="2320" spans="1:8">
      <c r="A2320"/>
      <c r="B2320"/>
      <c r="C2320"/>
      <c r="D2320"/>
      <c r="E2320"/>
      <c r="F2320" s="78"/>
      <c r="G2320"/>
      <c r="H2320"/>
    </row>
    <row r="2321" spans="1:8">
      <c r="A2321"/>
      <c r="B2321"/>
      <c r="C2321"/>
      <c r="D2321"/>
      <c r="E2321"/>
      <c r="F2321" s="78"/>
      <c r="G2321"/>
      <c r="H2321"/>
    </row>
    <row r="2322" spans="1:8">
      <c r="A2322"/>
      <c r="B2322"/>
      <c r="C2322"/>
      <c r="D2322"/>
      <c r="E2322"/>
      <c r="F2322" s="78"/>
      <c r="G2322"/>
      <c r="H2322"/>
    </row>
    <row r="2323" spans="1:8">
      <c r="A2323"/>
      <c r="B2323"/>
      <c r="C2323"/>
      <c r="D2323"/>
      <c r="E2323"/>
      <c r="F2323" s="78"/>
      <c r="G2323"/>
      <c r="H2323"/>
    </row>
    <row r="2324" spans="1:8">
      <c r="A2324"/>
      <c r="B2324"/>
      <c r="C2324"/>
      <c r="D2324"/>
      <c r="E2324"/>
      <c r="F2324" s="78"/>
      <c r="G2324"/>
      <c r="H2324"/>
    </row>
    <row r="2325" spans="1:8">
      <c r="A2325"/>
      <c r="B2325"/>
      <c r="C2325"/>
      <c r="D2325"/>
      <c r="E2325"/>
      <c r="F2325" s="78"/>
      <c r="G2325"/>
      <c r="H2325"/>
    </row>
    <row r="2326" spans="1:8">
      <c r="A2326"/>
      <c r="B2326"/>
      <c r="C2326"/>
      <c r="D2326"/>
      <c r="E2326"/>
      <c r="F2326" s="78"/>
      <c r="G2326"/>
      <c r="H2326"/>
    </row>
    <row r="2327" spans="1:8">
      <c r="A2327"/>
      <c r="B2327"/>
      <c r="C2327"/>
      <c r="D2327"/>
      <c r="E2327"/>
      <c r="F2327" s="78"/>
      <c r="G2327"/>
      <c r="H2327"/>
    </row>
    <row r="2328" spans="1:8">
      <c r="A2328"/>
      <c r="B2328"/>
      <c r="C2328"/>
      <c r="D2328"/>
      <c r="E2328"/>
      <c r="F2328" s="78"/>
      <c r="G2328"/>
      <c r="H2328"/>
    </row>
    <row r="2329" spans="1:8">
      <c r="A2329"/>
      <c r="B2329"/>
      <c r="C2329"/>
      <c r="D2329"/>
      <c r="E2329"/>
      <c r="F2329" s="78"/>
      <c r="G2329"/>
      <c r="H2329"/>
    </row>
    <row r="2330" spans="1:8">
      <c r="A2330"/>
      <c r="B2330"/>
      <c r="C2330"/>
      <c r="D2330"/>
      <c r="E2330"/>
      <c r="F2330" s="78"/>
      <c r="G2330"/>
      <c r="H2330"/>
    </row>
    <row r="2331" spans="1:8">
      <c r="A2331"/>
      <c r="B2331"/>
      <c r="C2331"/>
      <c r="D2331"/>
      <c r="E2331"/>
      <c r="F2331" s="78"/>
      <c r="G2331"/>
      <c r="H2331"/>
    </row>
    <row r="2332" spans="1:8">
      <c r="A2332"/>
      <c r="B2332"/>
      <c r="C2332"/>
      <c r="D2332"/>
      <c r="E2332"/>
      <c r="F2332" s="78"/>
      <c r="G2332"/>
      <c r="H2332"/>
    </row>
    <row r="2333" spans="1:8">
      <c r="A2333"/>
      <c r="B2333"/>
      <c r="C2333"/>
      <c r="D2333"/>
      <c r="E2333"/>
      <c r="F2333" s="78"/>
      <c r="G2333"/>
      <c r="H2333"/>
    </row>
    <row r="2334" spans="1:8">
      <c r="A2334"/>
      <c r="B2334"/>
      <c r="C2334"/>
      <c r="D2334"/>
      <c r="E2334"/>
      <c r="F2334" s="78"/>
      <c r="G2334"/>
      <c r="H2334"/>
    </row>
    <row r="2335" spans="1:8">
      <c r="A2335"/>
      <c r="B2335"/>
      <c r="C2335"/>
      <c r="D2335"/>
      <c r="E2335"/>
      <c r="F2335" s="78"/>
      <c r="G2335"/>
      <c r="H2335"/>
    </row>
    <row r="2336" spans="1:8">
      <c r="A2336"/>
      <c r="B2336"/>
      <c r="C2336"/>
      <c r="D2336"/>
      <c r="E2336"/>
      <c r="F2336" s="78"/>
      <c r="G2336"/>
      <c r="H2336"/>
    </row>
    <row r="2337" spans="1:8">
      <c r="A2337"/>
      <c r="B2337"/>
      <c r="C2337"/>
      <c r="D2337"/>
      <c r="E2337"/>
      <c r="F2337" s="78"/>
      <c r="G2337"/>
      <c r="H2337"/>
    </row>
    <row r="2338" spans="1:8">
      <c r="A2338"/>
      <c r="B2338"/>
      <c r="C2338"/>
      <c r="D2338"/>
      <c r="E2338"/>
      <c r="F2338" s="78"/>
      <c r="G2338"/>
      <c r="H2338"/>
    </row>
    <row r="2339" spans="1:8">
      <c r="A2339"/>
      <c r="B2339"/>
      <c r="C2339"/>
      <c r="D2339"/>
      <c r="E2339"/>
      <c r="F2339" s="78"/>
      <c r="G2339"/>
      <c r="H2339"/>
    </row>
    <row r="2340" spans="1:8">
      <c r="A2340"/>
      <c r="B2340"/>
      <c r="C2340"/>
      <c r="D2340"/>
      <c r="E2340"/>
      <c r="F2340" s="78"/>
      <c r="G2340"/>
      <c r="H2340"/>
    </row>
    <row r="2341" spans="1:8">
      <c r="A2341"/>
      <c r="B2341"/>
      <c r="C2341"/>
      <c r="D2341"/>
      <c r="E2341"/>
      <c r="F2341" s="78"/>
      <c r="G2341"/>
      <c r="H2341"/>
    </row>
    <row r="2342" spans="1:8">
      <c r="A2342"/>
      <c r="B2342"/>
      <c r="C2342"/>
      <c r="D2342"/>
      <c r="E2342"/>
      <c r="F2342" s="78"/>
      <c r="G2342"/>
      <c r="H2342"/>
    </row>
    <row r="2343" spans="1:8">
      <c r="A2343"/>
      <c r="B2343"/>
      <c r="C2343"/>
      <c r="D2343"/>
      <c r="E2343"/>
      <c r="F2343" s="78"/>
      <c r="G2343"/>
      <c r="H2343"/>
    </row>
    <row r="2344" spans="1:8">
      <c r="A2344"/>
      <c r="B2344"/>
      <c r="C2344"/>
      <c r="D2344"/>
      <c r="E2344"/>
      <c r="F2344" s="78"/>
      <c r="G2344"/>
      <c r="H2344"/>
    </row>
    <row r="2345" spans="1:8">
      <c r="A2345"/>
      <c r="B2345"/>
      <c r="C2345"/>
      <c r="D2345"/>
      <c r="E2345"/>
      <c r="F2345" s="78"/>
      <c r="G2345"/>
      <c r="H2345"/>
    </row>
    <row r="2346" spans="1:8">
      <c r="A2346"/>
      <c r="B2346"/>
      <c r="C2346"/>
      <c r="D2346"/>
      <c r="E2346"/>
      <c r="F2346" s="78"/>
      <c r="G2346"/>
      <c r="H2346"/>
    </row>
    <row r="2347" spans="1:8">
      <c r="A2347"/>
      <c r="B2347"/>
      <c r="C2347"/>
      <c r="D2347"/>
      <c r="E2347"/>
      <c r="F2347" s="78"/>
      <c r="G2347"/>
      <c r="H2347"/>
    </row>
    <row r="2348" spans="1:8">
      <c r="A2348"/>
      <c r="B2348"/>
      <c r="C2348"/>
      <c r="D2348"/>
      <c r="E2348"/>
      <c r="F2348" s="78"/>
      <c r="G2348"/>
      <c r="H2348"/>
    </row>
    <row r="2349" spans="1:8">
      <c r="A2349"/>
      <c r="B2349"/>
      <c r="C2349"/>
      <c r="D2349"/>
      <c r="E2349"/>
      <c r="F2349" s="78"/>
      <c r="G2349"/>
      <c r="H2349"/>
    </row>
    <row r="2350" spans="1:8">
      <c r="A2350"/>
      <c r="B2350"/>
      <c r="C2350"/>
      <c r="D2350"/>
      <c r="E2350"/>
      <c r="F2350" s="78"/>
      <c r="G2350"/>
      <c r="H2350"/>
    </row>
    <row r="2351" spans="1:8">
      <c r="A2351"/>
      <c r="B2351"/>
      <c r="C2351"/>
      <c r="D2351"/>
      <c r="E2351"/>
      <c r="F2351" s="78"/>
      <c r="G2351"/>
      <c r="H2351"/>
    </row>
    <row r="2352" spans="1:8">
      <c r="A2352"/>
      <c r="B2352"/>
      <c r="C2352"/>
      <c r="D2352"/>
      <c r="E2352"/>
      <c r="F2352" s="78"/>
      <c r="G2352"/>
      <c r="H2352"/>
    </row>
    <row r="2353" spans="1:8">
      <c r="A2353"/>
      <c r="B2353"/>
      <c r="C2353"/>
      <c r="D2353"/>
      <c r="E2353"/>
      <c r="F2353" s="78"/>
      <c r="G2353"/>
      <c r="H2353"/>
    </row>
    <row r="2354" spans="1:8">
      <c r="A2354"/>
      <c r="B2354"/>
      <c r="C2354"/>
      <c r="D2354"/>
      <c r="E2354"/>
      <c r="F2354" s="78"/>
      <c r="G2354"/>
      <c r="H2354"/>
    </row>
    <row r="2355" spans="1:8">
      <c r="A2355"/>
      <c r="B2355"/>
      <c r="C2355"/>
      <c r="D2355"/>
      <c r="E2355"/>
      <c r="F2355" s="78"/>
      <c r="G2355"/>
      <c r="H2355"/>
    </row>
    <row r="2356" spans="1:8">
      <c r="A2356"/>
      <c r="B2356"/>
      <c r="C2356"/>
      <c r="D2356"/>
      <c r="E2356"/>
      <c r="F2356" s="78"/>
      <c r="G2356"/>
      <c r="H2356"/>
    </row>
    <row r="2357" spans="1:8">
      <c r="A2357"/>
      <c r="B2357"/>
      <c r="C2357"/>
      <c r="D2357"/>
      <c r="E2357"/>
      <c r="F2357" s="78"/>
      <c r="G2357"/>
      <c r="H2357"/>
    </row>
    <row r="2358" spans="1:8">
      <c r="A2358"/>
      <c r="B2358"/>
      <c r="C2358"/>
      <c r="D2358"/>
      <c r="E2358"/>
      <c r="F2358" s="78"/>
      <c r="G2358"/>
      <c r="H2358"/>
    </row>
    <row r="2359" spans="1:8">
      <c r="A2359"/>
      <c r="B2359"/>
      <c r="C2359"/>
      <c r="D2359"/>
      <c r="E2359"/>
      <c r="F2359" s="78"/>
      <c r="G2359"/>
      <c r="H2359"/>
    </row>
    <row r="2360" spans="1:8">
      <c r="A2360"/>
      <c r="B2360"/>
      <c r="C2360"/>
      <c r="D2360"/>
      <c r="E2360"/>
      <c r="F2360" s="78"/>
      <c r="G2360"/>
      <c r="H2360"/>
    </row>
    <row r="2361" spans="1:8">
      <c r="A2361"/>
      <c r="B2361"/>
      <c r="C2361"/>
      <c r="D2361"/>
      <c r="E2361"/>
      <c r="F2361" s="78"/>
      <c r="G2361"/>
      <c r="H2361"/>
    </row>
    <row r="2362" spans="1:8">
      <c r="A2362"/>
      <c r="B2362"/>
      <c r="C2362"/>
      <c r="D2362"/>
      <c r="E2362"/>
      <c r="F2362" s="78"/>
      <c r="G2362"/>
      <c r="H2362"/>
    </row>
    <row r="2363" spans="1:8">
      <c r="A2363"/>
      <c r="B2363"/>
      <c r="C2363"/>
      <c r="D2363"/>
      <c r="E2363"/>
      <c r="F2363" s="78"/>
      <c r="G2363"/>
      <c r="H2363"/>
    </row>
    <row r="2364" spans="1:8">
      <c r="A2364"/>
      <c r="B2364"/>
      <c r="C2364"/>
      <c r="D2364"/>
      <c r="E2364"/>
      <c r="F2364" s="78"/>
      <c r="G2364"/>
      <c r="H2364"/>
    </row>
    <row r="2365" spans="1:8">
      <c r="A2365"/>
      <c r="B2365"/>
      <c r="C2365"/>
      <c r="D2365"/>
      <c r="E2365"/>
      <c r="F2365" s="78"/>
      <c r="G2365"/>
      <c r="H2365"/>
    </row>
    <row r="2366" spans="1:8">
      <c r="A2366"/>
      <c r="B2366"/>
      <c r="C2366"/>
      <c r="D2366"/>
      <c r="E2366"/>
      <c r="F2366" s="78"/>
      <c r="G2366"/>
      <c r="H2366"/>
    </row>
    <row r="2367" spans="1:8">
      <c r="A2367"/>
      <c r="B2367"/>
      <c r="C2367"/>
      <c r="D2367"/>
      <c r="E2367"/>
      <c r="F2367" s="78"/>
      <c r="G2367"/>
      <c r="H2367"/>
    </row>
    <row r="2368" spans="1:8">
      <c r="A2368"/>
      <c r="B2368"/>
      <c r="C2368"/>
      <c r="D2368"/>
      <c r="E2368"/>
      <c r="F2368" s="78"/>
      <c r="G2368"/>
      <c r="H2368"/>
    </row>
    <row r="2369" spans="1:8">
      <c r="A2369"/>
      <c r="B2369"/>
      <c r="C2369"/>
      <c r="D2369"/>
      <c r="E2369"/>
      <c r="F2369" s="78"/>
      <c r="G2369"/>
      <c r="H2369"/>
    </row>
    <row r="2370" spans="1:8">
      <c r="A2370"/>
      <c r="B2370"/>
      <c r="C2370"/>
      <c r="D2370"/>
      <c r="E2370"/>
      <c r="F2370" s="78"/>
      <c r="G2370"/>
      <c r="H2370"/>
    </row>
    <row r="2371" spans="1:8">
      <c r="A2371"/>
      <c r="B2371"/>
      <c r="C2371"/>
      <c r="D2371"/>
      <c r="E2371"/>
      <c r="F2371" s="78"/>
      <c r="G2371"/>
      <c r="H2371"/>
    </row>
    <row r="2372" spans="1:8">
      <c r="A2372"/>
      <c r="B2372"/>
      <c r="C2372"/>
      <c r="D2372"/>
      <c r="E2372"/>
      <c r="F2372" s="78"/>
      <c r="G2372"/>
      <c r="H2372"/>
    </row>
    <row r="2373" spans="1:8">
      <c r="A2373"/>
      <c r="B2373"/>
      <c r="C2373"/>
      <c r="D2373"/>
      <c r="E2373"/>
      <c r="F2373" s="78"/>
      <c r="G2373"/>
      <c r="H2373"/>
    </row>
    <row r="2374" spans="1:8">
      <c r="A2374"/>
      <c r="B2374"/>
      <c r="C2374"/>
      <c r="D2374"/>
      <c r="E2374"/>
      <c r="F2374" s="78"/>
      <c r="G2374"/>
      <c r="H2374"/>
    </row>
    <row r="2375" spans="1:8">
      <c r="A2375"/>
      <c r="B2375"/>
      <c r="C2375"/>
      <c r="D2375"/>
      <c r="E2375"/>
      <c r="F2375" s="78"/>
      <c r="G2375"/>
      <c r="H2375"/>
    </row>
    <row r="2376" spans="1:8">
      <c r="A2376"/>
      <c r="B2376"/>
      <c r="C2376"/>
      <c r="D2376"/>
      <c r="E2376"/>
      <c r="F2376" s="78"/>
      <c r="G2376"/>
      <c r="H2376"/>
    </row>
    <row r="2377" spans="1:8">
      <c r="A2377"/>
      <c r="B2377"/>
      <c r="C2377"/>
      <c r="D2377"/>
      <c r="E2377"/>
      <c r="F2377" s="78"/>
      <c r="G2377"/>
      <c r="H2377"/>
    </row>
    <row r="2378" spans="1:8">
      <c r="A2378"/>
      <c r="B2378"/>
      <c r="C2378"/>
      <c r="D2378"/>
      <c r="E2378"/>
      <c r="F2378" s="78"/>
      <c r="G2378"/>
      <c r="H2378"/>
    </row>
    <row r="2379" spans="1:8">
      <c r="A2379"/>
      <c r="B2379"/>
      <c r="C2379"/>
      <c r="D2379"/>
      <c r="E2379"/>
      <c r="F2379" s="78"/>
      <c r="G2379"/>
      <c r="H2379"/>
    </row>
    <row r="2380" spans="1:8">
      <c r="A2380"/>
      <c r="B2380"/>
      <c r="C2380"/>
      <c r="D2380"/>
      <c r="E2380"/>
      <c r="F2380" s="78"/>
      <c r="G2380"/>
      <c r="H2380"/>
    </row>
    <row r="2381" spans="1:8">
      <c r="A2381"/>
      <c r="B2381"/>
      <c r="C2381"/>
      <c r="D2381"/>
      <c r="E2381"/>
      <c r="F2381" s="78"/>
      <c r="G2381"/>
      <c r="H2381"/>
    </row>
    <row r="2382" spans="1:8">
      <c r="A2382"/>
      <c r="B2382"/>
      <c r="C2382"/>
      <c r="D2382"/>
      <c r="E2382"/>
      <c r="F2382" s="78"/>
      <c r="G2382"/>
      <c r="H2382"/>
    </row>
    <row r="2383" spans="1:8">
      <c r="A2383"/>
      <c r="B2383"/>
      <c r="C2383"/>
      <c r="D2383"/>
      <c r="E2383"/>
      <c r="F2383" s="78"/>
      <c r="G2383"/>
      <c r="H2383"/>
    </row>
    <row r="2384" spans="1:8">
      <c r="A2384"/>
      <c r="B2384"/>
      <c r="C2384"/>
      <c r="D2384"/>
      <c r="E2384"/>
      <c r="F2384" s="78"/>
      <c r="G2384"/>
      <c r="H2384"/>
    </row>
    <row r="2385" spans="1:8">
      <c r="A2385"/>
      <c r="B2385"/>
      <c r="C2385"/>
      <c r="D2385"/>
      <c r="E2385"/>
      <c r="F2385" s="78"/>
      <c r="G2385"/>
      <c r="H2385"/>
    </row>
    <row r="2386" spans="1:8">
      <c r="A2386"/>
      <c r="B2386"/>
      <c r="C2386"/>
      <c r="D2386"/>
      <c r="E2386"/>
      <c r="F2386" s="78"/>
      <c r="G2386"/>
      <c r="H2386"/>
    </row>
    <row r="2387" spans="1:8">
      <c r="A2387"/>
      <c r="B2387"/>
      <c r="C2387"/>
      <c r="D2387"/>
      <c r="E2387"/>
      <c r="F2387" s="78"/>
      <c r="G2387"/>
      <c r="H2387"/>
    </row>
    <row r="2388" spans="1:8">
      <c r="A2388"/>
      <c r="B2388"/>
      <c r="C2388"/>
      <c r="D2388"/>
      <c r="E2388"/>
      <c r="F2388" s="78"/>
      <c r="G2388"/>
      <c r="H2388"/>
    </row>
    <row r="2389" spans="1:8">
      <c r="A2389"/>
      <c r="B2389"/>
      <c r="C2389"/>
      <c r="D2389"/>
      <c r="E2389"/>
      <c r="F2389" s="78"/>
      <c r="G2389"/>
      <c r="H2389"/>
    </row>
    <row r="2390" spans="1:8">
      <c r="A2390"/>
      <c r="B2390"/>
      <c r="C2390"/>
      <c r="D2390"/>
      <c r="E2390"/>
      <c r="F2390" s="78"/>
      <c r="G2390"/>
      <c r="H2390"/>
    </row>
    <row r="2391" spans="1:8">
      <c r="A2391"/>
      <c r="B2391"/>
      <c r="C2391"/>
      <c r="D2391"/>
      <c r="E2391"/>
      <c r="F2391" s="78"/>
      <c r="G2391"/>
      <c r="H2391"/>
    </row>
    <row r="2392" spans="1:8">
      <c r="A2392"/>
      <c r="B2392"/>
      <c r="C2392"/>
      <c r="D2392"/>
      <c r="E2392"/>
      <c r="F2392" s="78"/>
      <c r="G2392"/>
      <c r="H2392"/>
    </row>
    <row r="2393" spans="1:8">
      <c r="A2393"/>
      <c r="B2393"/>
      <c r="C2393"/>
      <c r="D2393"/>
      <c r="E2393"/>
      <c r="F2393" s="78"/>
      <c r="G2393"/>
      <c r="H2393"/>
    </row>
    <row r="2394" spans="1:8">
      <c r="A2394"/>
      <c r="B2394"/>
      <c r="C2394"/>
      <c r="D2394"/>
      <c r="E2394"/>
      <c r="F2394" s="78"/>
      <c r="G2394"/>
      <c r="H2394"/>
    </row>
    <row r="2395" spans="1:8">
      <c r="A2395"/>
      <c r="B2395"/>
      <c r="C2395"/>
      <c r="D2395"/>
      <c r="E2395"/>
      <c r="F2395" s="78"/>
      <c r="G2395"/>
      <c r="H2395"/>
    </row>
    <row r="2396" spans="1:8">
      <c r="A2396"/>
      <c r="B2396"/>
      <c r="C2396"/>
      <c r="D2396"/>
      <c r="E2396"/>
      <c r="F2396" s="78"/>
      <c r="G2396"/>
      <c r="H2396"/>
    </row>
    <row r="2397" spans="1:8">
      <c r="A2397"/>
      <c r="B2397"/>
      <c r="C2397"/>
      <c r="D2397"/>
      <c r="E2397"/>
      <c r="F2397" s="78"/>
      <c r="G2397"/>
      <c r="H2397"/>
    </row>
    <row r="2398" spans="1:8">
      <c r="A2398"/>
      <c r="B2398"/>
      <c r="C2398"/>
      <c r="D2398"/>
      <c r="E2398"/>
      <c r="F2398" s="78"/>
      <c r="G2398"/>
      <c r="H2398"/>
    </row>
    <row r="2399" spans="1:8">
      <c r="A2399"/>
      <c r="B2399"/>
      <c r="C2399"/>
      <c r="D2399"/>
      <c r="E2399"/>
      <c r="F2399" s="78"/>
      <c r="G2399"/>
      <c r="H2399"/>
    </row>
    <row r="2400" spans="1:8">
      <c r="A2400"/>
      <c r="B2400"/>
      <c r="C2400"/>
      <c r="D2400"/>
      <c r="E2400"/>
      <c r="F2400" s="78"/>
      <c r="G2400"/>
      <c r="H2400"/>
    </row>
    <row r="2401" spans="1:8">
      <c r="A2401"/>
      <c r="B2401"/>
      <c r="C2401"/>
      <c r="D2401"/>
      <c r="E2401"/>
      <c r="F2401" s="78"/>
      <c r="G2401"/>
      <c r="H2401"/>
    </row>
    <row r="2402" spans="1:8">
      <c r="A2402"/>
      <c r="B2402"/>
      <c r="C2402"/>
      <c r="D2402"/>
      <c r="E2402"/>
      <c r="F2402" s="78"/>
      <c r="G2402"/>
      <c r="H2402"/>
    </row>
    <row r="2403" spans="1:8">
      <c r="A2403"/>
      <c r="B2403"/>
      <c r="C2403"/>
      <c r="D2403"/>
      <c r="E2403"/>
      <c r="F2403" s="78"/>
      <c r="G2403"/>
      <c r="H2403"/>
    </row>
    <row r="2404" spans="1:8">
      <c r="A2404"/>
      <c r="B2404"/>
      <c r="C2404"/>
      <c r="D2404"/>
      <c r="E2404"/>
      <c r="F2404" s="78"/>
      <c r="G2404"/>
      <c r="H2404"/>
    </row>
    <row r="2405" spans="1:8">
      <c r="A2405"/>
      <c r="B2405"/>
      <c r="C2405"/>
      <c r="D2405"/>
      <c r="E2405"/>
      <c r="F2405" s="78"/>
      <c r="G2405"/>
      <c r="H2405"/>
    </row>
    <row r="2406" spans="1:8">
      <c r="A2406"/>
      <c r="B2406"/>
      <c r="C2406"/>
      <c r="D2406"/>
      <c r="E2406"/>
      <c r="F2406" s="78"/>
      <c r="G2406"/>
      <c r="H2406"/>
    </row>
    <row r="2407" spans="1:8">
      <c r="A2407"/>
      <c r="B2407"/>
      <c r="C2407"/>
      <c r="D2407"/>
      <c r="E2407"/>
      <c r="F2407" s="78"/>
      <c r="G2407"/>
      <c r="H2407"/>
    </row>
    <row r="2408" spans="1:8">
      <c r="A2408"/>
      <c r="B2408"/>
      <c r="C2408"/>
      <c r="D2408"/>
      <c r="E2408"/>
      <c r="F2408" s="78"/>
      <c r="G2408"/>
      <c r="H2408"/>
    </row>
    <row r="2409" spans="1:8">
      <c r="A2409"/>
      <c r="B2409"/>
      <c r="C2409"/>
      <c r="D2409"/>
      <c r="E2409"/>
      <c r="F2409" s="78"/>
      <c r="G2409"/>
      <c r="H2409"/>
    </row>
    <row r="2410" spans="1:8">
      <c r="A2410"/>
      <c r="B2410"/>
      <c r="C2410"/>
      <c r="D2410"/>
      <c r="E2410"/>
      <c r="F2410" s="78"/>
      <c r="G2410"/>
      <c r="H2410"/>
    </row>
    <row r="2411" spans="1:8">
      <c r="A2411"/>
      <c r="B2411"/>
      <c r="C2411"/>
      <c r="D2411"/>
      <c r="E2411"/>
      <c r="F2411" s="78"/>
      <c r="G2411"/>
      <c r="H2411"/>
    </row>
    <row r="2412" spans="1:8">
      <c r="A2412"/>
      <c r="B2412"/>
      <c r="C2412"/>
      <c r="D2412"/>
      <c r="E2412"/>
      <c r="F2412" s="78"/>
      <c r="G2412"/>
      <c r="H2412"/>
    </row>
    <row r="2413" spans="1:8">
      <c r="A2413"/>
      <c r="B2413"/>
      <c r="C2413"/>
      <c r="D2413"/>
      <c r="E2413"/>
      <c r="F2413" s="78"/>
      <c r="G2413"/>
      <c r="H2413"/>
    </row>
    <row r="2414" spans="1:8">
      <c r="A2414"/>
      <c r="B2414"/>
      <c r="C2414"/>
      <c r="D2414"/>
      <c r="E2414"/>
      <c r="F2414" s="78"/>
      <c r="G2414"/>
      <c r="H2414"/>
    </row>
    <row r="2415" spans="1:8">
      <c r="A2415"/>
      <c r="B2415"/>
      <c r="C2415"/>
      <c r="D2415"/>
      <c r="E2415"/>
      <c r="F2415" s="78"/>
      <c r="G2415"/>
      <c r="H2415"/>
    </row>
    <row r="2416" spans="1:8">
      <c r="A2416"/>
      <c r="B2416"/>
      <c r="C2416"/>
      <c r="D2416"/>
      <c r="E2416"/>
      <c r="F2416" s="78"/>
      <c r="G2416"/>
      <c r="H2416"/>
    </row>
    <row r="2417" spans="1:8">
      <c r="A2417"/>
      <c r="B2417"/>
      <c r="C2417"/>
      <c r="D2417"/>
      <c r="E2417"/>
      <c r="F2417" s="78"/>
      <c r="G2417"/>
      <c r="H2417"/>
    </row>
    <row r="2418" spans="1:8">
      <c r="A2418"/>
      <c r="B2418"/>
      <c r="C2418"/>
      <c r="D2418"/>
      <c r="E2418"/>
      <c r="F2418" s="78"/>
      <c r="G2418"/>
      <c r="H2418"/>
    </row>
    <row r="2419" spans="1:8">
      <c r="A2419"/>
      <c r="B2419"/>
      <c r="C2419"/>
      <c r="D2419"/>
      <c r="E2419"/>
      <c r="F2419" s="78"/>
      <c r="G2419"/>
      <c r="H2419"/>
    </row>
    <row r="2420" spans="1:8">
      <c r="A2420"/>
      <c r="B2420"/>
      <c r="C2420"/>
      <c r="D2420"/>
      <c r="E2420"/>
      <c r="F2420" s="78"/>
      <c r="G2420"/>
      <c r="H2420"/>
    </row>
    <row r="2421" spans="1:8">
      <c r="A2421"/>
      <c r="B2421"/>
      <c r="C2421"/>
      <c r="D2421"/>
      <c r="E2421"/>
      <c r="F2421" s="78"/>
      <c r="G2421"/>
      <c r="H2421"/>
    </row>
    <row r="2422" spans="1:8">
      <c r="A2422"/>
      <c r="B2422"/>
      <c r="C2422"/>
      <c r="D2422"/>
      <c r="E2422"/>
      <c r="F2422" s="78"/>
      <c r="G2422"/>
      <c r="H2422"/>
    </row>
    <row r="2423" spans="1:8">
      <c r="A2423"/>
      <c r="B2423"/>
      <c r="C2423"/>
      <c r="D2423"/>
      <c r="E2423"/>
      <c r="F2423" s="78"/>
      <c r="G2423"/>
      <c r="H2423"/>
    </row>
    <row r="2424" spans="1:8">
      <c r="A2424"/>
      <c r="B2424"/>
      <c r="C2424"/>
      <c r="D2424"/>
      <c r="E2424"/>
      <c r="F2424" s="78"/>
      <c r="G2424"/>
      <c r="H2424"/>
    </row>
    <row r="2425" spans="1:8">
      <c r="A2425"/>
      <c r="B2425"/>
      <c r="C2425"/>
      <c r="D2425"/>
      <c r="E2425"/>
      <c r="F2425" s="78"/>
      <c r="G2425"/>
      <c r="H2425"/>
    </row>
    <row r="2426" spans="1:8">
      <c r="A2426"/>
      <c r="B2426"/>
      <c r="C2426"/>
      <c r="D2426"/>
      <c r="E2426"/>
      <c r="F2426" s="78"/>
      <c r="G2426"/>
      <c r="H2426"/>
    </row>
    <row r="2427" spans="1:8">
      <c r="A2427"/>
      <c r="B2427"/>
      <c r="C2427"/>
      <c r="D2427"/>
      <c r="E2427"/>
      <c r="F2427" s="78"/>
      <c r="G2427"/>
      <c r="H2427"/>
    </row>
    <row r="2428" spans="1:8">
      <c r="A2428"/>
      <c r="B2428"/>
      <c r="C2428"/>
      <c r="D2428"/>
      <c r="E2428"/>
      <c r="F2428" s="78"/>
      <c r="G2428"/>
      <c r="H2428"/>
    </row>
    <row r="2429" spans="1:8">
      <c r="A2429"/>
      <c r="B2429"/>
      <c r="C2429"/>
      <c r="D2429"/>
      <c r="E2429"/>
      <c r="F2429" s="78"/>
      <c r="G2429"/>
      <c r="H2429"/>
    </row>
    <row r="2430" spans="1:8">
      <c r="A2430"/>
      <c r="B2430"/>
      <c r="C2430"/>
      <c r="D2430"/>
      <c r="E2430"/>
      <c r="F2430" s="78"/>
      <c r="G2430"/>
      <c r="H2430"/>
    </row>
    <row r="2431" spans="1:8">
      <c r="A2431"/>
      <c r="B2431"/>
      <c r="C2431"/>
      <c r="D2431"/>
      <c r="E2431"/>
      <c r="F2431" s="78"/>
      <c r="G2431"/>
      <c r="H2431"/>
    </row>
    <row r="2432" spans="1:8">
      <c r="A2432"/>
      <c r="B2432"/>
      <c r="C2432"/>
      <c r="D2432"/>
      <c r="E2432"/>
      <c r="F2432" s="78"/>
      <c r="G2432"/>
      <c r="H2432"/>
    </row>
    <row r="2433" spans="1:8">
      <c r="A2433"/>
      <c r="B2433"/>
      <c r="C2433"/>
      <c r="D2433"/>
      <c r="E2433"/>
      <c r="F2433" s="78"/>
      <c r="G2433"/>
      <c r="H2433"/>
    </row>
    <row r="2434" spans="1:8">
      <c r="A2434"/>
      <c r="B2434"/>
      <c r="C2434"/>
      <c r="D2434"/>
      <c r="E2434"/>
      <c r="F2434" s="78"/>
      <c r="G2434"/>
      <c r="H2434"/>
    </row>
    <row r="2435" spans="1:8">
      <c r="A2435"/>
      <c r="B2435"/>
      <c r="C2435"/>
      <c r="D2435"/>
      <c r="E2435"/>
      <c r="F2435" s="78"/>
      <c r="G2435"/>
      <c r="H2435"/>
    </row>
    <row r="2436" spans="1:8">
      <c r="A2436"/>
      <c r="B2436"/>
      <c r="C2436"/>
      <c r="D2436"/>
      <c r="E2436"/>
      <c r="F2436" s="78"/>
      <c r="G2436"/>
      <c r="H2436"/>
    </row>
    <row r="2437" spans="1:8">
      <c r="A2437"/>
      <c r="B2437"/>
      <c r="C2437"/>
      <c r="D2437"/>
      <c r="E2437"/>
      <c r="F2437" s="78"/>
      <c r="G2437"/>
      <c r="H2437"/>
    </row>
    <row r="2438" spans="1:8">
      <c r="A2438"/>
      <c r="B2438"/>
      <c r="C2438"/>
      <c r="D2438"/>
      <c r="E2438"/>
      <c r="F2438" s="78"/>
      <c r="G2438"/>
      <c r="H2438"/>
    </row>
    <row r="2439" spans="1:8">
      <c r="A2439"/>
      <c r="B2439"/>
      <c r="C2439"/>
      <c r="D2439"/>
      <c r="E2439"/>
      <c r="F2439" s="78"/>
      <c r="G2439"/>
      <c r="H2439"/>
    </row>
    <row r="2440" spans="1:8">
      <c r="A2440"/>
      <c r="B2440"/>
      <c r="C2440"/>
      <c r="D2440"/>
      <c r="E2440"/>
      <c r="F2440" s="78"/>
      <c r="G2440"/>
      <c r="H2440"/>
    </row>
    <row r="2441" spans="1:8">
      <c r="A2441"/>
      <c r="B2441"/>
      <c r="C2441"/>
      <c r="D2441"/>
      <c r="E2441"/>
      <c r="F2441" s="78"/>
      <c r="G2441"/>
      <c r="H2441"/>
    </row>
    <row r="2442" spans="1:8">
      <c r="A2442"/>
      <c r="B2442"/>
      <c r="C2442"/>
      <c r="D2442"/>
      <c r="E2442"/>
      <c r="F2442" s="78"/>
      <c r="G2442"/>
      <c r="H2442"/>
    </row>
    <row r="2443" spans="1:8">
      <c r="A2443"/>
      <c r="B2443"/>
      <c r="C2443"/>
      <c r="D2443"/>
      <c r="E2443"/>
      <c r="F2443" s="78"/>
      <c r="G2443"/>
      <c r="H2443"/>
    </row>
    <row r="2444" spans="1:8">
      <c r="A2444"/>
      <c r="B2444"/>
      <c r="C2444"/>
      <c r="D2444"/>
      <c r="E2444"/>
      <c r="F2444" s="78"/>
      <c r="G2444"/>
      <c r="H2444"/>
    </row>
    <row r="2445" spans="1:8">
      <c r="A2445"/>
      <c r="B2445"/>
      <c r="C2445"/>
      <c r="D2445"/>
      <c r="E2445"/>
      <c r="F2445" s="78"/>
      <c r="G2445"/>
      <c r="H2445"/>
    </row>
    <row r="2446" spans="1:8">
      <c r="A2446"/>
      <c r="B2446"/>
      <c r="C2446"/>
      <c r="D2446"/>
      <c r="E2446"/>
      <c r="F2446" s="78"/>
      <c r="G2446"/>
      <c r="H2446"/>
    </row>
    <row r="2447" spans="1:8">
      <c r="A2447"/>
      <c r="B2447"/>
      <c r="C2447"/>
      <c r="D2447"/>
      <c r="E2447"/>
      <c r="F2447" s="78"/>
      <c r="G2447"/>
      <c r="H2447"/>
    </row>
    <row r="2448" spans="1:8">
      <c r="A2448"/>
      <c r="B2448"/>
      <c r="C2448"/>
      <c r="D2448"/>
      <c r="E2448"/>
      <c r="F2448" s="78"/>
      <c r="G2448"/>
      <c r="H2448"/>
    </row>
    <row r="2449" spans="1:8">
      <c r="A2449"/>
      <c r="B2449"/>
      <c r="C2449"/>
      <c r="D2449"/>
      <c r="E2449"/>
      <c r="F2449" s="78"/>
      <c r="G2449"/>
      <c r="H2449"/>
    </row>
    <row r="2450" spans="1:8">
      <c r="A2450"/>
      <c r="B2450"/>
      <c r="C2450"/>
      <c r="D2450"/>
      <c r="E2450"/>
      <c r="F2450" s="78"/>
      <c r="G2450"/>
      <c r="H2450"/>
    </row>
    <row r="2451" spans="1:8">
      <c r="A2451"/>
      <c r="B2451"/>
      <c r="C2451"/>
      <c r="D2451"/>
      <c r="E2451"/>
      <c r="F2451" s="78"/>
      <c r="G2451"/>
      <c r="H2451"/>
    </row>
    <row r="2452" spans="1:8">
      <c r="A2452"/>
      <c r="B2452"/>
      <c r="C2452"/>
      <c r="D2452"/>
      <c r="E2452"/>
      <c r="F2452" s="78"/>
      <c r="G2452"/>
      <c r="H2452"/>
    </row>
    <row r="2453" spans="1:8">
      <c r="A2453"/>
      <c r="B2453"/>
      <c r="C2453"/>
      <c r="D2453"/>
      <c r="E2453"/>
      <c r="F2453" s="78"/>
      <c r="G2453"/>
      <c r="H2453"/>
    </row>
    <row r="2454" spans="1:8">
      <c r="A2454"/>
      <c r="B2454"/>
      <c r="C2454"/>
      <c r="D2454"/>
      <c r="E2454"/>
      <c r="F2454" s="78"/>
      <c r="G2454"/>
      <c r="H2454"/>
    </row>
    <row r="2455" spans="1:8">
      <c r="A2455"/>
      <c r="B2455"/>
      <c r="C2455"/>
      <c r="D2455"/>
      <c r="E2455"/>
      <c r="F2455" s="78"/>
      <c r="G2455"/>
      <c r="H2455"/>
    </row>
    <row r="2456" spans="1:8">
      <c r="A2456"/>
      <c r="B2456"/>
      <c r="C2456"/>
      <c r="D2456"/>
      <c r="E2456"/>
      <c r="F2456" s="78"/>
      <c r="G2456"/>
      <c r="H2456"/>
    </row>
    <row r="2457" spans="1:8">
      <c r="A2457"/>
      <c r="B2457"/>
      <c r="C2457"/>
      <c r="D2457"/>
      <c r="E2457"/>
      <c r="F2457" s="78"/>
      <c r="G2457"/>
      <c r="H2457"/>
    </row>
    <row r="2458" spans="1:8">
      <c r="A2458"/>
      <c r="B2458"/>
      <c r="C2458"/>
      <c r="D2458"/>
      <c r="E2458"/>
      <c r="F2458" s="78"/>
      <c r="G2458"/>
      <c r="H2458"/>
    </row>
    <row r="2459" spans="1:8">
      <c r="A2459"/>
      <c r="B2459"/>
      <c r="C2459"/>
      <c r="D2459"/>
      <c r="E2459"/>
      <c r="F2459" s="78"/>
      <c r="G2459"/>
      <c r="H2459"/>
    </row>
    <row r="2460" spans="1:8">
      <c r="A2460"/>
      <c r="B2460"/>
      <c r="C2460"/>
      <c r="D2460"/>
      <c r="E2460"/>
      <c r="F2460" s="78"/>
      <c r="G2460"/>
      <c r="H2460"/>
    </row>
    <row r="2461" spans="1:8">
      <c r="A2461"/>
      <c r="B2461"/>
      <c r="C2461"/>
      <c r="D2461"/>
      <c r="E2461"/>
      <c r="F2461" s="78"/>
      <c r="G2461"/>
      <c r="H2461"/>
    </row>
    <row r="2462" spans="1:8">
      <c r="A2462"/>
      <c r="B2462"/>
      <c r="C2462"/>
      <c r="D2462"/>
      <c r="E2462"/>
      <c r="F2462" s="78"/>
      <c r="G2462"/>
      <c r="H2462"/>
    </row>
    <row r="2463" spans="1:8">
      <c r="A2463"/>
      <c r="B2463"/>
      <c r="C2463"/>
      <c r="D2463"/>
      <c r="E2463"/>
      <c r="F2463" s="78"/>
      <c r="G2463"/>
      <c r="H2463"/>
    </row>
    <row r="2464" spans="1:8">
      <c r="A2464"/>
      <c r="B2464"/>
      <c r="C2464"/>
      <c r="D2464"/>
      <c r="E2464"/>
      <c r="F2464" s="78"/>
      <c r="G2464"/>
      <c r="H2464"/>
    </row>
    <row r="2465" spans="1:8">
      <c r="A2465"/>
      <c r="B2465"/>
      <c r="C2465"/>
      <c r="D2465"/>
      <c r="E2465"/>
      <c r="F2465" s="78"/>
      <c r="G2465"/>
      <c r="H2465"/>
    </row>
    <row r="2466" spans="1:8">
      <c r="A2466"/>
      <c r="B2466"/>
      <c r="C2466"/>
      <c r="D2466"/>
      <c r="E2466"/>
      <c r="F2466" s="78"/>
      <c r="G2466"/>
      <c r="H2466"/>
    </row>
    <row r="2467" spans="1:8">
      <c r="A2467"/>
      <c r="B2467"/>
      <c r="C2467"/>
      <c r="D2467"/>
      <c r="E2467"/>
      <c r="F2467" s="78"/>
      <c r="G2467"/>
      <c r="H2467"/>
    </row>
    <row r="2468" spans="1:8">
      <c r="A2468"/>
      <c r="B2468"/>
      <c r="C2468"/>
      <c r="D2468"/>
      <c r="E2468"/>
      <c r="F2468" s="78"/>
      <c r="G2468"/>
      <c r="H2468"/>
    </row>
    <row r="2469" spans="1:8">
      <c r="A2469"/>
      <c r="B2469"/>
      <c r="C2469"/>
      <c r="D2469"/>
      <c r="E2469"/>
      <c r="F2469" s="78"/>
      <c r="G2469"/>
      <c r="H2469"/>
    </row>
    <row r="2470" spans="1:8">
      <c r="A2470"/>
      <c r="B2470"/>
      <c r="C2470"/>
      <c r="D2470"/>
      <c r="E2470"/>
      <c r="F2470" s="78"/>
      <c r="G2470"/>
      <c r="H2470"/>
    </row>
    <row r="2471" spans="1:8">
      <c r="A2471"/>
      <c r="B2471"/>
      <c r="C2471"/>
      <c r="D2471"/>
      <c r="E2471"/>
      <c r="F2471" s="78"/>
      <c r="G2471"/>
      <c r="H2471"/>
    </row>
    <row r="2472" spans="1:8">
      <c r="A2472"/>
      <c r="B2472"/>
      <c r="C2472"/>
      <c r="D2472"/>
      <c r="E2472"/>
      <c r="F2472" s="78"/>
      <c r="G2472"/>
      <c r="H2472"/>
    </row>
    <row r="2473" spans="1:8">
      <c r="A2473"/>
      <c r="B2473"/>
      <c r="C2473"/>
      <c r="D2473"/>
      <c r="E2473"/>
      <c r="F2473" s="78"/>
      <c r="G2473"/>
      <c r="H2473"/>
    </row>
    <row r="2474" spans="1:8">
      <c r="A2474"/>
      <c r="B2474"/>
      <c r="C2474"/>
      <c r="D2474"/>
      <c r="E2474"/>
      <c r="F2474" s="78"/>
      <c r="G2474"/>
      <c r="H2474"/>
    </row>
    <row r="2475" spans="1:8">
      <c r="A2475"/>
      <c r="B2475"/>
      <c r="C2475"/>
      <c r="D2475"/>
      <c r="E2475"/>
      <c r="F2475" s="78"/>
      <c r="G2475"/>
      <c r="H2475"/>
    </row>
    <row r="2476" spans="1:8">
      <c r="A2476"/>
      <c r="B2476"/>
      <c r="C2476"/>
      <c r="D2476"/>
      <c r="E2476"/>
      <c r="F2476" s="78"/>
      <c r="G2476"/>
      <c r="H2476"/>
    </row>
    <row r="2477" spans="1:8">
      <c r="A2477"/>
      <c r="B2477"/>
      <c r="C2477"/>
      <c r="D2477"/>
      <c r="E2477"/>
      <c r="F2477" s="78"/>
      <c r="G2477"/>
      <c r="H2477"/>
    </row>
    <row r="2478" spans="1:8">
      <c r="A2478"/>
      <c r="B2478"/>
      <c r="C2478"/>
      <c r="D2478"/>
      <c r="E2478"/>
      <c r="F2478" s="78"/>
      <c r="G2478"/>
      <c r="H2478"/>
    </row>
    <row r="2479" spans="1:8">
      <c r="A2479"/>
      <c r="B2479"/>
      <c r="C2479"/>
      <c r="D2479"/>
      <c r="E2479"/>
      <c r="F2479" s="78"/>
      <c r="G2479"/>
      <c r="H2479"/>
    </row>
    <row r="2480" spans="1:8">
      <c r="A2480"/>
      <c r="B2480"/>
      <c r="C2480"/>
      <c r="D2480"/>
      <c r="E2480"/>
      <c r="F2480" s="78"/>
      <c r="G2480"/>
      <c r="H2480"/>
    </row>
    <row r="2481" spans="1:8">
      <c r="A2481"/>
      <c r="B2481"/>
      <c r="C2481"/>
      <c r="D2481"/>
      <c r="E2481"/>
      <c r="F2481" s="78"/>
      <c r="G2481"/>
      <c r="H2481"/>
    </row>
    <row r="2482" spans="1:8">
      <c r="A2482"/>
      <c r="B2482"/>
      <c r="C2482"/>
      <c r="D2482"/>
      <c r="E2482"/>
      <c r="F2482" s="78"/>
      <c r="G2482"/>
      <c r="H2482"/>
    </row>
    <row r="2483" spans="1:8">
      <c r="A2483"/>
      <c r="B2483"/>
      <c r="C2483"/>
      <c r="D2483"/>
      <c r="E2483"/>
      <c r="F2483" s="78"/>
      <c r="G2483"/>
      <c r="H2483"/>
    </row>
    <row r="2484" spans="1:8">
      <c r="A2484"/>
      <c r="B2484"/>
      <c r="C2484"/>
      <c r="D2484"/>
      <c r="E2484"/>
      <c r="F2484" s="78"/>
      <c r="G2484"/>
      <c r="H2484"/>
    </row>
    <row r="2485" spans="1:8">
      <c r="A2485"/>
      <c r="B2485"/>
      <c r="C2485"/>
      <c r="D2485"/>
      <c r="E2485"/>
      <c r="F2485" s="78"/>
      <c r="G2485"/>
      <c r="H2485"/>
    </row>
    <row r="2486" spans="1:8">
      <c r="A2486"/>
      <c r="B2486"/>
      <c r="C2486"/>
      <c r="D2486"/>
      <c r="E2486"/>
      <c r="F2486" s="78"/>
      <c r="G2486"/>
      <c r="H2486"/>
    </row>
    <row r="2487" spans="1:8">
      <c r="A2487"/>
      <c r="B2487"/>
      <c r="C2487"/>
      <c r="D2487"/>
      <c r="E2487"/>
      <c r="F2487" s="78"/>
      <c r="G2487"/>
      <c r="H2487"/>
    </row>
    <row r="2488" spans="1:8">
      <c r="A2488"/>
      <c r="B2488"/>
      <c r="C2488"/>
      <c r="D2488"/>
      <c r="E2488"/>
      <c r="F2488" s="78"/>
      <c r="G2488"/>
      <c r="H2488"/>
    </row>
    <row r="2489" spans="1:8">
      <c r="A2489"/>
      <c r="B2489"/>
      <c r="C2489"/>
      <c r="D2489"/>
      <c r="E2489"/>
      <c r="F2489" s="78"/>
      <c r="G2489"/>
      <c r="H2489"/>
    </row>
    <row r="2490" spans="1:8">
      <c r="A2490"/>
      <c r="B2490"/>
      <c r="C2490"/>
      <c r="D2490"/>
      <c r="E2490"/>
      <c r="F2490" s="78"/>
      <c r="G2490"/>
      <c r="H2490"/>
    </row>
    <row r="2491" spans="1:8">
      <c r="A2491"/>
      <c r="B2491"/>
      <c r="C2491"/>
      <c r="D2491"/>
      <c r="E2491"/>
      <c r="F2491" s="78"/>
      <c r="G2491"/>
      <c r="H2491"/>
    </row>
    <row r="2492" spans="1:8">
      <c r="A2492"/>
      <c r="B2492"/>
      <c r="C2492"/>
      <c r="D2492"/>
      <c r="E2492"/>
      <c r="F2492" s="78"/>
      <c r="G2492"/>
      <c r="H2492"/>
    </row>
    <row r="2493" spans="1:8">
      <c r="A2493"/>
      <c r="B2493"/>
      <c r="C2493"/>
      <c r="D2493"/>
      <c r="E2493"/>
      <c r="F2493" s="78"/>
      <c r="G2493"/>
      <c r="H2493"/>
    </row>
    <row r="2494" spans="1:8">
      <c r="A2494"/>
      <c r="B2494"/>
      <c r="C2494"/>
      <c r="D2494"/>
      <c r="E2494"/>
      <c r="F2494" s="78"/>
      <c r="G2494"/>
      <c r="H2494"/>
    </row>
    <row r="2495" spans="1:8">
      <c r="A2495"/>
      <c r="B2495"/>
      <c r="C2495"/>
      <c r="D2495"/>
      <c r="E2495"/>
      <c r="F2495" s="78"/>
      <c r="G2495"/>
      <c r="H2495"/>
    </row>
    <row r="2496" spans="1:8">
      <c r="A2496"/>
      <c r="B2496"/>
      <c r="C2496"/>
      <c r="D2496"/>
      <c r="E2496"/>
      <c r="F2496" s="78"/>
      <c r="G2496"/>
      <c r="H2496"/>
    </row>
    <row r="2497" spans="1:8">
      <c r="A2497"/>
      <c r="B2497"/>
      <c r="C2497"/>
      <c r="D2497"/>
      <c r="E2497"/>
      <c r="F2497" s="78"/>
      <c r="G2497"/>
      <c r="H2497"/>
    </row>
    <row r="2498" spans="1:8">
      <c r="A2498"/>
      <c r="B2498"/>
      <c r="C2498"/>
      <c r="D2498"/>
      <c r="E2498"/>
      <c r="F2498" s="78"/>
      <c r="G2498"/>
      <c r="H2498"/>
    </row>
    <row r="2499" spans="1:8">
      <c r="A2499"/>
      <c r="B2499"/>
      <c r="C2499"/>
      <c r="D2499"/>
      <c r="E2499"/>
      <c r="F2499" s="78"/>
      <c r="G2499"/>
      <c r="H2499"/>
    </row>
    <row r="2500" spans="1:8">
      <c r="A2500"/>
      <c r="B2500"/>
      <c r="C2500"/>
      <c r="D2500"/>
      <c r="E2500"/>
      <c r="F2500" s="78"/>
      <c r="G2500"/>
      <c r="H2500"/>
    </row>
    <row r="2501" spans="1:8">
      <c r="A2501"/>
      <c r="B2501"/>
      <c r="C2501"/>
      <c r="D2501"/>
      <c r="E2501"/>
      <c r="F2501" s="78"/>
      <c r="G2501"/>
      <c r="H2501"/>
    </row>
    <row r="2502" spans="1:8">
      <c r="A2502"/>
      <c r="B2502"/>
      <c r="C2502"/>
      <c r="D2502"/>
      <c r="E2502"/>
      <c r="F2502" s="78"/>
      <c r="G2502"/>
      <c r="H2502"/>
    </row>
    <row r="2503" spans="1:8">
      <c r="A2503"/>
      <c r="B2503"/>
      <c r="C2503"/>
      <c r="D2503"/>
      <c r="E2503"/>
      <c r="F2503" s="78"/>
      <c r="G2503"/>
      <c r="H2503"/>
    </row>
    <row r="2504" spans="1:8">
      <c r="A2504"/>
      <c r="B2504"/>
      <c r="C2504"/>
      <c r="D2504"/>
      <c r="E2504"/>
      <c r="F2504" s="78"/>
      <c r="G2504"/>
      <c r="H2504"/>
    </row>
    <row r="2505" spans="1:8">
      <c r="A2505"/>
      <c r="B2505"/>
      <c r="C2505"/>
      <c r="D2505"/>
      <c r="E2505"/>
      <c r="F2505" s="78"/>
      <c r="G2505"/>
      <c r="H2505"/>
    </row>
    <row r="2506" spans="1:8">
      <c r="A2506"/>
      <c r="B2506"/>
      <c r="C2506"/>
      <c r="D2506"/>
      <c r="E2506"/>
      <c r="F2506" s="78"/>
      <c r="G2506"/>
      <c r="H2506"/>
    </row>
    <row r="2507" spans="1:8">
      <c r="A2507"/>
      <c r="B2507"/>
      <c r="C2507"/>
      <c r="D2507"/>
      <c r="E2507"/>
      <c r="F2507" s="78"/>
      <c r="G2507"/>
      <c r="H2507"/>
    </row>
    <row r="2508" spans="1:8">
      <c r="A2508"/>
      <c r="B2508"/>
      <c r="C2508"/>
      <c r="D2508"/>
      <c r="E2508"/>
      <c r="F2508" s="78"/>
      <c r="G2508"/>
      <c r="H2508"/>
    </row>
    <row r="2509" spans="1:8">
      <c r="A2509"/>
      <c r="B2509"/>
      <c r="C2509"/>
      <c r="D2509"/>
      <c r="E2509"/>
      <c r="F2509" s="78"/>
      <c r="G2509"/>
      <c r="H2509"/>
    </row>
    <row r="2510" spans="1:8">
      <c r="A2510"/>
      <c r="B2510"/>
      <c r="C2510"/>
      <c r="D2510"/>
      <c r="E2510"/>
      <c r="F2510" s="78"/>
      <c r="G2510"/>
      <c r="H2510"/>
    </row>
    <row r="2511" spans="1:8">
      <c r="A2511"/>
      <c r="B2511"/>
      <c r="C2511"/>
      <c r="D2511"/>
      <c r="E2511"/>
      <c r="F2511" s="78"/>
      <c r="G2511"/>
      <c r="H2511"/>
    </row>
    <row r="2512" spans="1:8">
      <c r="A2512"/>
      <c r="B2512"/>
      <c r="C2512"/>
      <c r="D2512"/>
      <c r="E2512"/>
      <c r="F2512" s="78"/>
      <c r="G2512"/>
      <c r="H2512"/>
    </row>
    <row r="2513" spans="1:8">
      <c r="A2513"/>
      <c r="B2513"/>
      <c r="C2513"/>
      <c r="D2513"/>
      <c r="E2513"/>
      <c r="F2513" s="78"/>
      <c r="G2513"/>
      <c r="H2513"/>
    </row>
    <row r="2514" spans="1:8">
      <c r="A2514"/>
      <c r="B2514"/>
      <c r="C2514"/>
      <c r="D2514"/>
      <c r="E2514"/>
      <c r="F2514" s="78"/>
      <c r="G2514"/>
      <c r="H2514"/>
    </row>
    <row r="2515" spans="1:8">
      <c r="A2515"/>
      <c r="B2515"/>
      <c r="C2515"/>
      <c r="D2515"/>
      <c r="E2515"/>
      <c r="F2515" s="78"/>
      <c r="G2515"/>
      <c r="H2515"/>
    </row>
    <row r="2516" spans="1:8">
      <c r="A2516"/>
      <c r="B2516"/>
      <c r="C2516"/>
      <c r="D2516"/>
      <c r="E2516"/>
      <c r="F2516" s="78"/>
      <c r="G2516"/>
      <c r="H2516"/>
    </row>
    <row r="2517" spans="1:8">
      <c r="A2517"/>
      <c r="B2517"/>
      <c r="C2517"/>
      <c r="D2517"/>
      <c r="E2517"/>
      <c r="F2517" s="78"/>
      <c r="G2517"/>
      <c r="H2517"/>
    </row>
    <row r="2518" spans="1:8">
      <c r="A2518"/>
      <c r="B2518"/>
      <c r="C2518"/>
      <c r="D2518"/>
      <c r="E2518"/>
      <c r="F2518" s="78"/>
      <c r="G2518"/>
      <c r="H2518"/>
    </row>
    <row r="2519" spans="1:8">
      <c r="A2519"/>
      <c r="B2519"/>
      <c r="C2519"/>
      <c r="D2519"/>
      <c r="E2519"/>
      <c r="F2519" s="78"/>
      <c r="G2519"/>
      <c r="H2519"/>
    </row>
    <row r="2520" spans="1:8">
      <c r="A2520"/>
      <c r="B2520"/>
      <c r="C2520"/>
      <c r="D2520"/>
      <c r="E2520"/>
      <c r="F2520" s="78"/>
      <c r="G2520"/>
      <c r="H2520"/>
    </row>
    <row r="2521" spans="1:8">
      <c r="A2521"/>
      <c r="B2521"/>
      <c r="C2521"/>
      <c r="D2521"/>
      <c r="E2521"/>
      <c r="F2521" s="78"/>
      <c r="G2521"/>
      <c r="H2521"/>
    </row>
    <row r="2522" spans="1:8">
      <c r="A2522"/>
      <c r="B2522"/>
      <c r="C2522"/>
      <c r="D2522"/>
      <c r="E2522"/>
      <c r="F2522" s="78"/>
      <c r="G2522"/>
      <c r="H2522"/>
    </row>
    <row r="2523" spans="1:8">
      <c r="A2523"/>
      <c r="B2523"/>
      <c r="C2523"/>
      <c r="D2523"/>
      <c r="E2523"/>
      <c r="F2523" s="78"/>
      <c r="G2523"/>
      <c r="H2523"/>
    </row>
    <row r="2524" spans="1:8">
      <c r="A2524"/>
      <c r="B2524"/>
      <c r="C2524"/>
      <c r="D2524"/>
      <c r="E2524"/>
      <c r="F2524" s="78"/>
      <c r="G2524"/>
      <c r="H2524"/>
    </row>
    <row r="2525" spans="1:8">
      <c r="A2525"/>
      <c r="B2525"/>
      <c r="C2525"/>
      <c r="D2525"/>
      <c r="E2525"/>
      <c r="F2525" s="78"/>
      <c r="G2525"/>
      <c r="H2525"/>
    </row>
    <row r="2526" spans="1:8">
      <c r="A2526"/>
      <c r="B2526"/>
      <c r="C2526"/>
      <c r="D2526"/>
      <c r="E2526"/>
      <c r="F2526" s="78"/>
      <c r="G2526"/>
      <c r="H2526"/>
    </row>
    <row r="2527" spans="1:8">
      <c r="A2527"/>
      <c r="B2527"/>
      <c r="C2527"/>
      <c r="D2527"/>
      <c r="E2527"/>
      <c r="F2527" s="78"/>
      <c r="G2527"/>
      <c r="H2527"/>
    </row>
    <row r="2528" spans="1:8">
      <c r="A2528"/>
      <c r="B2528"/>
      <c r="C2528"/>
      <c r="D2528"/>
      <c r="E2528"/>
      <c r="F2528" s="78"/>
      <c r="G2528"/>
      <c r="H2528"/>
    </row>
    <row r="2529" spans="1:8">
      <c r="A2529"/>
      <c r="B2529"/>
      <c r="C2529"/>
      <c r="D2529"/>
      <c r="E2529"/>
      <c r="F2529" s="78"/>
      <c r="G2529"/>
      <c r="H2529"/>
    </row>
    <row r="2530" spans="1:8">
      <c r="A2530"/>
      <c r="B2530"/>
      <c r="C2530"/>
      <c r="D2530"/>
      <c r="E2530"/>
      <c r="F2530" s="78"/>
      <c r="G2530"/>
      <c r="H2530"/>
    </row>
    <row r="2531" spans="1:8">
      <c r="A2531"/>
      <c r="B2531"/>
      <c r="C2531"/>
      <c r="D2531"/>
      <c r="E2531"/>
      <c r="F2531" s="78"/>
      <c r="G2531"/>
      <c r="H2531"/>
    </row>
    <row r="2532" spans="1:8">
      <c r="A2532"/>
      <c r="B2532"/>
      <c r="C2532"/>
      <c r="D2532"/>
      <c r="E2532"/>
      <c r="F2532" s="78"/>
      <c r="G2532"/>
      <c r="H2532"/>
    </row>
    <row r="2533" spans="1:8">
      <c r="A2533"/>
      <c r="B2533"/>
      <c r="C2533"/>
      <c r="D2533"/>
      <c r="E2533"/>
      <c r="F2533" s="78"/>
      <c r="G2533"/>
      <c r="H2533"/>
    </row>
    <row r="2534" spans="1:8">
      <c r="A2534"/>
      <c r="B2534"/>
      <c r="C2534"/>
      <c r="D2534"/>
      <c r="E2534"/>
      <c r="F2534" s="78"/>
      <c r="G2534"/>
      <c r="H2534"/>
    </row>
    <row r="2535" spans="1:8">
      <c r="A2535"/>
      <c r="B2535"/>
      <c r="C2535"/>
      <c r="D2535"/>
      <c r="E2535"/>
      <c r="F2535" s="78"/>
      <c r="G2535"/>
      <c r="H2535"/>
    </row>
    <row r="2536" spans="1:8">
      <c r="A2536"/>
      <c r="B2536"/>
      <c r="C2536"/>
      <c r="D2536"/>
      <c r="E2536"/>
      <c r="F2536" s="78"/>
      <c r="G2536"/>
      <c r="H2536"/>
    </row>
    <row r="2537" spans="1:8">
      <c r="A2537"/>
      <c r="B2537"/>
      <c r="C2537"/>
      <c r="D2537"/>
      <c r="E2537"/>
      <c r="F2537" s="78"/>
      <c r="G2537"/>
      <c r="H2537"/>
    </row>
    <row r="2538" spans="1:8">
      <c r="A2538"/>
      <c r="B2538"/>
      <c r="C2538"/>
      <c r="D2538"/>
      <c r="E2538"/>
      <c r="F2538" s="78"/>
      <c r="G2538"/>
      <c r="H2538"/>
    </row>
    <row r="2539" spans="1:8">
      <c r="A2539"/>
      <c r="B2539"/>
      <c r="C2539"/>
      <c r="D2539"/>
      <c r="E2539"/>
      <c r="F2539" s="78"/>
      <c r="G2539"/>
      <c r="H2539"/>
    </row>
    <row r="2540" spans="1:8">
      <c r="A2540"/>
      <c r="B2540"/>
      <c r="C2540"/>
      <c r="D2540"/>
      <c r="E2540"/>
      <c r="F2540" s="78"/>
      <c r="G2540"/>
      <c r="H2540"/>
    </row>
    <row r="2541" spans="1:8">
      <c r="A2541"/>
      <c r="B2541"/>
      <c r="C2541"/>
      <c r="D2541"/>
      <c r="E2541"/>
      <c r="F2541" s="78"/>
      <c r="G2541"/>
      <c r="H2541"/>
    </row>
    <row r="2542" spans="1:8">
      <c r="A2542"/>
      <c r="B2542"/>
      <c r="C2542"/>
      <c r="D2542"/>
      <c r="E2542"/>
      <c r="F2542" s="78"/>
      <c r="G2542"/>
      <c r="H2542"/>
    </row>
    <row r="2543" spans="1:8">
      <c r="A2543"/>
      <c r="B2543"/>
      <c r="C2543"/>
      <c r="D2543"/>
      <c r="E2543"/>
      <c r="F2543" s="78"/>
      <c r="G2543"/>
      <c r="H2543"/>
    </row>
    <row r="2544" spans="1:8">
      <c r="A2544"/>
      <c r="B2544"/>
      <c r="C2544"/>
      <c r="D2544"/>
      <c r="E2544"/>
      <c r="F2544" s="78"/>
      <c r="G2544"/>
      <c r="H2544"/>
    </row>
    <row r="2545" spans="1:8">
      <c r="A2545"/>
      <c r="B2545"/>
      <c r="C2545"/>
      <c r="D2545"/>
      <c r="E2545"/>
      <c r="F2545" s="78"/>
      <c r="G2545"/>
      <c r="H2545"/>
    </row>
    <row r="2546" spans="1:8">
      <c r="A2546"/>
      <c r="B2546"/>
      <c r="C2546"/>
      <c r="D2546"/>
      <c r="E2546"/>
      <c r="F2546" s="78"/>
      <c r="G2546"/>
      <c r="H2546"/>
    </row>
    <row r="2547" spans="1:8">
      <c r="A2547"/>
      <c r="B2547"/>
      <c r="C2547"/>
      <c r="D2547"/>
      <c r="E2547"/>
      <c r="F2547"/>
      <c r="G2547"/>
      <c r="H2547"/>
    </row>
    <row r="2548" spans="1:8">
      <c r="A2548" s="64"/>
      <c r="B2548" s="64"/>
      <c r="C2548" s="64"/>
      <c r="D2548" s="64"/>
      <c r="E2548" s="64"/>
      <c r="F2548" s="65"/>
      <c r="G2548" s="64"/>
      <c r="H2548" s="64"/>
    </row>
    <row r="2549" spans="1:8">
      <c r="A2549" s="64"/>
      <c r="B2549" s="64"/>
      <c r="C2549" s="64"/>
      <c r="D2549" s="64"/>
      <c r="E2549" s="64"/>
      <c r="F2549" s="65"/>
      <c r="G2549" s="64"/>
      <c r="H2549" s="64"/>
    </row>
    <row r="2550" spans="1:8">
      <c r="A2550" s="64"/>
      <c r="B2550" s="64"/>
      <c r="C2550" s="64"/>
      <c r="D2550" s="64"/>
      <c r="E2550" s="64"/>
      <c r="F2550" s="65"/>
      <c r="G2550" s="64"/>
      <c r="H2550" s="64"/>
    </row>
    <row r="2551" spans="1:8">
      <c r="A2551" s="64"/>
      <c r="B2551" s="64"/>
      <c r="C2551" s="64"/>
      <c r="D2551" s="64"/>
      <c r="E2551" s="64"/>
      <c r="F2551" s="65"/>
      <c r="G2551" s="64"/>
      <c r="H2551" s="64"/>
    </row>
    <row r="2552" spans="1:8">
      <c r="A2552" s="64"/>
      <c r="B2552" s="64"/>
      <c r="C2552" s="64"/>
      <c r="D2552" s="64"/>
      <c r="E2552" s="64"/>
      <c r="F2552" s="65"/>
      <c r="G2552" s="64"/>
      <c r="H2552" s="64"/>
    </row>
    <row r="2553" spans="1:8">
      <c r="A2553" s="64"/>
      <c r="B2553" s="64"/>
      <c r="C2553" s="64"/>
      <c r="D2553" s="64"/>
      <c r="E2553" s="64"/>
      <c r="F2553" s="65"/>
      <c r="G2553" s="64"/>
      <c r="H2553" s="64"/>
    </row>
    <row r="2554" spans="1:8">
      <c r="A2554" s="64"/>
      <c r="B2554" s="64"/>
      <c r="C2554" s="64"/>
      <c r="D2554" s="64"/>
      <c r="E2554" s="64"/>
      <c r="F2554" s="65"/>
      <c r="G2554" s="64"/>
      <c r="H2554" s="64"/>
    </row>
    <row r="2555" spans="1:8">
      <c r="A2555" s="64"/>
      <c r="B2555" s="64"/>
      <c r="C2555" s="64"/>
      <c r="D2555" s="64"/>
      <c r="E2555" s="64"/>
      <c r="F2555" s="65"/>
      <c r="G2555" s="64"/>
      <c r="H2555" s="64"/>
    </row>
    <row r="2556" spans="1:8">
      <c r="A2556" s="64"/>
      <c r="B2556" s="64"/>
      <c r="C2556" s="64"/>
      <c r="D2556" s="64"/>
      <c r="E2556" s="64"/>
      <c r="F2556" s="65"/>
      <c r="G2556" s="64"/>
      <c r="H2556" s="64"/>
    </row>
    <row r="2557" spans="1:8">
      <c r="A2557" s="64"/>
      <c r="B2557" s="64"/>
      <c r="C2557" s="64"/>
      <c r="D2557" s="64"/>
      <c r="E2557" s="64"/>
      <c r="F2557" s="65"/>
      <c r="G2557" s="64"/>
      <c r="H2557" s="64"/>
    </row>
    <row r="2558" spans="1:8">
      <c r="A2558" s="64"/>
      <c r="B2558" s="64"/>
      <c r="C2558" s="64"/>
      <c r="D2558" s="64"/>
      <c r="E2558" s="64"/>
      <c r="F2558" s="65"/>
      <c r="G2558" s="64"/>
      <c r="H2558" s="64"/>
    </row>
    <row r="2559" spans="1:8">
      <c r="A2559" s="64"/>
      <c r="B2559" s="64"/>
      <c r="C2559" s="64"/>
      <c r="D2559" s="64"/>
      <c r="E2559" s="64"/>
      <c r="F2559" s="65"/>
      <c r="G2559" s="64"/>
      <c r="H2559" s="64"/>
    </row>
    <row r="2560" spans="1:8">
      <c r="A2560" s="64"/>
      <c r="B2560" s="64"/>
      <c r="C2560" s="64"/>
      <c r="D2560" s="64"/>
      <c r="E2560" s="64"/>
      <c r="F2560" s="65"/>
      <c r="G2560" s="64"/>
      <c r="H2560" s="64"/>
    </row>
    <row r="2561" spans="1:8">
      <c r="A2561" s="64"/>
      <c r="B2561" s="64"/>
      <c r="C2561" s="64"/>
      <c r="D2561" s="64"/>
      <c r="E2561" s="64"/>
      <c r="F2561" s="65"/>
      <c r="G2561" s="64"/>
      <c r="H2561" s="64"/>
    </row>
    <row r="2562" spans="1:8">
      <c r="A2562" s="64"/>
      <c r="B2562" s="64"/>
      <c r="C2562" s="64"/>
      <c r="D2562" s="64"/>
      <c r="E2562" s="64"/>
      <c r="F2562" s="65"/>
      <c r="G2562" s="64"/>
      <c r="H2562" s="64"/>
    </row>
    <row r="2563" spans="1:8">
      <c r="A2563" s="64"/>
      <c r="B2563" s="64"/>
      <c r="C2563" s="64"/>
      <c r="D2563" s="64"/>
      <c r="E2563" s="64"/>
      <c r="F2563" s="65"/>
      <c r="G2563" s="64"/>
      <c r="H2563" s="64"/>
    </row>
    <row r="2564" spans="1:8">
      <c r="A2564" s="64"/>
      <c r="B2564" s="64"/>
      <c r="C2564" s="64"/>
      <c r="D2564" s="64"/>
      <c r="E2564" s="64"/>
      <c r="F2564" s="65"/>
      <c r="G2564" s="64"/>
      <c r="H2564" s="64"/>
    </row>
    <row r="2565" spans="1:8">
      <c r="A2565" s="66"/>
      <c r="B2565" s="66"/>
      <c r="C2565" s="66"/>
      <c r="D2565" s="66"/>
      <c r="E2565" s="66"/>
      <c r="F2565" s="66"/>
      <c r="G2565" s="66"/>
      <c r="H2565" s="66"/>
    </row>
    <row r="2566" spans="1:8">
      <c r="A2566" s="66"/>
      <c r="B2566" s="66"/>
      <c r="C2566" s="66"/>
      <c r="D2566" s="66"/>
      <c r="E2566" s="66"/>
      <c r="F2566" s="66"/>
      <c r="G2566" s="66"/>
      <c r="H2566" s="66"/>
    </row>
    <row r="2567" spans="1:8">
      <c r="A2567" s="66"/>
      <c r="B2567" s="66"/>
      <c r="C2567" s="66"/>
      <c r="D2567" s="66"/>
      <c r="E2567" s="66"/>
      <c r="F2567" s="66"/>
      <c r="G2567" s="66"/>
      <c r="H2567" s="66"/>
    </row>
    <row r="2568" spans="1:8">
      <c r="A2568" s="66"/>
      <c r="B2568" s="66"/>
      <c r="C2568" s="66"/>
      <c r="D2568" s="66"/>
      <c r="E2568" s="66"/>
      <c r="F2568" s="66"/>
      <c r="G2568" s="66"/>
      <c r="H2568" s="66"/>
    </row>
    <row r="2569" spans="1:8">
      <c r="A2569" s="66"/>
      <c r="B2569" s="66"/>
      <c r="C2569" s="66"/>
      <c r="D2569" s="66"/>
      <c r="E2569" s="66"/>
      <c r="F2569" s="66"/>
      <c r="G2569" s="66"/>
      <c r="H2569" s="66"/>
    </row>
    <row r="2570" spans="1:8">
      <c r="A2570" s="66"/>
      <c r="B2570" s="66"/>
      <c r="C2570" s="66"/>
      <c r="D2570" s="66"/>
      <c r="E2570" s="66"/>
      <c r="F2570" s="66"/>
      <c r="G2570" s="66"/>
      <c r="H2570" s="66"/>
    </row>
    <row r="2571" spans="1:8">
      <c r="A2571" s="66"/>
      <c r="B2571" s="66"/>
      <c r="C2571" s="66"/>
      <c r="D2571" s="66"/>
      <c r="E2571" s="66"/>
      <c r="F2571" s="66"/>
      <c r="G2571" s="66"/>
      <c r="H2571" s="66"/>
    </row>
    <row r="2572" spans="1:8">
      <c r="A2572" s="66"/>
      <c r="B2572" s="66"/>
      <c r="C2572" s="66"/>
      <c r="D2572" s="66"/>
      <c r="E2572" s="66"/>
      <c r="F2572" s="66"/>
      <c r="G2572" s="66"/>
      <c r="H2572" s="66"/>
    </row>
    <row r="2573" spans="1:8">
      <c r="A2573" s="66"/>
      <c r="B2573" s="66"/>
      <c r="C2573" s="66"/>
      <c r="D2573" s="66"/>
      <c r="E2573" s="66"/>
      <c r="F2573" s="66"/>
      <c r="G2573" s="66"/>
      <c r="H2573" s="66"/>
    </row>
    <row r="2574" spans="1:8">
      <c r="A2574" s="66"/>
      <c r="B2574" s="66"/>
      <c r="C2574" s="66"/>
      <c r="D2574" s="66"/>
      <c r="E2574" s="66"/>
      <c r="F2574" s="66"/>
      <c r="G2574" s="66"/>
      <c r="H2574" s="66"/>
    </row>
    <row r="2575" spans="1:8">
      <c r="A2575" s="66"/>
      <c r="B2575" s="66"/>
      <c r="C2575" s="66"/>
      <c r="D2575" s="66"/>
      <c r="E2575" s="66"/>
      <c r="F2575" s="66"/>
      <c r="G2575" s="66"/>
      <c r="H2575" s="66"/>
    </row>
    <row r="2576" spans="1:8">
      <c r="A2576" s="66"/>
      <c r="B2576" s="66"/>
      <c r="C2576" s="66"/>
      <c r="D2576" s="66"/>
      <c r="E2576" s="66"/>
      <c r="F2576" s="66"/>
      <c r="G2576" s="66"/>
      <c r="H2576" s="66"/>
    </row>
    <row r="2577" spans="1:8">
      <c r="A2577" s="66"/>
      <c r="B2577" s="66"/>
      <c r="C2577" s="66"/>
      <c r="D2577" s="66"/>
      <c r="E2577" s="66"/>
      <c r="F2577" s="66"/>
      <c r="G2577" s="66"/>
      <c r="H2577" s="66"/>
    </row>
    <row r="2578" spans="1:8">
      <c r="A2578" s="66"/>
      <c r="B2578" s="66"/>
      <c r="C2578" s="66"/>
      <c r="D2578" s="66"/>
      <c r="E2578" s="66"/>
      <c r="F2578" s="66"/>
      <c r="G2578" s="66"/>
      <c r="H2578" s="66"/>
    </row>
    <row r="2579" spans="1:8">
      <c r="A2579" s="66"/>
      <c r="B2579" s="66"/>
      <c r="C2579" s="66"/>
      <c r="D2579" s="66"/>
      <c r="E2579" s="66"/>
      <c r="F2579" s="66"/>
      <c r="G2579" s="66"/>
      <c r="H2579" s="66"/>
    </row>
    <row r="2580" spans="1:8">
      <c r="A2580" s="66"/>
      <c r="B2580" s="66"/>
      <c r="C2580" s="66"/>
      <c r="D2580" s="66"/>
      <c r="E2580" s="66"/>
      <c r="F2580" s="66"/>
      <c r="G2580" s="66"/>
      <c r="H2580" s="66"/>
    </row>
    <row r="2581" spans="1:8">
      <c r="A2581" s="66"/>
      <c r="B2581" s="66"/>
      <c r="C2581" s="66"/>
      <c r="D2581" s="66"/>
      <c r="E2581" s="66"/>
      <c r="F2581" s="66"/>
      <c r="G2581" s="66"/>
      <c r="H2581" s="66"/>
    </row>
    <row r="2582" spans="1:8">
      <c r="A2582" s="66"/>
      <c r="B2582" s="66"/>
      <c r="C2582" s="66"/>
      <c r="D2582" s="66"/>
      <c r="E2582" s="66"/>
      <c r="F2582" s="66"/>
      <c r="G2582" s="66"/>
      <c r="H2582" s="66"/>
    </row>
    <row r="2583" spans="1:8">
      <c r="A2583" s="66"/>
      <c r="B2583" s="66"/>
      <c r="C2583" s="66"/>
      <c r="D2583" s="66"/>
      <c r="E2583" s="66"/>
      <c r="F2583" s="66"/>
      <c r="G2583" s="66"/>
      <c r="H2583" s="66"/>
    </row>
    <row r="2584" spans="1:8">
      <c r="A2584" s="66"/>
      <c r="B2584" s="66"/>
      <c r="C2584" s="66"/>
      <c r="D2584" s="66"/>
      <c r="E2584" s="66"/>
      <c r="F2584" s="66"/>
      <c r="G2584" s="66"/>
      <c r="H2584" s="66"/>
    </row>
    <row r="2585" spans="1:8">
      <c r="A2585" s="66"/>
      <c r="B2585" s="66"/>
      <c r="C2585" s="66"/>
      <c r="D2585" s="66"/>
      <c r="E2585" s="66"/>
      <c r="F2585" s="66"/>
      <c r="G2585" s="66"/>
      <c r="H2585" s="66"/>
    </row>
    <row r="2586" spans="1:8">
      <c r="A2586" s="66"/>
      <c r="B2586" s="66"/>
      <c r="C2586" s="66"/>
      <c r="D2586" s="66"/>
      <c r="E2586" s="66"/>
      <c r="F2586" s="66"/>
      <c r="G2586" s="66"/>
      <c r="H2586" s="66"/>
    </row>
    <row r="2587" spans="1:8">
      <c r="A2587" s="66"/>
      <c r="B2587" s="66"/>
      <c r="C2587" s="66"/>
      <c r="D2587" s="66"/>
      <c r="E2587" s="66"/>
      <c r="F2587" s="66"/>
      <c r="G2587" s="66"/>
      <c r="H2587" s="66"/>
    </row>
    <row r="2588" spans="1:8">
      <c r="A2588" s="66"/>
      <c r="B2588" s="66"/>
      <c r="C2588" s="66"/>
      <c r="D2588" s="66"/>
      <c r="E2588" s="66"/>
      <c r="F2588" s="66"/>
      <c r="G2588" s="66"/>
      <c r="H2588" s="66"/>
    </row>
    <row r="2589" spans="1:8">
      <c r="A2589" s="66"/>
      <c r="B2589" s="66"/>
      <c r="C2589" s="66"/>
      <c r="D2589" s="66"/>
      <c r="E2589" s="66"/>
      <c r="F2589" s="66"/>
      <c r="G2589" s="66"/>
      <c r="H2589" s="66"/>
    </row>
    <row r="2590" spans="1:8">
      <c r="A2590" s="66"/>
      <c r="B2590" s="66"/>
      <c r="C2590" s="66"/>
      <c r="D2590" s="66"/>
      <c r="E2590" s="66"/>
      <c r="F2590" s="66"/>
      <c r="G2590" s="66"/>
      <c r="H2590" s="66"/>
    </row>
    <row r="2591" spans="1:8">
      <c r="A2591" s="66"/>
      <c r="B2591" s="66"/>
      <c r="C2591" s="66"/>
      <c r="D2591" s="66"/>
      <c r="E2591" s="66"/>
      <c r="F2591" s="66"/>
      <c r="G2591" s="66"/>
      <c r="H2591" s="66"/>
    </row>
    <row r="2592" spans="1:8">
      <c r="A2592" s="66"/>
      <c r="B2592" s="66"/>
      <c r="C2592" s="66"/>
      <c r="D2592" s="66"/>
      <c r="E2592" s="66"/>
      <c r="F2592" s="66"/>
      <c r="G2592" s="66"/>
      <c r="H2592" s="66"/>
    </row>
    <row r="2593" spans="1:8">
      <c r="A2593" s="66"/>
      <c r="B2593" s="66"/>
      <c r="C2593" s="66"/>
      <c r="D2593" s="66"/>
      <c r="E2593" s="66"/>
      <c r="F2593" s="66"/>
      <c r="G2593" s="66"/>
      <c r="H2593" s="66"/>
    </row>
    <row r="2594" spans="1:8">
      <c r="A2594" s="66"/>
      <c r="B2594" s="66"/>
      <c r="C2594" s="66"/>
      <c r="D2594" s="66"/>
      <c r="E2594" s="66"/>
      <c r="F2594" s="66"/>
      <c r="G2594" s="66"/>
      <c r="H2594" s="66"/>
    </row>
    <row r="2595" spans="1:8">
      <c r="A2595" s="66"/>
      <c r="B2595" s="66"/>
      <c r="C2595" s="66"/>
      <c r="D2595" s="66"/>
      <c r="E2595" s="66"/>
      <c r="F2595" s="66"/>
      <c r="G2595" s="66"/>
      <c r="H2595" s="66"/>
    </row>
    <row r="2596" spans="1:8">
      <c r="A2596" s="66"/>
      <c r="B2596" s="66"/>
      <c r="C2596" s="66"/>
      <c r="D2596" s="66"/>
      <c r="E2596" s="66"/>
      <c r="F2596" s="66"/>
      <c r="G2596" s="66"/>
      <c r="H2596" s="66"/>
    </row>
    <row r="2597" spans="1:8">
      <c r="A2597" s="66"/>
      <c r="B2597" s="66"/>
      <c r="C2597" s="66"/>
      <c r="D2597" s="66"/>
      <c r="E2597" s="66"/>
      <c r="F2597" s="66"/>
      <c r="G2597" s="66"/>
      <c r="H2597" s="66"/>
    </row>
    <row r="2598" spans="1:8">
      <c r="A2598" s="66"/>
      <c r="B2598" s="66"/>
      <c r="C2598" s="66"/>
      <c r="D2598" s="66"/>
      <c r="E2598" s="66"/>
      <c r="F2598" s="66"/>
      <c r="G2598" s="66"/>
      <c r="H2598" s="66"/>
    </row>
    <row r="2599" spans="1:8">
      <c r="A2599" s="66"/>
      <c r="B2599" s="66"/>
      <c r="C2599" s="66"/>
      <c r="D2599" s="66"/>
      <c r="E2599" s="66"/>
      <c r="F2599" s="66"/>
      <c r="G2599" s="66"/>
      <c r="H2599" s="66"/>
    </row>
    <row r="2600" spans="1:8">
      <c r="A2600" s="66"/>
      <c r="B2600" s="66"/>
      <c r="C2600" s="66"/>
      <c r="D2600" s="66"/>
      <c r="E2600" s="66"/>
      <c r="F2600" s="66"/>
      <c r="G2600" s="66"/>
      <c r="H2600" s="66"/>
    </row>
    <row r="2601" spans="1:8">
      <c r="A2601" s="66"/>
      <c r="B2601" s="66"/>
      <c r="C2601" s="66"/>
      <c r="D2601" s="66"/>
      <c r="E2601" s="66"/>
      <c r="F2601" s="66"/>
      <c r="G2601" s="66"/>
      <c r="H2601" s="66"/>
    </row>
    <row r="2602" spans="1:8">
      <c r="A2602" s="66"/>
      <c r="B2602" s="66"/>
      <c r="C2602" s="66"/>
      <c r="D2602" s="66"/>
      <c r="E2602" s="66"/>
      <c r="F2602" s="66"/>
      <c r="G2602" s="66"/>
      <c r="H2602" s="66"/>
    </row>
    <row r="2603" spans="1:8">
      <c r="A2603" s="66"/>
      <c r="B2603" s="66"/>
      <c r="C2603" s="66"/>
      <c r="D2603" s="66"/>
      <c r="E2603" s="66"/>
      <c r="F2603" s="66"/>
      <c r="G2603" s="66"/>
      <c r="H2603" s="66"/>
    </row>
    <row r="2604" spans="1:8">
      <c r="A2604" s="66"/>
      <c r="B2604" s="66"/>
      <c r="C2604" s="66"/>
      <c r="D2604" s="66"/>
      <c r="E2604" s="66"/>
      <c r="F2604" s="66"/>
      <c r="G2604" s="66"/>
      <c r="H2604" s="66"/>
    </row>
    <row r="2605" spans="1:8">
      <c r="A2605" s="66"/>
      <c r="B2605" s="66"/>
      <c r="C2605" s="66"/>
      <c r="D2605" s="66"/>
      <c r="E2605" s="66"/>
      <c r="F2605" s="66"/>
      <c r="G2605" s="66"/>
      <c r="H2605" s="66"/>
    </row>
    <row r="2606" spans="1:8">
      <c r="A2606" s="66"/>
      <c r="B2606" s="66"/>
      <c r="C2606" s="66"/>
      <c r="D2606" s="66"/>
      <c r="E2606" s="66"/>
      <c r="F2606" s="66"/>
      <c r="G2606" s="66"/>
      <c r="H2606" s="66"/>
    </row>
    <row r="2607" spans="1:8">
      <c r="A2607" s="66"/>
      <c r="B2607" s="66"/>
      <c r="C2607" s="66"/>
      <c r="D2607" s="66"/>
      <c r="E2607" s="66"/>
      <c r="F2607" s="66"/>
      <c r="G2607" s="66"/>
      <c r="H2607" s="66"/>
    </row>
    <row r="2608" spans="1:8">
      <c r="A2608" s="66"/>
      <c r="B2608" s="66"/>
      <c r="C2608" s="66"/>
      <c r="D2608" s="66"/>
      <c r="E2608" s="66"/>
      <c r="F2608" s="66"/>
      <c r="G2608" s="66"/>
      <c r="H2608" s="66"/>
    </row>
    <row r="2609" spans="1:8">
      <c r="A2609" s="66"/>
      <c r="B2609" s="66"/>
      <c r="C2609" s="66"/>
      <c r="D2609" s="66"/>
      <c r="E2609" s="66"/>
      <c r="F2609" s="66"/>
      <c r="G2609" s="66"/>
      <c r="H2609" s="66"/>
    </row>
    <row r="2610" spans="1:8">
      <c r="A2610" s="66"/>
      <c r="B2610" s="66"/>
      <c r="C2610" s="66"/>
      <c r="D2610" s="66"/>
      <c r="E2610" s="66"/>
      <c r="F2610" s="66"/>
      <c r="G2610" s="66"/>
      <c r="H2610" s="66"/>
    </row>
    <row r="2611" spans="1:8">
      <c r="A2611" s="66"/>
      <c r="B2611" s="66"/>
      <c r="C2611" s="66"/>
      <c r="D2611" s="66"/>
      <c r="E2611" s="66"/>
      <c r="F2611" s="66"/>
      <c r="G2611" s="66"/>
      <c r="H2611" s="66"/>
    </row>
    <row r="2612" spans="1:8">
      <c r="A2612" s="66"/>
      <c r="B2612" s="66"/>
      <c r="C2612" s="66"/>
      <c r="D2612" s="66"/>
      <c r="E2612" s="66"/>
      <c r="F2612" s="66"/>
      <c r="G2612" s="66"/>
      <c r="H2612" s="66"/>
    </row>
    <row r="2613" spans="1:8">
      <c r="A2613" s="66"/>
      <c r="B2613" s="66"/>
      <c r="C2613" s="66"/>
      <c r="D2613" s="66"/>
      <c r="E2613" s="66"/>
      <c r="F2613" s="66"/>
      <c r="G2613" s="66"/>
      <c r="H2613" s="66"/>
    </row>
    <row r="2614" spans="1:8">
      <c r="A2614" s="66"/>
      <c r="B2614" s="66"/>
      <c r="C2614" s="66"/>
      <c r="D2614" s="66"/>
      <c r="E2614" s="66"/>
      <c r="F2614" s="66"/>
      <c r="G2614" s="66"/>
      <c r="H2614" s="66"/>
    </row>
    <row r="2615" spans="1:8">
      <c r="A2615" s="66"/>
      <c r="B2615" s="66"/>
      <c r="C2615" s="66"/>
      <c r="D2615" s="66"/>
      <c r="E2615" s="66"/>
      <c r="F2615" s="66"/>
      <c r="G2615" s="66"/>
      <c r="H2615" s="66"/>
    </row>
    <row r="2616" spans="1:8">
      <c r="A2616" s="66"/>
      <c r="B2616" s="66"/>
      <c r="C2616" s="66"/>
      <c r="D2616" s="66"/>
      <c r="E2616" s="66"/>
      <c r="F2616" s="66"/>
      <c r="G2616" s="66"/>
      <c r="H2616" s="66"/>
    </row>
    <row r="2617" spans="1:8">
      <c r="A2617" s="66"/>
      <c r="B2617" s="66"/>
      <c r="C2617" s="66"/>
      <c r="D2617" s="66"/>
      <c r="E2617" s="66"/>
      <c r="F2617" s="66"/>
      <c r="G2617" s="66"/>
      <c r="H2617" s="66"/>
    </row>
    <row r="2618" spans="1:8">
      <c r="A2618" s="66"/>
      <c r="B2618" s="66"/>
      <c r="C2618" s="66"/>
      <c r="D2618" s="66"/>
      <c r="E2618" s="66"/>
      <c r="F2618" s="66"/>
      <c r="G2618" s="66"/>
      <c r="H2618" s="66"/>
    </row>
    <row r="2619" spans="1:8">
      <c r="A2619" s="66"/>
      <c r="B2619" s="66"/>
      <c r="C2619" s="66"/>
      <c r="D2619" s="66"/>
      <c r="E2619" s="66"/>
      <c r="F2619" s="66"/>
      <c r="G2619" s="66"/>
      <c r="H2619" s="66"/>
    </row>
    <row r="2620" spans="1:8">
      <c r="A2620" s="66"/>
      <c r="B2620" s="66"/>
      <c r="C2620" s="66"/>
      <c r="D2620" s="66"/>
      <c r="E2620" s="66"/>
      <c r="F2620" s="66"/>
      <c r="G2620" s="66"/>
      <c r="H2620" s="66"/>
    </row>
    <row r="2621" spans="1:8">
      <c r="A2621" s="66"/>
      <c r="B2621" s="66"/>
      <c r="C2621" s="66"/>
      <c r="D2621" s="66"/>
      <c r="E2621" s="66"/>
      <c r="F2621" s="66"/>
      <c r="G2621" s="66"/>
      <c r="H2621" s="66"/>
    </row>
    <row r="2622" spans="1:8">
      <c r="A2622" s="66"/>
      <c r="B2622" s="66"/>
      <c r="C2622" s="66"/>
      <c r="D2622" s="66"/>
      <c r="E2622" s="66"/>
      <c r="F2622" s="66"/>
      <c r="G2622" s="66"/>
      <c r="H2622" s="66"/>
    </row>
    <row r="2623" spans="1:8">
      <c r="A2623" s="66"/>
      <c r="B2623" s="66"/>
      <c r="C2623" s="66"/>
      <c r="D2623" s="66"/>
      <c r="E2623" s="66"/>
      <c r="F2623" s="66"/>
      <c r="G2623" s="66"/>
      <c r="H2623" s="66"/>
    </row>
    <row r="2624" spans="1:8">
      <c r="A2624" s="66"/>
      <c r="B2624" s="66"/>
      <c r="C2624" s="66"/>
      <c r="D2624" s="66"/>
      <c r="E2624" s="66"/>
      <c r="F2624" s="66"/>
      <c r="G2624" s="66"/>
      <c r="H2624" s="66"/>
    </row>
    <row r="2625" spans="1:8">
      <c r="A2625" s="66"/>
      <c r="B2625" s="66"/>
      <c r="C2625" s="66"/>
      <c r="D2625" s="66"/>
      <c r="E2625" s="66"/>
      <c r="F2625" s="66"/>
      <c r="G2625" s="66"/>
      <c r="H2625" s="66"/>
    </row>
    <row r="2626" spans="1:8">
      <c r="A2626" s="66"/>
      <c r="B2626" s="66"/>
      <c r="C2626" s="66"/>
      <c r="D2626" s="66"/>
      <c r="E2626" s="66"/>
      <c r="F2626" s="66"/>
      <c r="G2626" s="66"/>
      <c r="H2626" s="66"/>
    </row>
    <row r="2627" spans="1:8">
      <c r="A2627" s="66"/>
      <c r="B2627" s="66"/>
      <c r="C2627" s="66"/>
      <c r="D2627" s="66"/>
      <c r="E2627" s="66"/>
      <c r="F2627" s="66"/>
      <c r="G2627" s="66"/>
      <c r="H2627" s="66"/>
    </row>
    <row r="2628" spans="1:8">
      <c r="A2628" s="66"/>
      <c r="B2628" s="66"/>
      <c r="C2628" s="66"/>
      <c r="D2628" s="66"/>
      <c r="E2628" s="66"/>
      <c r="F2628" s="66"/>
      <c r="G2628" s="66"/>
      <c r="H2628" s="66"/>
    </row>
    <row r="2629" spans="1:8">
      <c r="A2629" s="66"/>
      <c r="B2629" s="66"/>
      <c r="C2629" s="66"/>
      <c r="D2629" s="66"/>
      <c r="E2629" s="66"/>
      <c r="F2629" s="66"/>
      <c r="G2629" s="66"/>
      <c r="H2629" s="66"/>
    </row>
    <row r="2630" spans="1:8">
      <c r="A2630" s="66"/>
      <c r="B2630" s="66"/>
      <c r="C2630" s="66"/>
      <c r="D2630" s="66"/>
      <c r="E2630" s="66"/>
      <c r="F2630" s="66"/>
      <c r="G2630" s="66"/>
      <c r="H2630" s="66"/>
    </row>
    <row r="2631" spans="1:8">
      <c r="A2631" s="66"/>
      <c r="B2631" s="66"/>
      <c r="C2631" s="66"/>
      <c r="D2631" s="66"/>
      <c r="E2631" s="66"/>
      <c r="F2631" s="66"/>
      <c r="G2631" s="66"/>
      <c r="H2631" s="66"/>
    </row>
    <row r="2632" spans="1:8">
      <c r="A2632" s="66"/>
      <c r="B2632" s="66"/>
      <c r="C2632" s="66"/>
      <c r="D2632" s="66"/>
      <c r="E2632" s="66"/>
      <c r="F2632" s="66"/>
      <c r="G2632" s="66"/>
      <c r="H2632" s="66"/>
    </row>
    <row r="2633" spans="1:8">
      <c r="A2633" s="66"/>
      <c r="B2633" s="66"/>
      <c r="C2633" s="66"/>
      <c r="D2633" s="66"/>
      <c r="E2633" s="66"/>
      <c r="F2633" s="66"/>
      <c r="G2633" s="66"/>
      <c r="H2633" s="66"/>
    </row>
    <row r="2634" spans="1:8">
      <c r="A2634" s="66"/>
      <c r="B2634" s="66"/>
      <c r="C2634" s="66"/>
      <c r="D2634" s="66"/>
      <c r="E2634" s="66"/>
      <c r="F2634" s="66"/>
      <c r="G2634" s="66"/>
      <c r="H2634" s="66"/>
    </row>
    <row r="2635" spans="1:8">
      <c r="A2635" s="66"/>
      <c r="B2635" s="66"/>
      <c r="C2635" s="66"/>
      <c r="D2635" s="66"/>
      <c r="E2635" s="66"/>
      <c r="F2635" s="66"/>
      <c r="G2635" s="66"/>
      <c r="H2635" s="66"/>
    </row>
    <row r="2636" spans="1:8">
      <c r="A2636" s="66"/>
      <c r="B2636" s="66"/>
      <c r="C2636" s="66"/>
      <c r="D2636" s="66"/>
      <c r="E2636" s="66"/>
      <c r="F2636" s="66"/>
      <c r="G2636" s="66"/>
      <c r="H2636" s="66"/>
    </row>
    <row r="2637" spans="1:8">
      <c r="A2637" s="66"/>
      <c r="B2637" s="66"/>
      <c r="C2637" s="66"/>
      <c r="D2637" s="66"/>
      <c r="E2637" s="66"/>
      <c r="F2637" s="66"/>
      <c r="G2637" s="66"/>
      <c r="H2637" s="66"/>
    </row>
    <row r="2638" spans="1:8">
      <c r="A2638" s="66"/>
      <c r="B2638" s="66"/>
      <c r="C2638" s="66"/>
      <c r="D2638" s="66"/>
      <c r="E2638" s="66"/>
      <c r="F2638" s="66"/>
      <c r="G2638" s="66"/>
      <c r="H2638" s="66"/>
    </row>
    <row r="2639" spans="1:8">
      <c r="A2639" s="66"/>
      <c r="B2639" s="66"/>
      <c r="C2639" s="66"/>
      <c r="D2639" s="66"/>
      <c r="E2639" s="66"/>
      <c r="F2639" s="66"/>
      <c r="G2639" s="66"/>
      <c r="H2639" s="66"/>
    </row>
    <row r="2640" spans="1:8">
      <c r="A2640" s="66"/>
      <c r="B2640" s="66"/>
      <c r="C2640" s="66"/>
      <c r="D2640" s="66"/>
      <c r="E2640" s="66"/>
      <c r="F2640" s="66"/>
      <c r="G2640" s="66"/>
      <c r="H2640" s="66"/>
    </row>
    <row r="2641" spans="1:8">
      <c r="A2641" s="66"/>
      <c r="B2641" s="66"/>
      <c r="C2641" s="66"/>
      <c r="D2641" s="66"/>
      <c r="E2641" s="66"/>
      <c r="F2641" s="66"/>
      <c r="G2641" s="66"/>
      <c r="H2641" s="66"/>
    </row>
    <row r="2642" spans="1:8">
      <c r="A2642" s="66"/>
      <c r="B2642" s="66"/>
      <c r="C2642" s="66"/>
      <c r="D2642" s="66"/>
      <c r="E2642" s="66"/>
      <c r="F2642" s="66"/>
      <c r="G2642" s="66"/>
      <c r="H2642" s="66"/>
    </row>
    <row r="2643" spans="1:8">
      <c r="A2643" s="66"/>
      <c r="B2643" s="66"/>
      <c r="C2643" s="66"/>
      <c r="D2643" s="66"/>
      <c r="E2643" s="66"/>
      <c r="F2643" s="66"/>
      <c r="G2643" s="66"/>
      <c r="H2643" s="66"/>
    </row>
    <row r="2644" spans="1:8">
      <c r="A2644" s="66"/>
      <c r="B2644" s="66"/>
      <c r="C2644" s="66"/>
      <c r="D2644" s="66"/>
      <c r="E2644" s="66"/>
      <c r="F2644" s="66"/>
      <c r="G2644" s="66"/>
      <c r="H2644" s="66"/>
    </row>
    <row r="2645" spans="1:8">
      <c r="A2645" s="66"/>
      <c r="B2645" s="66"/>
      <c r="C2645" s="66"/>
      <c r="D2645" s="66"/>
      <c r="E2645" s="66"/>
      <c r="F2645" s="66"/>
      <c r="G2645" s="66"/>
      <c r="H2645" s="66"/>
    </row>
    <row r="2646" spans="1:8">
      <c r="A2646" s="66"/>
      <c r="B2646" s="66"/>
      <c r="C2646" s="66"/>
      <c r="D2646" s="66"/>
      <c r="E2646" s="66"/>
      <c r="F2646" s="66"/>
      <c r="G2646" s="66"/>
      <c r="H2646" s="66"/>
    </row>
    <row r="2647" spans="1:8">
      <c r="A2647" s="66"/>
      <c r="B2647" s="66"/>
      <c r="C2647" s="66"/>
      <c r="D2647" s="66"/>
      <c r="E2647" s="66"/>
      <c r="F2647" s="66"/>
      <c r="G2647" s="66"/>
      <c r="H2647" s="66"/>
    </row>
    <row r="2648" spans="1:8">
      <c r="A2648" s="66"/>
      <c r="B2648" s="66"/>
      <c r="C2648" s="66"/>
      <c r="D2648" s="66"/>
      <c r="E2648" s="66"/>
      <c r="F2648" s="66"/>
      <c r="G2648" s="66"/>
      <c r="H2648" s="66"/>
    </row>
    <row r="2649" spans="1:8">
      <c r="A2649" s="66"/>
      <c r="B2649" s="66"/>
      <c r="C2649" s="66"/>
      <c r="D2649" s="66"/>
      <c r="E2649" s="66"/>
      <c r="F2649" s="66"/>
      <c r="G2649" s="66"/>
      <c r="H2649" s="66"/>
    </row>
    <row r="2650" spans="1:8">
      <c r="A2650" s="66"/>
      <c r="B2650" s="66"/>
      <c r="C2650" s="66"/>
      <c r="D2650" s="66"/>
      <c r="E2650" s="66"/>
      <c r="F2650" s="66"/>
      <c r="G2650" s="66"/>
      <c r="H2650" s="66"/>
    </row>
    <row r="2651" spans="1:8">
      <c r="A2651" s="66"/>
      <c r="B2651" s="66"/>
      <c r="C2651" s="66"/>
      <c r="D2651" s="66"/>
      <c r="E2651" s="66"/>
      <c r="F2651" s="66"/>
      <c r="G2651" s="66"/>
      <c r="H2651" s="66"/>
    </row>
    <row r="2652" spans="1:8">
      <c r="A2652" s="66"/>
      <c r="B2652" s="66"/>
      <c r="C2652" s="66"/>
      <c r="D2652" s="66"/>
      <c r="E2652" s="66"/>
      <c r="F2652" s="66"/>
      <c r="G2652" s="66"/>
      <c r="H2652" s="66"/>
    </row>
    <row r="2653" spans="1:8">
      <c r="A2653" s="66"/>
      <c r="B2653" s="66"/>
      <c r="C2653" s="66"/>
      <c r="D2653" s="66"/>
      <c r="E2653" s="66"/>
      <c r="F2653" s="66"/>
      <c r="G2653" s="66"/>
      <c r="H2653" s="66"/>
    </row>
    <row r="2654" spans="1:8">
      <c r="A2654" s="66"/>
      <c r="B2654" s="66"/>
      <c r="C2654" s="66"/>
      <c r="D2654" s="66"/>
      <c r="E2654" s="66"/>
      <c r="F2654" s="66"/>
      <c r="G2654" s="66"/>
      <c r="H2654" s="66"/>
    </row>
    <row r="2655" spans="1:8">
      <c r="A2655" s="66"/>
      <c r="B2655" s="66"/>
      <c r="C2655" s="66"/>
      <c r="D2655" s="66"/>
      <c r="E2655" s="66"/>
      <c r="F2655" s="66"/>
      <c r="G2655" s="66"/>
      <c r="H2655" s="66"/>
    </row>
    <row r="2656" spans="1:8">
      <c r="A2656" s="66"/>
      <c r="B2656" s="66"/>
      <c r="C2656" s="66"/>
      <c r="D2656" s="66"/>
      <c r="E2656" s="66"/>
      <c r="F2656" s="66"/>
      <c r="G2656" s="66"/>
      <c r="H2656" s="66"/>
    </row>
    <row r="2657" spans="1:8">
      <c r="A2657" s="66"/>
      <c r="B2657" s="66"/>
      <c r="C2657" s="66"/>
      <c r="D2657" s="66"/>
      <c r="E2657" s="66"/>
      <c r="F2657" s="66"/>
      <c r="G2657" s="66"/>
      <c r="H2657" s="66"/>
    </row>
    <row r="2658" spans="1:8">
      <c r="A2658" s="66"/>
      <c r="B2658" s="66"/>
      <c r="C2658" s="66"/>
      <c r="D2658" s="66"/>
      <c r="E2658" s="66"/>
      <c r="F2658" s="66"/>
      <c r="G2658" s="66"/>
      <c r="H2658" s="66"/>
    </row>
    <row r="2659" spans="1:8">
      <c r="A2659" s="66"/>
      <c r="B2659" s="66"/>
      <c r="C2659" s="66"/>
      <c r="D2659" s="66"/>
      <c r="E2659" s="66"/>
      <c r="F2659" s="66"/>
      <c r="G2659" s="66"/>
      <c r="H2659" s="66"/>
    </row>
    <row r="2660" spans="1:8">
      <c r="A2660" s="66"/>
      <c r="B2660" s="66"/>
      <c r="C2660" s="66"/>
      <c r="D2660" s="66"/>
      <c r="E2660" s="66"/>
      <c r="F2660" s="66"/>
      <c r="G2660" s="66"/>
      <c r="H2660" s="66"/>
    </row>
    <row r="2661" spans="1:8">
      <c r="A2661" s="66"/>
      <c r="B2661" s="66"/>
      <c r="C2661" s="66"/>
      <c r="D2661" s="66"/>
      <c r="E2661" s="66"/>
      <c r="F2661" s="66"/>
      <c r="G2661" s="66"/>
      <c r="H2661" s="66"/>
    </row>
    <row r="2662" spans="1:8">
      <c r="A2662" s="66"/>
      <c r="B2662" s="66"/>
      <c r="C2662" s="66"/>
      <c r="D2662" s="66"/>
      <c r="E2662" s="66"/>
      <c r="F2662" s="66"/>
      <c r="G2662" s="66"/>
      <c r="H2662" s="66"/>
    </row>
    <row r="2663" spans="1:8">
      <c r="A2663" s="66"/>
      <c r="B2663" s="66"/>
      <c r="C2663" s="66"/>
      <c r="D2663" s="66"/>
      <c r="E2663" s="66"/>
      <c r="F2663" s="66"/>
      <c r="G2663" s="66"/>
      <c r="H2663" s="66"/>
    </row>
    <row r="2664" spans="1:8">
      <c r="A2664" s="66"/>
      <c r="B2664" s="66"/>
      <c r="C2664" s="66"/>
      <c r="D2664" s="66"/>
      <c r="E2664" s="66"/>
      <c r="F2664" s="66"/>
      <c r="G2664" s="66"/>
      <c r="H2664" s="66"/>
    </row>
    <row r="2665" spans="1:8">
      <c r="A2665" s="66"/>
      <c r="B2665" s="66"/>
      <c r="C2665" s="66"/>
      <c r="D2665" s="66"/>
      <c r="E2665" s="66"/>
      <c r="F2665" s="66"/>
      <c r="G2665" s="66"/>
      <c r="H2665" s="66"/>
    </row>
    <row r="2666" spans="1:8">
      <c r="A2666" s="66"/>
      <c r="B2666" s="66"/>
      <c r="C2666" s="66"/>
      <c r="D2666" s="66"/>
      <c r="E2666" s="66"/>
      <c r="F2666" s="66"/>
      <c r="G2666" s="66"/>
      <c r="H2666" s="66"/>
    </row>
    <row r="2667" spans="1:8">
      <c r="A2667" s="66"/>
      <c r="B2667" s="66"/>
      <c r="C2667" s="66"/>
      <c r="D2667" s="66"/>
      <c r="E2667" s="66"/>
      <c r="F2667" s="66"/>
      <c r="G2667" s="66"/>
      <c r="H2667" s="66"/>
    </row>
    <row r="2668" spans="1:8">
      <c r="A2668" s="66"/>
      <c r="B2668" s="66"/>
      <c r="C2668" s="66"/>
      <c r="D2668" s="66"/>
      <c r="E2668" s="66"/>
      <c r="F2668" s="66"/>
      <c r="G2668" s="66"/>
      <c r="H2668" s="66"/>
    </row>
    <row r="2669" spans="1:8">
      <c r="A2669" s="66"/>
      <c r="B2669" s="66"/>
      <c r="C2669" s="66"/>
      <c r="D2669" s="66"/>
      <c r="E2669" s="66"/>
      <c r="F2669" s="66"/>
      <c r="G2669" s="66"/>
      <c r="H2669" s="66"/>
    </row>
    <row r="2670" spans="1:8">
      <c r="A2670" s="66"/>
      <c r="B2670" s="66"/>
      <c r="C2670" s="66"/>
      <c r="D2670" s="66"/>
      <c r="E2670" s="66"/>
      <c r="F2670" s="66"/>
      <c r="G2670" s="66"/>
      <c r="H2670" s="66"/>
    </row>
    <row r="2671" spans="1:8">
      <c r="A2671" s="66"/>
      <c r="B2671" s="66"/>
      <c r="C2671" s="66"/>
      <c r="D2671" s="66"/>
      <c r="E2671" s="66"/>
      <c r="F2671" s="66"/>
      <c r="G2671" s="66"/>
      <c r="H2671" s="66"/>
    </row>
    <row r="2672" spans="1:8">
      <c r="A2672" s="66"/>
      <c r="B2672" s="66"/>
      <c r="C2672" s="66"/>
      <c r="D2672" s="66"/>
      <c r="E2672" s="66"/>
      <c r="F2672" s="66"/>
      <c r="G2672" s="66"/>
      <c r="H2672" s="66"/>
    </row>
    <row r="2673" spans="1:8">
      <c r="A2673" s="66"/>
      <c r="B2673" s="66"/>
      <c r="C2673" s="66"/>
      <c r="D2673" s="66"/>
      <c r="E2673" s="66"/>
      <c r="F2673" s="66"/>
      <c r="G2673" s="66"/>
      <c r="H2673" s="66"/>
    </row>
    <row r="2674" spans="1:8">
      <c r="A2674" s="66"/>
      <c r="B2674" s="66"/>
      <c r="C2674" s="66"/>
      <c r="D2674" s="66"/>
      <c r="E2674" s="66"/>
      <c r="F2674" s="66"/>
      <c r="G2674" s="66"/>
      <c r="H2674" s="66"/>
    </row>
    <row r="2675" spans="1:8">
      <c r="A2675" s="66"/>
      <c r="B2675" s="66"/>
      <c r="C2675" s="66"/>
      <c r="D2675" s="66"/>
      <c r="E2675" s="66"/>
      <c r="F2675" s="66"/>
      <c r="G2675" s="66"/>
      <c r="H2675" s="66"/>
    </row>
    <row r="2676" spans="1:8">
      <c r="A2676" s="66"/>
      <c r="B2676" s="66"/>
      <c r="C2676" s="66"/>
      <c r="D2676" s="66"/>
      <c r="E2676" s="66"/>
      <c r="F2676" s="66"/>
      <c r="G2676" s="66"/>
      <c r="H2676" s="66"/>
    </row>
    <row r="2677" spans="1:8">
      <c r="A2677" s="66"/>
      <c r="B2677" s="66"/>
      <c r="C2677" s="66"/>
      <c r="D2677" s="66"/>
      <c r="E2677" s="66"/>
      <c r="F2677" s="66"/>
      <c r="G2677" s="66"/>
      <c r="H2677" s="66"/>
    </row>
    <row r="2678" spans="1:8">
      <c r="A2678" s="66"/>
      <c r="B2678" s="66"/>
      <c r="C2678" s="66"/>
      <c r="D2678" s="66"/>
      <c r="E2678" s="66"/>
      <c r="F2678" s="66"/>
      <c r="G2678" s="66"/>
      <c r="H2678" s="66"/>
    </row>
    <row r="2679" spans="1:8">
      <c r="A2679" s="66"/>
      <c r="B2679" s="66"/>
      <c r="C2679" s="66"/>
      <c r="D2679" s="66"/>
      <c r="E2679" s="66"/>
      <c r="F2679" s="66"/>
      <c r="G2679" s="66"/>
      <c r="H2679" s="66"/>
    </row>
    <row r="2680" spans="1:8">
      <c r="A2680" s="66"/>
      <c r="B2680" s="66"/>
      <c r="C2680" s="66"/>
      <c r="D2680" s="66"/>
      <c r="E2680" s="66"/>
      <c r="F2680" s="66"/>
      <c r="G2680" s="66"/>
      <c r="H2680" s="66"/>
    </row>
    <row r="2681" spans="1:8">
      <c r="A2681" s="66"/>
      <c r="B2681" s="66"/>
      <c r="C2681" s="66"/>
      <c r="D2681" s="66"/>
      <c r="E2681" s="66"/>
      <c r="F2681" s="66"/>
      <c r="G2681" s="66"/>
      <c r="H2681" s="66"/>
    </row>
    <row r="2682" spans="1:8">
      <c r="A2682" s="66"/>
      <c r="B2682" s="66"/>
      <c r="C2682" s="66"/>
      <c r="D2682" s="66"/>
      <c r="E2682" s="66"/>
      <c r="F2682" s="66"/>
      <c r="G2682" s="66"/>
      <c r="H2682" s="66"/>
    </row>
    <row r="2683" spans="1:8">
      <c r="A2683" s="66"/>
      <c r="B2683" s="66"/>
      <c r="C2683" s="66"/>
      <c r="D2683" s="66"/>
      <c r="E2683" s="66"/>
      <c r="F2683" s="66"/>
      <c r="G2683" s="66"/>
      <c r="H2683" s="66"/>
    </row>
    <row r="2684" spans="1:8">
      <c r="A2684" s="66"/>
      <c r="B2684" s="66"/>
      <c r="C2684" s="66"/>
      <c r="D2684" s="66"/>
      <c r="E2684" s="66"/>
      <c r="F2684" s="66"/>
      <c r="G2684" s="66"/>
      <c r="H2684" s="66"/>
    </row>
    <row r="2685" spans="1:8">
      <c r="A2685" s="66"/>
      <c r="B2685" s="66"/>
      <c r="C2685" s="66"/>
      <c r="D2685" s="66"/>
      <c r="E2685" s="66"/>
      <c r="F2685" s="66"/>
      <c r="G2685" s="66"/>
      <c r="H2685" s="66"/>
    </row>
    <row r="2686" spans="1:8">
      <c r="A2686" s="66"/>
      <c r="B2686" s="66"/>
      <c r="C2686" s="66"/>
      <c r="D2686" s="66"/>
      <c r="E2686" s="66"/>
      <c r="F2686" s="66"/>
      <c r="G2686" s="66"/>
      <c r="H2686" s="66"/>
    </row>
    <row r="2687" spans="1:8">
      <c r="A2687" s="66"/>
      <c r="B2687" s="66"/>
      <c r="C2687" s="66"/>
      <c r="D2687" s="66"/>
      <c r="E2687" s="66"/>
      <c r="F2687" s="66"/>
      <c r="G2687" s="66"/>
      <c r="H2687" s="66"/>
    </row>
    <row r="2688" spans="1:8">
      <c r="A2688" s="66"/>
      <c r="B2688" s="66"/>
      <c r="C2688" s="66"/>
      <c r="D2688" s="66"/>
      <c r="E2688" s="66"/>
      <c r="F2688" s="66"/>
      <c r="G2688" s="66"/>
      <c r="H2688" s="66"/>
    </row>
    <row r="2689" spans="1:8">
      <c r="A2689" s="66"/>
      <c r="B2689" s="66"/>
      <c r="C2689" s="66"/>
      <c r="D2689" s="66"/>
      <c r="E2689" s="66"/>
      <c r="F2689" s="66"/>
      <c r="G2689" s="66"/>
      <c r="H2689" s="66"/>
    </row>
    <row r="2690" spans="1:8">
      <c r="A2690" s="66"/>
      <c r="B2690" s="66"/>
      <c r="C2690" s="66"/>
      <c r="D2690" s="66"/>
      <c r="E2690" s="66"/>
      <c r="F2690" s="66"/>
      <c r="G2690" s="66"/>
      <c r="H2690" s="66"/>
    </row>
    <row r="2691" spans="1:8">
      <c r="A2691" s="66"/>
      <c r="B2691" s="66"/>
      <c r="C2691" s="66"/>
      <c r="D2691" s="66"/>
      <c r="E2691" s="66"/>
      <c r="F2691" s="66"/>
      <c r="G2691" s="66"/>
      <c r="H2691" s="66"/>
    </row>
    <row r="2692" spans="1:8">
      <c r="A2692" s="66"/>
      <c r="B2692" s="66"/>
      <c r="C2692" s="66"/>
      <c r="D2692" s="66"/>
      <c r="E2692" s="66"/>
      <c r="F2692" s="66"/>
      <c r="G2692" s="66"/>
      <c r="H2692" s="66"/>
    </row>
    <row r="2693" spans="1:8">
      <c r="A2693" s="66"/>
      <c r="B2693" s="66"/>
      <c r="C2693" s="66"/>
      <c r="D2693" s="66"/>
      <c r="E2693" s="66"/>
      <c r="F2693" s="66"/>
      <c r="G2693" s="66"/>
      <c r="H2693" s="66"/>
    </row>
    <row r="2694" spans="1:8">
      <c r="A2694" s="66"/>
      <c r="B2694" s="66"/>
      <c r="C2694" s="66"/>
      <c r="D2694" s="66"/>
      <c r="E2694" s="66"/>
      <c r="F2694" s="66"/>
      <c r="G2694" s="66"/>
      <c r="H2694" s="66"/>
    </row>
    <row r="2695" spans="1:8">
      <c r="A2695" s="66"/>
      <c r="B2695" s="66"/>
      <c r="C2695" s="66"/>
      <c r="D2695" s="66"/>
      <c r="E2695" s="66"/>
      <c r="F2695" s="66"/>
      <c r="G2695" s="66"/>
      <c r="H2695" s="66"/>
    </row>
    <row r="2696" spans="1:8">
      <c r="A2696" s="66"/>
      <c r="B2696" s="66"/>
      <c r="C2696" s="66"/>
      <c r="D2696" s="66"/>
      <c r="E2696" s="66"/>
      <c r="F2696" s="66"/>
      <c r="G2696" s="66"/>
      <c r="H2696" s="66"/>
    </row>
    <row r="2697" spans="1:8">
      <c r="A2697" s="66"/>
      <c r="B2697" s="66"/>
      <c r="C2697" s="66"/>
      <c r="D2697" s="66"/>
      <c r="E2697" s="66"/>
      <c r="F2697" s="66"/>
      <c r="G2697" s="66"/>
      <c r="H2697" s="66"/>
    </row>
    <row r="2698" spans="1:8">
      <c r="A2698" s="66"/>
      <c r="B2698" s="66"/>
      <c r="C2698" s="66"/>
      <c r="D2698" s="66"/>
      <c r="E2698" s="66"/>
      <c r="F2698" s="66"/>
      <c r="G2698" s="66"/>
      <c r="H2698" s="66"/>
    </row>
    <row r="2699" spans="1:8">
      <c r="A2699" s="66"/>
      <c r="B2699" s="66"/>
      <c r="C2699" s="66"/>
      <c r="D2699" s="66"/>
      <c r="E2699" s="66"/>
      <c r="F2699" s="66"/>
      <c r="G2699" s="66"/>
      <c r="H2699" s="66"/>
    </row>
    <row r="2700" spans="1:8">
      <c r="A2700" s="66"/>
      <c r="B2700" s="66"/>
      <c r="C2700" s="66"/>
      <c r="D2700" s="66"/>
      <c r="E2700" s="66"/>
      <c r="F2700" s="66"/>
      <c r="G2700" s="66"/>
      <c r="H2700" s="66"/>
    </row>
    <row r="2701" spans="1:8">
      <c r="A2701" s="66"/>
      <c r="B2701" s="66"/>
      <c r="C2701" s="66"/>
      <c r="D2701" s="66"/>
      <c r="E2701" s="66"/>
      <c r="F2701" s="66"/>
      <c r="G2701" s="66"/>
      <c r="H2701" s="66"/>
    </row>
    <row r="2702" spans="1:8">
      <c r="A2702" s="66"/>
      <c r="B2702" s="66"/>
      <c r="C2702" s="66"/>
      <c r="D2702" s="66"/>
      <c r="E2702" s="66"/>
      <c r="F2702" s="66"/>
      <c r="G2702" s="66"/>
      <c r="H2702" s="66"/>
    </row>
    <row r="2703" spans="1:8">
      <c r="A2703" s="66"/>
      <c r="B2703" s="66"/>
      <c r="C2703" s="66"/>
      <c r="D2703" s="66"/>
      <c r="E2703" s="66"/>
      <c r="F2703" s="66"/>
      <c r="G2703" s="66"/>
      <c r="H2703" s="66"/>
    </row>
    <row r="2704" spans="1:8">
      <c r="A2704" s="66"/>
      <c r="B2704" s="66"/>
      <c r="C2704" s="66"/>
      <c r="D2704" s="66"/>
      <c r="E2704" s="66"/>
      <c r="F2704" s="66"/>
      <c r="G2704" s="66"/>
      <c r="H2704" s="66"/>
    </row>
    <row r="2705" spans="1:8">
      <c r="A2705" s="66"/>
      <c r="B2705" s="66"/>
      <c r="C2705" s="66"/>
      <c r="D2705" s="66"/>
      <c r="E2705" s="66"/>
      <c r="F2705" s="66"/>
      <c r="G2705" s="66"/>
      <c r="H2705" s="66"/>
    </row>
    <row r="2706" spans="1:8">
      <c r="A2706" s="66"/>
      <c r="B2706" s="66"/>
      <c r="C2706" s="66"/>
      <c r="D2706" s="66"/>
      <c r="E2706" s="66"/>
      <c r="F2706" s="66"/>
      <c r="G2706" s="66"/>
      <c r="H2706" s="66"/>
    </row>
    <row r="2707" spans="1:8">
      <c r="A2707" s="66"/>
      <c r="B2707" s="66"/>
      <c r="C2707" s="66"/>
      <c r="D2707" s="66"/>
      <c r="E2707" s="66"/>
      <c r="F2707" s="66"/>
      <c r="G2707" s="66"/>
      <c r="H2707" s="66"/>
    </row>
    <row r="2708" spans="1:8">
      <c r="A2708" s="66"/>
      <c r="B2708" s="66"/>
      <c r="C2708" s="66"/>
      <c r="D2708" s="66"/>
      <c r="E2708" s="66"/>
      <c r="F2708" s="66"/>
      <c r="G2708" s="66"/>
      <c r="H2708" s="66"/>
    </row>
    <row r="2709" spans="1:8">
      <c r="A2709" s="66"/>
      <c r="B2709" s="66"/>
      <c r="C2709" s="66"/>
      <c r="D2709" s="66"/>
      <c r="E2709" s="66"/>
      <c r="F2709" s="66"/>
      <c r="G2709" s="66"/>
      <c r="H2709" s="66"/>
    </row>
    <row r="2710" spans="1:8">
      <c r="A2710" s="66"/>
      <c r="B2710" s="66"/>
      <c r="C2710" s="66"/>
      <c r="D2710" s="66"/>
      <c r="E2710" s="66"/>
      <c r="F2710" s="66"/>
      <c r="G2710" s="66"/>
      <c r="H2710" s="66"/>
    </row>
    <row r="2711" spans="1:8">
      <c r="A2711" s="66"/>
      <c r="B2711" s="66"/>
      <c r="C2711" s="66"/>
      <c r="D2711" s="66"/>
      <c r="E2711" s="66"/>
      <c r="F2711" s="66"/>
      <c r="G2711" s="66"/>
      <c r="H2711" s="66"/>
    </row>
    <row r="2712" spans="1:8">
      <c r="A2712" s="66"/>
      <c r="B2712" s="66"/>
      <c r="C2712" s="66"/>
      <c r="D2712" s="66"/>
      <c r="E2712" s="66"/>
      <c r="F2712" s="66"/>
      <c r="G2712" s="66"/>
      <c r="H2712" s="66"/>
    </row>
    <row r="2713" spans="1:8">
      <c r="A2713" s="66"/>
      <c r="B2713" s="66"/>
      <c r="C2713" s="66"/>
      <c r="D2713" s="66"/>
      <c r="E2713" s="66"/>
      <c r="F2713" s="66"/>
      <c r="G2713" s="66"/>
      <c r="H2713" s="66"/>
    </row>
    <row r="2714" spans="1:8">
      <c r="A2714" s="66"/>
      <c r="B2714" s="66"/>
      <c r="C2714" s="66"/>
      <c r="D2714" s="66"/>
      <c r="E2714" s="66"/>
      <c r="F2714" s="66"/>
      <c r="G2714" s="66"/>
      <c r="H2714" s="66"/>
    </row>
    <row r="2715" spans="1:8">
      <c r="A2715" s="66"/>
      <c r="B2715" s="66"/>
      <c r="C2715" s="66"/>
      <c r="D2715" s="66"/>
      <c r="E2715" s="66"/>
      <c r="F2715" s="66"/>
      <c r="G2715" s="66"/>
      <c r="H2715" s="66"/>
    </row>
    <row r="2716" spans="1:8">
      <c r="A2716" s="66"/>
      <c r="B2716" s="66"/>
      <c r="C2716" s="66"/>
      <c r="D2716" s="66"/>
      <c r="E2716" s="66"/>
      <c r="F2716" s="66"/>
      <c r="G2716" s="66"/>
      <c r="H2716" s="66"/>
    </row>
    <row r="2717" spans="1:8">
      <c r="A2717" s="66"/>
      <c r="B2717" s="66"/>
      <c r="C2717" s="66"/>
      <c r="D2717" s="66"/>
      <c r="E2717" s="66"/>
      <c r="F2717" s="66"/>
      <c r="G2717" s="66"/>
      <c r="H2717" s="66"/>
    </row>
    <row r="2718" spans="1:8">
      <c r="A2718" s="66"/>
      <c r="B2718" s="66"/>
      <c r="C2718" s="66"/>
      <c r="D2718" s="66"/>
      <c r="E2718" s="66"/>
      <c r="F2718" s="66"/>
      <c r="G2718" s="66"/>
      <c r="H2718" s="66"/>
    </row>
    <row r="2719" spans="1:8">
      <c r="A2719" s="66"/>
      <c r="B2719" s="66"/>
      <c r="C2719" s="66"/>
      <c r="D2719" s="66"/>
      <c r="E2719" s="66"/>
      <c r="F2719" s="66"/>
      <c r="G2719" s="66"/>
      <c r="H2719" s="66"/>
    </row>
    <row r="2720" spans="1:8">
      <c r="A2720" s="66"/>
      <c r="B2720" s="66"/>
      <c r="C2720" s="66"/>
      <c r="D2720" s="66"/>
      <c r="E2720" s="66"/>
      <c r="F2720" s="66"/>
      <c r="G2720" s="66"/>
      <c r="H2720" s="66"/>
    </row>
    <row r="2721" spans="1:8">
      <c r="A2721" s="66"/>
      <c r="B2721" s="66"/>
      <c r="C2721" s="66"/>
      <c r="D2721" s="66"/>
      <c r="E2721" s="66"/>
      <c r="F2721" s="66"/>
      <c r="G2721" s="66"/>
      <c r="H2721" s="66"/>
    </row>
    <row r="2722" spans="1:8">
      <c r="A2722" s="66"/>
      <c r="B2722" s="66"/>
      <c r="C2722" s="66"/>
      <c r="D2722" s="66"/>
      <c r="E2722" s="66"/>
      <c r="F2722" s="66"/>
      <c r="G2722" s="66"/>
      <c r="H2722" s="66"/>
    </row>
    <row r="2723" spans="1:8">
      <c r="A2723" s="66"/>
      <c r="B2723" s="66"/>
      <c r="C2723" s="66"/>
      <c r="D2723" s="66"/>
      <c r="E2723" s="66"/>
      <c r="F2723" s="66"/>
      <c r="G2723" s="66"/>
      <c r="H2723" s="66"/>
    </row>
    <row r="2724" spans="1:8">
      <c r="A2724" s="66"/>
      <c r="B2724" s="66"/>
      <c r="C2724" s="66"/>
      <c r="D2724" s="66"/>
      <c r="E2724" s="66"/>
      <c r="F2724" s="66"/>
      <c r="G2724" s="66"/>
      <c r="H2724" s="66"/>
    </row>
    <row r="2725" spans="1:8">
      <c r="A2725" s="66"/>
      <c r="B2725" s="66"/>
      <c r="C2725" s="66"/>
      <c r="D2725" s="66"/>
      <c r="E2725" s="66"/>
      <c r="F2725" s="66"/>
      <c r="G2725" s="66"/>
      <c r="H2725" s="66"/>
    </row>
    <row r="2726" spans="1:8">
      <c r="A2726" s="66"/>
      <c r="B2726" s="66"/>
      <c r="C2726" s="66"/>
      <c r="D2726" s="66"/>
      <c r="E2726" s="66"/>
      <c r="F2726" s="66"/>
      <c r="G2726" s="66"/>
      <c r="H2726" s="66"/>
    </row>
    <row r="2727" spans="1:8">
      <c r="A2727" s="66"/>
      <c r="B2727" s="66"/>
      <c r="C2727" s="66"/>
      <c r="D2727" s="66"/>
      <c r="E2727" s="66"/>
      <c r="F2727" s="66"/>
      <c r="G2727" s="66"/>
      <c r="H2727" s="66"/>
    </row>
    <row r="2728" spans="1:8">
      <c r="A2728" s="66"/>
      <c r="B2728" s="66"/>
      <c r="C2728" s="66"/>
      <c r="D2728" s="66"/>
      <c r="E2728" s="66"/>
      <c r="F2728" s="66"/>
      <c r="G2728" s="66"/>
      <c r="H2728" s="66"/>
    </row>
    <row r="2729" spans="1:8">
      <c r="A2729" s="66"/>
      <c r="B2729" s="66"/>
      <c r="C2729" s="66"/>
      <c r="D2729" s="66"/>
      <c r="E2729" s="66"/>
      <c r="F2729" s="66"/>
      <c r="G2729" s="66"/>
      <c r="H2729" s="66"/>
    </row>
    <row r="2730" spans="1:8">
      <c r="A2730" s="66"/>
      <c r="B2730" s="66"/>
      <c r="C2730" s="66"/>
      <c r="D2730" s="66"/>
      <c r="E2730" s="66"/>
      <c r="F2730" s="66"/>
      <c r="G2730" s="66"/>
      <c r="H2730" s="66"/>
    </row>
    <row r="2731" spans="1:8">
      <c r="A2731" s="66"/>
      <c r="B2731" s="66"/>
      <c r="C2731" s="66"/>
      <c r="D2731" s="66"/>
      <c r="E2731" s="66"/>
      <c r="F2731" s="66"/>
      <c r="G2731" s="66"/>
      <c r="H2731" s="66"/>
    </row>
    <row r="2732" spans="1:8">
      <c r="A2732" s="66"/>
      <c r="B2732" s="66"/>
      <c r="C2732" s="66"/>
      <c r="D2732" s="66"/>
      <c r="E2732" s="66"/>
      <c r="F2732" s="66"/>
      <c r="G2732" s="66"/>
      <c r="H2732" s="66"/>
    </row>
    <row r="2733" spans="1:8">
      <c r="A2733" s="66"/>
      <c r="B2733" s="66"/>
      <c r="C2733" s="66"/>
      <c r="D2733" s="66"/>
      <c r="E2733" s="66"/>
      <c r="F2733" s="66"/>
      <c r="G2733" s="66"/>
      <c r="H2733" s="66"/>
    </row>
    <row r="2734" spans="1:8">
      <c r="A2734" s="66"/>
      <c r="B2734" s="66"/>
      <c r="C2734" s="66"/>
      <c r="D2734" s="66"/>
      <c r="E2734" s="66"/>
      <c r="F2734" s="66"/>
      <c r="G2734" s="66"/>
      <c r="H2734" s="66"/>
    </row>
    <row r="2735" spans="1:8">
      <c r="A2735" s="66"/>
      <c r="B2735" s="66"/>
      <c r="C2735" s="66"/>
      <c r="D2735" s="66"/>
      <c r="E2735" s="66"/>
      <c r="F2735" s="66"/>
      <c r="G2735" s="66"/>
      <c r="H2735" s="66"/>
    </row>
    <row r="2736" spans="1:8">
      <c r="A2736" s="66"/>
      <c r="B2736" s="66"/>
      <c r="C2736" s="66"/>
      <c r="D2736" s="66"/>
      <c r="E2736" s="66"/>
      <c r="F2736" s="66"/>
      <c r="G2736" s="66"/>
      <c r="H2736" s="66"/>
    </row>
    <row r="2737" spans="1:8">
      <c r="A2737" s="66"/>
      <c r="B2737" s="66"/>
      <c r="C2737" s="66"/>
      <c r="D2737" s="66"/>
      <c r="E2737" s="66"/>
      <c r="F2737" s="66"/>
      <c r="G2737" s="66"/>
      <c r="H2737" s="66"/>
    </row>
    <row r="2738" spans="1:8">
      <c r="A2738" s="66"/>
      <c r="B2738" s="66"/>
      <c r="C2738" s="66"/>
      <c r="D2738" s="66"/>
      <c r="E2738" s="66"/>
      <c r="F2738" s="66"/>
      <c r="G2738" s="66"/>
      <c r="H2738" s="66"/>
    </row>
    <row r="2739" spans="1:8">
      <c r="A2739" s="66"/>
      <c r="B2739" s="66"/>
      <c r="C2739" s="66"/>
      <c r="D2739" s="66"/>
      <c r="E2739" s="66"/>
      <c r="F2739" s="66"/>
      <c r="G2739" s="66"/>
      <c r="H2739" s="66"/>
    </row>
    <row r="2740" spans="1:8">
      <c r="A2740" s="66"/>
      <c r="B2740" s="66"/>
      <c r="C2740" s="66"/>
      <c r="D2740" s="66"/>
      <c r="E2740" s="66"/>
      <c r="F2740" s="66"/>
      <c r="G2740" s="66"/>
      <c r="H2740" s="66"/>
    </row>
    <row r="2741" spans="1:8">
      <c r="A2741" s="66"/>
      <c r="B2741" s="66"/>
      <c r="C2741" s="66"/>
      <c r="D2741" s="66"/>
      <c r="E2741" s="66"/>
      <c r="F2741" s="66"/>
      <c r="G2741" s="66"/>
      <c r="H2741" s="66"/>
    </row>
    <row r="2742" spans="1:8">
      <c r="A2742" s="66"/>
      <c r="B2742" s="66"/>
      <c r="C2742" s="66"/>
      <c r="D2742" s="66"/>
      <c r="E2742" s="66"/>
      <c r="F2742" s="66"/>
      <c r="G2742" s="66"/>
      <c r="H2742" s="66"/>
    </row>
    <row r="2743" spans="1:8">
      <c r="A2743" s="66"/>
      <c r="B2743" s="66"/>
      <c r="C2743" s="66"/>
      <c r="D2743" s="66"/>
      <c r="E2743" s="66"/>
      <c r="F2743" s="66"/>
      <c r="G2743" s="66"/>
      <c r="H2743" s="66"/>
    </row>
    <row r="2744" spans="1:8">
      <c r="A2744" s="66"/>
      <c r="B2744" s="66"/>
      <c r="C2744" s="66"/>
      <c r="D2744" s="66"/>
      <c r="E2744" s="66"/>
      <c r="F2744" s="66"/>
      <c r="G2744" s="66"/>
      <c r="H2744" s="66"/>
    </row>
    <row r="2745" spans="1:8">
      <c r="A2745" s="66"/>
      <c r="B2745" s="66"/>
      <c r="C2745" s="66"/>
      <c r="D2745" s="66"/>
      <c r="E2745" s="66"/>
      <c r="F2745" s="66"/>
      <c r="G2745" s="66"/>
      <c r="H2745" s="66"/>
    </row>
    <row r="2746" spans="1:8">
      <c r="A2746" s="66"/>
      <c r="B2746" s="66"/>
      <c r="C2746" s="66"/>
      <c r="D2746" s="66"/>
      <c r="E2746" s="66"/>
      <c r="F2746" s="66"/>
      <c r="G2746" s="66"/>
      <c r="H2746" s="66"/>
    </row>
    <row r="2747" spans="1:8">
      <c r="A2747" s="66"/>
      <c r="B2747" s="66"/>
      <c r="C2747" s="66"/>
      <c r="D2747" s="66"/>
      <c r="E2747" s="66"/>
      <c r="F2747" s="66"/>
      <c r="G2747" s="66"/>
      <c r="H2747" s="66"/>
    </row>
    <row r="2748" spans="1:8">
      <c r="A2748" s="66"/>
      <c r="B2748" s="66"/>
      <c r="C2748" s="66"/>
      <c r="D2748" s="66"/>
      <c r="E2748" s="66"/>
      <c r="F2748" s="66"/>
      <c r="G2748" s="66"/>
      <c r="H2748" s="66"/>
    </row>
    <row r="2749" spans="1:8">
      <c r="A2749" s="66"/>
      <c r="B2749" s="66"/>
      <c r="C2749" s="66"/>
      <c r="D2749" s="66"/>
      <c r="E2749" s="66"/>
      <c r="F2749" s="66"/>
      <c r="G2749" s="66"/>
      <c r="H2749" s="66"/>
    </row>
    <row r="2750" spans="1:8">
      <c r="A2750" s="66"/>
      <c r="B2750" s="66"/>
      <c r="C2750" s="66"/>
      <c r="D2750" s="66"/>
      <c r="E2750" s="66"/>
      <c r="F2750" s="66"/>
      <c r="G2750" s="66"/>
      <c r="H2750" s="66"/>
    </row>
    <row r="2751" spans="1:8">
      <c r="A2751" s="66"/>
      <c r="B2751" s="66"/>
      <c r="C2751" s="66"/>
      <c r="D2751" s="66"/>
      <c r="E2751" s="66"/>
      <c r="F2751" s="66"/>
      <c r="G2751" s="66"/>
      <c r="H2751" s="66"/>
    </row>
    <row r="2752" spans="1:8">
      <c r="A2752" s="66"/>
      <c r="B2752" s="66"/>
      <c r="C2752" s="66"/>
      <c r="D2752" s="66"/>
      <c r="E2752" s="66"/>
      <c r="F2752" s="66"/>
      <c r="G2752" s="66"/>
      <c r="H2752" s="66"/>
    </row>
    <row r="2753" spans="1:8">
      <c r="A2753" s="66"/>
      <c r="B2753" s="66"/>
      <c r="C2753" s="66"/>
      <c r="D2753" s="66"/>
      <c r="E2753" s="66"/>
      <c r="F2753" s="66"/>
      <c r="G2753" s="66"/>
      <c r="H2753" s="66"/>
    </row>
    <row r="2754" spans="1:8">
      <c r="A2754" s="66"/>
      <c r="B2754" s="66"/>
      <c r="C2754" s="66"/>
      <c r="D2754" s="66"/>
      <c r="E2754" s="66"/>
      <c r="F2754" s="66"/>
      <c r="G2754" s="66"/>
      <c r="H2754" s="66"/>
    </row>
    <row r="2755" spans="1:8">
      <c r="A2755" s="66"/>
      <c r="B2755" s="66"/>
      <c r="C2755" s="66"/>
      <c r="D2755" s="66"/>
      <c r="E2755" s="66"/>
      <c r="F2755" s="66"/>
      <c r="G2755" s="66"/>
      <c r="H2755" s="66"/>
    </row>
    <row r="2756" spans="1:8">
      <c r="A2756" s="66"/>
      <c r="B2756" s="66"/>
      <c r="C2756" s="66"/>
      <c r="D2756" s="66"/>
      <c r="E2756" s="66"/>
      <c r="F2756" s="66"/>
      <c r="G2756" s="66"/>
      <c r="H2756" s="66"/>
    </row>
    <row r="2757" spans="1:8">
      <c r="A2757" s="66"/>
      <c r="B2757" s="66"/>
      <c r="C2757" s="66"/>
      <c r="D2757" s="66"/>
      <c r="E2757" s="66"/>
      <c r="F2757" s="66"/>
      <c r="G2757" s="66"/>
      <c r="H2757" s="66"/>
    </row>
    <row r="2758" spans="1:8">
      <c r="A2758" s="66"/>
      <c r="B2758" s="66"/>
      <c r="C2758" s="66"/>
      <c r="D2758" s="66"/>
      <c r="E2758" s="66"/>
      <c r="F2758" s="66"/>
      <c r="G2758" s="66"/>
      <c r="H2758" s="66"/>
    </row>
    <row r="2759" spans="1:8">
      <c r="A2759" s="66"/>
      <c r="B2759" s="66"/>
      <c r="C2759" s="66"/>
      <c r="D2759" s="66"/>
      <c r="E2759" s="66"/>
      <c r="F2759" s="66"/>
      <c r="G2759" s="66"/>
      <c r="H2759" s="66"/>
    </row>
    <row r="2760" spans="1:8">
      <c r="A2760" s="66"/>
      <c r="B2760" s="66"/>
      <c r="C2760" s="66"/>
      <c r="D2760" s="66"/>
      <c r="E2760" s="66"/>
      <c r="F2760" s="66"/>
      <c r="G2760" s="66"/>
      <c r="H2760" s="66"/>
    </row>
    <row r="2761" spans="1:8">
      <c r="A2761" s="66"/>
      <c r="B2761" s="66"/>
      <c r="C2761" s="66"/>
      <c r="D2761" s="66"/>
      <c r="E2761" s="66"/>
      <c r="F2761" s="66"/>
      <c r="G2761" s="66"/>
      <c r="H2761" s="66"/>
    </row>
    <row r="2762" spans="1:8">
      <c r="A2762" s="66"/>
      <c r="B2762" s="66"/>
      <c r="C2762" s="66"/>
      <c r="D2762" s="66"/>
      <c r="E2762" s="66"/>
      <c r="F2762" s="66"/>
      <c r="G2762" s="66"/>
      <c r="H2762" s="66"/>
    </row>
  </sheetData>
  <sortState ref="A2:H2762">
    <sortCondition ref="A2:A11130"/>
    <sortCondition ref="E2:E11130"/>
    <sortCondition descending="1" ref="G2:G1113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6:N2183"/>
  <sheetViews>
    <sheetView topLeftCell="C1" workbookViewId="0">
      <selection activeCell="H15" sqref="H15"/>
    </sheetView>
  </sheetViews>
  <sheetFormatPr baseColWidth="10" defaultRowHeight="12.75"/>
  <cols>
    <col min="1" max="1" width="2.85546875" customWidth="1"/>
    <col min="2" max="2" width="14" customWidth="1"/>
    <col min="3" max="3" width="37.140625" style="55" customWidth="1"/>
    <col min="4" max="4" width="17.85546875" style="55" customWidth="1"/>
    <col min="5" max="5" width="10.5703125" customWidth="1"/>
    <col min="6" max="6" width="17.7109375" customWidth="1"/>
    <col min="7" max="7" width="23.28515625" customWidth="1"/>
    <col min="8" max="8" width="8.140625" customWidth="1"/>
    <col min="9" max="9" width="12.85546875" customWidth="1"/>
  </cols>
  <sheetData>
    <row r="6" spans="2:14">
      <c r="B6" s="37" t="s">
        <v>1444</v>
      </c>
      <c r="C6"/>
      <c r="D6"/>
      <c r="G6" s="85" t="s">
        <v>1334</v>
      </c>
      <c r="H6" s="55"/>
      <c r="I6" s="55"/>
    </row>
    <row r="7" spans="2:14">
      <c r="B7" s="37" t="s">
        <v>1445</v>
      </c>
      <c r="C7" s="37" t="s">
        <v>1326</v>
      </c>
      <c r="D7" s="37" t="s">
        <v>1331</v>
      </c>
      <c r="E7" s="37" t="s">
        <v>0</v>
      </c>
      <c r="F7" s="37" t="s">
        <v>1446</v>
      </c>
      <c r="G7" s="55" t="s">
        <v>1335</v>
      </c>
      <c r="H7" s="55" t="s">
        <v>1336</v>
      </c>
      <c r="I7" s="94" t="s">
        <v>1449</v>
      </c>
      <c r="J7" s="92" t="s">
        <v>1448</v>
      </c>
      <c r="K7" s="43" t="s">
        <v>1355</v>
      </c>
      <c r="L7" s="94" t="s">
        <v>1450</v>
      </c>
      <c r="M7" s="94" t="s">
        <v>1451</v>
      </c>
      <c r="N7" s="94" t="s">
        <v>1452</v>
      </c>
    </row>
    <row r="8" spans="2:14">
      <c r="B8" t="s">
        <v>710</v>
      </c>
      <c r="C8" t="s">
        <v>714</v>
      </c>
      <c r="D8" t="s">
        <v>1440</v>
      </c>
      <c r="E8" t="s">
        <v>1321</v>
      </c>
      <c r="F8" s="78">
        <v>0.3125</v>
      </c>
      <c r="G8" s="55">
        <v>0.60799768518518515</v>
      </c>
      <c r="H8" s="55">
        <v>0.95085648148148139</v>
      </c>
      <c r="I8" s="55" t="str">
        <f>IF(B8="",I7,B8)</f>
        <v>04.776.546-3</v>
      </c>
      <c r="J8" s="55">
        <f>IF(G8&gt;H8,(H8+0.5)-(G8-0.5),H8-G8)</f>
        <v>0.34285879629629623</v>
      </c>
      <c r="K8" s="93">
        <f>(J8*24)-(F8*24)</f>
        <v>0.72861111111111043</v>
      </c>
      <c r="L8">
        <f>IFERROR(HLOOKUP(D8,Ingreso!$AN$10:$AT$260,VLOOKUP('cruce '!I8,Ingreso!$AL$11:$AM$260,2,0),0),0)</f>
        <v>0</v>
      </c>
      <c r="M8" s="95">
        <f>IFERROR(HLOOKUP(D8,Ingreso!$AW$10:$BC$260,VLOOKUP('cruce '!I8,Ingreso!$AL$11:$AM$260,2,0),0),0)</f>
        <v>0</v>
      </c>
      <c r="N8" t="str">
        <f t="shared" ref="N8:N71" si="0">IF((K8-L8)&gt;1,"Revisar",IF((K8-L8)&lt;-1,"Revisar","OK"))</f>
        <v>OK</v>
      </c>
    </row>
    <row r="9" spans="2:14">
      <c r="C9"/>
      <c r="D9" t="s">
        <v>1441</v>
      </c>
      <c r="E9" t="s">
        <v>1321</v>
      </c>
      <c r="F9" s="78">
        <v>0.3125</v>
      </c>
      <c r="G9" s="55">
        <v>0.61222222222222222</v>
      </c>
      <c r="H9" s="55">
        <v>0.95416666666666661</v>
      </c>
      <c r="I9" s="55" t="str">
        <f t="shared" ref="I9:I72" si="1">IF(B9="",I8,B9)</f>
        <v>04.776.546-3</v>
      </c>
      <c r="J9" s="55">
        <f t="shared" ref="J9:J29" si="2">IF(G9&gt;H9,(H9+0.5)-(G9-0.5),H9-G9)</f>
        <v>0.34194444444444438</v>
      </c>
      <c r="K9" s="93">
        <f t="shared" ref="K9:K29" si="3">(J9*24)-(F9*24)</f>
        <v>0.70666666666666522</v>
      </c>
      <c r="L9">
        <f>IFERROR(HLOOKUP(D9,Ingreso!$AN$10:$AT$260,VLOOKUP('cruce '!I9,Ingreso!$AL$11:$AM$260,2,0),0),0)</f>
        <v>0</v>
      </c>
      <c r="M9" s="95">
        <f>IFERROR(HLOOKUP(D9,Ingreso!$AW$10:$BC$260,VLOOKUP('cruce '!I9,Ingreso!$AL$11:$AM$260,2,0),0),0)</f>
        <v>0</v>
      </c>
      <c r="N9" t="str">
        <f t="shared" si="0"/>
        <v>OK</v>
      </c>
    </row>
    <row r="10" spans="2:14">
      <c r="C10"/>
      <c r="D10" t="s">
        <v>1437</v>
      </c>
      <c r="E10" t="s">
        <v>1321</v>
      </c>
      <c r="F10" s="78">
        <v>0.3125</v>
      </c>
      <c r="G10" s="55">
        <v>0.6055208333333334</v>
      </c>
      <c r="H10" s="55">
        <v>0.94908564814814811</v>
      </c>
      <c r="I10" s="55" t="str">
        <f t="shared" si="1"/>
        <v>04.776.546-3</v>
      </c>
      <c r="J10" s="55">
        <f t="shared" si="2"/>
        <v>0.34356481481481471</v>
      </c>
      <c r="K10" s="93">
        <f t="shared" si="3"/>
        <v>0.74555555555555308</v>
      </c>
      <c r="L10">
        <f>IFERROR(HLOOKUP(D10,Ingreso!$AN$10:$AT$260,VLOOKUP('cruce '!I10,Ingreso!$AL$11:$AM$260,2,0),0),0)</f>
        <v>0</v>
      </c>
      <c r="M10" s="95">
        <f>IFERROR(HLOOKUP(D10,Ingreso!$AW$10:$BC$260,VLOOKUP('cruce '!I10,Ingreso!$AL$11:$AM$260,2,0),0),0)</f>
        <v>0</v>
      </c>
      <c r="N10" t="str">
        <f t="shared" si="0"/>
        <v>OK</v>
      </c>
    </row>
    <row r="11" spans="2:14">
      <c r="C11"/>
      <c r="D11" t="s">
        <v>1438</v>
      </c>
      <c r="E11" t="s">
        <v>1321</v>
      </c>
      <c r="F11" s="78">
        <v>0.3125</v>
      </c>
      <c r="G11" s="55">
        <v>0.60642361111111109</v>
      </c>
      <c r="H11" s="55">
        <v>0.94931712962962955</v>
      </c>
      <c r="I11" s="55" t="str">
        <f t="shared" si="1"/>
        <v>04.776.546-3</v>
      </c>
      <c r="J11" s="55">
        <f t="shared" si="2"/>
        <v>0.34289351851851846</v>
      </c>
      <c r="K11" s="93">
        <f t="shared" si="3"/>
        <v>0.72944444444444301</v>
      </c>
      <c r="L11">
        <f>IFERROR(HLOOKUP(D11,Ingreso!$AN$10:$AT$260,VLOOKUP('cruce '!I11,Ingreso!$AL$11:$AM$260,2,0),0),0)</f>
        <v>0</v>
      </c>
      <c r="M11" s="95">
        <f>IFERROR(HLOOKUP(D11,Ingreso!$AW$10:$BC$260,VLOOKUP('cruce '!I11,Ingreso!$AL$11:$AM$260,2,0),0),0)</f>
        <v>0</v>
      </c>
      <c r="N11" t="str">
        <f t="shared" si="0"/>
        <v>OK</v>
      </c>
    </row>
    <row r="12" spans="2:14">
      <c r="C12"/>
      <c r="D12" t="s">
        <v>1439</v>
      </c>
      <c r="E12" t="s">
        <v>1321</v>
      </c>
      <c r="F12" s="78">
        <v>0.3125</v>
      </c>
      <c r="G12" s="55">
        <v>0.60670138888888892</v>
      </c>
      <c r="H12" s="55">
        <v>0.95224537037037038</v>
      </c>
      <c r="I12" s="55" t="str">
        <f t="shared" si="1"/>
        <v>04.776.546-3</v>
      </c>
      <c r="J12" s="55">
        <f t="shared" si="2"/>
        <v>0.34554398148148147</v>
      </c>
      <c r="K12" s="93">
        <f t="shared" si="3"/>
        <v>0.79305555555555429</v>
      </c>
      <c r="L12">
        <f>IFERROR(HLOOKUP(D12,Ingreso!$AN$10:$AT$260,VLOOKUP('cruce '!I12,Ingreso!$AL$11:$AM$260,2,0),0),0)</f>
        <v>0</v>
      </c>
      <c r="M12" s="95">
        <f>IFERROR(HLOOKUP(D12,Ingreso!$AW$10:$BC$260,VLOOKUP('cruce '!I12,Ingreso!$AL$11:$AM$260,2,0),0),0)</f>
        <v>0</v>
      </c>
      <c r="N12" t="str">
        <f t="shared" si="0"/>
        <v>OK</v>
      </c>
    </row>
    <row r="13" spans="2:14">
      <c r="B13" t="s">
        <v>376</v>
      </c>
      <c r="C13" t="s">
        <v>379</v>
      </c>
      <c r="D13" t="s">
        <v>1440</v>
      </c>
      <c r="E13" t="s">
        <v>1323</v>
      </c>
      <c r="F13" s="78">
        <v>0.375</v>
      </c>
      <c r="G13" s="55">
        <v>0.92231481481481481</v>
      </c>
      <c r="H13" s="55">
        <v>0.31570601851851854</v>
      </c>
      <c r="I13" s="55" t="str">
        <f t="shared" si="1"/>
        <v>05.080.993-5</v>
      </c>
      <c r="J13" s="55">
        <f t="shared" si="2"/>
        <v>0.39339120370370373</v>
      </c>
      <c r="K13" s="93">
        <f t="shared" si="3"/>
        <v>0.4413888888888895</v>
      </c>
      <c r="L13">
        <f>IFERROR(HLOOKUP(D13,Ingreso!$AN$10:$AT$260,VLOOKUP('cruce '!I13,Ingreso!$AL$11:$AM$260,2,0),0),0)</f>
        <v>0</v>
      </c>
      <c r="M13" s="95" t="str">
        <f>IFERROR(HLOOKUP(D13,Ingreso!$AW$10:$BC$260,VLOOKUP('cruce '!I13,Ingreso!$AL$11:$AM$260,2,0),0),0)</f>
        <v/>
      </c>
      <c r="N13" t="str">
        <f t="shared" si="0"/>
        <v>OK</v>
      </c>
    </row>
    <row r="14" spans="2:14">
      <c r="C14"/>
      <c r="D14" t="s">
        <v>1441</v>
      </c>
      <c r="E14" t="s">
        <v>1323</v>
      </c>
      <c r="F14" s="78">
        <v>0.375</v>
      </c>
      <c r="G14" s="55"/>
      <c r="H14" s="55">
        <v>0.31467592592592591</v>
      </c>
      <c r="I14" s="55" t="str">
        <f t="shared" si="1"/>
        <v>05.080.993-5</v>
      </c>
      <c r="J14" s="55">
        <f t="shared" si="2"/>
        <v>0.31467592592592591</v>
      </c>
      <c r="K14" s="93">
        <f t="shared" si="3"/>
        <v>-1.4477777777777785</v>
      </c>
      <c r="L14">
        <f>IFERROR(HLOOKUP(D14,Ingreso!$AN$10:$AT$260,VLOOKUP('cruce '!I14,Ingreso!$AL$11:$AM$260,2,0),0),0)</f>
        <v>0</v>
      </c>
      <c r="M14" s="95" t="str">
        <f>IFERROR(HLOOKUP(D14,Ingreso!$AW$10:$BC$260,VLOOKUP('cruce '!I14,Ingreso!$AL$11:$AM$260,2,0),0),0)</f>
        <v/>
      </c>
      <c r="N14" t="str">
        <f t="shared" si="0"/>
        <v>Revisar</v>
      </c>
    </row>
    <row r="15" spans="2:14">
      <c r="C15"/>
      <c r="D15" t="s">
        <v>1437</v>
      </c>
      <c r="E15" t="s">
        <v>1323</v>
      </c>
      <c r="F15" s="78">
        <v>0.375</v>
      </c>
      <c r="G15" s="55">
        <v>0.92166666666666675</v>
      </c>
      <c r="H15" s="55"/>
      <c r="I15" s="55" t="str">
        <f t="shared" si="1"/>
        <v>05.080.993-5</v>
      </c>
      <c r="J15" s="55">
        <f t="shared" si="2"/>
        <v>7.8333333333333255E-2</v>
      </c>
      <c r="K15" s="93">
        <f t="shared" si="3"/>
        <v>-7.1200000000000019</v>
      </c>
      <c r="L15">
        <f>IFERROR(HLOOKUP(D15,Ingreso!$AN$10:$AT$260,VLOOKUP('cruce '!I15,Ingreso!$AL$11:$AM$260,2,0),0),0)</f>
        <v>0</v>
      </c>
      <c r="M15" s="95" t="str">
        <f>IFERROR(HLOOKUP(D15,Ingreso!$AW$10:$BC$260,VLOOKUP('cruce '!I15,Ingreso!$AL$11:$AM$260,2,0),0),0)</f>
        <v/>
      </c>
      <c r="N15" t="str">
        <f t="shared" si="0"/>
        <v>Revisar</v>
      </c>
    </row>
    <row r="16" spans="2:14">
      <c r="C16"/>
      <c r="D16" t="s">
        <v>1438</v>
      </c>
      <c r="E16" t="s">
        <v>1323</v>
      </c>
      <c r="F16" s="78">
        <v>0.375</v>
      </c>
      <c r="G16" s="55">
        <v>0.91791666666666671</v>
      </c>
      <c r="H16" s="55">
        <v>0.31677083333333333</v>
      </c>
      <c r="I16" s="55" t="str">
        <f t="shared" si="1"/>
        <v>05.080.993-5</v>
      </c>
      <c r="J16" s="55">
        <f t="shared" si="2"/>
        <v>0.39885416666666662</v>
      </c>
      <c r="K16" s="93">
        <f t="shared" si="3"/>
        <v>0.57249999999999801</v>
      </c>
      <c r="L16">
        <f>IFERROR(HLOOKUP(D16,Ingreso!$AN$10:$AT$260,VLOOKUP('cruce '!I16,Ingreso!$AL$11:$AM$260,2,0),0),0)</f>
        <v>0</v>
      </c>
      <c r="M16" s="95" t="str">
        <f>IFERROR(HLOOKUP(D16,Ingreso!$AW$10:$BC$260,VLOOKUP('cruce '!I16,Ingreso!$AL$11:$AM$260,2,0),0),0)</f>
        <v/>
      </c>
      <c r="N16" t="str">
        <f t="shared" si="0"/>
        <v>OK</v>
      </c>
    </row>
    <row r="17" spans="2:14">
      <c r="C17"/>
      <c r="D17" t="s">
        <v>1439</v>
      </c>
      <c r="E17" t="s">
        <v>1323</v>
      </c>
      <c r="F17" s="78">
        <v>0.375</v>
      </c>
      <c r="G17" s="55">
        <v>0.92521990740740734</v>
      </c>
      <c r="H17" s="55">
        <v>0.31502314814814814</v>
      </c>
      <c r="I17" s="55" t="str">
        <f t="shared" si="1"/>
        <v>05.080.993-5</v>
      </c>
      <c r="J17" s="55">
        <f t="shared" si="2"/>
        <v>0.3898032407407408</v>
      </c>
      <c r="K17" s="93">
        <f t="shared" si="3"/>
        <v>0.35527777777777914</v>
      </c>
      <c r="L17">
        <f>IFERROR(HLOOKUP(D17,Ingreso!$AN$10:$AT$260,VLOOKUP('cruce '!I17,Ingreso!$AL$11:$AM$260,2,0),0),0)</f>
        <v>0</v>
      </c>
      <c r="M17" s="95" t="str">
        <f>IFERROR(HLOOKUP(D17,Ingreso!$AW$10:$BC$260,VLOOKUP('cruce '!I17,Ingreso!$AL$11:$AM$260,2,0),0),0)</f>
        <v/>
      </c>
      <c r="N17" t="str">
        <f t="shared" si="0"/>
        <v>OK</v>
      </c>
    </row>
    <row r="18" spans="2:14">
      <c r="B18" t="s">
        <v>386</v>
      </c>
      <c r="C18" t="s">
        <v>389</v>
      </c>
      <c r="D18" t="s">
        <v>1440</v>
      </c>
      <c r="E18" t="s">
        <v>4</v>
      </c>
      <c r="F18" s="78">
        <v>0.3125</v>
      </c>
      <c r="G18" s="55">
        <v>0.29063657407407406</v>
      </c>
      <c r="H18" s="55">
        <v>0.63722222222222225</v>
      </c>
      <c r="I18" s="55" t="str">
        <f t="shared" si="1"/>
        <v>05.281.950-4</v>
      </c>
      <c r="J18" s="55">
        <f t="shared" si="2"/>
        <v>0.34658564814814818</v>
      </c>
      <c r="K18" s="93">
        <f t="shared" si="3"/>
        <v>0.81805555555555642</v>
      </c>
      <c r="L18">
        <f>IFERROR(HLOOKUP(D18,Ingreso!$AN$10:$AT$260,VLOOKUP('cruce '!I18,Ingreso!$AL$11:$AM$260,2,0),0),0)</f>
        <v>0</v>
      </c>
      <c r="M18" s="95">
        <f>IFERROR(HLOOKUP(D18,Ingreso!$AW$10:$BC$260,VLOOKUP('cruce '!I18,Ingreso!$AL$11:$AM$260,2,0),0),0)</f>
        <v>0</v>
      </c>
      <c r="N18" t="str">
        <f t="shared" si="0"/>
        <v>OK</v>
      </c>
    </row>
    <row r="19" spans="2:14">
      <c r="C19"/>
      <c r="D19" t="s">
        <v>1441</v>
      </c>
      <c r="E19" t="s">
        <v>4</v>
      </c>
      <c r="F19" s="78">
        <v>0.3125</v>
      </c>
      <c r="G19" s="55">
        <v>0.28991898148148149</v>
      </c>
      <c r="H19" s="55">
        <v>0.6341782407407407</v>
      </c>
      <c r="I19" s="55" t="str">
        <f t="shared" si="1"/>
        <v>05.281.950-4</v>
      </c>
      <c r="J19" s="55">
        <f t="shared" si="2"/>
        <v>0.34425925925925921</v>
      </c>
      <c r="K19" s="93">
        <f t="shared" si="3"/>
        <v>0.76222222222222058</v>
      </c>
      <c r="L19">
        <f>IFERROR(HLOOKUP(D19,Ingreso!$AN$10:$AT$260,VLOOKUP('cruce '!I19,Ingreso!$AL$11:$AM$260,2,0),0),0)</f>
        <v>0</v>
      </c>
      <c r="M19" s="95">
        <f>IFERROR(HLOOKUP(D19,Ingreso!$AW$10:$BC$260,VLOOKUP('cruce '!I19,Ingreso!$AL$11:$AM$260,2,0),0),0)</f>
        <v>0</v>
      </c>
      <c r="N19" t="str">
        <f t="shared" si="0"/>
        <v>OK</v>
      </c>
    </row>
    <row r="20" spans="2:14">
      <c r="C20"/>
      <c r="D20" t="s">
        <v>1437</v>
      </c>
      <c r="E20" t="s">
        <v>4</v>
      </c>
      <c r="F20" s="78">
        <v>0.3125</v>
      </c>
      <c r="G20" s="55">
        <v>0.29120370370370369</v>
      </c>
      <c r="H20" s="55">
        <v>0.6361458333333333</v>
      </c>
      <c r="I20" s="55" t="str">
        <f t="shared" si="1"/>
        <v>05.281.950-4</v>
      </c>
      <c r="J20" s="55">
        <f t="shared" si="2"/>
        <v>0.34494212962962961</v>
      </c>
      <c r="K20" s="93">
        <f t="shared" si="3"/>
        <v>0.77861111111111114</v>
      </c>
      <c r="L20">
        <f>IFERROR(HLOOKUP(D20,Ingreso!$AN$10:$AT$260,VLOOKUP('cruce '!I20,Ingreso!$AL$11:$AM$260,2,0),0),0)</f>
        <v>0</v>
      </c>
      <c r="M20" s="95">
        <f>IFERROR(HLOOKUP(D20,Ingreso!$AW$10:$BC$260,VLOOKUP('cruce '!I20,Ingreso!$AL$11:$AM$260,2,0),0),0)</f>
        <v>0</v>
      </c>
      <c r="N20" t="str">
        <f t="shared" si="0"/>
        <v>OK</v>
      </c>
    </row>
    <row r="21" spans="2:14">
      <c r="C21"/>
      <c r="D21" t="s">
        <v>1438</v>
      </c>
      <c r="E21" t="s">
        <v>4</v>
      </c>
      <c r="F21" s="78">
        <v>0.3125</v>
      </c>
      <c r="G21" s="55">
        <v>0.29031250000000003</v>
      </c>
      <c r="H21" s="55">
        <v>0.63512731481481477</v>
      </c>
      <c r="I21" s="55" t="str">
        <f t="shared" si="1"/>
        <v>05.281.950-4</v>
      </c>
      <c r="J21" s="55">
        <f t="shared" si="2"/>
        <v>0.34481481481481474</v>
      </c>
      <c r="K21" s="93">
        <f t="shared" si="3"/>
        <v>0.77555555555555422</v>
      </c>
      <c r="L21">
        <f>IFERROR(HLOOKUP(D21,Ingreso!$AN$10:$AT$260,VLOOKUP('cruce '!I21,Ingreso!$AL$11:$AM$260,2,0),0),0)</f>
        <v>0</v>
      </c>
      <c r="M21" s="95">
        <f>IFERROR(HLOOKUP(D21,Ingreso!$AW$10:$BC$260,VLOOKUP('cruce '!I21,Ingreso!$AL$11:$AM$260,2,0),0),0)</f>
        <v>0</v>
      </c>
      <c r="N21" t="str">
        <f t="shared" si="0"/>
        <v>OK</v>
      </c>
    </row>
    <row r="22" spans="2:14">
      <c r="C22"/>
      <c r="D22" t="s">
        <v>1439</v>
      </c>
      <c r="E22" t="s">
        <v>4</v>
      </c>
      <c r="F22" s="78">
        <v>0.3125</v>
      </c>
      <c r="G22" s="55">
        <v>0.29531250000000003</v>
      </c>
      <c r="H22" s="55">
        <v>0.63523148148148145</v>
      </c>
      <c r="I22" s="55" t="str">
        <f t="shared" si="1"/>
        <v>05.281.950-4</v>
      </c>
      <c r="J22" s="55">
        <f t="shared" si="2"/>
        <v>0.33991898148148142</v>
      </c>
      <c r="K22" s="93">
        <f t="shared" si="3"/>
        <v>0.65805555555555451</v>
      </c>
      <c r="L22">
        <f>IFERROR(HLOOKUP(D22,Ingreso!$AN$10:$AT$260,VLOOKUP('cruce '!I22,Ingreso!$AL$11:$AM$260,2,0),0),0)</f>
        <v>0</v>
      </c>
      <c r="M22" s="95">
        <f>IFERROR(HLOOKUP(D22,Ingreso!$AW$10:$BC$260,VLOOKUP('cruce '!I22,Ingreso!$AL$11:$AM$260,2,0),0),0)</f>
        <v>0</v>
      </c>
      <c r="N22" t="str">
        <f t="shared" si="0"/>
        <v>OK</v>
      </c>
    </row>
    <row r="23" spans="2:14">
      <c r="B23" t="s">
        <v>407</v>
      </c>
      <c r="C23" t="s">
        <v>411</v>
      </c>
      <c r="D23" t="s">
        <v>1440</v>
      </c>
      <c r="E23" t="s">
        <v>4</v>
      </c>
      <c r="F23" s="78">
        <v>0.3125</v>
      </c>
      <c r="G23" s="55">
        <v>0.29641203703703706</v>
      </c>
      <c r="H23" s="55"/>
      <c r="I23" s="55" t="str">
        <f t="shared" si="1"/>
        <v>05.428.350-4</v>
      </c>
      <c r="J23" s="55">
        <f t="shared" si="2"/>
        <v>0.70358796296296289</v>
      </c>
      <c r="K23" s="93">
        <f t="shared" si="3"/>
        <v>9.3861111111111093</v>
      </c>
      <c r="L23">
        <f>IFERROR(HLOOKUP(D23,Ingreso!$AN$10:$AT$260,VLOOKUP('cruce '!I23,Ingreso!$AL$11:$AM$260,2,0),0),0)</f>
        <v>0</v>
      </c>
      <c r="M23" s="95">
        <f>IFERROR(HLOOKUP(D23,Ingreso!$AW$10:$BC$260,VLOOKUP('cruce '!I23,Ingreso!$AL$11:$AM$260,2,0),0),0)</f>
        <v>0</v>
      </c>
      <c r="N23" t="str">
        <f t="shared" si="0"/>
        <v>Revisar</v>
      </c>
    </row>
    <row r="24" spans="2:14">
      <c r="C24"/>
      <c r="D24"/>
      <c r="E24" t="s">
        <v>1321</v>
      </c>
      <c r="F24" s="78">
        <v>0.3125</v>
      </c>
      <c r="G24" s="55"/>
      <c r="H24" s="55">
        <v>0.62474537037037037</v>
      </c>
      <c r="I24" s="55" t="str">
        <f t="shared" si="1"/>
        <v>05.428.350-4</v>
      </c>
      <c r="J24" s="55">
        <f t="shared" si="2"/>
        <v>0.62474537037037037</v>
      </c>
      <c r="K24" s="93">
        <f t="shared" si="3"/>
        <v>7.4938888888888897</v>
      </c>
      <c r="L24">
        <f>IFERROR(HLOOKUP(D24,Ingreso!$AN$10:$AT$260,VLOOKUP('cruce '!I24,Ingreso!$AL$11:$AM$260,2,0),0),0)</f>
        <v>0</v>
      </c>
      <c r="M24" s="95">
        <f>IFERROR(HLOOKUP(D24,Ingreso!$AW$10:$BC$260,VLOOKUP('cruce '!I24,Ingreso!$AL$11:$AM$260,2,0),0),0)</f>
        <v>0</v>
      </c>
      <c r="N24" t="str">
        <f t="shared" si="0"/>
        <v>Revisar</v>
      </c>
    </row>
    <row r="25" spans="2:14">
      <c r="C25"/>
      <c r="D25" t="s">
        <v>1441</v>
      </c>
      <c r="E25" t="s">
        <v>4</v>
      </c>
      <c r="F25" s="78">
        <v>0.3125</v>
      </c>
      <c r="G25" s="55">
        <v>0.2888425925925926</v>
      </c>
      <c r="H25" s="55">
        <v>0.62655092592592598</v>
      </c>
      <c r="I25" s="55" t="str">
        <f t="shared" si="1"/>
        <v>05.428.350-4</v>
      </c>
      <c r="J25" s="55">
        <f t="shared" si="2"/>
        <v>0.33770833333333339</v>
      </c>
      <c r="K25" s="93">
        <f t="shared" si="3"/>
        <v>0.60500000000000043</v>
      </c>
      <c r="L25">
        <f>IFERROR(HLOOKUP(D25,Ingreso!$AN$10:$AT$260,VLOOKUP('cruce '!I25,Ingreso!$AL$11:$AM$260,2,0),0),0)</f>
        <v>0</v>
      </c>
      <c r="M25" s="95">
        <f>IFERROR(HLOOKUP(D25,Ingreso!$AW$10:$BC$260,VLOOKUP('cruce '!I25,Ingreso!$AL$11:$AM$260,2,0),0),0)</f>
        <v>0</v>
      </c>
      <c r="N25" t="str">
        <f t="shared" si="0"/>
        <v>OK</v>
      </c>
    </row>
    <row r="26" spans="2:14">
      <c r="C26"/>
      <c r="D26" t="s">
        <v>1437</v>
      </c>
      <c r="E26" t="s">
        <v>4</v>
      </c>
      <c r="F26" s="78">
        <v>0.3125</v>
      </c>
      <c r="G26" s="55">
        <v>0.29089120370370369</v>
      </c>
      <c r="H26" s="55"/>
      <c r="I26" s="55" t="str">
        <f>IF(B26="",I25,B26)</f>
        <v>05.428.350-4</v>
      </c>
      <c r="J26" s="55">
        <f t="shared" si="2"/>
        <v>0.70910879629629631</v>
      </c>
      <c r="K26" s="93">
        <f t="shared" si="3"/>
        <v>9.5186111111111131</v>
      </c>
      <c r="L26">
        <f>IFERROR(HLOOKUP(D26,Ingreso!$AN$10:$AT$260,VLOOKUP('cruce '!I26,Ingreso!$AL$11:$AM$260,2,0),0),0)</f>
        <v>0</v>
      </c>
      <c r="M26" s="95">
        <f>IFERROR(HLOOKUP(D26,Ingreso!$AW$10:$BC$260,VLOOKUP('cruce '!I26,Ingreso!$AL$11:$AM$260,2,0),0),0)</f>
        <v>0</v>
      </c>
      <c r="N26" t="str">
        <f t="shared" si="0"/>
        <v>Revisar</v>
      </c>
    </row>
    <row r="27" spans="2:14">
      <c r="C27"/>
      <c r="D27"/>
      <c r="E27" t="s">
        <v>1321</v>
      </c>
      <c r="F27" s="78">
        <v>0.3125</v>
      </c>
      <c r="G27" s="55"/>
      <c r="H27" s="55">
        <v>0.624537037037037</v>
      </c>
      <c r="I27" s="55" t="str">
        <f t="shared" si="1"/>
        <v>05.428.350-4</v>
      </c>
      <c r="J27" s="55">
        <f t="shared" si="2"/>
        <v>0.624537037037037</v>
      </c>
      <c r="K27" s="93">
        <f t="shared" si="3"/>
        <v>7.4888888888888872</v>
      </c>
      <c r="L27">
        <f>IFERROR(HLOOKUP(D27,Ingreso!$AN$10:$AT$260,VLOOKUP('cruce '!I27,Ingreso!$AL$11:$AM$260,2,0),0),0)</f>
        <v>0</v>
      </c>
      <c r="M27" s="95">
        <f>IFERROR(HLOOKUP(D27,Ingreso!$AW$10:$BC$260,VLOOKUP('cruce '!I27,Ingreso!$AL$11:$AM$260,2,0),0),0)</f>
        <v>0</v>
      </c>
      <c r="N27" t="str">
        <f t="shared" si="0"/>
        <v>Revisar</v>
      </c>
    </row>
    <row r="28" spans="2:14">
      <c r="C28"/>
      <c r="D28" t="s">
        <v>1438</v>
      </c>
      <c r="E28" t="s">
        <v>4</v>
      </c>
      <c r="F28" s="78">
        <v>0.3125</v>
      </c>
      <c r="G28" s="55">
        <v>0.29318287037037039</v>
      </c>
      <c r="H28" s="55">
        <v>0.62640046296296303</v>
      </c>
      <c r="I28" s="55" t="str">
        <f t="shared" si="1"/>
        <v>05.428.350-4</v>
      </c>
      <c r="J28" s="55">
        <f t="shared" si="2"/>
        <v>0.33321759259259265</v>
      </c>
      <c r="K28" s="93">
        <f t="shared" si="3"/>
        <v>0.49722222222222356</v>
      </c>
      <c r="L28">
        <f>IFERROR(HLOOKUP(D28,Ingreso!$AN$10:$AT$260,VLOOKUP('cruce '!I28,Ingreso!$AL$11:$AM$260,2,0),0),0)</f>
        <v>0</v>
      </c>
      <c r="M28" s="95">
        <f>IFERROR(HLOOKUP(D28,Ingreso!$AW$10:$BC$260,VLOOKUP('cruce '!I28,Ingreso!$AL$11:$AM$260,2,0),0),0)</f>
        <v>0</v>
      </c>
      <c r="N28" t="str">
        <f t="shared" si="0"/>
        <v>OK</v>
      </c>
    </row>
    <row r="29" spans="2:14">
      <c r="C29"/>
      <c r="D29" t="s">
        <v>1439</v>
      </c>
      <c r="E29" t="s">
        <v>4</v>
      </c>
      <c r="F29" s="78">
        <v>0.3125</v>
      </c>
      <c r="G29" s="55">
        <v>0.28730324074074076</v>
      </c>
      <c r="H29" s="55"/>
      <c r="I29" s="55" t="str">
        <f t="shared" si="1"/>
        <v>05.428.350-4</v>
      </c>
      <c r="J29" s="55">
        <f t="shared" si="2"/>
        <v>0.71269675925925924</v>
      </c>
      <c r="K29" s="93">
        <f t="shared" si="3"/>
        <v>9.6047222222222217</v>
      </c>
      <c r="L29">
        <f>IFERROR(HLOOKUP(D29,Ingreso!$AN$10:$AT$260,VLOOKUP('cruce '!I29,Ingreso!$AL$11:$AM$260,2,0),0),0)</f>
        <v>0</v>
      </c>
      <c r="M29" s="95">
        <f>IFERROR(HLOOKUP(D29,Ingreso!$AW$10:$BC$260,VLOOKUP('cruce '!I29,Ingreso!$AL$11:$AM$260,2,0),0),0)</f>
        <v>0</v>
      </c>
      <c r="N29" t="str">
        <f t="shared" si="0"/>
        <v>Revisar</v>
      </c>
    </row>
    <row r="30" spans="2:14">
      <c r="C30"/>
      <c r="D30"/>
      <c r="E30" t="s">
        <v>1473</v>
      </c>
      <c r="F30" t="s">
        <v>1472</v>
      </c>
      <c r="G30" s="55"/>
      <c r="H30" s="55">
        <v>0.62523148148148155</v>
      </c>
      <c r="I30" s="55" t="str">
        <f t="shared" si="1"/>
        <v>05.428.350-4</v>
      </c>
      <c r="J30" s="55">
        <f t="shared" ref="J30:J93" si="4">IF(G30&gt;H30,(H30+0.5)-(G30-0.5),H30-G30)</f>
        <v>0.62523148148148155</v>
      </c>
      <c r="K30" s="93" t="e">
        <f t="shared" ref="K30:K93" si="5">(J30*24)-(F30*24)</f>
        <v>#VALUE!</v>
      </c>
      <c r="L30">
        <f>IFERROR(HLOOKUP(D30,Ingreso!$AN$10:$AT$260,VLOOKUP('cruce '!I30,Ingreso!$AL$11:$AM$260,2,0),0),0)</f>
        <v>0</v>
      </c>
      <c r="M30" s="95">
        <f>IFERROR(HLOOKUP(D30,Ingreso!$AW$10:$BC$260,VLOOKUP('cruce '!I30,Ingreso!$AL$11:$AM$260,2,0),0),0)</f>
        <v>0</v>
      </c>
      <c r="N30" t="e">
        <f t="shared" si="0"/>
        <v>#VALUE!</v>
      </c>
    </row>
    <row r="31" spans="2:14">
      <c r="B31" t="s">
        <v>468</v>
      </c>
      <c r="C31" t="s">
        <v>472</v>
      </c>
      <c r="D31" t="s">
        <v>1440</v>
      </c>
      <c r="E31" t="s">
        <v>4</v>
      </c>
      <c r="F31" s="78">
        <v>0.3125</v>
      </c>
      <c r="G31" s="55">
        <v>0.29413194444444446</v>
      </c>
      <c r="H31" s="55">
        <v>0.72900462962962964</v>
      </c>
      <c r="I31" s="55" t="str">
        <f t="shared" si="1"/>
        <v>05.921.603-1</v>
      </c>
      <c r="J31" s="55">
        <f t="shared" si="4"/>
        <v>0.43487268518518518</v>
      </c>
      <c r="K31" s="93">
        <f t="shared" si="5"/>
        <v>2.9369444444444444</v>
      </c>
      <c r="L31">
        <f>IFERROR(HLOOKUP(D31,Ingreso!$AN$10:$AT$260,VLOOKUP('cruce '!I31,Ingreso!$AL$11:$AM$260,2,0),0),0)</f>
        <v>0</v>
      </c>
      <c r="M31" s="95">
        <f>IFERROR(HLOOKUP(D31,Ingreso!$AW$10:$BC$260,VLOOKUP('cruce '!I31,Ingreso!$AL$11:$AM$260,2,0),0),0)</f>
        <v>0</v>
      </c>
      <c r="N31" t="str">
        <f t="shared" si="0"/>
        <v>Revisar</v>
      </c>
    </row>
    <row r="32" spans="2:14">
      <c r="C32"/>
      <c r="D32" t="s">
        <v>1437</v>
      </c>
      <c r="E32" t="s">
        <v>4</v>
      </c>
      <c r="F32" s="78">
        <v>0.3125</v>
      </c>
      <c r="G32" s="55">
        <v>0.29508101851851853</v>
      </c>
      <c r="H32" s="55">
        <v>0.73143518518518524</v>
      </c>
      <c r="I32" s="55" t="str">
        <f t="shared" si="1"/>
        <v>05.921.603-1</v>
      </c>
      <c r="J32" s="55">
        <f t="shared" si="4"/>
        <v>0.43635416666666671</v>
      </c>
      <c r="K32" s="93">
        <f t="shared" si="5"/>
        <v>2.9725000000000001</v>
      </c>
      <c r="L32">
        <f>IFERROR(HLOOKUP(D32,Ingreso!$AN$10:$AT$260,VLOOKUP('cruce '!I32,Ingreso!$AL$11:$AM$260,2,0),0),0)</f>
        <v>0</v>
      </c>
      <c r="M32" s="95">
        <f>IFERROR(HLOOKUP(D32,Ingreso!$AW$10:$BC$260,VLOOKUP('cruce '!I32,Ingreso!$AL$11:$AM$260,2,0),0),0)</f>
        <v>0</v>
      </c>
      <c r="N32" t="str">
        <f t="shared" si="0"/>
        <v>Revisar</v>
      </c>
    </row>
    <row r="33" spans="2:14">
      <c r="C33"/>
      <c r="D33" t="s">
        <v>1438</v>
      </c>
      <c r="E33" t="s">
        <v>4</v>
      </c>
      <c r="F33" s="78">
        <v>0.3125</v>
      </c>
      <c r="G33" s="55">
        <v>0.29487268518518517</v>
      </c>
      <c r="H33" s="55">
        <v>0.73190972222222228</v>
      </c>
      <c r="I33" s="55" t="str">
        <f t="shared" si="1"/>
        <v>05.921.603-1</v>
      </c>
      <c r="J33" s="55">
        <f t="shared" si="4"/>
        <v>0.43703703703703711</v>
      </c>
      <c r="K33" s="93">
        <f t="shared" si="5"/>
        <v>2.9888888888888907</v>
      </c>
      <c r="L33">
        <f>IFERROR(HLOOKUP(D33,Ingreso!$AN$10:$AT$260,VLOOKUP('cruce '!I33,Ingreso!$AL$11:$AM$260,2,0),0),0)</f>
        <v>0</v>
      </c>
      <c r="M33" s="95">
        <f>IFERROR(HLOOKUP(D33,Ingreso!$AW$10:$BC$260,VLOOKUP('cruce '!I33,Ingreso!$AL$11:$AM$260,2,0),0),0)</f>
        <v>0</v>
      </c>
      <c r="N33" t="str">
        <f t="shared" si="0"/>
        <v>Revisar</v>
      </c>
    </row>
    <row r="34" spans="2:14">
      <c r="C34"/>
      <c r="D34" t="s">
        <v>1439</v>
      </c>
      <c r="E34" t="s">
        <v>4</v>
      </c>
      <c r="F34" s="78">
        <v>0.3125</v>
      </c>
      <c r="G34" s="55">
        <v>0.29370370370370369</v>
      </c>
      <c r="H34" s="55">
        <v>0.73105324074074074</v>
      </c>
      <c r="I34" s="55" t="str">
        <f t="shared" si="1"/>
        <v>05.921.603-1</v>
      </c>
      <c r="J34" s="55">
        <f t="shared" si="4"/>
        <v>0.43734953703703705</v>
      </c>
      <c r="K34" s="93">
        <f t="shared" si="5"/>
        <v>2.9963888888888892</v>
      </c>
      <c r="L34">
        <f>IFERROR(HLOOKUP(D34,Ingreso!$AN$10:$AT$260,VLOOKUP('cruce '!I34,Ingreso!$AL$11:$AM$260,2,0),0),0)</f>
        <v>0</v>
      </c>
      <c r="M34" s="95">
        <f>IFERROR(HLOOKUP(D34,Ingreso!$AW$10:$BC$260,VLOOKUP('cruce '!I34,Ingreso!$AL$11:$AM$260,2,0),0),0)</f>
        <v>0</v>
      </c>
      <c r="N34" t="str">
        <f t="shared" si="0"/>
        <v>Revisar</v>
      </c>
    </row>
    <row r="35" spans="2:14">
      <c r="B35" t="s">
        <v>809</v>
      </c>
      <c r="C35" t="s">
        <v>811</v>
      </c>
      <c r="D35" t="s">
        <v>1440</v>
      </c>
      <c r="E35" t="s">
        <v>4</v>
      </c>
      <c r="F35" s="78">
        <v>0.3125</v>
      </c>
      <c r="G35" s="55">
        <v>0.29017361111111112</v>
      </c>
      <c r="H35" s="55">
        <v>0.73229166666666667</v>
      </c>
      <c r="I35" s="55" t="str">
        <f t="shared" si="1"/>
        <v>06.010.169-8</v>
      </c>
      <c r="J35" s="55">
        <f t="shared" si="4"/>
        <v>0.44211805555555556</v>
      </c>
      <c r="K35" s="93">
        <f t="shared" si="5"/>
        <v>3.1108333333333338</v>
      </c>
      <c r="L35">
        <f>IFERROR(HLOOKUP(D35,Ingreso!$AN$10:$AT$260,VLOOKUP('cruce '!I35,Ingreso!$AL$11:$AM$260,2,0),0),0)</f>
        <v>0</v>
      </c>
      <c r="M35" s="95">
        <f>IFERROR(HLOOKUP(D35,Ingreso!$AW$10:$BC$260,VLOOKUP('cruce '!I35,Ingreso!$AL$11:$AM$260,2,0),0),0)</f>
        <v>0</v>
      </c>
      <c r="N35" t="str">
        <f t="shared" si="0"/>
        <v>Revisar</v>
      </c>
    </row>
    <row r="36" spans="2:14">
      <c r="C36"/>
      <c r="D36" t="s">
        <v>1441</v>
      </c>
      <c r="E36" t="s">
        <v>4</v>
      </c>
      <c r="F36" s="78">
        <v>0.3125</v>
      </c>
      <c r="G36" s="55">
        <v>0.28947916666666668</v>
      </c>
      <c r="H36" s="55">
        <v>0.63498842592592586</v>
      </c>
      <c r="I36" s="55" t="str">
        <f t="shared" si="1"/>
        <v>06.010.169-8</v>
      </c>
      <c r="J36" s="55">
        <f t="shared" si="4"/>
        <v>0.34550925925925918</v>
      </c>
      <c r="K36" s="93">
        <f t="shared" si="5"/>
        <v>0.79222222222221994</v>
      </c>
      <c r="L36">
        <f>IFERROR(HLOOKUP(D36,Ingreso!$AN$10:$AT$260,VLOOKUP('cruce '!I36,Ingreso!$AL$11:$AM$260,2,0),0),0)</f>
        <v>0</v>
      </c>
      <c r="M36" s="95">
        <f>IFERROR(HLOOKUP(D36,Ingreso!$AW$10:$BC$260,VLOOKUP('cruce '!I36,Ingreso!$AL$11:$AM$260,2,0),0),0)</f>
        <v>0</v>
      </c>
      <c r="N36" t="str">
        <f t="shared" si="0"/>
        <v>OK</v>
      </c>
    </row>
    <row r="37" spans="2:14">
      <c r="C37"/>
      <c r="D37" t="s">
        <v>1437</v>
      </c>
      <c r="E37" t="s">
        <v>4</v>
      </c>
      <c r="F37" s="78">
        <v>0.3125</v>
      </c>
      <c r="G37" s="55">
        <v>0.2907986111111111</v>
      </c>
      <c r="H37" s="55">
        <v>0.73158564814814808</v>
      </c>
      <c r="I37" s="55" t="str">
        <f t="shared" si="1"/>
        <v>06.010.169-8</v>
      </c>
      <c r="J37" s="55">
        <f t="shared" si="4"/>
        <v>0.44078703703703698</v>
      </c>
      <c r="K37" s="93">
        <f t="shared" si="5"/>
        <v>3.078888888888887</v>
      </c>
      <c r="L37">
        <f>IFERROR(HLOOKUP(D37,Ingreso!$AN$10:$AT$260,VLOOKUP('cruce '!I37,Ingreso!$AL$11:$AM$260,2,0),0),0)</f>
        <v>0</v>
      </c>
      <c r="M37" s="95">
        <f>IFERROR(HLOOKUP(D37,Ingreso!$AW$10:$BC$260,VLOOKUP('cruce '!I37,Ingreso!$AL$11:$AM$260,2,0),0),0)</f>
        <v>0</v>
      </c>
      <c r="N37" t="str">
        <f t="shared" si="0"/>
        <v>Revisar</v>
      </c>
    </row>
    <row r="38" spans="2:14">
      <c r="C38"/>
      <c r="D38" t="s">
        <v>1438</v>
      </c>
      <c r="E38" t="s">
        <v>4</v>
      </c>
      <c r="F38" s="78">
        <v>0.3125</v>
      </c>
      <c r="G38" s="55">
        <v>0.28979166666666667</v>
      </c>
      <c r="H38" s="55">
        <v>0.73138888888888898</v>
      </c>
      <c r="I38" s="55" t="str">
        <f t="shared" si="1"/>
        <v>06.010.169-8</v>
      </c>
      <c r="J38" s="55">
        <f t="shared" si="4"/>
        <v>0.44159722222222231</v>
      </c>
      <c r="K38" s="93">
        <f t="shared" si="5"/>
        <v>3.0983333333333363</v>
      </c>
      <c r="L38">
        <f>IFERROR(HLOOKUP(D38,Ingreso!$AN$10:$AT$260,VLOOKUP('cruce '!I38,Ingreso!$AL$11:$AM$260,2,0),0),0)</f>
        <v>0</v>
      </c>
      <c r="M38" s="95">
        <f>IFERROR(HLOOKUP(D38,Ingreso!$AW$10:$BC$260,VLOOKUP('cruce '!I38,Ingreso!$AL$11:$AM$260,2,0),0),0)</f>
        <v>0</v>
      </c>
      <c r="N38" t="str">
        <f t="shared" si="0"/>
        <v>Revisar</v>
      </c>
    </row>
    <row r="39" spans="2:14">
      <c r="C39"/>
      <c r="D39" t="s">
        <v>1439</v>
      </c>
      <c r="E39" t="s">
        <v>4</v>
      </c>
      <c r="F39" s="78">
        <v>0.3125</v>
      </c>
      <c r="G39" s="55">
        <v>0.28847222222222224</v>
      </c>
      <c r="H39" s="55">
        <v>0.73421296296296301</v>
      </c>
      <c r="I39" s="55" t="str">
        <f t="shared" si="1"/>
        <v>06.010.169-8</v>
      </c>
      <c r="J39" s="55">
        <f t="shared" si="4"/>
        <v>0.44574074074074077</v>
      </c>
      <c r="K39" s="93">
        <f t="shared" si="5"/>
        <v>3.1977777777777785</v>
      </c>
      <c r="L39">
        <f>IFERROR(HLOOKUP(D39,Ingreso!$AN$10:$AT$260,VLOOKUP('cruce '!I39,Ingreso!$AL$11:$AM$260,2,0),0),0)</f>
        <v>0</v>
      </c>
      <c r="M39" s="95">
        <f>IFERROR(HLOOKUP(D39,Ingreso!$AW$10:$BC$260,VLOOKUP('cruce '!I39,Ingreso!$AL$11:$AM$260,2,0),0),0)</f>
        <v>0</v>
      </c>
      <c r="N39" t="str">
        <f t="shared" si="0"/>
        <v>Revisar</v>
      </c>
    </row>
    <row r="40" spans="2:14">
      <c r="B40" t="s">
        <v>294</v>
      </c>
      <c r="C40" t="s">
        <v>298</v>
      </c>
      <c r="D40" t="s">
        <v>1440</v>
      </c>
      <c r="E40" t="s">
        <v>4</v>
      </c>
      <c r="F40" s="78">
        <v>0.3125</v>
      </c>
      <c r="G40" s="55">
        <v>0.29596064814814815</v>
      </c>
      <c r="H40" s="55">
        <v>0.7351388888888889</v>
      </c>
      <c r="I40" s="55" t="str">
        <f t="shared" si="1"/>
        <v>06.143.912-9</v>
      </c>
      <c r="J40" s="55">
        <f t="shared" si="4"/>
        <v>0.43917824074074074</v>
      </c>
      <c r="K40" s="93">
        <f t="shared" si="5"/>
        <v>3.0402777777777779</v>
      </c>
      <c r="L40">
        <f>IFERROR(HLOOKUP(D40,Ingreso!$AN$10:$AT$260,VLOOKUP('cruce '!I40,Ingreso!$AL$11:$AM$260,2,0),0),0)</f>
        <v>0</v>
      </c>
      <c r="M40" s="95">
        <f>IFERROR(HLOOKUP(D40,Ingreso!$AW$10:$BC$260,VLOOKUP('cruce '!I40,Ingreso!$AL$11:$AM$260,2,0),0),0)</f>
        <v>0</v>
      </c>
      <c r="N40" t="str">
        <f t="shared" si="0"/>
        <v>Revisar</v>
      </c>
    </row>
    <row r="41" spans="2:14">
      <c r="C41"/>
      <c r="D41" t="s">
        <v>1437</v>
      </c>
      <c r="E41" t="s">
        <v>4</v>
      </c>
      <c r="F41" s="78">
        <v>0.3125</v>
      </c>
      <c r="G41" s="55">
        <v>0.29412037037037037</v>
      </c>
      <c r="H41" s="55">
        <v>0.73293981481481474</v>
      </c>
      <c r="I41" s="55" t="str">
        <f t="shared" si="1"/>
        <v>06.143.912-9</v>
      </c>
      <c r="J41" s="55">
        <f t="shared" si="4"/>
        <v>0.43881944444444437</v>
      </c>
      <c r="K41" s="93">
        <f t="shared" si="5"/>
        <v>3.0316666666666645</v>
      </c>
      <c r="L41">
        <f>IFERROR(HLOOKUP(D41,Ingreso!$AN$10:$AT$260,VLOOKUP('cruce '!I41,Ingreso!$AL$11:$AM$260,2,0),0),0)</f>
        <v>0</v>
      </c>
      <c r="M41" s="95">
        <f>IFERROR(HLOOKUP(D41,Ingreso!$AW$10:$BC$260,VLOOKUP('cruce '!I41,Ingreso!$AL$11:$AM$260,2,0),0),0)</f>
        <v>0</v>
      </c>
      <c r="N41" t="str">
        <f t="shared" si="0"/>
        <v>Revisar</v>
      </c>
    </row>
    <row r="42" spans="2:14">
      <c r="C42"/>
      <c r="D42" t="s">
        <v>1438</v>
      </c>
      <c r="E42" t="s">
        <v>4</v>
      </c>
      <c r="F42" s="78">
        <v>0.3125</v>
      </c>
      <c r="G42" s="55">
        <v>0.28986111111111112</v>
      </c>
      <c r="H42" s="55">
        <v>0.7322685185185186</v>
      </c>
      <c r="I42" s="55" t="str">
        <f t="shared" si="1"/>
        <v>06.143.912-9</v>
      </c>
      <c r="J42" s="55">
        <f t="shared" si="4"/>
        <v>0.44240740740740747</v>
      </c>
      <c r="K42" s="93">
        <f t="shared" si="5"/>
        <v>3.1177777777777784</v>
      </c>
      <c r="L42">
        <f>IFERROR(HLOOKUP(D42,Ingreso!$AN$10:$AT$260,VLOOKUP('cruce '!I42,Ingreso!$AL$11:$AM$260,2,0),0),0)</f>
        <v>0</v>
      </c>
      <c r="M42" s="95">
        <f>IFERROR(HLOOKUP(D42,Ingreso!$AW$10:$BC$260,VLOOKUP('cruce '!I42,Ingreso!$AL$11:$AM$260,2,0),0),0)</f>
        <v>0</v>
      </c>
      <c r="N42" t="str">
        <f t="shared" si="0"/>
        <v>Revisar</v>
      </c>
    </row>
    <row r="43" spans="2:14">
      <c r="C43"/>
      <c r="D43" t="s">
        <v>1439</v>
      </c>
      <c r="E43" t="s">
        <v>4</v>
      </c>
      <c r="F43" s="78">
        <v>0.3125</v>
      </c>
      <c r="G43" s="55">
        <v>0.29435185185185186</v>
      </c>
      <c r="H43" s="55">
        <v>0.73184027777777771</v>
      </c>
      <c r="I43" s="55" t="str">
        <f t="shared" si="1"/>
        <v>06.143.912-9</v>
      </c>
      <c r="J43" s="55">
        <f t="shared" si="4"/>
        <v>0.43748842592592585</v>
      </c>
      <c r="K43" s="93">
        <f t="shared" si="5"/>
        <v>2.9997222222222213</v>
      </c>
      <c r="L43">
        <f>IFERROR(HLOOKUP(D43,Ingreso!$AN$10:$AT$260,VLOOKUP('cruce '!I43,Ingreso!$AL$11:$AM$260,2,0),0),0)</f>
        <v>0</v>
      </c>
      <c r="M43" s="95">
        <f>IFERROR(HLOOKUP(D43,Ingreso!$AW$10:$BC$260,VLOOKUP('cruce '!I43,Ingreso!$AL$11:$AM$260,2,0),0),0)</f>
        <v>0</v>
      </c>
      <c r="N43" t="str">
        <f t="shared" si="0"/>
        <v>Revisar</v>
      </c>
    </row>
    <row r="44" spans="2:14">
      <c r="B44" t="s">
        <v>392</v>
      </c>
      <c r="C44" t="s">
        <v>394</v>
      </c>
      <c r="D44" t="s">
        <v>1440</v>
      </c>
      <c r="E44" t="s">
        <v>1323</v>
      </c>
      <c r="F44" s="78">
        <v>0.375</v>
      </c>
      <c r="G44" s="55">
        <v>0.92042824074074081</v>
      </c>
      <c r="H44" s="55">
        <v>0.32218750000000002</v>
      </c>
      <c r="I44" s="55" t="str">
        <f t="shared" si="1"/>
        <v>06.187.914-5</v>
      </c>
      <c r="J44" s="55">
        <f t="shared" si="4"/>
        <v>0.40175925925925926</v>
      </c>
      <c r="K44" s="93">
        <f t="shared" si="5"/>
        <v>0.64222222222222314</v>
      </c>
      <c r="L44">
        <f>IFERROR(HLOOKUP(D44,Ingreso!$AN$10:$AT$260,VLOOKUP('cruce '!I44,Ingreso!$AL$11:$AM$260,2,0),0),0)</f>
        <v>0</v>
      </c>
      <c r="M44" s="95">
        <f>IFERROR(HLOOKUP(D44,Ingreso!$AW$10:$BC$260,VLOOKUP('cruce '!I44,Ingreso!$AL$11:$AM$260,2,0),0),0)</f>
        <v>0</v>
      </c>
      <c r="N44" t="str">
        <f t="shared" si="0"/>
        <v>OK</v>
      </c>
    </row>
    <row r="45" spans="2:14">
      <c r="C45"/>
      <c r="D45" t="s">
        <v>1441</v>
      </c>
      <c r="E45" t="s">
        <v>1323</v>
      </c>
      <c r="F45" s="78">
        <v>0.375</v>
      </c>
      <c r="G45" s="55"/>
      <c r="H45" s="55">
        <v>0.32341435185185186</v>
      </c>
      <c r="I45" s="55" t="str">
        <f t="shared" si="1"/>
        <v>06.187.914-5</v>
      </c>
      <c r="J45" s="55">
        <f t="shared" si="4"/>
        <v>0.32341435185185186</v>
      </c>
      <c r="K45" s="93">
        <f t="shared" si="5"/>
        <v>-1.2380555555555555</v>
      </c>
      <c r="L45">
        <f>IFERROR(HLOOKUP(D45,Ingreso!$AN$10:$AT$260,VLOOKUP('cruce '!I45,Ingreso!$AL$11:$AM$260,2,0),0),0)</f>
        <v>0</v>
      </c>
      <c r="M45" s="95">
        <f>IFERROR(HLOOKUP(D45,Ingreso!$AW$10:$BC$260,VLOOKUP('cruce '!I45,Ingreso!$AL$11:$AM$260,2,0),0),0)</f>
        <v>0</v>
      </c>
      <c r="N45" t="str">
        <f t="shared" si="0"/>
        <v>Revisar</v>
      </c>
    </row>
    <row r="46" spans="2:14">
      <c r="C46"/>
      <c r="D46" t="s">
        <v>1437</v>
      </c>
      <c r="E46" t="s">
        <v>1323</v>
      </c>
      <c r="F46" s="78">
        <v>0.375</v>
      </c>
      <c r="G46" s="55">
        <v>0.91806712962962955</v>
      </c>
      <c r="H46" s="55"/>
      <c r="I46" s="55" t="str">
        <f t="shared" si="1"/>
        <v>06.187.914-5</v>
      </c>
      <c r="J46" s="55">
        <f t="shared" si="4"/>
        <v>8.1932870370370448E-2</v>
      </c>
      <c r="K46" s="93">
        <f t="shared" si="5"/>
        <v>-7.0336111111111093</v>
      </c>
      <c r="L46">
        <f>IFERROR(HLOOKUP(D46,Ingreso!$AN$10:$AT$260,VLOOKUP('cruce '!I46,Ingreso!$AL$11:$AM$260,2,0),0),0)</f>
        <v>0</v>
      </c>
      <c r="M46" s="95">
        <f>IFERROR(HLOOKUP(D46,Ingreso!$AW$10:$BC$260,VLOOKUP('cruce '!I46,Ingreso!$AL$11:$AM$260,2,0),0),0)</f>
        <v>0</v>
      </c>
      <c r="N46" t="str">
        <f t="shared" si="0"/>
        <v>Revisar</v>
      </c>
    </row>
    <row r="47" spans="2:14">
      <c r="C47"/>
      <c r="D47" t="s">
        <v>1438</v>
      </c>
      <c r="E47" t="s">
        <v>1323</v>
      </c>
      <c r="F47" s="78">
        <v>0.375</v>
      </c>
      <c r="G47" s="55">
        <v>0.91990740740740751</v>
      </c>
      <c r="H47" s="55">
        <v>0.32155092592592593</v>
      </c>
      <c r="I47" s="55" t="str">
        <f t="shared" si="1"/>
        <v>06.187.914-5</v>
      </c>
      <c r="J47" s="55">
        <f t="shared" si="4"/>
        <v>0.40164351851851843</v>
      </c>
      <c r="K47" s="93">
        <f t="shared" si="5"/>
        <v>0.63944444444444315</v>
      </c>
      <c r="L47">
        <f>IFERROR(HLOOKUP(D47,Ingreso!$AN$10:$AT$260,VLOOKUP('cruce '!I47,Ingreso!$AL$11:$AM$260,2,0),0),0)</f>
        <v>0</v>
      </c>
      <c r="M47" s="95">
        <f>IFERROR(HLOOKUP(D47,Ingreso!$AW$10:$BC$260,VLOOKUP('cruce '!I47,Ingreso!$AL$11:$AM$260,2,0),0),0)</f>
        <v>0</v>
      </c>
      <c r="N47" t="str">
        <f t="shared" si="0"/>
        <v>OK</v>
      </c>
    </row>
    <row r="48" spans="2:14">
      <c r="C48"/>
      <c r="D48" t="s">
        <v>1439</v>
      </c>
      <c r="E48" t="s">
        <v>1323</v>
      </c>
      <c r="F48" s="78">
        <v>0.375</v>
      </c>
      <c r="G48" s="55">
        <v>0.91795138888888894</v>
      </c>
      <c r="H48" s="55">
        <v>0.32165509259259256</v>
      </c>
      <c r="I48" s="55" t="str">
        <f t="shared" si="1"/>
        <v>06.187.914-5</v>
      </c>
      <c r="J48" s="55">
        <f t="shared" si="4"/>
        <v>0.40370370370370356</v>
      </c>
      <c r="K48" s="93">
        <f t="shared" si="5"/>
        <v>0.68888888888888644</v>
      </c>
      <c r="L48">
        <f>IFERROR(HLOOKUP(D48,Ingreso!$AN$10:$AT$260,VLOOKUP('cruce '!I48,Ingreso!$AL$11:$AM$260,2,0),0),0)</f>
        <v>0</v>
      </c>
      <c r="M48" s="95">
        <f>IFERROR(HLOOKUP(D48,Ingreso!$AW$10:$BC$260,VLOOKUP('cruce '!I48,Ingreso!$AL$11:$AM$260,2,0),0),0)</f>
        <v>0</v>
      </c>
      <c r="N48" t="str">
        <f t="shared" si="0"/>
        <v>OK</v>
      </c>
    </row>
    <row r="49" spans="2:14">
      <c r="B49" t="s">
        <v>351</v>
      </c>
      <c r="C49" t="s">
        <v>354</v>
      </c>
      <c r="D49" t="s">
        <v>1440</v>
      </c>
      <c r="E49" t="s">
        <v>4</v>
      </c>
      <c r="F49" s="78">
        <v>0.3125</v>
      </c>
      <c r="G49" s="55">
        <v>0.29841435185185183</v>
      </c>
      <c r="H49" s="55"/>
      <c r="I49" s="55" t="str">
        <f t="shared" si="1"/>
        <v>06.326.657-4</v>
      </c>
      <c r="J49" s="55">
        <f t="shared" si="4"/>
        <v>0.70158564814814817</v>
      </c>
      <c r="K49" s="93">
        <f t="shared" si="5"/>
        <v>9.338055555555556</v>
      </c>
      <c r="L49">
        <f>IFERROR(HLOOKUP(D49,Ingreso!$AN$10:$AT$260,VLOOKUP('cruce '!I49,Ingreso!$AL$11:$AM$260,2,0),0),0)</f>
        <v>0</v>
      </c>
      <c r="M49" s="95">
        <f>IFERROR(HLOOKUP(D49,Ingreso!$AW$10:$BC$260,VLOOKUP('cruce '!I49,Ingreso!$AL$11:$AM$260,2,0),0),0)</f>
        <v>0</v>
      </c>
      <c r="N49" t="str">
        <f t="shared" si="0"/>
        <v>Revisar</v>
      </c>
    </row>
    <row r="50" spans="2:14">
      <c r="C50"/>
      <c r="D50"/>
      <c r="E50" t="s">
        <v>1321</v>
      </c>
      <c r="F50" s="78">
        <v>0.3125</v>
      </c>
      <c r="G50" s="55"/>
      <c r="H50" s="55">
        <v>0.62444444444444447</v>
      </c>
      <c r="I50" s="55" t="str">
        <f t="shared" si="1"/>
        <v>06.326.657-4</v>
      </c>
      <c r="J50" s="55">
        <f t="shared" si="4"/>
        <v>0.62444444444444447</v>
      </c>
      <c r="K50" s="93">
        <f t="shared" si="5"/>
        <v>7.4866666666666681</v>
      </c>
      <c r="L50">
        <f>IFERROR(HLOOKUP(D50,Ingreso!$AN$10:$AT$260,VLOOKUP('cruce '!I50,Ingreso!$AL$11:$AM$260,2,0),0),0)</f>
        <v>0</v>
      </c>
      <c r="M50" s="95">
        <f>IFERROR(HLOOKUP(D50,Ingreso!$AW$10:$BC$260,VLOOKUP('cruce '!I50,Ingreso!$AL$11:$AM$260,2,0),0),0)</f>
        <v>0</v>
      </c>
      <c r="N50" t="str">
        <f t="shared" si="0"/>
        <v>Revisar</v>
      </c>
    </row>
    <row r="51" spans="2:14">
      <c r="C51"/>
      <c r="D51" t="s">
        <v>1441</v>
      </c>
      <c r="E51" t="s">
        <v>4</v>
      </c>
      <c r="F51" s="78">
        <v>0.3125</v>
      </c>
      <c r="G51" s="55">
        <v>0.30062499999999998</v>
      </c>
      <c r="H51" s="55"/>
      <c r="I51" s="55" t="str">
        <f t="shared" si="1"/>
        <v>06.326.657-4</v>
      </c>
      <c r="J51" s="55">
        <f t="shared" si="4"/>
        <v>0.69937500000000008</v>
      </c>
      <c r="K51" s="93">
        <f t="shared" si="5"/>
        <v>9.2850000000000037</v>
      </c>
      <c r="L51">
        <f>IFERROR(HLOOKUP(D51,Ingreso!$AN$10:$AT$260,VLOOKUP('cruce '!I51,Ingreso!$AL$11:$AM$260,2,0),0),0)</f>
        <v>0</v>
      </c>
      <c r="M51" s="95">
        <f>IFERROR(HLOOKUP(D51,Ingreso!$AW$10:$BC$260,VLOOKUP('cruce '!I51,Ingreso!$AL$11:$AM$260,2,0),0),0)</f>
        <v>0</v>
      </c>
      <c r="N51" t="str">
        <f t="shared" si="0"/>
        <v>Revisar</v>
      </c>
    </row>
    <row r="52" spans="2:14">
      <c r="C52"/>
      <c r="D52"/>
      <c r="E52" t="s">
        <v>1321</v>
      </c>
      <c r="F52" s="78">
        <v>0.3125</v>
      </c>
      <c r="G52" s="55"/>
      <c r="H52" s="55">
        <v>0.62203703703703705</v>
      </c>
      <c r="I52" s="55" t="str">
        <f t="shared" si="1"/>
        <v>06.326.657-4</v>
      </c>
      <c r="J52" s="55">
        <f t="shared" si="4"/>
        <v>0.62203703703703705</v>
      </c>
      <c r="K52" s="93">
        <f t="shared" si="5"/>
        <v>7.4288888888888884</v>
      </c>
      <c r="L52">
        <f>IFERROR(HLOOKUP(D52,Ingreso!$AN$10:$AT$260,VLOOKUP('cruce '!I52,Ingreso!$AL$11:$AM$260,2,0),0),0)</f>
        <v>0</v>
      </c>
      <c r="M52" s="95">
        <f>IFERROR(HLOOKUP(D52,Ingreso!$AW$10:$BC$260,VLOOKUP('cruce '!I52,Ingreso!$AL$11:$AM$260,2,0),0),0)</f>
        <v>0</v>
      </c>
      <c r="N52" t="str">
        <f t="shared" si="0"/>
        <v>Revisar</v>
      </c>
    </row>
    <row r="53" spans="2:14">
      <c r="C53"/>
      <c r="D53" t="s">
        <v>1437</v>
      </c>
      <c r="E53" t="s">
        <v>4</v>
      </c>
      <c r="F53" s="78">
        <v>0.3125</v>
      </c>
      <c r="G53" s="55">
        <v>0.2977083333333333</v>
      </c>
      <c r="H53" s="55"/>
      <c r="I53" s="55" t="str">
        <f t="shared" si="1"/>
        <v>06.326.657-4</v>
      </c>
      <c r="J53" s="55">
        <f t="shared" si="4"/>
        <v>0.70229166666666676</v>
      </c>
      <c r="K53" s="93">
        <f t="shared" si="5"/>
        <v>9.355000000000004</v>
      </c>
      <c r="L53">
        <f>IFERROR(HLOOKUP(D53,Ingreso!$AN$10:$AT$260,VLOOKUP('cruce '!I53,Ingreso!$AL$11:$AM$260,2,0),0),0)</f>
        <v>0</v>
      </c>
      <c r="M53" s="95">
        <f>IFERROR(HLOOKUP(D53,Ingreso!$AW$10:$BC$260,VLOOKUP('cruce '!I53,Ingreso!$AL$11:$AM$260,2,0),0),0)</f>
        <v>0</v>
      </c>
      <c r="N53" t="str">
        <f t="shared" si="0"/>
        <v>Revisar</v>
      </c>
    </row>
    <row r="54" spans="2:14">
      <c r="C54"/>
      <c r="D54"/>
      <c r="E54" t="s">
        <v>1321</v>
      </c>
      <c r="F54" s="78">
        <v>0.3125</v>
      </c>
      <c r="G54" s="55"/>
      <c r="H54" s="55">
        <v>0.62241898148148145</v>
      </c>
      <c r="I54" s="55" t="str">
        <f t="shared" si="1"/>
        <v>06.326.657-4</v>
      </c>
      <c r="J54" s="55">
        <f t="shared" si="4"/>
        <v>0.62241898148148145</v>
      </c>
      <c r="K54" s="93">
        <f t="shared" si="5"/>
        <v>7.4380555555555539</v>
      </c>
      <c r="L54">
        <f>IFERROR(HLOOKUP(D54,Ingreso!$AN$10:$AT$260,VLOOKUP('cruce '!I54,Ingreso!$AL$11:$AM$260,2,0),0),0)</f>
        <v>0</v>
      </c>
      <c r="M54" s="95">
        <f>IFERROR(HLOOKUP(D54,Ingreso!$AW$10:$BC$260,VLOOKUP('cruce '!I54,Ingreso!$AL$11:$AM$260,2,0),0),0)</f>
        <v>0</v>
      </c>
      <c r="N54" t="str">
        <f t="shared" si="0"/>
        <v>Revisar</v>
      </c>
    </row>
    <row r="55" spans="2:14">
      <c r="C55"/>
      <c r="D55" t="s">
        <v>1438</v>
      </c>
      <c r="E55" t="s">
        <v>4</v>
      </c>
      <c r="F55" s="78">
        <v>0.3125</v>
      </c>
      <c r="G55" s="55">
        <v>0.29638888888888887</v>
      </c>
      <c r="H55" s="55">
        <v>0.62597222222222226</v>
      </c>
      <c r="I55" s="55" t="str">
        <f t="shared" si="1"/>
        <v>06.326.657-4</v>
      </c>
      <c r="J55" s="55">
        <f t="shared" si="4"/>
        <v>0.32958333333333339</v>
      </c>
      <c r="K55" s="93">
        <f t="shared" si="5"/>
        <v>0.41000000000000192</v>
      </c>
      <c r="L55">
        <f>IFERROR(HLOOKUP(D55,Ingreso!$AN$10:$AT$260,VLOOKUP('cruce '!I55,Ingreso!$AL$11:$AM$260,2,0),0),0)</f>
        <v>0</v>
      </c>
      <c r="M55" s="95">
        <f>IFERROR(HLOOKUP(D55,Ingreso!$AW$10:$BC$260,VLOOKUP('cruce '!I55,Ingreso!$AL$11:$AM$260,2,0),0),0)</f>
        <v>0</v>
      </c>
      <c r="N55" t="str">
        <f t="shared" si="0"/>
        <v>OK</v>
      </c>
    </row>
    <row r="56" spans="2:14">
      <c r="C56"/>
      <c r="D56" t="s">
        <v>1439</v>
      </c>
      <c r="E56" t="s">
        <v>4</v>
      </c>
      <c r="F56" s="78">
        <v>0.3125</v>
      </c>
      <c r="G56" s="55">
        <v>0.29883101851851851</v>
      </c>
      <c r="H56" s="55"/>
      <c r="I56" s="55" t="str">
        <f t="shared" si="1"/>
        <v>06.326.657-4</v>
      </c>
      <c r="J56" s="55">
        <f t="shared" si="4"/>
        <v>0.70116898148148143</v>
      </c>
      <c r="K56" s="93">
        <f t="shared" si="5"/>
        <v>9.3280555555555544</v>
      </c>
      <c r="L56">
        <f>IFERROR(HLOOKUP(D56,Ingreso!$AN$10:$AT$260,VLOOKUP('cruce '!I56,Ingreso!$AL$11:$AM$260,2,0),0),0)</f>
        <v>0</v>
      </c>
      <c r="M56" s="95">
        <f>IFERROR(HLOOKUP(D56,Ingreso!$AW$10:$BC$260,VLOOKUP('cruce '!I56,Ingreso!$AL$11:$AM$260,2,0),0),0)</f>
        <v>0</v>
      </c>
      <c r="N56" t="str">
        <f t="shared" si="0"/>
        <v>Revisar</v>
      </c>
    </row>
    <row r="57" spans="2:14">
      <c r="C57"/>
      <c r="D57"/>
      <c r="E57" t="s">
        <v>1321</v>
      </c>
      <c r="F57" s="78">
        <v>0.3125</v>
      </c>
      <c r="G57" s="55"/>
      <c r="H57" s="55">
        <v>0.62399305555555562</v>
      </c>
      <c r="I57" s="55" t="str">
        <f t="shared" si="1"/>
        <v>06.326.657-4</v>
      </c>
      <c r="J57" s="55">
        <f t="shared" si="4"/>
        <v>0.62399305555555562</v>
      </c>
      <c r="K57" s="93">
        <f t="shared" si="5"/>
        <v>7.475833333333334</v>
      </c>
      <c r="L57">
        <f>IFERROR(HLOOKUP(D57,Ingreso!$AN$10:$AT$260,VLOOKUP('cruce '!I57,Ingreso!$AL$11:$AM$260,2,0),0),0)</f>
        <v>0</v>
      </c>
      <c r="M57" s="95">
        <f>IFERROR(HLOOKUP(D57,Ingreso!$AW$10:$BC$260,VLOOKUP('cruce '!I57,Ingreso!$AL$11:$AM$260,2,0),0),0)</f>
        <v>0</v>
      </c>
      <c r="N57" t="str">
        <f t="shared" si="0"/>
        <v>Revisar</v>
      </c>
    </row>
    <row r="58" spans="2:14">
      <c r="B58" t="s">
        <v>1027</v>
      </c>
      <c r="C58" t="s">
        <v>1029</v>
      </c>
      <c r="D58" t="s">
        <v>1440</v>
      </c>
      <c r="E58" t="s">
        <v>1321</v>
      </c>
      <c r="F58" s="78">
        <v>0.3125</v>
      </c>
      <c r="G58" s="55">
        <v>0.60729166666666667</v>
      </c>
      <c r="H58" s="55">
        <v>0.94914351851851853</v>
      </c>
      <c r="I58" s="55" t="str">
        <f t="shared" si="1"/>
        <v>06.467.952-K</v>
      </c>
      <c r="J58" s="55">
        <f t="shared" si="4"/>
        <v>0.34185185185185185</v>
      </c>
      <c r="K58" s="93">
        <f t="shared" si="5"/>
        <v>0.70444444444444443</v>
      </c>
      <c r="L58">
        <f>IFERROR(HLOOKUP(D58,Ingreso!$AN$10:$AT$260,VLOOKUP('cruce '!I58,Ingreso!$AL$11:$AM$260,2,0),0),0)</f>
        <v>0</v>
      </c>
      <c r="M58" s="95" t="str">
        <f>IFERROR(HLOOKUP(D58,Ingreso!$AW$10:$BC$260,VLOOKUP('cruce '!I58,Ingreso!$AL$11:$AM$260,2,0),0),0)</f>
        <v/>
      </c>
      <c r="N58" t="str">
        <f t="shared" si="0"/>
        <v>OK</v>
      </c>
    </row>
    <row r="59" spans="2:14">
      <c r="C59"/>
      <c r="D59" t="s">
        <v>1441</v>
      </c>
      <c r="E59" t="s">
        <v>1321</v>
      </c>
      <c r="F59" s="78">
        <v>0.3125</v>
      </c>
      <c r="G59" s="55">
        <v>0.61099537037037044</v>
      </c>
      <c r="H59" s="55">
        <v>0.9483449074074074</v>
      </c>
      <c r="I59" s="55" t="str">
        <f t="shared" si="1"/>
        <v>06.467.952-K</v>
      </c>
      <c r="J59" s="55">
        <f t="shared" si="4"/>
        <v>0.33734953703703696</v>
      </c>
      <c r="K59" s="93">
        <f t="shared" si="5"/>
        <v>0.59638888888888708</v>
      </c>
      <c r="L59">
        <f>IFERROR(HLOOKUP(D59,Ingreso!$AN$10:$AT$260,VLOOKUP('cruce '!I59,Ingreso!$AL$11:$AM$260,2,0),0),0)</f>
        <v>0</v>
      </c>
      <c r="M59" s="95" t="str">
        <f>IFERROR(HLOOKUP(D59,Ingreso!$AW$10:$BC$260,VLOOKUP('cruce '!I59,Ingreso!$AL$11:$AM$260,2,0),0),0)</f>
        <v/>
      </c>
      <c r="N59" t="str">
        <f t="shared" si="0"/>
        <v>OK</v>
      </c>
    </row>
    <row r="60" spans="2:14">
      <c r="C60"/>
      <c r="D60" t="s">
        <v>1437</v>
      </c>
      <c r="E60" t="s">
        <v>1321</v>
      </c>
      <c r="F60" s="78">
        <v>0.3125</v>
      </c>
      <c r="G60" s="55">
        <v>0.60898148148148146</v>
      </c>
      <c r="H60" s="55">
        <v>0.94981481481481478</v>
      </c>
      <c r="I60" s="55" t="str">
        <f t="shared" si="1"/>
        <v>06.467.952-K</v>
      </c>
      <c r="J60" s="55">
        <f t="shared" si="4"/>
        <v>0.34083333333333332</v>
      </c>
      <c r="K60" s="93">
        <f t="shared" si="5"/>
        <v>0.67999999999999972</v>
      </c>
      <c r="L60">
        <f>IFERROR(HLOOKUP(D60,Ingreso!$AN$10:$AT$260,VLOOKUP('cruce '!I60,Ingreso!$AL$11:$AM$260,2,0),0),0)</f>
        <v>0</v>
      </c>
      <c r="M60" s="95" t="str">
        <f>IFERROR(HLOOKUP(D60,Ingreso!$AW$10:$BC$260,VLOOKUP('cruce '!I60,Ingreso!$AL$11:$AM$260,2,0),0),0)</f>
        <v/>
      </c>
      <c r="N60" t="str">
        <f t="shared" si="0"/>
        <v>OK</v>
      </c>
    </row>
    <row r="61" spans="2:14">
      <c r="C61"/>
      <c r="D61" t="s">
        <v>1438</v>
      </c>
      <c r="E61" t="s">
        <v>1321</v>
      </c>
      <c r="F61" s="78">
        <v>0.3125</v>
      </c>
      <c r="G61" s="55">
        <v>0.60859953703703706</v>
      </c>
      <c r="H61" s="55">
        <v>0.94625000000000004</v>
      </c>
      <c r="I61" s="55" t="str">
        <f t="shared" si="1"/>
        <v>06.467.952-K</v>
      </c>
      <c r="J61" s="55">
        <f t="shared" si="4"/>
        <v>0.33765046296296297</v>
      </c>
      <c r="K61" s="93">
        <f t="shared" si="5"/>
        <v>0.60361111111111043</v>
      </c>
      <c r="L61">
        <f>IFERROR(HLOOKUP(D61,Ingreso!$AN$10:$AT$260,VLOOKUP('cruce '!I61,Ingreso!$AL$11:$AM$260,2,0),0),0)</f>
        <v>0</v>
      </c>
      <c r="M61" s="95" t="str">
        <f>IFERROR(HLOOKUP(D61,Ingreso!$AW$10:$BC$260,VLOOKUP('cruce '!I61,Ingreso!$AL$11:$AM$260,2,0),0),0)</f>
        <v/>
      </c>
      <c r="N61" t="str">
        <f t="shared" si="0"/>
        <v>OK</v>
      </c>
    </row>
    <row r="62" spans="2:14">
      <c r="C62"/>
      <c r="D62" t="s">
        <v>1439</v>
      </c>
      <c r="E62" t="s">
        <v>1321</v>
      </c>
      <c r="F62" s="78">
        <v>0.3125</v>
      </c>
      <c r="G62" s="55">
        <v>0.60835648148148147</v>
      </c>
      <c r="H62" s="55">
        <v>0.94724537037037038</v>
      </c>
      <c r="I62" s="55" t="str">
        <f t="shared" si="1"/>
        <v>06.467.952-K</v>
      </c>
      <c r="J62" s="55">
        <f t="shared" si="4"/>
        <v>0.33888888888888891</v>
      </c>
      <c r="K62" s="93">
        <f t="shared" si="5"/>
        <v>0.63333333333333286</v>
      </c>
      <c r="L62">
        <f>IFERROR(HLOOKUP(D62,Ingreso!$AN$10:$AT$260,VLOOKUP('cruce '!I62,Ingreso!$AL$11:$AM$260,2,0),0),0)</f>
        <v>0</v>
      </c>
      <c r="M62" s="95" t="str">
        <f>IFERROR(HLOOKUP(D62,Ingreso!$AW$10:$BC$260,VLOOKUP('cruce '!I62,Ingreso!$AL$11:$AM$260,2,0),0),0)</f>
        <v/>
      </c>
      <c r="N62" t="str">
        <f t="shared" si="0"/>
        <v>OK</v>
      </c>
    </row>
    <row r="63" spans="2:14">
      <c r="B63" t="s">
        <v>805</v>
      </c>
      <c r="C63" t="s">
        <v>807</v>
      </c>
      <c r="D63" t="s">
        <v>1440</v>
      </c>
      <c r="E63" t="s">
        <v>4</v>
      </c>
      <c r="F63" s="78">
        <v>0.3125</v>
      </c>
      <c r="G63" s="55">
        <v>0.29371527777777778</v>
      </c>
      <c r="H63" s="55">
        <v>0.63481481481481483</v>
      </c>
      <c r="I63" s="55" t="str">
        <f t="shared" si="1"/>
        <v>06.528.911-3</v>
      </c>
      <c r="J63" s="55">
        <f t="shared" si="4"/>
        <v>0.34109953703703705</v>
      </c>
      <c r="K63" s="93">
        <f t="shared" si="5"/>
        <v>0.68638888888888872</v>
      </c>
      <c r="L63">
        <f>IFERROR(HLOOKUP(D63,Ingreso!$AN$10:$AT$260,VLOOKUP('cruce '!I63,Ingreso!$AL$11:$AM$260,2,0),0),0)</f>
        <v>0</v>
      </c>
      <c r="M63" s="95">
        <f>IFERROR(HLOOKUP(D63,Ingreso!$AW$10:$BC$260,VLOOKUP('cruce '!I63,Ingreso!$AL$11:$AM$260,2,0),0),0)</f>
        <v>0</v>
      </c>
      <c r="N63" t="str">
        <f t="shared" si="0"/>
        <v>OK</v>
      </c>
    </row>
    <row r="64" spans="2:14">
      <c r="C64"/>
      <c r="D64" t="s">
        <v>1441</v>
      </c>
      <c r="E64" t="s">
        <v>4</v>
      </c>
      <c r="F64" s="78">
        <v>0.3125</v>
      </c>
      <c r="G64" s="55">
        <v>0.29196759259259258</v>
      </c>
      <c r="H64" s="55">
        <v>0.62826388888888884</v>
      </c>
      <c r="I64" s="55" t="str">
        <f t="shared" si="1"/>
        <v>06.528.911-3</v>
      </c>
      <c r="J64" s="55">
        <f t="shared" si="4"/>
        <v>0.33629629629629626</v>
      </c>
      <c r="K64" s="93">
        <f t="shared" si="5"/>
        <v>0.57111111111110979</v>
      </c>
      <c r="L64">
        <f>IFERROR(HLOOKUP(D64,Ingreso!$AN$10:$AT$260,VLOOKUP('cruce '!I64,Ingreso!$AL$11:$AM$260,2,0),0),0)</f>
        <v>0</v>
      </c>
      <c r="M64" s="95">
        <f>IFERROR(HLOOKUP(D64,Ingreso!$AW$10:$BC$260,VLOOKUP('cruce '!I64,Ingreso!$AL$11:$AM$260,2,0),0),0)</f>
        <v>0</v>
      </c>
      <c r="N64" t="str">
        <f t="shared" si="0"/>
        <v>OK</v>
      </c>
    </row>
    <row r="65" spans="2:14">
      <c r="C65"/>
      <c r="D65" t="s">
        <v>1437</v>
      </c>
      <c r="E65" t="s">
        <v>4</v>
      </c>
      <c r="F65" s="78">
        <v>0.3125</v>
      </c>
      <c r="G65" s="55">
        <v>0.29363425925925929</v>
      </c>
      <c r="H65" s="55">
        <v>0.63185185185185189</v>
      </c>
      <c r="I65" s="55" t="str">
        <f t="shared" si="1"/>
        <v>06.528.911-3</v>
      </c>
      <c r="J65" s="55">
        <f t="shared" si="4"/>
        <v>0.3382175925925926</v>
      </c>
      <c r="K65" s="93">
        <f t="shared" si="5"/>
        <v>0.61722222222222278</v>
      </c>
      <c r="L65">
        <f>IFERROR(HLOOKUP(D65,Ingreso!$AN$10:$AT$260,VLOOKUP('cruce '!I65,Ingreso!$AL$11:$AM$260,2,0),0),0)</f>
        <v>0</v>
      </c>
      <c r="M65" s="95">
        <f>IFERROR(HLOOKUP(D65,Ingreso!$AW$10:$BC$260,VLOOKUP('cruce '!I65,Ingreso!$AL$11:$AM$260,2,0),0),0)</f>
        <v>0</v>
      </c>
      <c r="N65" t="str">
        <f t="shared" si="0"/>
        <v>OK</v>
      </c>
    </row>
    <row r="66" spans="2:14">
      <c r="C66"/>
      <c r="D66" t="s">
        <v>1438</v>
      </c>
      <c r="E66" t="s">
        <v>4</v>
      </c>
      <c r="F66" s="78">
        <v>0.3125</v>
      </c>
      <c r="G66" s="55">
        <v>0.29181712962962963</v>
      </c>
      <c r="H66" s="55">
        <v>0.62966435185185188</v>
      </c>
      <c r="I66" s="55" t="str">
        <f t="shared" si="1"/>
        <v>06.528.911-3</v>
      </c>
      <c r="J66" s="55">
        <f t="shared" si="4"/>
        <v>0.33784722222222224</v>
      </c>
      <c r="K66" s="93">
        <f t="shared" si="5"/>
        <v>0.60833333333333428</v>
      </c>
      <c r="L66">
        <f>IFERROR(HLOOKUP(D66,Ingreso!$AN$10:$AT$260,VLOOKUP('cruce '!I66,Ingreso!$AL$11:$AM$260,2,0),0),0)</f>
        <v>0</v>
      </c>
      <c r="M66" s="95">
        <f>IFERROR(HLOOKUP(D66,Ingreso!$AW$10:$BC$260,VLOOKUP('cruce '!I66,Ingreso!$AL$11:$AM$260,2,0),0),0)</f>
        <v>0</v>
      </c>
      <c r="N66" t="str">
        <f t="shared" si="0"/>
        <v>OK</v>
      </c>
    </row>
    <row r="67" spans="2:14">
      <c r="C67"/>
      <c r="D67" t="s">
        <v>1439</v>
      </c>
      <c r="E67" t="s">
        <v>4</v>
      </c>
      <c r="F67" s="78">
        <v>0.3125</v>
      </c>
      <c r="G67" s="55">
        <v>0.29171296296296295</v>
      </c>
      <c r="H67" s="55">
        <v>0.62782407407407403</v>
      </c>
      <c r="I67" s="55" t="str">
        <f t="shared" si="1"/>
        <v>06.528.911-3</v>
      </c>
      <c r="J67" s="55">
        <f t="shared" si="4"/>
        <v>0.33611111111111108</v>
      </c>
      <c r="K67" s="93">
        <f t="shared" si="5"/>
        <v>0.56666666666666643</v>
      </c>
      <c r="L67">
        <f>IFERROR(HLOOKUP(D67,Ingreso!$AN$10:$AT$260,VLOOKUP('cruce '!I67,Ingreso!$AL$11:$AM$260,2,0),0),0)</f>
        <v>0</v>
      </c>
      <c r="M67" s="95">
        <f>IFERROR(HLOOKUP(D67,Ingreso!$AW$10:$BC$260,VLOOKUP('cruce '!I67,Ingreso!$AL$11:$AM$260,2,0),0),0)</f>
        <v>0</v>
      </c>
      <c r="N67" t="str">
        <f t="shared" si="0"/>
        <v>OK</v>
      </c>
    </row>
    <row r="68" spans="2:14">
      <c r="B68" t="s">
        <v>774</v>
      </c>
      <c r="C68" t="s">
        <v>775</v>
      </c>
      <c r="D68" t="s">
        <v>1440</v>
      </c>
      <c r="E68" t="s">
        <v>1321</v>
      </c>
      <c r="F68" s="78">
        <v>0.3125</v>
      </c>
      <c r="G68" s="55">
        <v>0.59924768518518523</v>
      </c>
      <c r="H68" s="55">
        <v>0.9483449074074074</v>
      </c>
      <c r="I68" s="55" t="str">
        <f t="shared" si="1"/>
        <v>06.646.724-4</v>
      </c>
      <c r="J68" s="55">
        <f t="shared" si="4"/>
        <v>0.34909722222222217</v>
      </c>
      <c r="K68" s="93">
        <f t="shared" si="5"/>
        <v>0.87833333333333208</v>
      </c>
      <c r="L68">
        <f>IFERROR(HLOOKUP(D68,Ingreso!$AN$10:$AT$260,VLOOKUP('cruce '!I68,Ingreso!$AL$11:$AM$260,2,0),0),0)</f>
        <v>0</v>
      </c>
      <c r="M68" s="95">
        <f>IFERROR(HLOOKUP(D68,Ingreso!$AW$10:$BC$260,VLOOKUP('cruce '!I68,Ingreso!$AL$11:$AM$260,2,0),0),0)</f>
        <v>0</v>
      </c>
      <c r="N68" t="str">
        <f t="shared" si="0"/>
        <v>OK</v>
      </c>
    </row>
    <row r="69" spans="2:14">
      <c r="C69"/>
      <c r="D69" t="s">
        <v>1441</v>
      </c>
      <c r="E69" t="s">
        <v>1321</v>
      </c>
      <c r="F69" s="78">
        <v>0.3125</v>
      </c>
      <c r="G69" s="55">
        <v>0.60611111111111116</v>
      </c>
      <c r="H69" s="55">
        <v>0.93785879629629632</v>
      </c>
      <c r="I69" s="55" t="str">
        <f t="shared" si="1"/>
        <v>06.646.724-4</v>
      </c>
      <c r="J69" s="55">
        <f t="shared" si="4"/>
        <v>0.33174768518518516</v>
      </c>
      <c r="K69" s="93">
        <f t="shared" si="5"/>
        <v>0.46194444444444382</v>
      </c>
      <c r="L69">
        <f>IFERROR(HLOOKUP(D69,Ingreso!$AN$10:$AT$260,VLOOKUP('cruce '!I69,Ingreso!$AL$11:$AM$260,2,0),0),0)</f>
        <v>0</v>
      </c>
      <c r="M69" s="95">
        <f>IFERROR(HLOOKUP(D69,Ingreso!$AW$10:$BC$260,VLOOKUP('cruce '!I69,Ingreso!$AL$11:$AM$260,2,0),0),0)</f>
        <v>0</v>
      </c>
      <c r="N69" t="str">
        <f t="shared" si="0"/>
        <v>OK</v>
      </c>
    </row>
    <row r="70" spans="2:14">
      <c r="C70"/>
      <c r="D70" t="s">
        <v>1437</v>
      </c>
      <c r="E70" t="s">
        <v>1321</v>
      </c>
      <c r="F70" s="78">
        <v>0.3125</v>
      </c>
      <c r="G70" s="55">
        <v>0.59739583333333335</v>
      </c>
      <c r="H70" s="55">
        <v>0.95032407407407404</v>
      </c>
      <c r="I70" s="55" t="str">
        <f t="shared" si="1"/>
        <v>06.646.724-4</v>
      </c>
      <c r="J70" s="55">
        <f t="shared" si="4"/>
        <v>0.3529282407407407</v>
      </c>
      <c r="K70" s="93">
        <f t="shared" si="5"/>
        <v>0.97027777777777757</v>
      </c>
      <c r="L70">
        <f>IFERROR(HLOOKUP(D70,Ingreso!$AN$10:$AT$260,VLOOKUP('cruce '!I70,Ingreso!$AL$11:$AM$260,2,0),0),0)</f>
        <v>0</v>
      </c>
      <c r="M70" s="95">
        <f>IFERROR(HLOOKUP(D70,Ingreso!$AW$10:$BC$260,VLOOKUP('cruce '!I70,Ingreso!$AL$11:$AM$260,2,0),0),0)</f>
        <v>0</v>
      </c>
      <c r="N70" t="str">
        <f t="shared" si="0"/>
        <v>OK</v>
      </c>
    </row>
    <row r="71" spans="2:14">
      <c r="C71"/>
      <c r="D71" t="s">
        <v>1438</v>
      </c>
      <c r="E71" t="s">
        <v>1321</v>
      </c>
      <c r="F71" s="78">
        <v>0.3125</v>
      </c>
      <c r="G71" s="55">
        <v>0.61016203703703698</v>
      </c>
      <c r="H71" s="55">
        <v>0.93909722222222225</v>
      </c>
      <c r="I71" s="55" t="str">
        <f t="shared" si="1"/>
        <v>06.646.724-4</v>
      </c>
      <c r="J71" s="55">
        <f t="shared" si="4"/>
        <v>0.32893518518518527</v>
      </c>
      <c r="K71" s="93">
        <f t="shared" si="5"/>
        <v>0.3944444444444466</v>
      </c>
      <c r="L71">
        <f>IFERROR(HLOOKUP(D71,Ingreso!$AN$10:$AT$260,VLOOKUP('cruce '!I71,Ingreso!$AL$11:$AM$260,2,0),0),0)</f>
        <v>0</v>
      </c>
      <c r="M71" s="95">
        <f>IFERROR(HLOOKUP(D71,Ingreso!$AW$10:$BC$260,VLOOKUP('cruce '!I71,Ingreso!$AL$11:$AM$260,2,0),0),0)</f>
        <v>0</v>
      </c>
      <c r="N71" t="str">
        <f t="shared" si="0"/>
        <v>OK</v>
      </c>
    </row>
    <row r="72" spans="2:14">
      <c r="C72"/>
      <c r="D72" t="s">
        <v>1439</v>
      </c>
      <c r="E72" t="s">
        <v>1321</v>
      </c>
      <c r="F72" s="78">
        <v>0.3125</v>
      </c>
      <c r="G72" s="55">
        <v>0.5978472222222222</v>
      </c>
      <c r="H72" s="55">
        <v>0.95038194444444446</v>
      </c>
      <c r="I72" s="55" t="str">
        <f t="shared" si="1"/>
        <v>06.646.724-4</v>
      </c>
      <c r="J72" s="55">
        <f t="shared" si="4"/>
        <v>0.35253472222222226</v>
      </c>
      <c r="K72" s="93">
        <f t="shared" si="5"/>
        <v>0.96083333333333343</v>
      </c>
      <c r="L72">
        <f>IFERROR(HLOOKUP(D72,Ingreso!$AN$10:$AT$260,VLOOKUP('cruce '!I72,Ingreso!$AL$11:$AM$260,2,0),0),0)</f>
        <v>0</v>
      </c>
      <c r="M72" s="95">
        <f>IFERROR(HLOOKUP(D72,Ingreso!$AW$10:$BC$260,VLOOKUP('cruce '!I72,Ingreso!$AL$11:$AM$260,2,0),0),0)</f>
        <v>0</v>
      </c>
      <c r="N72" t="str">
        <f t="shared" ref="N72:N113" si="6">IF((K72-L72)&gt;1,"Revisar",IF((K72-L72)&lt;-1,"Revisar","OK"))</f>
        <v>OK</v>
      </c>
    </row>
    <row r="73" spans="2:14">
      <c r="B73" t="s">
        <v>813</v>
      </c>
      <c r="C73" t="s">
        <v>817</v>
      </c>
      <c r="D73" t="s">
        <v>1440</v>
      </c>
      <c r="E73" t="s">
        <v>4</v>
      </c>
      <c r="F73" s="78">
        <v>0.3125</v>
      </c>
      <c r="G73" s="55">
        <v>0.29995370370370372</v>
      </c>
      <c r="H73" s="55">
        <v>0.64650462962962962</v>
      </c>
      <c r="I73" s="55" t="str">
        <f t="shared" ref="I73:I113" si="7">IF(B73="",I72,B73)</f>
        <v>06.940.813-3</v>
      </c>
      <c r="J73" s="55">
        <f t="shared" si="4"/>
        <v>0.3465509259259259</v>
      </c>
      <c r="K73" s="93">
        <f t="shared" si="5"/>
        <v>0.81722222222222207</v>
      </c>
      <c r="L73">
        <f>IFERROR(HLOOKUP(D73,Ingreso!$AN$10:$AT$260,VLOOKUP('cruce '!I73,Ingreso!$AL$11:$AM$260,2,0),0),0)</f>
        <v>0</v>
      </c>
      <c r="M73" s="95">
        <f>IFERROR(HLOOKUP(D73,Ingreso!$AW$10:$BC$260,VLOOKUP('cruce '!I73,Ingreso!$AL$11:$AM$260,2,0),0),0)</f>
        <v>0</v>
      </c>
      <c r="N73" t="str">
        <f t="shared" si="6"/>
        <v>OK</v>
      </c>
    </row>
    <row r="74" spans="2:14">
      <c r="C74"/>
      <c r="D74" t="s">
        <v>1441</v>
      </c>
      <c r="E74" t="s">
        <v>4</v>
      </c>
      <c r="F74" s="78">
        <v>0.3125</v>
      </c>
      <c r="G74" s="55">
        <v>0.2936111111111111</v>
      </c>
      <c r="H74" s="55">
        <v>0.63997685185185182</v>
      </c>
      <c r="I74" s="55" t="str">
        <f t="shared" si="7"/>
        <v>06.940.813-3</v>
      </c>
      <c r="J74" s="55">
        <f t="shared" si="4"/>
        <v>0.34636574074074072</v>
      </c>
      <c r="K74" s="93">
        <f t="shared" si="5"/>
        <v>0.81277777777777693</v>
      </c>
      <c r="L74">
        <f>IFERROR(HLOOKUP(D74,Ingreso!$AN$10:$AT$260,VLOOKUP('cruce '!I74,Ingreso!$AL$11:$AM$260,2,0),0),0)</f>
        <v>0</v>
      </c>
      <c r="M74" s="95">
        <f>IFERROR(HLOOKUP(D74,Ingreso!$AW$10:$BC$260,VLOOKUP('cruce '!I74,Ingreso!$AL$11:$AM$260,2,0),0),0)</f>
        <v>0</v>
      </c>
      <c r="N74" t="str">
        <f t="shared" si="6"/>
        <v>OK</v>
      </c>
    </row>
    <row r="75" spans="2:14">
      <c r="C75"/>
      <c r="D75" t="s">
        <v>1437</v>
      </c>
      <c r="E75" t="s">
        <v>4</v>
      </c>
      <c r="F75" s="78">
        <v>0.3125</v>
      </c>
      <c r="G75" s="55">
        <v>0.29234953703703703</v>
      </c>
      <c r="H75" s="55">
        <v>0.65149305555555559</v>
      </c>
      <c r="I75" s="55" t="str">
        <f t="shared" si="7"/>
        <v>06.940.813-3</v>
      </c>
      <c r="J75" s="55">
        <f t="shared" si="4"/>
        <v>0.35914351851851856</v>
      </c>
      <c r="K75" s="93">
        <f t="shared" si="5"/>
        <v>1.1194444444444454</v>
      </c>
      <c r="L75">
        <f>IFERROR(HLOOKUP(D75,Ingreso!$AN$10:$AT$260,VLOOKUP('cruce '!I75,Ingreso!$AL$11:$AM$260,2,0),0),0)</f>
        <v>0</v>
      </c>
      <c r="M75" s="95">
        <f>IFERROR(HLOOKUP(D75,Ingreso!$AW$10:$BC$260,VLOOKUP('cruce '!I75,Ingreso!$AL$11:$AM$260,2,0),0),0)</f>
        <v>0</v>
      </c>
      <c r="N75" t="str">
        <f t="shared" si="6"/>
        <v>Revisar</v>
      </c>
    </row>
    <row r="76" spans="2:14">
      <c r="C76"/>
      <c r="D76" t="s">
        <v>1438</v>
      </c>
      <c r="E76" t="s">
        <v>4</v>
      </c>
      <c r="F76" s="78">
        <v>0.3125</v>
      </c>
      <c r="G76" s="55">
        <v>0.29619212962962965</v>
      </c>
      <c r="H76" s="55">
        <v>0.63574074074074072</v>
      </c>
      <c r="I76" s="55" t="str">
        <f t="shared" si="7"/>
        <v>06.940.813-3</v>
      </c>
      <c r="J76" s="55">
        <f t="shared" si="4"/>
        <v>0.33954861111111106</v>
      </c>
      <c r="K76" s="93">
        <f t="shared" si="5"/>
        <v>0.649166666666666</v>
      </c>
      <c r="L76">
        <f>IFERROR(HLOOKUP(D76,Ingreso!$AN$10:$AT$260,VLOOKUP('cruce '!I76,Ingreso!$AL$11:$AM$260,2,0),0),0)</f>
        <v>0</v>
      </c>
      <c r="M76" s="95">
        <f>IFERROR(HLOOKUP(D76,Ingreso!$AW$10:$BC$260,VLOOKUP('cruce '!I76,Ingreso!$AL$11:$AM$260,2,0),0),0)</f>
        <v>0</v>
      </c>
      <c r="N76" t="str">
        <f t="shared" si="6"/>
        <v>OK</v>
      </c>
    </row>
    <row r="77" spans="2:14">
      <c r="C77"/>
      <c r="D77" t="s">
        <v>1439</v>
      </c>
      <c r="E77" t="s">
        <v>4</v>
      </c>
      <c r="F77" s="78">
        <v>0.3125</v>
      </c>
      <c r="G77" s="55">
        <v>0.29348379629629628</v>
      </c>
      <c r="H77" s="55">
        <v>0.65921296296296295</v>
      </c>
      <c r="I77" s="55" t="str">
        <f t="shared" si="7"/>
        <v>06.940.813-3</v>
      </c>
      <c r="J77" s="55">
        <f t="shared" si="4"/>
        <v>0.36572916666666666</v>
      </c>
      <c r="K77" s="93">
        <f t="shared" si="5"/>
        <v>1.2774999999999999</v>
      </c>
      <c r="L77">
        <f>IFERROR(HLOOKUP(D77,Ingreso!$AN$10:$AT$260,VLOOKUP('cruce '!I77,Ingreso!$AL$11:$AM$260,2,0),0),0)</f>
        <v>0</v>
      </c>
      <c r="M77" s="95">
        <f>IFERROR(HLOOKUP(D77,Ingreso!$AW$10:$BC$260,VLOOKUP('cruce '!I77,Ingreso!$AL$11:$AM$260,2,0),0),0)</f>
        <v>0</v>
      </c>
      <c r="N77" t="str">
        <f t="shared" si="6"/>
        <v>Revisar</v>
      </c>
    </row>
    <row r="78" spans="2:14">
      <c r="B78" t="s">
        <v>954</v>
      </c>
      <c r="C78" t="s">
        <v>957</v>
      </c>
      <c r="D78" t="s">
        <v>1440</v>
      </c>
      <c r="E78" t="s">
        <v>1323</v>
      </c>
      <c r="F78" s="78">
        <v>0.375</v>
      </c>
      <c r="G78" s="55">
        <v>0.92090277777777774</v>
      </c>
      <c r="H78" s="55">
        <v>0.31381944444444443</v>
      </c>
      <c r="I78" s="55" t="str">
        <f t="shared" si="7"/>
        <v>07.009.784-2</v>
      </c>
      <c r="J78" s="55">
        <f t="shared" si="4"/>
        <v>0.39291666666666669</v>
      </c>
      <c r="K78" s="93">
        <f t="shared" si="5"/>
        <v>0.42999999999999972</v>
      </c>
      <c r="L78">
        <f>IFERROR(HLOOKUP(D78,Ingreso!$AN$10:$AT$260,VLOOKUP('cruce '!I78,Ingreso!$AL$11:$AM$260,2,0),0),0)</f>
        <v>0</v>
      </c>
      <c r="M78" s="95" t="str">
        <f>IFERROR(HLOOKUP(D78,Ingreso!$AW$10:$BC$260,VLOOKUP('cruce '!I78,Ingreso!$AL$11:$AM$260,2,0),0),0)</f>
        <v/>
      </c>
      <c r="N78" t="str">
        <f t="shared" si="6"/>
        <v>OK</v>
      </c>
    </row>
    <row r="79" spans="2:14">
      <c r="C79"/>
      <c r="D79" t="s">
        <v>1441</v>
      </c>
      <c r="E79" t="s">
        <v>1323</v>
      </c>
      <c r="F79" s="78">
        <v>0.375</v>
      </c>
      <c r="G79" s="55"/>
      <c r="H79" s="55">
        <v>0.31274305555555554</v>
      </c>
      <c r="I79" s="55" t="str">
        <f t="shared" si="7"/>
        <v>07.009.784-2</v>
      </c>
      <c r="J79" s="55">
        <f t="shared" si="4"/>
        <v>0.31274305555555554</v>
      </c>
      <c r="K79" s="93">
        <f t="shared" si="5"/>
        <v>-1.4941666666666666</v>
      </c>
      <c r="L79">
        <f>IFERROR(HLOOKUP(D79,Ingreso!$AN$10:$AT$260,VLOOKUP('cruce '!I79,Ingreso!$AL$11:$AM$260,2,0),0),0)</f>
        <v>0</v>
      </c>
      <c r="M79" s="95" t="str">
        <f>IFERROR(HLOOKUP(D79,Ingreso!$AW$10:$BC$260,VLOOKUP('cruce '!I79,Ingreso!$AL$11:$AM$260,2,0),0),0)</f>
        <v/>
      </c>
      <c r="N79" t="str">
        <f t="shared" si="6"/>
        <v>Revisar</v>
      </c>
    </row>
    <row r="80" spans="2:14">
      <c r="C80"/>
      <c r="D80" t="s">
        <v>1437</v>
      </c>
      <c r="E80" t="s">
        <v>1323</v>
      </c>
      <c r="F80" s="78">
        <v>0.375</v>
      </c>
      <c r="G80" s="55">
        <v>0.91831018518518526</v>
      </c>
      <c r="H80" s="55"/>
      <c r="I80" s="55" t="str">
        <f t="shared" si="7"/>
        <v>07.009.784-2</v>
      </c>
      <c r="J80" s="55">
        <f t="shared" si="4"/>
        <v>8.1689814814814743E-2</v>
      </c>
      <c r="K80" s="93">
        <f t="shared" si="5"/>
        <v>-7.0394444444444462</v>
      </c>
      <c r="L80">
        <f>IFERROR(HLOOKUP(D80,Ingreso!$AN$10:$AT$260,VLOOKUP('cruce '!I80,Ingreso!$AL$11:$AM$260,2,0),0),0)</f>
        <v>0</v>
      </c>
      <c r="M80" s="95" t="str">
        <f>IFERROR(HLOOKUP(D80,Ingreso!$AW$10:$BC$260,VLOOKUP('cruce '!I80,Ingreso!$AL$11:$AM$260,2,0),0),0)</f>
        <v/>
      </c>
      <c r="N80" t="str">
        <f t="shared" si="6"/>
        <v>Revisar</v>
      </c>
    </row>
    <row r="81" spans="2:14">
      <c r="C81"/>
      <c r="D81" t="s">
        <v>1438</v>
      </c>
      <c r="E81" t="s">
        <v>1323</v>
      </c>
      <c r="F81" s="78">
        <v>0.375</v>
      </c>
      <c r="G81" s="55">
        <v>0.92049768518518515</v>
      </c>
      <c r="H81" s="55">
        <v>0.31664351851851852</v>
      </c>
      <c r="I81" s="55" t="str">
        <f t="shared" si="7"/>
        <v>07.009.784-2</v>
      </c>
      <c r="J81" s="55">
        <f t="shared" si="4"/>
        <v>0.39614583333333342</v>
      </c>
      <c r="K81" s="93">
        <f t="shared" si="5"/>
        <v>0.50750000000000206</v>
      </c>
      <c r="L81">
        <f>IFERROR(HLOOKUP(D81,Ingreso!$AN$10:$AT$260,VLOOKUP('cruce '!I81,Ingreso!$AL$11:$AM$260,2,0),0),0)</f>
        <v>0</v>
      </c>
      <c r="M81" s="95" t="str">
        <f>IFERROR(HLOOKUP(D81,Ingreso!$AW$10:$BC$260,VLOOKUP('cruce '!I81,Ingreso!$AL$11:$AM$260,2,0),0),0)</f>
        <v/>
      </c>
      <c r="N81" t="str">
        <f t="shared" si="6"/>
        <v>OK</v>
      </c>
    </row>
    <row r="82" spans="2:14">
      <c r="C82"/>
      <c r="D82" t="s">
        <v>1439</v>
      </c>
      <c r="E82" t="s">
        <v>1323</v>
      </c>
      <c r="F82" s="78">
        <v>0.375</v>
      </c>
      <c r="G82" s="55">
        <v>0.91895833333333332</v>
      </c>
      <c r="H82" s="55">
        <v>0.31468750000000001</v>
      </c>
      <c r="I82" s="55" t="str">
        <f t="shared" si="7"/>
        <v>07.009.784-2</v>
      </c>
      <c r="J82" s="55">
        <f t="shared" si="4"/>
        <v>0.39572916666666669</v>
      </c>
      <c r="K82" s="93">
        <f t="shared" si="5"/>
        <v>0.4975000000000005</v>
      </c>
      <c r="L82">
        <f>IFERROR(HLOOKUP(D82,Ingreso!$AN$10:$AT$260,VLOOKUP('cruce '!I82,Ingreso!$AL$11:$AM$260,2,0),0),0)</f>
        <v>0</v>
      </c>
      <c r="M82" s="95" t="str">
        <f>IFERROR(HLOOKUP(D82,Ingreso!$AW$10:$BC$260,VLOOKUP('cruce '!I82,Ingreso!$AL$11:$AM$260,2,0),0),0)</f>
        <v/>
      </c>
      <c r="N82" t="str">
        <f t="shared" si="6"/>
        <v>OK</v>
      </c>
    </row>
    <row r="83" spans="2:14">
      <c r="B83" t="s">
        <v>396</v>
      </c>
      <c r="C83" t="s">
        <v>400</v>
      </c>
      <c r="D83" t="s">
        <v>1440</v>
      </c>
      <c r="E83" t="s">
        <v>4</v>
      </c>
      <c r="F83" s="78">
        <v>0.3125</v>
      </c>
      <c r="G83" s="55">
        <v>0.29428240740740741</v>
      </c>
      <c r="H83" s="55">
        <v>0.64005787037037043</v>
      </c>
      <c r="I83" s="55" t="str">
        <f t="shared" si="7"/>
        <v>07.023.216-2</v>
      </c>
      <c r="J83" s="55">
        <f t="shared" si="4"/>
        <v>0.34577546296296302</v>
      </c>
      <c r="K83" s="93">
        <f t="shared" si="5"/>
        <v>0.79861111111111249</v>
      </c>
      <c r="L83">
        <f>IFERROR(HLOOKUP(D83,Ingreso!$AN$10:$AT$260,VLOOKUP('cruce '!I83,Ingreso!$AL$11:$AM$260,2,0),0),0)</f>
        <v>0</v>
      </c>
      <c r="M83" s="95">
        <f>IFERROR(HLOOKUP(D83,Ingreso!$AW$10:$BC$260,VLOOKUP('cruce '!I83,Ingreso!$AL$11:$AM$260,2,0),0),0)</f>
        <v>0</v>
      </c>
      <c r="N83" t="str">
        <f t="shared" si="6"/>
        <v>OK</v>
      </c>
    </row>
    <row r="84" spans="2:14">
      <c r="C84"/>
      <c r="D84" t="s">
        <v>1441</v>
      </c>
      <c r="E84" t="s">
        <v>4</v>
      </c>
      <c r="F84" s="78">
        <v>0.3125</v>
      </c>
      <c r="G84" s="55">
        <v>0.29378472222222224</v>
      </c>
      <c r="H84" s="55">
        <v>0.64035879629629633</v>
      </c>
      <c r="I84" s="55" t="str">
        <f t="shared" si="7"/>
        <v>07.023.216-2</v>
      </c>
      <c r="J84" s="55">
        <f t="shared" si="4"/>
        <v>0.34657407407407409</v>
      </c>
      <c r="K84" s="93">
        <f t="shared" si="5"/>
        <v>0.81777777777777771</v>
      </c>
      <c r="L84">
        <f>IFERROR(HLOOKUP(D84,Ingreso!$AN$10:$AT$260,VLOOKUP('cruce '!I84,Ingreso!$AL$11:$AM$260,2,0),0),0)</f>
        <v>0</v>
      </c>
      <c r="M84" s="95">
        <f>IFERROR(HLOOKUP(D84,Ingreso!$AW$10:$BC$260,VLOOKUP('cruce '!I84,Ingreso!$AL$11:$AM$260,2,0),0),0)</f>
        <v>0</v>
      </c>
      <c r="N84" t="str">
        <f t="shared" si="6"/>
        <v>OK</v>
      </c>
    </row>
    <row r="85" spans="2:14">
      <c r="C85"/>
      <c r="D85" t="s">
        <v>1437</v>
      </c>
      <c r="E85" t="s">
        <v>4</v>
      </c>
      <c r="F85" s="78">
        <v>0.3125</v>
      </c>
      <c r="G85" s="55">
        <v>0.2951273148148148</v>
      </c>
      <c r="H85" s="55">
        <v>0.63696759259259261</v>
      </c>
      <c r="I85" s="55" t="str">
        <f t="shared" si="7"/>
        <v>07.023.216-2</v>
      </c>
      <c r="J85" s="55">
        <f t="shared" si="4"/>
        <v>0.34184027777777781</v>
      </c>
      <c r="K85" s="93">
        <f t="shared" si="5"/>
        <v>0.7041666666666675</v>
      </c>
      <c r="L85">
        <f>IFERROR(HLOOKUP(D85,Ingreso!$AN$10:$AT$260,VLOOKUP('cruce '!I85,Ingreso!$AL$11:$AM$260,2,0),0),0)</f>
        <v>0</v>
      </c>
      <c r="M85" s="95">
        <f>IFERROR(HLOOKUP(D85,Ingreso!$AW$10:$BC$260,VLOOKUP('cruce '!I85,Ingreso!$AL$11:$AM$260,2,0),0),0)</f>
        <v>0</v>
      </c>
      <c r="N85" t="str">
        <f t="shared" si="6"/>
        <v>OK</v>
      </c>
    </row>
    <row r="86" spans="2:14">
      <c r="C86"/>
      <c r="D86" t="s">
        <v>1438</v>
      </c>
      <c r="E86" t="s">
        <v>4</v>
      </c>
      <c r="F86" s="78">
        <v>0.3125</v>
      </c>
      <c r="G86" s="55">
        <v>0.2950578703703704</v>
      </c>
      <c r="H86" s="55">
        <v>0.63593749999999993</v>
      </c>
      <c r="I86" s="55" t="str">
        <f t="shared" si="7"/>
        <v>07.023.216-2</v>
      </c>
      <c r="J86" s="55">
        <f t="shared" si="4"/>
        <v>0.34087962962962953</v>
      </c>
      <c r="K86" s="93">
        <f t="shared" si="5"/>
        <v>0.68111111111110922</v>
      </c>
      <c r="L86">
        <f>IFERROR(HLOOKUP(D86,Ingreso!$AN$10:$AT$260,VLOOKUP('cruce '!I86,Ingreso!$AL$11:$AM$260,2,0),0),0)</f>
        <v>0</v>
      </c>
      <c r="M86" s="95">
        <f>IFERROR(HLOOKUP(D86,Ingreso!$AW$10:$BC$260,VLOOKUP('cruce '!I86,Ingreso!$AL$11:$AM$260,2,0),0),0)</f>
        <v>0</v>
      </c>
      <c r="N86" t="str">
        <f t="shared" si="6"/>
        <v>OK</v>
      </c>
    </row>
    <row r="87" spans="2:14">
      <c r="C87"/>
      <c r="D87" t="s">
        <v>1439</v>
      </c>
      <c r="E87" t="s">
        <v>4</v>
      </c>
      <c r="F87" s="78">
        <v>0.3125</v>
      </c>
      <c r="G87" s="55">
        <v>0.29378472222222224</v>
      </c>
      <c r="H87" s="55">
        <v>0.63797453703703699</v>
      </c>
      <c r="I87" s="55" t="str">
        <f t="shared" si="7"/>
        <v>07.023.216-2</v>
      </c>
      <c r="J87" s="55">
        <f t="shared" si="4"/>
        <v>0.34418981481481475</v>
      </c>
      <c r="K87" s="93">
        <f t="shared" si="5"/>
        <v>0.76055555555555365</v>
      </c>
      <c r="L87">
        <f>IFERROR(HLOOKUP(D87,Ingreso!$AN$10:$AT$260,VLOOKUP('cruce '!I87,Ingreso!$AL$11:$AM$260,2,0),0),0)</f>
        <v>0</v>
      </c>
      <c r="M87" s="95">
        <f>IFERROR(HLOOKUP(D87,Ingreso!$AW$10:$BC$260,VLOOKUP('cruce '!I87,Ingreso!$AL$11:$AM$260,2,0),0),0)</f>
        <v>0</v>
      </c>
      <c r="N87" t="str">
        <f t="shared" si="6"/>
        <v>OK</v>
      </c>
    </row>
    <row r="88" spans="2:14">
      <c r="B88" t="s">
        <v>699</v>
      </c>
      <c r="C88" t="s">
        <v>702</v>
      </c>
      <c r="D88" t="s">
        <v>1440</v>
      </c>
      <c r="E88" t="s">
        <v>4</v>
      </c>
      <c r="F88" s="78">
        <v>0.3125</v>
      </c>
      <c r="G88" s="55">
        <v>0.2958912037037037</v>
      </c>
      <c r="H88" s="55">
        <v>0.63674768518518521</v>
      </c>
      <c r="I88" s="55" t="str">
        <f t="shared" si="7"/>
        <v>07.481.602-9</v>
      </c>
      <c r="J88" s="55">
        <f t="shared" si="4"/>
        <v>0.34085648148148151</v>
      </c>
      <c r="K88" s="93">
        <f t="shared" si="5"/>
        <v>0.68055555555555713</v>
      </c>
      <c r="L88">
        <f>IFERROR(HLOOKUP(D88,Ingreso!$AN$10:$AT$260,VLOOKUP('cruce '!I88,Ingreso!$AL$11:$AM$260,2,0),0),0)</f>
        <v>0</v>
      </c>
      <c r="M88" s="95" t="str">
        <f>IFERROR(HLOOKUP(D88,Ingreso!$AW$10:$BC$260,VLOOKUP('cruce '!I88,Ingreso!$AL$11:$AM$260,2,0),0),0)</f>
        <v/>
      </c>
      <c r="N88" t="str">
        <f t="shared" si="6"/>
        <v>OK</v>
      </c>
    </row>
    <row r="89" spans="2:14">
      <c r="C89"/>
      <c r="D89" t="s">
        <v>1441</v>
      </c>
      <c r="E89" t="s">
        <v>4</v>
      </c>
      <c r="F89" s="78">
        <v>0.3125</v>
      </c>
      <c r="G89" s="55">
        <v>0.29009259259259262</v>
      </c>
      <c r="H89" s="55">
        <v>0.63850694444444445</v>
      </c>
      <c r="I89" s="55" t="str">
        <f t="shared" si="7"/>
        <v>07.481.602-9</v>
      </c>
      <c r="J89" s="55">
        <f t="shared" si="4"/>
        <v>0.34841435185185182</v>
      </c>
      <c r="K89" s="93">
        <f t="shared" si="5"/>
        <v>0.86194444444444329</v>
      </c>
      <c r="L89">
        <f>IFERROR(HLOOKUP(D89,Ingreso!$AN$10:$AT$260,VLOOKUP('cruce '!I89,Ingreso!$AL$11:$AM$260,2,0),0),0)</f>
        <v>0</v>
      </c>
      <c r="M89" s="95" t="str">
        <f>IFERROR(HLOOKUP(D89,Ingreso!$AW$10:$BC$260,VLOOKUP('cruce '!I89,Ingreso!$AL$11:$AM$260,2,0),0),0)</f>
        <v/>
      </c>
      <c r="N89" t="str">
        <f t="shared" si="6"/>
        <v>OK</v>
      </c>
    </row>
    <row r="90" spans="2:14">
      <c r="C90"/>
      <c r="D90" t="s">
        <v>1437</v>
      </c>
      <c r="E90" t="s">
        <v>4</v>
      </c>
      <c r="F90" s="78">
        <v>0.3125</v>
      </c>
      <c r="G90" s="55">
        <v>0.29101851851851851</v>
      </c>
      <c r="H90" s="55">
        <v>0.63598379629629631</v>
      </c>
      <c r="I90" s="55" t="str">
        <f t="shared" si="7"/>
        <v>07.481.602-9</v>
      </c>
      <c r="J90" s="55">
        <f t="shared" si="4"/>
        <v>0.3449652777777778</v>
      </c>
      <c r="K90" s="93">
        <f t="shared" si="5"/>
        <v>0.77916666666666679</v>
      </c>
      <c r="L90">
        <f>IFERROR(HLOOKUP(D90,Ingreso!$AN$10:$AT$260,VLOOKUP('cruce '!I90,Ingreso!$AL$11:$AM$260,2,0),0),0)</f>
        <v>0</v>
      </c>
      <c r="M90" s="95" t="str">
        <f>IFERROR(HLOOKUP(D90,Ingreso!$AW$10:$BC$260,VLOOKUP('cruce '!I90,Ingreso!$AL$11:$AM$260,2,0),0),0)</f>
        <v/>
      </c>
      <c r="N90" t="str">
        <f t="shared" si="6"/>
        <v>OK</v>
      </c>
    </row>
    <row r="91" spans="2:14">
      <c r="C91"/>
      <c r="D91" t="s">
        <v>1438</v>
      </c>
      <c r="E91" t="s">
        <v>4</v>
      </c>
      <c r="F91" s="78">
        <v>0.3125</v>
      </c>
      <c r="G91" s="55">
        <v>0.29024305555555557</v>
      </c>
      <c r="H91" s="55">
        <v>0.63557870370370373</v>
      </c>
      <c r="I91" s="55" t="str">
        <f t="shared" si="7"/>
        <v>07.481.602-9</v>
      </c>
      <c r="J91" s="55">
        <f t="shared" si="4"/>
        <v>0.34533564814814816</v>
      </c>
      <c r="K91" s="93">
        <f t="shared" si="5"/>
        <v>0.78805555555555529</v>
      </c>
      <c r="L91">
        <f>IFERROR(HLOOKUP(D91,Ingreso!$AN$10:$AT$260,VLOOKUP('cruce '!I91,Ingreso!$AL$11:$AM$260,2,0),0),0)</f>
        <v>0</v>
      </c>
      <c r="M91" s="95" t="str">
        <f>IFERROR(HLOOKUP(D91,Ingreso!$AW$10:$BC$260,VLOOKUP('cruce '!I91,Ingreso!$AL$11:$AM$260,2,0),0),0)</f>
        <v/>
      </c>
      <c r="N91" t="str">
        <f t="shared" si="6"/>
        <v>OK</v>
      </c>
    </row>
    <row r="92" spans="2:14">
      <c r="C92"/>
      <c r="D92" t="s">
        <v>1439</v>
      </c>
      <c r="E92" t="s">
        <v>4</v>
      </c>
      <c r="F92" s="78">
        <v>0.3125</v>
      </c>
      <c r="G92" s="55">
        <v>0.29506944444444444</v>
      </c>
      <c r="H92" s="55">
        <v>0.63444444444444448</v>
      </c>
      <c r="I92" s="55" t="str">
        <f t="shared" si="7"/>
        <v>07.481.602-9</v>
      </c>
      <c r="J92" s="55">
        <f t="shared" si="4"/>
        <v>0.33937500000000004</v>
      </c>
      <c r="K92" s="93">
        <f t="shared" si="5"/>
        <v>0.64500000000000135</v>
      </c>
      <c r="L92">
        <f>IFERROR(HLOOKUP(D92,Ingreso!$AN$10:$AT$260,VLOOKUP('cruce '!I92,Ingreso!$AL$11:$AM$260,2,0),0),0)</f>
        <v>0</v>
      </c>
      <c r="M92" s="95" t="str">
        <f>IFERROR(HLOOKUP(D92,Ingreso!$AW$10:$BC$260,VLOOKUP('cruce '!I92,Ingreso!$AL$11:$AM$260,2,0),0),0)</f>
        <v/>
      </c>
      <c r="N92" t="str">
        <f t="shared" si="6"/>
        <v>OK</v>
      </c>
    </row>
    <row r="93" spans="2:14">
      <c r="B93" t="s">
        <v>243</v>
      </c>
      <c r="C93" t="s">
        <v>246</v>
      </c>
      <c r="D93" t="s">
        <v>1440</v>
      </c>
      <c r="E93" t="s">
        <v>4</v>
      </c>
      <c r="F93" s="78">
        <v>0.3125</v>
      </c>
      <c r="G93" s="55">
        <v>0.2721412037037037</v>
      </c>
      <c r="H93" s="55"/>
      <c r="I93" s="55" t="str">
        <f t="shared" si="7"/>
        <v>07.717.451-6</v>
      </c>
      <c r="J93" s="55">
        <f t="shared" si="4"/>
        <v>0.72785879629629635</v>
      </c>
      <c r="K93" s="93">
        <f t="shared" si="5"/>
        <v>9.9686111111111124</v>
      </c>
      <c r="L93">
        <f>IFERROR(HLOOKUP(D93,Ingreso!$AN$10:$AT$260,VLOOKUP('cruce '!I93,Ingreso!$AL$11:$AM$260,2,0),0),0)</f>
        <v>0</v>
      </c>
      <c r="M93" s="95">
        <f>IFERROR(HLOOKUP(D93,Ingreso!$AW$10:$BC$260,VLOOKUP('cruce '!I93,Ingreso!$AL$11:$AM$260,2,0),0),0)</f>
        <v>0</v>
      </c>
      <c r="N93" t="str">
        <f t="shared" si="6"/>
        <v>Revisar</v>
      </c>
    </row>
    <row r="94" spans="2:14">
      <c r="C94"/>
      <c r="D94"/>
      <c r="E94" t="s">
        <v>1473</v>
      </c>
      <c r="F94" t="s">
        <v>1472</v>
      </c>
      <c r="G94" s="55"/>
      <c r="H94" s="55">
        <v>0.54636574074074074</v>
      </c>
      <c r="I94" s="55" t="str">
        <f t="shared" si="7"/>
        <v>07.717.451-6</v>
      </c>
      <c r="J94" s="55">
        <f t="shared" ref="J94:J113" si="8">IF(G94&gt;H94,(H94+0.5)-(G94-0.5),H94-G94)</f>
        <v>0.54636574074074074</v>
      </c>
      <c r="K94" s="93" t="e">
        <f t="shared" ref="K94:K113" si="9">(J94*24)-(F94*24)</f>
        <v>#VALUE!</v>
      </c>
      <c r="L94">
        <f>IFERROR(HLOOKUP(D94,Ingreso!$AN$10:$AT$260,VLOOKUP('cruce '!I94,Ingreso!$AL$11:$AM$260,2,0),0),0)</f>
        <v>0</v>
      </c>
      <c r="M94" s="95">
        <f>IFERROR(HLOOKUP(D94,Ingreso!$AW$10:$BC$260,VLOOKUP('cruce '!I94,Ingreso!$AL$11:$AM$260,2,0),0),0)</f>
        <v>0</v>
      </c>
      <c r="N94" t="e">
        <f t="shared" si="6"/>
        <v>#VALUE!</v>
      </c>
    </row>
    <row r="95" spans="2:14">
      <c r="C95"/>
      <c r="D95" t="s">
        <v>1437</v>
      </c>
      <c r="E95" t="s">
        <v>4</v>
      </c>
      <c r="F95" s="78">
        <v>0.3125</v>
      </c>
      <c r="G95" s="55">
        <v>0.2736689814814815</v>
      </c>
      <c r="H95" s="55">
        <v>0.71990740740740744</v>
      </c>
      <c r="I95" s="55" t="str">
        <f t="shared" si="7"/>
        <v>07.717.451-6</v>
      </c>
      <c r="J95" s="55">
        <f t="shared" si="8"/>
        <v>0.44623842592592594</v>
      </c>
      <c r="K95" s="93">
        <f t="shared" si="9"/>
        <v>3.2097222222222221</v>
      </c>
      <c r="L95">
        <f>IFERROR(HLOOKUP(D95,Ingreso!$AN$10:$AT$260,VLOOKUP('cruce '!I95,Ingreso!$AL$11:$AM$260,2,0),0),0)</f>
        <v>0</v>
      </c>
      <c r="M95" s="95">
        <f>IFERROR(HLOOKUP(D95,Ingreso!$AW$10:$BC$260,VLOOKUP('cruce '!I95,Ingreso!$AL$11:$AM$260,2,0),0),0)</f>
        <v>0</v>
      </c>
      <c r="N95" t="str">
        <f t="shared" si="6"/>
        <v>Revisar</v>
      </c>
    </row>
    <row r="96" spans="2:14">
      <c r="C96"/>
      <c r="D96" t="s">
        <v>1438</v>
      </c>
      <c r="E96" t="s">
        <v>4</v>
      </c>
      <c r="F96" s="78">
        <v>0.3125</v>
      </c>
      <c r="G96" s="55">
        <v>0.26953703703703702</v>
      </c>
      <c r="H96" s="55">
        <v>0.71480324074074064</v>
      </c>
      <c r="I96" s="55" t="str">
        <f t="shared" si="7"/>
        <v>07.717.451-6</v>
      </c>
      <c r="J96" s="55">
        <f t="shared" si="8"/>
        <v>0.44526620370370362</v>
      </c>
      <c r="K96" s="93">
        <f t="shared" si="9"/>
        <v>3.1863888888888869</v>
      </c>
      <c r="L96">
        <f>IFERROR(HLOOKUP(D96,Ingreso!$AN$10:$AT$260,VLOOKUP('cruce '!I96,Ingreso!$AL$11:$AM$260,2,0),0),0)</f>
        <v>0</v>
      </c>
      <c r="M96" s="95">
        <f>IFERROR(HLOOKUP(D96,Ingreso!$AW$10:$BC$260,VLOOKUP('cruce '!I96,Ingreso!$AL$11:$AM$260,2,0),0),0)</f>
        <v>0</v>
      </c>
      <c r="N96" t="str">
        <f t="shared" si="6"/>
        <v>Revisar</v>
      </c>
    </row>
    <row r="97" spans="2:14">
      <c r="C97"/>
      <c r="D97" t="s">
        <v>1439</v>
      </c>
      <c r="E97" t="s">
        <v>4</v>
      </c>
      <c r="F97" s="78">
        <v>0.3125</v>
      </c>
      <c r="G97" s="55">
        <v>0.27342592592592591</v>
      </c>
      <c r="H97" s="55">
        <v>0.72032407407407406</v>
      </c>
      <c r="I97" s="55" t="str">
        <f t="shared" si="7"/>
        <v>07.717.451-6</v>
      </c>
      <c r="J97" s="55">
        <f t="shared" si="8"/>
        <v>0.44689814814814816</v>
      </c>
      <c r="K97" s="93">
        <f t="shared" si="9"/>
        <v>3.2255555555555553</v>
      </c>
      <c r="L97">
        <f>IFERROR(HLOOKUP(D97,Ingreso!$AN$10:$AT$260,VLOOKUP('cruce '!I97,Ingreso!$AL$11:$AM$260,2,0),0),0)</f>
        <v>0</v>
      </c>
      <c r="M97" s="95">
        <f>IFERROR(HLOOKUP(D97,Ingreso!$AW$10:$BC$260,VLOOKUP('cruce '!I97,Ingreso!$AL$11:$AM$260,2,0),0),0)</f>
        <v>0</v>
      </c>
      <c r="N97" t="str">
        <f t="shared" si="6"/>
        <v>Revisar</v>
      </c>
    </row>
    <row r="98" spans="2:14">
      <c r="B98" t="s">
        <v>836</v>
      </c>
      <c r="C98" t="s">
        <v>839</v>
      </c>
      <c r="D98" t="s">
        <v>1440</v>
      </c>
      <c r="E98" t="s">
        <v>1474</v>
      </c>
      <c r="F98" t="s">
        <v>1472</v>
      </c>
      <c r="G98" s="55">
        <v>0.27535879629629628</v>
      </c>
      <c r="H98" s="55">
        <v>0.63111111111111107</v>
      </c>
      <c r="I98" s="55" t="str">
        <f t="shared" si="7"/>
        <v>07.721.223-K</v>
      </c>
      <c r="J98" s="55">
        <f t="shared" si="8"/>
        <v>0.35575231481481479</v>
      </c>
      <c r="K98" s="93" t="e">
        <f t="shared" si="9"/>
        <v>#VALUE!</v>
      </c>
      <c r="L98">
        <f>IFERROR(HLOOKUP(D98,Ingreso!$AN$10:$AT$260,VLOOKUP('cruce '!I98,Ingreso!$AL$11:$AM$260,2,0),0),0)</f>
        <v>0</v>
      </c>
      <c r="M98" s="95" t="str">
        <f>IFERROR(HLOOKUP(D98,Ingreso!$AW$10:$BC$260,VLOOKUP('cruce '!I98,Ingreso!$AL$11:$AM$260,2,0),0),0)</f>
        <v/>
      </c>
      <c r="N98" t="e">
        <f t="shared" si="6"/>
        <v>#VALUE!</v>
      </c>
    </row>
    <row r="99" spans="2:14">
      <c r="C99"/>
      <c r="D99" t="s">
        <v>1441</v>
      </c>
      <c r="E99" t="s">
        <v>1474</v>
      </c>
      <c r="F99" t="s">
        <v>1472</v>
      </c>
      <c r="G99" s="55">
        <v>0.28282407407407406</v>
      </c>
      <c r="H99" s="55">
        <v>0.62965277777777773</v>
      </c>
      <c r="I99" s="55" t="str">
        <f t="shared" si="7"/>
        <v>07.721.223-K</v>
      </c>
      <c r="J99" s="55">
        <f t="shared" si="8"/>
        <v>0.34682870370370367</v>
      </c>
      <c r="K99" s="93" t="e">
        <f t="shared" si="9"/>
        <v>#VALUE!</v>
      </c>
      <c r="L99">
        <f>IFERROR(HLOOKUP(D99,Ingreso!$AN$10:$AT$260,VLOOKUP('cruce '!I99,Ingreso!$AL$11:$AM$260,2,0),0),0)</f>
        <v>0</v>
      </c>
      <c r="M99" s="95" t="str">
        <f>IFERROR(HLOOKUP(D99,Ingreso!$AW$10:$BC$260,VLOOKUP('cruce '!I99,Ingreso!$AL$11:$AM$260,2,0),0),0)</f>
        <v/>
      </c>
      <c r="N99" t="e">
        <f t="shared" si="6"/>
        <v>#VALUE!</v>
      </c>
    </row>
    <row r="100" spans="2:14">
      <c r="C100"/>
      <c r="D100" t="s">
        <v>1437</v>
      </c>
      <c r="E100" t="s">
        <v>1474</v>
      </c>
      <c r="F100" t="s">
        <v>1472</v>
      </c>
      <c r="G100" s="55">
        <v>0.27599537037037036</v>
      </c>
      <c r="H100" s="55">
        <v>0.63094907407407408</v>
      </c>
      <c r="I100" s="55" t="str">
        <f t="shared" si="7"/>
        <v>07.721.223-K</v>
      </c>
      <c r="J100" s="55">
        <f t="shared" si="8"/>
        <v>0.35495370370370372</v>
      </c>
      <c r="K100" s="93" t="e">
        <f t="shared" si="9"/>
        <v>#VALUE!</v>
      </c>
      <c r="L100">
        <f>IFERROR(HLOOKUP(D100,Ingreso!$AN$10:$AT$260,VLOOKUP('cruce '!I100,Ingreso!$AL$11:$AM$260,2,0),0),0)</f>
        <v>0</v>
      </c>
      <c r="M100" s="95" t="str">
        <f>IFERROR(HLOOKUP(D100,Ingreso!$AW$10:$BC$260,VLOOKUP('cruce '!I100,Ingreso!$AL$11:$AM$260,2,0),0),0)</f>
        <v/>
      </c>
      <c r="N100" t="e">
        <f t="shared" si="6"/>
        <v>#VALUE!</v>
      </c>
    </row>
    <row r="101" spans="2:14">
      <c r="C101"/>
      <c r="D101" t="s">
        <v>1438</v>
      </c>
      <c r="E101" t="s">
        <v>1474</v>
      </c>
      <c r="F101" t="s">
        <v>1472</v>
      </c>
      <c r="G101" s="55">
        <v>0.27999999999999997</v>
      </c>
      <c r="H101" s="55">
        <v>0.62890046296296298</v>
      </c>
      <c r="I101" s="55" t="str">
        <f t="shared" si="7"/>
        <v>07.721.223-K</v>
      </c>
      <c r="J101" s="55">
        <f t="shared" si="8"/>
        <v>0.34890046296296301</v>
      </c>
      <c r="K101" s="93" t="e">
        <f t="shared" si="9"/>
        <v>#VALUE!</v>
      </c>
      <c r="L101">
        <f>IFERROR(HLOOKUP(D101,Ingreso!$AN$10:$AT$260,VLOOKUP('cruce '!I101,Ingreso!$AL$11:$AM$260,2,0),0),0)</f>
        <v>0</v>
      </c>
      <c r="M101" s="95" t="str">
        <f>IFERROR(HLOOKUP(D101,Ingreso!$AW$10:$BC$260,VLOOKUP('cruce '!I101,Ingreso!$AL$11:$AM$260,2,0),0),0)</f>
        <v/>
      </c>
      <c r="N101" t="e">
        <f t="shared" si="6"/>
        <v>#VALUE!</v>
      </c>
    </row>
    <row r="102" spans="2:14">
      <c r="C102"/>
      <c r="D102" t="s">
        <v>1439</v>
      </c>
      <c r="E102" t="s">
        <v>1474</v>
      </c>
      <c r="F102" t="s">
        <v>1472</v>
      </c>
      <c r="G102" s="55">
        <v>0.27990740740740744</v>
      </c>
      <c r="H102" s="55">
        <v>0.63043981481481481</v>
      </c>
      <c r="I102" s="55" t="str">
        <f t="shared" si="7"/>
        <v>07.721.223-K</v>
      </c>
      <c r="J102" s="55">
        <f t="shared" si="8"/>
        <v>0.35053240740740738</v>
      </c>
      <c r="K102" s="93" t="e">
        <f t="shared" si="9"/>
        <v>#VALUE!</v>
      </c>
      <c r="L102">
        <f>IFERROR(HLOOKUP(D102,Ingreso!$AN$10:$AT$260,VLOOKUP('cruce '!I102,Ingreso!$AL$11:$AM$260,2,0),0),0)</f>
        <v>0</v>
      </c>
      <c r="M102" s="95" t="str">
        <f>IFERROR(HLOOKUP(D102,Ingreso!$AW$10:$BC$260,VLOOKUP('cruce '!I102,Ingreso!$AL$11:$AM$260,2,0),0),0)</f>
        <v/>
      </c>
      <c r="N102" t="e">
        <f t="shared" si="6"/>
        <v>#VALUE!</v>
      </c>
    </row>
    <row r="103" spans="2:14">
      <c r="B103" t="s">
        <v>53</v>
      </c>
      <c r="C103" t="s">
        <v>57</v>
      </c>
      <c r="D103" t="s">
        <v>1440</v>
      </c>
      <c r="E103" t="s">
        <v>1474</v>
      </c>
      <c r="F103" t="s">
        <v>1472</v>
      </c>
      <c r="G103" s="55">
        <v>0.34288194444444442</v>
      </c>
      <c r="H103" s="55">
        <v>0.76768518518518514</v>
      </c>
      <c r="I103" s="55" t="str">
        <f t="shared" si="7"/>
        <v>07.760.886-9</v>
      </c>
      <c r="J103" s="55">
        <f t="shared" si="8"/>
        <v>0.42480324074074072</v>
      </c>
      <c r="K103" s="93" t="e">
        <f t="shared" si="9"/>
        <v>#VALUE!</v>
      </c>
      <c r="L103">
        <f>IFERROR(HLOOKUP(D103,Ingreso!$AN$10:$AT$260,VLOOKUP('cruce '!I103,Ingreso!$AL$11:$AM$260,2,0),0),0)</f>
        <v>0</v>
      </c>
      <c r="M103" s="95" t="str">
        <f>IFERROR(HLOOKUP(D103,Ingreso!$AW$10:$BC$260,VLOOKUP('cruce '!I103,Ingreso!$AL$11:$AM$260,2,0),0),0)</f>
        <v/>
      </c>
      <c r="N103" t="e">
        <f t="shared" si="6"/>
        <v>#VALUE!</v>
      </c>
    </row>
    <row r="104" spans="2:14">
      <c r="C104"/>
      <c r="D104" t="s">
        <v>1437</v>
      </c>
      <c r="E104" t="s">
        <v>1474</v>
      </c>
      <c r="F104" t="s">
        <v>1472</v>
      </c>
      <c r="G104" s="55">
        <v>0.30738425925925927</v>
      </c>
      <c r="H104" s="55">
        <v>0.37381944444444443</v>
      </c>
      <c r="I104" s="55" t="str">
        <f t="shared" si="7"/>
        <v>07.760.886-9</v>
      </c>
      <c r="J104" s="55">
        <f t="shared" si="8"/>
        <v>6.6435185185185153E-2</v>
      </c>
      <c r="K104" s="93" t="e">
        <f t="shared" si="9"/>
        <v>#VALUE!</v>
      </c>
      <c r="L104">
        <f>IFERROR(HLOOKUP(D104,Ingreso!$AN$10:$AT$260,VLOOKUP('cruce '!I104,Ingreso!$AL$11:$AM$260,2,0),0),0)</f>
        <v>0</v>
      </c>
      <c r="M104" s="95" t="str">
        <f>IFERROR(HLOOKUP(D104,Ingreso!$AW$10:$BC$260,VLOOKUP('cruce '!I104,Ingreso!$AL$11:$AM$260,2,0),0),0)</f>
        <v/>
      </c>
      <c r="N104" t="e">
        <f t="shared" si="6"/>
        <v>#VALUE!</v>
      </c>
    </row>
    <row r="105" spans="2:14">
      <c r="C105"/>
      <c r="D105" t="s">
        <v>1438</v>
      </c>
      <c r="E105" t="s">
        <v>1474</v>
      </c>
      <c r="F105" t="s">
        <v>1472</v>
      </c>
      <c r="G105" s="55">
        <v>0.30072916666666666</v>
      </c>
      <c r="H105" s="55">
        <v>0.72506944444444443</v>
      </c>
      <c r="I105" s="55" t="str">
        <f t="shared" si="7"/>
        <v>07.760.886-9</v>
      </c>
      <c r="J105" s="55">
        <f t="shared" si="8"/>
        <v>0.42434027777777777</v>
      </c>
      <c r="K105" s="93" t="e">
        <f t="shared" si="9"/>
        <v>#VALUE!</v>
      </c>
      <c r="L105">
        <f>IFERROR(HLOOKUP(D105,Ingreso!$AN$10:$AT$260,VLOOKUP('cruce '!I105,Ingreso!$AL$11:$AM$260,2,0),0),0)</f>
        <v>0</v>
      </c>
      <c r="M105" s="95" t="str">
        <f>IFERROR(HLOOKUP(D105,Ingreso!$AW$10:$BC$260,VLOOKUP('cruce '!I105,Ingreso!$AL$11:$AM$260,2,0),0),0)</f>
        <v/>
      </c>
      <c r="N105" t="e">
        <f t="shared" si="6"/>
        <v>#VALUE!</v>
      </c>
    </row>
    <row r="106" spans="2:14">
      <c r="C106"/>
      <c r="D106" t="s">
        <v>1439</v>
      </c>
      <c r="E106" t="s">
        <v>1474</v>
      </c>
      <c r="F106" t="s">
        <v>1472</v>
      </c>
      <c r="G106" s="55">
        <v>0.54583333333333328</v>
      </c>
      <c r="H106" s="55">
        <v>0.81023148148148139</v>
      </c>
      <c r="I106" s="55" t="str">
        <f t="shared" si="7"/>
        <v>07.760.886-9</v>
      </c>
      <c r="J106" s="55">
        <f t="shared" si="8"/>
        <v>0.2643981481481481</v>
      </c>
      <c r="K106" s="93" t="e">
        <f t="shared" si="9"/>
        <v>#VALUE!</v>
      </c>
      <c r="L106">
        <f>IFERROR(HLOOKUP(D106,Ingreso!$AN$10:$AT$260,VLOOKUP('cruce '!I106,Ingreso!$AL$11:$AM$260,2,0),0),0)</f>
        <v>2</v>
      </c>
      <c r="M106" s="95">
        <f>IFERROR(HLOOKUP(D106,Ingreso!$AW$10:$BC$260,VLOOKUP('cruce '!I106,Ingreso!$AL$11:$AM$260,2,0),0),0)</f>
        <v>0.5</v>
      </c>
      <c r="N106" t="e">
        <f t="shared" si="6"/>
        <v>#VALUE!</v>
      </c>
    </row>
    <row r="107" spans="2:14">
      <c r="B107" t="s">
        <v>1092</v>
      </c>
      <c r="C107" t="s">
        <v>1094</v>
      </c>
      <c r="D107" t="s">
        <v>1440</v>
      </c>
      <c r="E107" t="s">
        <v>1321</v>
      </c>
      <c r="F107" s="78">
        <v>0.3125</v>
      </c>
      <c r="G107" s="55">
        <v>0.61201388888888886</v>
      </c>
      <c r="H107" s="55"/>
      <c r="I107" s="55" t="str">
        <f t="shared" si="7"/>
        <v>07.807.741-7</v>
      </c>
      <c r="J107" s="55">
        <f t="shared" si="8"/>
        <v>0.38798611111111114</v>
      </c>
      <c r="K107" s="93">
        <f t="shared" si="9"/>
        <v>1.8116666666666674</v>
      </c>
      <c r="L107">
        <f>IFERROR(HLOOKUP(D107,Ingreso!$AN$10:$AT$260,VLOOKUP('cruce '!I107,Ingreso!$AL$11:$AM$260,2,0),0),0)</f>
        <v>0</v>
      </c>
      <c r="M107" s="95">
        <f>IFERROR(HLOOKUP(D107,Ingreso!$AW$10:$BC$260,VLOOKUP('cruce '!I107,Ingreso!$AL$11:$AM$260,2,0),0),0)</f>
        <v>0</v>
      </c>
      <c r="N107" t="str">
        <f t="shared" si="6"/>
        <v>Revisar</v>
      </c>
    </row>
    <row r="108" spans="2:14">
      <c r="C108"/>
      <c r="D108"/>
      <c r="E108" t="s">
        <v>1323</v>
      </c>
      <c r="F108" s="78">
        <v>0.375</v>
      </c>
      <c r="G108" s="55"/>
      <c r="H108" s="55">
        <v>0.93638888888888883</v>
      </c>
      <c r="I108" s="55" t="str">
        <f t="shared" si="7"/>
        <v>07.807.741-7</v>
      </c>
      <c r="J108" s="55">
        <f t="shared" si="8"/>
        <v>0.93638888888888883</v>
      </c>
      <c r="K108" s="93">
        <f t="shared" si="9"/>
        <v>13.473333333333333</v>
      </c>
      <c r="L108">
        <f>IFERROR(HLOOKUP(D108,Ingreso!$AN$10:$AT$260,VLOOKUP('cruce '!I108,Ingreso!$AL$11:$AM$260,2,0),0),0)</f>
        <v>0</v>
      </c>
      <c r="M108" s="95">
        <f>IFERROR(HLOOKUP(D108,Ingreso!$AW$10:$BC$260,VLOOKUP('cruce '!I108,Ingreso!$AL$11:$AM$260,2,0),0),0)</f>
        <v>0</v>
      </c>
      <c r="N108" t="str">
        <f t="shared" si="6"/>
        <v>Revisar</v>
      </c>
    </row>
    <row r="109" spans="2:14">
      <c r="C109"/>
      <c r="D109" t="s">
        <v>1441</v>
      </c>
      <c r="E109" t="s">
        <v>1321</v>
      </c>
      <c r="F109" s="78">
        <v>0.3125</v>
      </c>
      <c r="G109" s="55">
        <v>0.61537037037037035</v>
      </c>
      <c r="H109" s="55"/>
      <c r="I109" s="55" t="str">
        <f t="shared" si="7"/>
        <v>07.807.741-7</v>
      </c>
      <c r="J109" s="55">
        <f t="shared" si="8"/>
        <v>0.38462962962962965</v>
      </c>
      <c r="K109" s="93">
        <f t="shared" si="9"/>
        <v>1.7311111111111117</v>
      </c>
      <c r="L109">
        <f>IFERROR(HLOOKUP(D109,Ingreso!$AN$10:$AT$260,VLOOKUP('cruce '!I109,Ingreso!$AL$11:$AM$260,2,0),0),0)</f>
        <v>0</v>
      </c>
      <c r="M109" s="95">
        <f>IFERROR(HLOOKUP(D109,Ingreso!$AW$10:$BC$260,VLOOKUP('cruce '!I109,Ingreso!$AL$11:$AM$260,2,0),0),0)</f>
        <v>0</v>
      </c>
      <c r="N109" t="str">
        <f t="shared" si="6"/>
        <v>Revisar</v>
      </c>
    </row>
    <row r="110" spans="2:14">
      <c r="C110"/>
      <c r="D110"/>
      <c r="E110" t="s">
        <v>1473</v>
      </c>
      <c r="F110" t="s">
        <v>1472</v>
      </c>
      <c r="G110" s="55"/>
      <c r="H110" s="55">
        <v>0.9375</v>
      </c>
      <c r="I110" s="55" t="str">
        <f t="shared" si="7"/>
        <v>07.807.741-7</v>
      </c>
      <c r="J110" s="55">
        <f t="shared" si="8"/>
        <v>0.9375</v>
      </c>
      <c r="K110" s="93" t="e">
        <f t="shared" si="9"/>
        <v>#VALUE!</v>
      </c>
      <c r="L110">
        <f>IFERROR(HLOOKUP(D110,Ingreso!$AN$10:$AT$260,VLOOKUP('cruce '!I110,Ingreso!$AL$11:$AM$260,2,0),0),0)</f>
        <v>0</v>
      </c>
      <c r="M110" s="95">
        <f>IFERROR(HLOOKUP(D110,Ingreso!$AW$10:$BC$260,VLOOKUP('cruce '!I110,Ingreso!$AL$11:$AM$260,2,0),0),0)</f>
        <v>0</v>
      </c>
      <c r="N110" t="e">
        <f t="shared" si="6"/>
        <v>#VALUE!</v>
      </c>
    </row>
    <row r="111" spans="2:14">
      <c r="C111"/>
      <c r="D111" t="s">
        <v>1437</v>
      </c>
      <c r="E111" t="s">
        <v>1321</v>
      </c>
      <c r="F111" s="78">
        <v>0.3125</v>
      </c>
      <c r="G111" s="55">
        <v>0.61299768518518516</v>
      </c>
      <c r="H111" s="55">
        <v>0.93758101851851849</v>
      </c>
      <c r="I111" s="55" t="str">
        <f t="shared" si="7"/>
        <v>07.807.741-7</v>
      </c>
      <c r="J111" s="55">
        <f t="shared" si="8"/>
        <v>0.32458333333333333</v>
      </c>
      <c r="K111" s="93">
        <f t="shared" si="9"/>
        <v>0.29000000000000004</v>
      </c>
      <c r="L111">
        <f>IFERROR(HLOOKUP(D111,Ingreso!$AN$10:$AT$260,VLOOKUP('cruce '!I111,Ingreso!$AL$11:$AM$260,2,0),0),0)</f>
        <v>0</v>
      </c>
      <c r="M111" s="95">
        <f>IFERROR(HLOOKUP(D111,Ingreso!$AW$10:$BC$260,VLOOKUP('cruce '!I111,Ingreso!$AL$11:$AM$260,2,0),0),0)</f>
        <v>0</v>
      </c>
      <c r="N111" t="str">
        <f t="shared" si="6"/>
        <v>OK</v>
      </c>
    </row>
    <row r="112" spans="2:14">
      <c r="C112"/>
      <c r="D112" t="s">
        <v>1438</v>
      </c>
      <c r="E112" t="s">
        <v>1321</v>
      </c>
      <c r="F112" s="78">
        <v>0.3125</v>
      </c>
      <c r="G112" s="55">
        <v>0.61200231481481482</v>
      </c>
      <c r="H112" s="55"/>
      <c r="I112" s="55" t="str">
        <f t="shared" si="7"/>
        <v>07.807.741-7</v>
      </c>
      <c r="J112" s="55">
        <f t="shared" si="8"/>
        <v>0.38799768518518518</v>
      </c>
      <c r="K112" s="93">
        <f t="shared" si="9"/>
        <v>1.8119444444444444</v>
      </c>
      <c r="L112">
        <f>IFERROR(HLOOKUP(D112,Ingreso!$AN$10:$AT$260,VLOOKUP('cruce '!I112,Ingreso!$AL$11:$AM$260,2,0),0),0)</f>
        <v>0</v>
      </c>
      <c r="M112" s="95">
        <f>IFERROR(HLOOKUP(D112,Ingreso!$AW$10:$BC$260,VLOOKUP('cruce '!I112,Ingreso!$AL$11:$AM$260,2,0),0),0)</f>
        <v>0</v>
      </c>
      <c r="N112" t="str">
        <f t="shared" si="6"/>
        <v>Revisar</v>
      </c>
    </row>
    <row r="113" spans="2:14">
      <c r="C113"/>
      <c r="D113"/>
      <c r="E113" t="s">
        <v>1323</v>
      </c>
      <c r="F113" s="78">
        <v>0.375</v>
      </c>
      <c r="G113" s="55"/>
      <c r="H113" s="55">
        <v>0.9366782407407408</v>
      </c>
      <c r="I113" s="55" t="str">
        <f t="shared" si="7"/>
        <v>07.807.741-7</v>
      </c>
      <c r="J113" s="55">
        <f t="shared" si="8"/>
        <v>0.9366782407407408</v>
      </c>
      <c r="K113" s="93">
        <f t="shared" si="9"/>
        <v>13.480277777777779</v>
      </c>
      <c r="L113">
        <f>IFERROR(HLOOKUP(D113,Ingreso!$AN$10:$AT$260,VLOOKUP('cruce '!I113,Ingreso!$AL$11:$AM$260,2,0),0),0)</f>
        <v>0</v>
      </c>
      <c r="M113" s="95">
        <f>IFERROR(HLOOKUP(D113,Ingreso!$AW$10:$BC$260,VLOOKUP('cruce '!I113,Ingreso!$AL$11:$AM$260,2,0),0),0)</f>
        <v>0</v>
      </c>
      <c r="N113" t="str">
        <f t="shared" si="6"/>
        <v>Revisar</v>
      </c>
    </row>
    <row r="114" spans="2:14">
      <c r="C114"/>
      <c r="D114" t="s">
        <v>1439</v>
      </c>
      <c r="E114" t="s">
        <v>1321</v>
      </c>
      <c r="F114" s="78">
        <v>0.3125</v>
      </c>
      <c r="G114" s="55">
        <v>0.61197916666666663</v>
      </c>
      <c r="H114" s="55">
        <v>0.93776620370370367</v>
      </c>
      <c r="I114" s="55" t="str">
        <f t="shared" ref="I114:I126" si="10">IF(B114="",I113,B114)</f>
        <v>07.807.741-7</v>
      </c>
      <c r="J114" s="55">
        <f t="shared" ref="J114:J126" si="11">IF(G114&gt;H114,(H114+0.5)-(G114-0.5),H114-G114)</f>
        <v>0.32578703703703704</v>
      </c>
      <c r="K114" s="93">
        <f t="shared" ref="K114:K126" si="12">(J114*24)-(F114*24)</f>
        <v>0.318888888888889</v>
      </c>
      <c r="L114">
        <f>IFERROR(HLOOKUP(D114,Ingreso!$AN$10:$AT$260,VLOOKUP('cruce '!I114,Ingreso!$AL$11:$AM$260,2,0),0),0)</f>
        <v>0</v>
      </c>
      <c r="M114" s="95">
        <f>IFERROR(HLOOKUP(D114,Ingreso!$AW$10:$BC$260,VLOOKUP('cruce '!I114,Ingreso!$AL$11:$AM$260,2,0),0),0)</f>
        <v>0</v>
      </c>
      <c r="N114" t="str">
        <f t="shared" ref="N114:N126" si="13">IF((K114-L114)&gt;1,"Revisar",IF((K114-L114)&lt;-1,"Revisar","OK"))</f>
        <v>OK</v>
      </c>
    </row>
    <row r="115" spans="2:14">
      <c r="B115" t="s">
        <v>1169</v>
      </c>
      <c r="C115" t="s">
        <v>1172</v>
      </c>
      <c r="D115" t="s">
        <v>1440</v>
      </c>
      <c r="E115" t="s">
        <v>1323</v>
      </c>
      <c r="F115" s="78">
        <v>0.375</v>
      </c>
      <c r="G115" s="55">
        <v>0.79802083333333329</v>
      </c>
      <c r="H115" s="55">
        <v>0.32462962962962966</v>
      </c>
      <c r="I115" s="55" t="str">
        <f t="shared" si="10"/>
        <v>07.815.068-8</v>
      </c>
      <c r="J115" s="55">
        <f t="shared" si="11"/>
        <v>0.52660879629629631</v>
      </c>
      <c r="K115" s="93">
        <f t="shared" si="12"/>
        <v>3.6386111111111106</v>
      </c>
      <c r="L115">
        <f>IFERROR(HLOOKUP(D115,Ingreso!$AN$10:$AT$260,VLOOKUP('cruce '!I115,Ingreso!$AL$11:$AM$260,2,0),0),0)</f>
        <v>3</v>
      </c>
      <c r="M115" s="95">
        <f>IFERROR(HLOOKUP(D115,Ingreso!$AW$10:$BC$260,VLOOKUP('cruce '!I115,Ingreso!$AL$11:$AM$260,2,0),0),0)</f>
        <v>0.5</v>
      </c>
      <c r="N115" t="str">
        <f t="shared" si="13"/>
        <v>OK</v>
      </c>
    </row>
    <row r="116" spans="2:14">
      <c r="C116"/>
      <c r="D116" t="s">
        <v>1441</v>
      </c>
      <c r="E116" t="s">
        <v>1323</v>
      </c>
      <c r="F116" s="78">
        <v>0.375</v>
      </c>
      <c r="G116" s="55"/>
      <c r="H116" s="55">
        <v>0.32440972222222225</v>
      </c>
      <c r="I116" s="55" t="str">
        <f t="shared" si="10"/>
        <v>07.815.068-8</v>
      </c>
      <c r="J116" s="55">
        <f t="shared" si="11"/>
        <v>0.32440972222222225</v>
      </c>
      <c r="K116" s="93">
        <f t="shared" si="12"/>
        <v>-1.2141666666666655</v>
      </c>
      <c r="L116">
        <f>IFERROR(HLOOKUP(D116,Ingreso!$AN$10:$AT$260,VLOOKUP('cruce '!I116,Ingreso!$AL$11:$AM$260,2,0),0),0)</f>
        <v>0</v>
      </c>
      <c r="M116" s="95" t="str">
        <f>IFERROR(HLOOKUP(D116,Ingreso!$AW$10:$BC$260,VLOOKUP('cruce '!I116,Ingreso!$AL$11:$AM$260,2,0),0),0)</f>
        <v/>
      </c>
      <c r="N116" t="str">
        <f t="shared" si="13"/>
        <v>Revisar</v>
      </c>
    </row>
    <row r="117" spans="2:14">
      <c r="C117"/>
      <c r="D117" t="s">
        <v>1437</v>
      </c>
      <c r="E117" t="s">
        <v>1323</v>
      </c>
      <c r="F117" s="78">
        <v>0.375</v>
      </c>
      <c r="G117" s="55">
        <v>0.91760416666666667</v>
      </c>
      <c r="H117" s="55"/>
      <c r="I117" s="55" t="str">
        <f t="shared" si="10"/>
        <v>07.815.068-8</v>
      </c>
      <c r="J117" s="55">
        <f t="shared" si="11"/>
        <v>8.2395833333333335E-2</v>
      </c>
      <c r="K117" s="93">
        <f t="shared" si="12"/>
        <v>-7.0225</v>
      </c>
      <c r="L117">
        <f>IFERROR(HLOOKUP(D117,Ingreso!$AN$10:$AT$260,VLOOKUP('cruce '!I117,Ingreso!$AL$11:$AM$260,2,0),0),0)</f>
        <v>0</v>
      </c>
      <c r="M117" s="95" t="str">
        <f>IFERROR(HLOOKUP(D117,Ingreso!$AW$10:$BC$260,VLOOKUP('cruce '!I117,Ingreso!$AL$11:$AM$260,2,0),0),0)</f>
        <v/>
      </c>
      <c r="N117" t="str">
        <f t="shared" si="13"/>
        <v>Revisar</v>
      </c>
    </row>
    <row r="118" spans="2:14">
      <c r="C118"/>
      <c r="D118" t="s">
        <v>1438</v>
      </c>
      <c r="E118" t="s">
        <v>1323</v>
      </c>
      <c r="F118" s="78">
        <v>0.375</v>
      </c>
      <c r="G118" s="55">
        <v>0.91900462962962959</v>
      </c>
      <c r="H118" s="55">
        <v>0.32483796296296297</v>
      </c>
      <c r="I118" s="55" t="str">
        <f t="shared" si="10"/>
        <v>07.815.068-8</v>
      </c>
      <c r="J118" s="55">
        <f t="shared" si="11"/>
        <v>0.40583333333333338</v>
      </c>
      <c r="K118" s="93">
        <f t="shared" si="12"/>
        <v>0.74000000000000199</v>
      </c>
      <c r="L118">
        <f>IFERROR(HLOOKUP(D118,Ingreso!$AN$10:$AT$260,VLOOKUP('cruce '!I118,Ingreso!$AL$11:$AM$260,2,0),0),0)</f>
        <v>0</v>
      </c>
      <c r="M118" s="95" t="str">
        <f>IFERROR(HLOOKUP(D118,Ingreso!$AW$10:$BC$260,VLOOKUP('cruce '!I118,Ingreso!$AL$11:$AM$260,2,0),0),0)</f>
        <v/>
      </c>
      <c r="N118" t="str">
        <f t="shared" si="13"/>
        <v>OK</v>
      </c>
    </row>
    <row r="119" spans="2:14">
      <c r="C119"/>
      <c r="D119" t="s">
        <v>1439</v>
      </c>
      <c r="E119" t="s">
        <v>1323</v>
      </c>
      <c r="F119" s="78">
        <v>0.375</v>
      </c>
      <c r="G119" s="55">
        <v>0.80957175925925917</v>
      </c>
      <c r="H119" s="55">
        <v>0.32560185185185186</v>
      </c>
      <c r="I119" s="55" t="str">
        <f t="shared" si="10"/>
        <v>07.815.068-8</v>
      </c>
      <c r="J119" s="55">
        <f t="shared" si="11"/>
        <v>0.51603009259259269</v>
      </c>
      <c r="K119" s="93">
        <f t="shared" si="12"/>
        <v>3.3847222222222246</v>
      </c>
      <c r="L119">
        <f>IFERROR(HLOOKUP(D119,Ingreso!$AN$10:$AT$260,VLOOKUP('cruce '!I119,Ingreso!$AL$11:$AM$260,2,0),0),0)</f>
        <v>0</v>
      </c>
      <c r="M119" s="95" t="str">
        <f>IFERROR(HLOOKUP(D119,Ingreso!$AW$10:$BC$260,VLOOKUP('cruce '!I119,Ingreso!$AL$11:$AM$260,2,0),0),0)</f>
        <v/>
      </c>
      <c r="N119" t="str">
        <f t="shared" si="13"/>
        <v>Revisar</v>
      </c>
    </row>
    <row r="120" spans="2:14">
      <c r="B120" t="s">
        <v>288</v>
      </c>
      <c r="C120" t="s">
        <v>292</v>
      </c>
      <c r="D120" t="s">
        <v>1440</v>
      </c>
      <c r="E120" t="s">
        <v>1321</v>
      </c>
      <c r="F120" s="78">
        <v>0.3125</v>
      </c>
      <c r="G120" s="55">
        <v>0.60598379629629628</v>
      </c>
      <c r="H120" s="55">
        <v>0.95118055555555558</v>
      </c>
      <c r="I120" s="55" t="str">
        <f t="shared" si="10"/>
        <v>07.815.607-4</v>
      </c>
      <c r="J120" s="55">
        <f t="shared" si="11"/>
        <v>0.3451967592592593</v>
      </c>
      <c r="K120" s="93">
        <f t="shared" si="12"/>
        <v>0.78472222222222321</v>
      </c>
      <c r="L120">
        <f>IFERROR(HLOOKUP(D120,Ingreso!$AN$10:$AT$260,VLOOKUP('cruce '!I120,Ingreso!$AL$11:$AM$260,2,0),0),0)</f>
        <v>0</v>
      </c>
      <c r="M120" s="95" t="str">
        <f>IFERROR(HLOOKUP(D120,Ingreso!$AW$10:$BC$260,VLOOKUP('cruce '!I120,Ingreso!$AL$11:$AM$260,2,0),0),0)</f>
        <v/>
      </c>
      <c r="N120" t="str">
        <f t="shared" si="13"/>
        <v>OK</v>
      </c>
    </row>
    <row r="121" spans="2:14">
      <c r="C121"/>
      <c r="D121" t="s">
        <v>1441</v>
      </c>
      <c r="E121" t="s">
        <v>1321</v>
      </c>
      <c r="F121" s="78">
        <v>0.3125</v>
      </c>
      <c r="G121" s="55">
        <v>0.60815972222222225</v>
      </c>
      <c r="H121" s="55">
        <v>0.94224537037037026</v>
      </c>
      <c r="I121" s="55" t="str">
        <f t="shared" si="10"/>
        <v>07.815.607-4</v>
      </c>
      <c r="J121" s="55">
        <f t="shared" si="11"/>
        <v>0.33408564814814801</v>
      </c>
      <c r="K121" s="93">
        <f t="shared" si="12"/>
        <v>0.51805555555555216</v>
      </c>
      <c r="L121">
        <f>IFERROR(HLOOKUP(D121,Ingreso!$AN$10:$AT$260,VLOOKUP('cruce '!I121,Ingreso!$AL$11:$AM$260,2,0),0),0)</f>
        <v>0</v>
      </c>
      <c r="M121" s="95" t="str">
        <f>IFERROR(HLOOKUP(D121,Ingreso!$AW$10:$BC$260,VLOOKUP('cruce '!I121,Ingreso!$AL$11:$AM$260,2,0),0),0)</f>
        <v/>
      </c>
      <c r="N121" t="str">
        <f t="shared" si="13"/>
        <v>OK</v>
      </c>
    </row>
    <row r="122" spans="2:14">
      <c r="C122"/>
      <c r="D122" t="s">
        <v>1437</v>
      </c>
      <c r="E122" t="s">
        <v>1321</v>
      </c>
      <c r="F122" s="78">
        <v>0.3125</v>
      </c>
      <c r="G122" s="55">
        <v>0.69465277777777779</v>
      </c>
      <c r="H122" s="55">
        <v>0.94686342592592598</v>
      </c>
      <c r="I122" s="55" t="str">
        <f t="shared" si="10"/>
        <v>07.815.607-4</v>
      </c>
      <c r="J122" s="55">
        <f t="shared" si="11"/>
        <v>0.2522106481481482</v>
      </c>
      <c r="K122" s="93">
        <f t="shared" si="12"/>
        <v>-1.4469444444444433</v>
      </c>
      <c r="L122">
        <f>IFERROR(HLOOKUP(D122,Ingreso!$AN$10:$AT$260,VLOOKUP('cruce '!I122,Ingreso!$AL$11:$AM$260,2,0),0),0)</f>
        <v>0</v>
      </c>
      <c r="M122" s="95" t="str">
        <f>IFERROR(HLOOKUP(D122,Ingreso!$AW$10:$BC$260,VLOOKUP('cruce '!I122,Ingreso!$AL$11:$AM$260,2,0),0),0)</f>
        <v/>
      </c>
      <c r="N122" t="str">
        <f t="shared" si="13"/>
        <v>Revisar</v>
      </c>
    </row>
    <row r="123" spans="2:14">
      <c r="C123"/>
      <c r="D123" t="s">
        <v>1438</v>
      </c>
      <c r="E123" t="s">
        <v>1321</v>
      </c>
      <c r="F123" s="78">
        <v>0.3125</v>
      </c>
      <c r="G123" s="55">
        <v>0.60431712962962958</v>
      </c>
      <c r="H123" s="55">
        <v>0.94913194444444438</v>
      </c>
      <c r="I123" s="55" t="str">
        <f t="shared" si="10"/>
        <v>07.815.607-4</v>
      </c>
      <c r="J123" s="55">
        <f t="shared" si="11"/>
        <v>0.3448148148148148</v>
      </c>
      <c r="K123" s="93">
        <f t="shared" si="12"/>
        <v>0.775555555555556</v>
      </c>
      <c r="L123">
        <f>IFERROR(HLOOKUP(D123,Ingreso!$AN$10:$AT$260,VLOOKUP('cruce '!I123,Ingreso!$AL$11:$AM$260,2,0),0),0)</f>
        <v>0</v>
      </c>
      <c r="M123" s="95" t="str">
        <f>IFERROR(HLOOKUP(D123,Ingreso!$AW$10:$BC$260,VLOOKUP('cruce '!I123,Ingreso!$AL$11:$AM$260,2,0),0),0)</f>
        <v/>
      </c>
      <c r="N123" t="str">
        <f t="shared" si="13"/>
        <v>OK</v>
      </c>
    </row>
    <row r="124" spans="2:14">
      <c r="C124"/>
      <c r="D124" t="s">
        <v>1439</v>
      </c>
      <c r="E124" t="s">
        <v>1321</v>
      </c>
      <c r="F124" s="78">
        <v>0.3125</v>
      </c>
      <c r="G124" s="55">
        <v>0.60060185185185189</v>
      </c>
      <c r="H124" s="55">
        <v>0.94564814814814813</v>
      </c>
      <c r="I124" s="55" t="str">
        <f t="shared" si="10"/>
        <v>07.815.607-4</v>
      </c>
      <c r="J124" s="55">
        <f t="shared" si="11"/>
        <v>0.34504629629629624</v>
      </c>
      <c r="K124" s="93">
        <f t="shared" si="12"/>
        <v>0.78111111111110887</v>
      </c>
      <c r="L124">
        <f>IFERROR(HLOOKUP(D124,Ingreso!$AN$10:$AT$260,VLOOKUP('cruce '!I124,Ingreso!$AL$11:$AM$260,2,0),0),0)</f>
        <v>0</v>
      </c>
      <c r="M124" s="95" t="str">
        <f>IFERROR(HLOOKUP(D124,Ingreso!$AW$10:$BC$260,VLOOKUP('cruce '!I124,Ingreso!$AL$11:$AM$260,2,0),0),0)</f>
        <v/>
      </c>
      <c r="N124" t="str">
        <f t="shared" si="13"/>
        <v>OK</v>
      </c>
    </row>
    <row r="125" spans="2:14">
      <c r="B125" t="s">
        <v>254</v>
      </c>
      <c r="C125" t="s">
        <v>258</v>
      </c>
      <c r="D125" t="s">
        <v>1440</v>
      </c>
      <c r="E125" t="s">
        <v>1321</v>
      </c>
      <c r="F125" s="78">
        <v>0.3125</v>
      </c>
      <c r="G125" s="55">
        <v>0.30256944444444445</v>
      </c>
      <c r="H125" s="55">
        <v>0.82111111111111112</v>
      </c>
      <c r="I125" s="55" t="str">
        <f t="shared" si="10"/>
        <v>07.816.535-9</v>
      </c>
      <c r="J125" s="55">
        <f t="shared" si="11"/>
        <v>0.51854166666666668</v>
      </c>
      <c r="K125" s="93">
        <f t="shared" si="12"/>
        <v>4.9450000000000003</v>
      </c>
      <c r="L125">
        <f>IFERROR(HLOOKUP(D125,Ingreso!$AN$10:$AT$260,VLOOKUP('cruce '!I125,Ingreso!$AL$11:$AM$260,2,0),0),0)</f>
        <v>4.5</v>
      </c>
      <c r="M125" s="95">
        <f>IFERROR(HLOOKUP(D125,Ingreso!$AW$10:$BC$260,VLOOKUP('cruce '!I125,Ingreso!$AL$11:$AM$260,2,0),0),0)</f>
        <v>0.5</v>
      </c>
      <c r="N125" t="str">
        <f t="shared" si="13"/>
        <v>OK</v>
      </c>
    </row>
    <row r="126" spans="2:14">
      <c r="C126"/>
      <c r="D126" t="s">
        <v>1441</v>
      </c>
      <c r="E126" t="s">
        <v>1321</v>
      </c>
      <c r="F126" s="78">
        <v>0.3125</v>
      </c>
      <c r="G126" s="55">
        <v>0.31231481481481482</v>
      </c>
      <c r="H126" s="55">
        <v>0.83677083333333335</v>
      </c>
      <c r="I126" s="55" t="str">
        <f t="shared" si="10"/>
        <v>07.816.535-9</v>
      </c>
      <c r="J126" s="55">
        <f t="shared" si="11"/>
        <v>0.52445601851851853</v>
      </c>
      <c r="K126" s="93">
        <f t="shared" si="12"/>
        <v>5.0869444444444447</v>
      </c>
      <c r="L126">
        <f>IFERROR(HLOOKUP(D126,Ingreso!$AN$10:$AT$260,VLOOKUP('cruce '!I126,Ingreso!$AL$11:$AM$260,2,0),0),0)</f>
        <v>0</v>
      </c>
      <c r="M126" s="95" t="str">
        <f>IFERROR(HLOOKUP(D126,Ingreso!$AW$10:$BC$260,VLOOKUP('cruce '!I126,Ingreso!$AL$11:$AM$260,2,0),0),0)</f>
        <v/>
      </c>
      <c r="N126" t="str">
        <f t="shared" si="13"/>
        <v>Revisar</v>
      </c>
    </row>
    <row r="127" spans="2:14">
      <c r="C127"/>
      <c r="D127" t="s">
        <v>1437</v>
      </c>
      <c r="E127" t="s">
        <v>1321</v>
      </c>
      <c r="F127" s="78">
        <v>0.3125</v>
      </c>
      <c r="G127" s="55">
        <v>0.51706018518518515</v>
      </c>
      <c r="H127" s="55">
        <v>0.94148148148148147</v>
      </c>
      <c r="I127" s="55" t="str">
        <f t="shared" ref="I127:I190" si="14">IF(B127="",I126,B127)</f>
        <v>07.816.535-9</v>
      </c>
      <c r="J127" s="55">
        <f t="shared" ref="J127:J190" si="15">IF(G127&gt;H127,(H127+0.5)-(G127-0.5),H127-G127)</f>
        <v>0.42442129629629632</v>
      </c>
      <c r="K127" s="93">
        <f t="shared" ref="K127:K190" si="16">(J127*24)-(F127*24)</f>
        <v>2.6861111111111118</v>
      </c>
      <c r="L127">
        <f>IFERROR(HLOOKUP(D127,Ingreso!$AN$10:$AT$260,VLOOKUP('cruce '!I127,Ingreso!$AL$11:$AM$260,2,0),0),0)</f>
        <v>2</v>
      </c>
      <c r="M127" s="95">
        <f>IFERROR(HLOOKUP(D127,Ingreso!$AW$10:$BC$260,VLOOKUP('cruce '!I127,Ingreso!$AL$11:$AM$260,2,0),0),0)</f>
        <v>0.5</v>
      </c>
      <c r="N127" t="str">
        <f t="shared" ref="N127:N190" si="17">IF((K127-L127)&gt;1,"Revisar",IF((K127-L127)&lt;-1,"Revisar","OK"))</f>
        <v>OK</v>
      </c>
    </row>
    <row r="128" spans="2:14">
      <c r="C128"/>
      <c r="D128" t="s">
        <v>1438</v>
      </c>
      <c r="E128" t="s">
        <v>1321</v>
      </c>
      <c r="F128" s="78">
        <v>0.3125</v>
      </c>
      <c r="G128" s="55">
        <v>0.50918981481481485</v>
      </c>
      <c r="H128" s="55">
        <v>0.94068287037037035</v>
      </c>
      <c r="I128" s="55" t="str">
        <f t="shared" si="14"/>
        <v>07.816.535-9</v>
      </c>
      <c r="J128" s="55">
        <f t="shared" si="15"/>
        <v>0.4314930555555555</v>
      </c>
      <c r="K128" s="93">
        <f t="shared" si="16"/>
        <v>2.855833333333333</v>
      </c>
      <c r="L128">
        <f>IFERROR(HLOOKUP(D128,Ingreso!$AN$10:$AT$260,VLOOKUP('cruce '!I128,Ingreso!$AL$11:$AM$260,2,0),0),0)</f>
        <v>2</v>
      </c>
      <c r="M128" s="95">
        <f>IFERROR(HLOOKUP(D128,Ingreso!$AW$10:$BC$260,VLOOKUP('cruce '!I128,Ingreso!$AL$11:$AM$260,2,0),0),0)</f>
        <v>0.5</v>
      </c>
      <c r="N128" t="str">
        <f t="shared" si="17"/>
        <v>OK</v>
      </c>
    </row>
    <row r="129" spans="2:14">
      <c r="C129"/>
      <c r="D129" t="s">
        <v>1439</v>
      </c>
      <c r="E129" t="s">
        <v>1321</v>
      </c>
      <c r="F129" s="78">
        <v>0.3125</v>
      </c>
      <c r="G129" s="55">
        <v>0.30660879629629628</v>
      </c>
      <c r="H129" s="55">
        <v>0.81997685185185187</v>
      </c>
      <c r="I129" s="55" t="str">
        <f t="shared" si="14"/>
        <v>07.816.535-9</v>
      </c>
      <c r="J129" s="55">
        <f t="shared" si="15"/>
        <v>0.51336805555555554</v>
      </c>
      <c r="K129" s="93">
        <f t="shared" si="16"/>
        <v>4.8208333333333329</v>
      </c>
      <c r="L129">
        <f>IFERROR(HLOOKUP(D129,Ingreso!$AN$10:$AT$260,VLOOKUP('cruce '!I129,Ingreso!$AL$11:$AM$260,2,0),0),0)</f>
        <v>4</v>
      </c>
      <c r="M129" s="95">
        <f>IFERROR(HLOOKUP(D129,Ingreso!$AW$10:$BC$260,VLOOKUP('cruce '!I129,Ingreso!$AL$11:$AM$260,2,0),0),0)</f>
        <v>0.5</v>
      </c>
      <c r="N129" t="str">
        <f t="shared" si="17"/>
        <v>OK</v>
      </c>
    </row>
    <row r="130" spans="2:14">
      <c r="B130" t="s">
        <v>1205</v>
      </c>
      <c r="C130" t="s">
        <v>1207</v>
      </c>
      <c r="D130" t="s">
        <v>1440</v>
      </c>
      <c r="E130" t="s">
        <v>4</v>
      </c>
      <c r="F130" s="78">
        <v>0.3125</v>
      </c>
      <c r="G130" s="55">
        <v>0.29108796296296297</v>
      </c>
      <c r="H130" s="55">
        <v>0.70475694444444448</v>
      </c>
      <c r="I130" s="55" t="str">
        <f t="shared" si="14"/>
        <v>07.816.805-6</v>
      </c>
      <c r="J130" s="55">
        <f t="shared" si="15"/>
        <v>0.41366898148148151</v>
      </c>
      <c r="K130" s="93">
        <f t="shared" si="16"/>
        <v>2.4280555555555559</v>
      </c>
      <c r="L130">
        <f>IFERROR(HLOOKUP(D130,Ingreso!$AN$10:$AT$260,VLOOKUP('cruce '!I130,Ingreso!$AL$11:$AM$260,2,0),0),0)</f>
        <v>2</v>
      </c>
      <c r="M130" s="95">
        <f>IFERROR(HLOOKUP(D130,Ingreso!$AW$10:$BC$260,VLOOKUP('cruce '!I130,Ingreso!$AL$11:$AM$260,2,0),0),0)</f>
        <v>0.5</v>
      </c>
      <c r="N130" t="str">
        <f t="shared" si="17"/>
        <v>OK</v>
      </c>
    </row>
    <row r="131" spans="2:14">
      <c r="C131"/>
      <c r="D131" t="s">
        <v>1441</v>
      </c>
      <c r="E131" t="s">
        <v>4</v>
      </c>
      <c r="F131" s="78">
        <v>0.3125</v>
      </c>
      <c r="G131" s="55">
        <v>0.28978009259259258</v>
      </c>
      <c r="H131" s="55">
        <v>0.70648148148148149</v>
      </c>
      <c r="I131" s="55" t="str">
        <f t="shared" si="14"/>
        <v>07.816.805-6</v>
      </c>
      <c r="J131" s="55">
        <f t="shared" si="15"/>
        <v>0.41670138888888891</v>
      </c>
      <c r="K131" s="93">
        <f t="shared" si="16"/>
        <v>2.5008333333333344</v>
      </c>
      <c r="L131">
        <f>IFERROR(HLOOKUP(D131,Ingreso!$AN$10:$AT$260,VLOOKUP('cruce '!I131,Ingreso!$AL$11:$AM$260,2,0),0),0)</f>
        <v>0</v>
      </c>
      <c r="M131" s="95" t="str">
        <f>IFERROR(HLOOKUP(D131,Ingreso!$AW$10:$BC$260,VLOOKUP('cruce '!I131,Ingreso!$AL$11:$AM$260,2,0),0),0)</f>
        <v/>
      </c>
      <c r="N131" t="str">
        <f t="shared" si="17"/>
        <v>Revisar</v>
      </c>
    </row>
    <row r="132" spans="2:14">
      <c r="C132"/>
      <c r="D132" t="s">
        <v>1437</v>
      </c>
      <c r="E132" t="s">
        <v>4</v>
      </c>
      <c r="F132" s="78">
        <v>0.3125</v>
      </c>
      <c r="G132" s="55">
        <v>0.2895949074074074</v>
      </c>
      <c r="H132" s="55">
        <v>0.72488425925925926</v>
      </c>
      <c r="I132" s="55" t="str">
        <f t="shared" si="14"/>
        <v>07.816.805-6</v>
      </c>
      <c r="J132" s="55">
        <f t="shared" si="15"/>
        <v>0.43528935185185186</v>
      </c>
      <c r="K132" s="93">
        <f t="shared" si="16"/>
        <v>2.9469444444444441</v>
      </c>
      <c r="L132">
        <f>IFERROR(HLOOKUP(D132,Ingreso!$AN$10:$AT$260,VLOOKUP('cruce '!I132,Ingreso!$AL$11:$AM$260,2,0),0),0)</f>
        <v>2</v>
      </c>
      <c r="M132" s="95">
        <f>IFERROR(HLOOKUP(D132,Ingreso!$AW$10:$BC$260,VLOOKUP('cruce '!I132,Ingreso!$AL$11:$AM$260,2,0),0),0)</f>
        <v>0.5</v>
      </c>
      <c r="N132" t="str">
        <f t="shared" si="17"/>
        <v>OK</v>
      </c>
    </row>
    <row r="133" spans="2:14">
      <c r="C133"/>
      <c r="D133" t="s">
        <v>1438</v>
      </c>
      <c r="E133" t="s">
        <v>4</v>
      </c>
      <c r="F133" s="78">
        <v>0.3125</v>
      </c>
      <c r="G133" s="55">
        <v>0.28849537037037037</v>
      </c>
      <c r="H133" s="55">
        <v>0.71278935185185188</v>
      </c>
      <c r="I133" s="55" t="str">
        <f t="shared" si="14"/>
        <v>07.816.805-6</v>
      </c>
      <c r="J133" s="55">
        <f t="shared" si="15"/>
        <v>0.42429398148148151</v>
      </c>
      <c r="K133" s="93">
        <f t="shared" si="16"/>
        <v>2.6830555555555566</v>
      </c>
      <c r="L133">
        <f>IFERROR(HLOOKUP(D133,Ingreso!$AN$10:$AT$260,VLOOKUP('cruce '!I133,Ingreso!$AL$11:$AM$260,2,0),0),0)</f>
        <v>2</v>
      </c>
      <c r="M133" s="95">
        <f>IFERROR(HLOOKUP(D133,Ingreso!$AW$10:$BC$260,VLOOKUP('cruce '!I133,Ingreso!$AL$11:$AM$260,2,0),0),0)</f>
        <v>0.5</v>
      </c>
      <c r="N133" t="str">
        <f t="shared" si="17"/>
        <v>OK</v>
      </c>
    </row>
    <row r="134" spans="2:14">
      <c r="C134"/>
      <c r="D134" t="s">
        <v>1439</v>
      </c>
      <c r="E134" t="s">
        <v>4</v>
      </c>
      <c r="F134" s="78">
        <v>0.3125</v>
      </c>
      <c r="G134" s="55">
        <v>0.29129629629629633</v>
      </c>
      <c r="H134" s="55">
        <v>0.72038194444444448</v>
      </c>
      <c r="I134" s="55" t="str">
        <f t="shared" si="14"/>
        <v>07.816.805-6</v>
      </c>
      <c r="J134" s="55">
        <f t="shared" si="15"/>
        <v>0.42908564814814815</v>
      </c>
      <c r="K134" s="93">
        <f t="shared" si="16"/>
        <v>2.7980555555555551</v>
      </c>
      <c r="L134">
        <f>IFERROR(HLOOKUP(D134,Ingreso!$AN$10:$AT$260,VLOOKUP('cruce '!I134,Ingreso!$AL$11:$AM$260,2,0),0),0)</f>
        <v>2</v>
      </c>
      <c r="M134" s="95">
        <f>IFERROR(HLOOKUP(D134,Ingreso!$AW$10:$BC$260,VLOOKUP('cruce '!I134,Ingreso!$AL$11:$AM$260,2,0),0),0)</f>
        <v>0.5</v>
      </c>
      <c r="N134" t="str">
        <f t="shared" si="17"/>
        <v>OK</v>
      </c>
    </row>
    <row r="135" spans="2:14">
      <c r="B135" t="s">
        <v>946</v>
      </c>
      <c r="C135" t="s">
        <v>947</v>
      </c>
      <c r="D135" t="s">
        <v>1440</v>
      </c>
      <c r="E135" t="s">
        <v>1323</v>
      </c>
      <c r="F135" s="78">
        <v>0.375</v>
      </c>
      <c r="G135" s="55">
        <v>0.89424768518518516</v>
      </c>
      <c r="H135" s="55">
        <v>0.31951388888888888</v>
      </c>
      <c r="I135" s="55" t="str">
        <f t="shared" si="14"/>
        <v>07.832.770-7</v>
      </c>
      <c r="J135" s="55">
        <f t="shared" si="15"/>
        <v>0.42526620370370372</v>
      </c>
      <c r="K135" s="93">
        <f t="shared" si="16"/>
        <v>1.2063888888888883</v>
      </c>
      <c r="L135">
        <f>IFERROR(HLOOKUP(D135,Ingreso!$AN$10:$AT$260,VLOOKUP('cruce '!I135,Ingreso!$AL$11:$AM$260,2,0),0),0)</f>
        <v>0</v>
      </c>
      <c r="M135" s="95">
        <f>IFERROR(HLOOKUP(D135,Ingreso!$AW$10:$BC$260,VLOOKUP('cruce '!I135,Ingreso!$AL$11:$AM$260,2,0),0),0)</f>
        <v>0</v>
      </c>
      <c r="N135" t="str">
        <f t="shared" si="17"/>
        <v>Revisar</v>
      </c>
    </row>
    <row r="136" spans="2:14">
      <c r="C136"/>
      <c r="D136" t="s">
        <v>1441</v>
      </c>
      <c r="E136" t="s">
        <v>1323</v>
      </c>
      <c r="F136" s="78">
        <v>0.375</v>
      </c>
      <c r="G136" s="55"/>
      <c r="H136" s="55">
        <v>0.32315972222222222</v>
      </c>
      <c r="I136" s="55" t="str">
        <f t="shared" si="14"/>
        <v>07.832.770-7</v>
      </c>
      <c r="J136" s="55">
        <f t="shared" si="15"/>
        <v>0.32315972222222222</v>
      </c>
      <c r="K136" s="93">
        <f t="shared" si="16"/>
        <v>-1.2441666666666666</v>
      </c>
      <c r="L136">
        <f>IFERROR(HLOOKUP(D136,Ingreso!$AN$10:$AT$260,VLOOKUP('cruce '!I136,Ingreso!$AL$11:$AM$260,2,0),0),0)</f>
        <v>0</v>
      </c>
      <c r="M136" s="95">
        <f>IFERROR(HLOOKUP(D136,Ingreso!$AW$10:$BC$260,VLOOKUP('cruce '!I136,Ingreso!$AL$11:$AM$260,2,0),0),0)</f>
        <v>0</v>
      </c>
      <c r="N136" t="str">
        <f t="shared" si="17"/>
        <v>Revisar</v>
      </c>
    </row>
    <row r="137" spans="2:14">
      <c r="C137"/>
      <c r="D137" t="s">
        <v>1437</v>
      </c>
      <c r="E137" t="s">
        <v>1323</v>
      </c>
      <c r="F137" s="78">
        <v>0.375</v>
      </c>
      <c r="G137" s="55">
        <v>0.89026620370370368</v>
      </c>
      <c r="H137" s="55"/>
      <c r="I137" s="55" t="str">
        <f t="shared" si="14"/>
        <v>07.832.770-7</v>
      </c>
      <c r="J137" s="55">
        <f t="shared" si="15"/>
        <v>0.10973379629629632</v>
      </c>
      <c r="K137" s="93">
        <f t="shared" si="16"/>
        <v>-6.3663888888888884</v>
      </c>
      <c r="L137">
        <f>IFERROR(HLOOKUP(D137,Ingreso!$AN$10:$AT$260,VLOOKUP('cruce '!I137,Ingreso!$AL$11:$AM$260,2,0),0),0)</f>
        <v>0</v>
      </c>
      <c r="M137" s="95">
        <f>IFERROR(HLOOKUP(D137,Ingreso!$AW$10:$BC$260,VLOOKUP('cruce '!I137,Ingreso!$AL$11:$AM$260,2,0),0),0)</f>
        <v>0</v>
      </c>
      <c r="N137" t="str">
        <f t="shared" si="17"/>
        <v>Revisar</v>
      </c>
    </row>
    <row r="138" spans="2:14">
      <c r="C138"/>
      <c r="D138" t="s">
        <v>1438</v>
      </c>
      <c r="E138" t="s">
        <v>1323</v>
      </c>
      <c r="F138" s="78">
        <v>0.375</v>
      </c>
      <c r="G138" s="55">
        <v>0.89640046296296294</v>
      </c>
      <c r="H138" s="55">
        <v>0.32</v>
      </c>
      <c r="I138" s="55" t="str">
        <f t="shared" si="14"/>
        <v>07.832.770-7</v>
      </c>
      <c r="J138" s="55">
        <f t="shared" si="15"/>
        <v>0.42359953703703712</v>
      </c>
      <c r="K138" s="93">
        <f t="shared" si="16"/>
        <v>1.1663888888888909</v>
      </c>
      <c r="L138">
        <f>IFERROR(HLOOKUP(D138,Ingreso!$AN$10:$AT$260,VLOOKUP('cruce '!I138,Ingreso!$AL$11:$AM$260,2,0),0),0)</f>
        <v>0</v>
      </c>
      <c r="M138" s="95">
        <f>IFERROR(HLOOKUP(D138,Ingreso!$AW$10:$BC$260,VLOOKUP('cruce '!I138,Ingreso!$AL$11:$AM$260,2,0),0),0)</f>
        <v>0</v>
      </c>
      <c r="N138" t="str">
        <f t="shared" si="17"/>
        <v>Revisar</v>
      </c>
    </row>
    <row r="139" spans="2:14">
      <c r="C139"/>
      <c r="D139" t="s">
        <v>1439</v>
      </c>
      <c r="E139" t="s">
        <v>1323</v>
      </c>
      <c r="F139" s="78">
        <v>0.375</v>
      </c>
      <c r="G139" s="55">
        <v>0.88638888888888889</v>
      </c>
      <c r="H139" s="55">
        <v>0.32133101851851853</v>
      </c>
      <c r="I139" s="55" t="str">
        <f t="shared" si="14"/>
        <v>07.832.770-7</v>
      </c>
      <c r="J139" s="55">
        <f t="shared" si="15"/>
        <v>0.43494212962962964</v>
      </c>
      <c r="K139" s="93">
        <f t="shared" si="16"/>
        <v>1.4386111111111113</v>
      </c>
      <c r="L139">
        <f>IFERROR(HLOOKUP(D139,Ingreso!$AN$10:$AT$260,VLOOKUP('cruce '!I139,Ingreso!$AL$11:$AM$260,2,0),0),0)</f>
        <v>0</v>
      </c>
      <c r="M139" s="95">
        <f>IFERROR(HLOOKUP(D139,Ingreso!$AW$10:$BC$260,VLOOKUP('cruce '!I139,Ingreso!$AL$11:$AM$260,2,0),0),0)</f>
        <v>0</v>
      </c>
      <c r="N139" t="str">
        <f t="shared" si="17"/>
        <v>Revisar</v>
      </c>
    </row>
    <row r="140" spans="2:14">
      <c r="B140" t="s">
        <v>846</v>
      </c>
      <c r="C140" t="s">
        <v>849</v>
      </c>
      <c r="D140" t="s">
        <v>1440</v>
      </c>
      <c r="E140" t="s">
        <v>1321</v>
      </c>
      <c r="F140" s="78">
        <v>0.3125</v>
      </c>
      <c r="G140" s="55">
        <v>0.60693287037037036</v>
      </c>
      <c r="H140" s="55">
        <v>0.94789351851851855</v>
      </c>
      <c r="I140" s="55" t="str">
        <f t="shared" si="14"/>
        <v>07.913.597-6</v>
      </c>
      <c r="J140" s="55">
        <f t="shared" si="15"/>
        <v>0.34096064814814819</v>
      </c>
      <c r="K140" s="93">
        <f t="shared" si="16"/>
        <v>0.68305555555555664</v>
      </c>
      <c r="L140">
        <f>IFERROR(HLOOKUP(D140,Ingreso!$AN$10:$AT$260,VLOOKUP('cruce '!I140,Ingreso!$AL$11:$AM$260,2,0),0),0)</f>
        <v>0</v>
      </c>
      <c r="M140" s="95" t="str">
        <f>IFERROR(HLOOKUP(D140,Ingreso!$AW$10:$BC$260,VLOOKUP('cruce '!I140,Ingreso!$AL$11:$AM$260,2,0),0),0)</f>
        <v/>
      </c>
      <c r="N140" t="str">
        <f t="shared" si="17"/>
        <v>OK</v>
      </c>
    </row>
    <row r="141" spans="2:14">
      <c r="C141"/>
      <c r="D141" t="s">
        <v>1441</v>
      </c>
      <c r="E141" t="s">
        <v>1321</v>
      </c>
      <c r="F141" s="78">
        <v>0.3125</v>
      </c>
      <c r="G141" s="55">
        <v>0.60908564814814814</v>
      </c>
      <c r="H141" s="55">
        <v>0.94708333333333339</v>
      </c>
      <c r="I141" s="55" t="str">
        <f t="shared" si="14"/>
        <v>07.913.597-6</v>
      </c>
      <c r="J141" s="55">
        <f t="shared" si="15"/>
        <v>0.33799768518518525</v>
      </c>
      <c r="K141" s="93">
        <f t="shared" si="16"/>
        <v>0.61194444444444684</v>
      </c>
      <c r="L141">
        <f>IFERROR(HLOOKUP(D141,Ingreso!$AN$10:$AT$260,VLOOKUP('cruce '!I141,Ingreso!$AL$11:$AM$260,2,0),0),0)</f>
        <v>0</v>
      </c>
      <c r="M141" s="95" t="str">
        <f>IFERROR(HLOOKUP(D141,Ingreso!$AW$10:$BC$260,VLOOKUP('cruce '!I141,Ingreso!$AL$11:$AM$260,2,0),0),0)</f>
        <v/>
      </c>
      <c r="N141" t="str">
        <f t="shared" si="17"/>
        <v>OK</v>
      </c>
    </row>
    <row r="142" spans="2:14">
      <c r="C142"/>
      <c r="D142" t="s">
        <v>1437</v>
      </c>
      <c r="E142" t="s">
        <v>1321</v>
      </c>
      <c r="F142" s="78">
        <v>0.3125</v>
      </c>
      <c r="G142" s="55">
        <v>0.60684027777777783</v>
      </c>
      <c r="H142" s="55">
        <v>0.94759259259259254</v>
      </c>
      <c r="I142" s="55" t="str">
        <f t="shared" si="14"/>
        <v>07.913.597-6</v>
      </c>
      <c r="J142" s="55">
        <f t="shared" si="15"/>
        <v>0.34075231481481472</v>
      </c>
      <c r="K142" s="93">
        <f t="shared" si="16"/>
        <v>0.6780555555555523</v>
      </c>
      <c r="L142">
        <f>IFERROR(HLOOKUP(D142,Ingreso!$AN$10:$AT$260,VLOOKUP('cruce '!I142,Ingreso!$AL$11:$AM$260,2,0),0),0)</f>
        <v>0</v>
      </c>
      <c r="M142" s="95" t="str">
        <f>IFERROR(HLOOKUP(D142,Ingreso!$AW$10:$BC$260,VLOOKUP('cruce '!I142,Ingreso!$AL$11:$AM$260,2,0),0),0)</f>
        <v/>
      </c>
      <c r="N142" t="str">
        <f t="shared" si="17"/>
        <v>OK</v>
      </c>
    </row>
    <row r="143" spans="2:14">
      <c r="C143"/>
      <c r="D143" t="s">
        <v>1438</v>
      </c>
      <c r="E143" t="s">
        <v>1321</v>
      </c>
      <c r="F143" s="78">
        <v>0.3125</v>
      </c>
      <c r="G143" s="55">
        <v>0.60914351851851845</v>
      </c>
      <c r="H143" s="55">
        <v>0.94513888888888886</v>
      </c>
      <c r="I143" s="55" t="str">
        <f t="shared" si="14"/>
        <v>07.913.597-6</v>
      </c>
      <c r="J143" s="55">
        <f t="shared" si="15"/>
        <v>0.33599537037037042</v>
      </c>
      <c r="K143" s="93">
        <f t="shared" si="16"/>
        <v>0.56388888888888999</v>
      </c>
      <c r="L143">
        <f>IFERROR(HLOOKUP(D143,Ingreso!$AN$10:$AT$260,VLOOKUP('cruce '!I143,Ingreso!$AL$11:$AM$260,2,0),0),0)</f>
        <v>0</v>
      </c>
      <c r="M143" s="95" t="str">
        <f>IFERROR(HLOOKUP(D143,Ingreso!$AW$10:$BC$260,VLOOKUP('cruce '!I143,Ingreso!$AL$11:$AM$260,2,0),0),0)</f>
        <v/>
      </c>
      <c r="N143" t="str">
        <f t="shared" si="17"/>
        <v>OK</v>
      </c>
    </row>
    <row r="144" spans="2:14">
      <c r="C144"/>
      <c r="D144" t="s">
        <v>1439</v>
      </c>
      <c r="E144" t="s">
        <v>1321</v>
      </c>
      <c r="F144" s="78">
        <v>0.3125</v>
      </c>
      <c r="G144" s="55">
        <v>0.60736111111111113</v>
      </c>
      <c r="H144" s="55">
        <v>0.94619212962962962</v>
      </c>
      <c r="I144" s="55" t="str">
        <f t="shared" si="14"/>
        <v>07.913.597-6</v>
      </c>
      <c r="J144" s="55">
        <f t="shared" si="15"/>
        <v>0.33883101851851849</v>
      </c>
      <c r="K144" s="93">
        <f t="shared" si="16"/>
        <v>0.63194444444444287</v>
      </c>
      <c r="L144">
        <f>IFERROR(HLOOKUP(D144,Ingreso!$AN$10:$AT$260,VLOOKUP('cruce '!I144,Ingreso!$AL$11:$AM$260,2,0),0),0)</f>
        <v>0</v>
      </c>
      <c r="M144" s="95" t="str">
        <f>IFERROR(HLOOKUP(D144,Ingreso!$AW$10:$BC$260,VLOOKUP('cruce '!I144,Ingreso!$AL$11:$AM$260,2,0),0),0)</f>
        <v/>
      </c>
      <c r="N144" t="str">
        <f t="shared" si="17"/>
        <v>OK</v>
      </c>
    </row>
    <row r="145" spans="2:14">
      <c r="B145" t="s">
        <v>932</v>
      </c>
      <c r="C145" t="s">
        <v>934</v>
      </c>
      <c r="D145" t="s">
        <v>1436</v>
      </c>
      <c r="E145" t="s">
        <v>4</v>
      </c>
      <c r="F145" s="78">
        <v>0.3125</v>
      </c>
      <c r="G145" s="55">
        <v>0.99100694444444448</v>
      </c>
      <c r="H145" s="55"/>
      <c r="I145" s="55" t="str">
        <f t="shared" si="14"/>
        <v>07.916.907-2</v>
      </c>
      <c r="J145" s="55">
        <f t="shared" si="15"/>
        <v>8.9930555555555181E-3</v>
      </c>
      <c r="K145" s="93">
        <f t="shared" si="16"/>
        <v>-7.2841666666666676</v>
      </c>
      <c r="L145">
        <f>IFERROR(HLOOKUP(D145,Ingreso!$AN$10:$AT$260,VLOOKUP('cruce '!I145,Ingreso!$AL$11:$AM$260,2,0),0),0)</f>
        <v>7.5</v>
      </c>
      <c r="M145" s="95">
        <f>IFERROR(HLOOKUP(D145,Ingreso!$AW$10:$BC$260,VLOOKUP('cruce '!I145,Ingreso!$AL$11:$AM$260,2,0),0),0)</f>
        <v>1</v>
      </c>
      <c r="N145" t="str">
        <f t="shared" si="17"/>
        <v>Revisar</v>
      </c>
    </row>
    <row r="146" spans="2:14">
      <c r="C146"/>
      <c r="D146" t="s">
        <v>1437</v>
      </c>
      <c r="E146" t="s">
        <v>4</v>
      </c>
      <c r="F146" s="78">
        <v>0.3125</v>
      </c>
      <c r="G146" s="55"/>
      <c r="H146" s="55">
        <v>0.33983796296296293</v>
      </c>
      <c r="I146" s="55" t="str">
        <f t="shared" si="14"/>
        <v>07.916.907-2</v>
      </c>
      <c r="J146" s="55">
        <f t="shared" si="15"/>
        <v>0.33983796296296293</v>
      </c>
      <c r="K146" s="93">
        <f t="shared" si="16"/>
        <v>0.65611111111111065</v>
      </c>
      <c r="L146">
        <f>IFERROR(HLOOKUP(D146,Ingreso!$AN$10:$AT$260,VLOOKUP('cruce '!I146,Ingreso!$AL$11:$AM$260,2,0),0),0)</f>
        <v>0</v>
      </c>
      <c r="M146" s="95" t="str">
        <f>IFERROR(HLOOKUP(D146,Ingreso!$AW$10:$BC$260,VLOOKUP('cruce '!I146,Ingreso!$AL$11:$AM$260,2,0),0),0)</f>
        <v/>
      </c>
      <c r="N146" t="str">
        <f t="shared" si="17"/>
        <v>OK</v>
      </c>
    </row>
    <row r="147" spans="2:14">
      <c r="C147"/>
      <c r="D147" t="s">
        <v>1438</v>
      </c>
      <c r="E147" t="s">
        <v>4</v>
      </c>
      <c r="F147" s="78">
        <v>0.3125</v>
      </c>
      <c r="G147" s="55">
        <v>0.3117361111111111</v>
      </c>
      <c r="H147" s="55">
        <v>0.78671296296296289</v>
      </c>
      <c r="I147" s="55" t="str">
        <f t="shared" si="14"/>
        <v>07.916.907-2</v>
      </c>
      <c r="J147" s="55">
        <f t="shared" si="15"/>
        <v>0.47497685185185179</v>
      </c>
      <c r="K147" s="93">
        <f t="shared" si="16"/>
        <v>3.8994444444444429</v>
      </c>
      <c r="L147">
        <f>IFERROR(HLOOKUP(D147,Ingreso!$AN$10:$AT$260,VLOOKUP('cruce '!I147,Ingreso!$AL$11:$AM$260,2,0),0),0)</f>
        <v>0</v>
      </c>
      <c r="M147" s="95" t="str">
        <f>IFERROR(HLOOKUP(D147,Ingreso!$AW$10:$BC$260,VLOOKUP('cruce '!I147,Ingreso!$AL$11:$AM$260,2,0),0),0)</f>
        <v/>
      </c>
      <c r="N147" t="str">
        <f t="shared" si="17"/>
        <v>Revisar</v>
      </c>
    </row>
    <row r="148" spans="2:14">
      <c r="B148" t="s">
        <v>307</v>
      </c>
      <c r="C148" t="s">
        <v>310</v>
      </c>
      <c r="D148" t="s">
        <v>1440</v>
      </c>
      <c r="E148" t="s">
        <v>1321</v>
      </c>
      <c r="F148" s="78">
        <v>0.3125</v>
      </c>
      <c r="G148" s="55">
        <v>0.6165046296296296</v>
      </c>
      <c r="H148" s="55">
        <v>0.96261574074074074</v>
      </c>
      <c r="I148" s="55" t="str">
        <f t="shared" si="14"/>
        <v>07.944.613-0</v>
      </c>
      <c r="J148" s="55">
        <f t="shared" si="15"/>
        <v>0.34611111111111115</v>
      </c>
      <c r="K148" s="93">
        <f t="shared" si="16"/>
        <v>0.80666666666666842</v>
      </c>
      <c r="L148">
        <f>IFERROR(HLOOKUP(D148,Ingreso!$AN$10:$AT$260,VLOOKUP('cruce '!I148,Ingreso!$AL$11:$AM$260,2,0),0),0)</f>
        <v>0</v>
      </c>
      <c r="M148" s="95" t="str">
        <f>IFERROR(HLOOKUP(D148,Ingreso!$AW$10:$BC$260,VLOOKUP('cruce '!I148,Ingreso!$AL$11:$AM$260,2,0),0),0)</f>
        <v/>
      </c>
      <c r="N148" t="str">
        <f t="shared" si="17"/>
        <v>OK</v>
      </c>
    </row>
    <row r="149" spans="2:14">
      <c r="C149"/>
      <c r="D149" t="s">
        <v>1441</v>
      </c>
      <c r="E149" t="s">
        <v>1321</v>
      </c>
      <c r="F149" s="78">
        <v>0.3125</v>
      </c>
      <c r="G149" s="55">
        <v>0.61864583333333334</v>
      </c>
      <c r="H149" s="55">
        <v>0.91520833333333329</v>
      </c>
      <c r="I149" s="55" t="str">
        <f t="shared" si="14"/>
        <v>07.944.613-0</v>
      </c>
      <c r="J149" s="55">
        <f t="shared" si="15"/>
        <v>0.29656249999999995</v>
      </c>
      <c r="K149" s="93">
        <f t="shared" si="16"/>
        <v>-0.38250000000000117</v>
      </c>
      <c r="L149">
        <f>IFERROR(HLOOKUP(D149,Ingreso!$AN$10:$AT$260,VLOOKUP('cruce '!I149,Ingreso!$AL$11:$AM$260,2,0),0),0)</f>
        <v>0</v>
      </c>
      <c r="M149" s="95" t="str">
        <f>IFERROR(HLOOKUP(D149,Ingreso!$AW$10:$BC$260,VLOOKUP('cruce '!I149,Ingreso!$AL$11:$AM$260,2,0),0),0)</f>
        <v/>
      </c>
      <c r="N149" t="str">
        <f t="shared" si="17"/>
        <v>OK</v>
      </c>
    </row>
    <row r="150" spans="2:14">
      <c r="C150"/>
      <c r="D150" t="s">
        <v>1437</v>
      </c>
      <c r="E150" t="s">
        <v>1321</v>
      </c>
      <c r="F150" s="78">
        <v>0.3125</v>
      </c>
      <c r="G150" s="55">
        <v>0.60674768518518518</v>
      </c>
      <c r="H150" s="55">
        <v>0.94989583333333327</v>
      </c>
      <c r="I150" s="55" t="str">
        <f t="shared" si="14"/>
        <v>07.944.613-0</v>
      </c>
      <c r="J150" s="55">
        <f t="shared" si="15"/>
        <v>0.34314814814814809</v>
      </c>
      <c r="K150" s="93">
        <f t="shared" si="16"/>
        <v>0.7355555555555533</v>
      </c>
      <c r="L150">
        <f>IFERROR(HLOOKUP(D150,Ingreso!$AN$10:$AT$260,VLOOKUP('cruce '!I150,Ingreso!$AL$11:$AM$260,2,0),0),0)</f>
        <v>0</v>
      </c>
      <c r="M150" s="95" t="str">
        <f>IFERROR(HLOOKUP(D150,Ingreso!$AW$10:$BC$260,VLOOKUP('cruce '!I150,Ingreso!$AL$11:$AM$260,2,0),0),0)</f>
        <v/>
      </c>
      <c r="N150" t="str">
        <f t="shared" si="17"/>
        <v>OK</v>
      </c>
    </row>
    <row r="151" spans="2:14">
      <c r="C151"/>
      <c r="D151" t="s">
        <v>1438</v>
      </c>
      <c r="E151" t="s">
        <v>1321</v>
      </c>
      <c r="F151" s="78">
        <v>0.3125</v>
      </c>
      <c r="G151" s="55">
        <v>0.60802083333333334</v>
      </c>
      <c r="H151" s="55"/>
      <c r="I151" s="55" t="str">
        <f t="shared" si="14"/>
        <v>07.944.613-0</v>
      </c>
      <c r="J151" s="55">
        <f t="shared" si="15"/>
        <v>0.39197916666666666</v>
      </c>
      <c r="K151" s="93">
        <f t="shared" si="16"/>
        <v>1.9074999999999989</v>
      </c>
      <c r="L151">
        <f>IFERROR(HLOOKUP(D151,Ingreso!$AN$10:$AT$260,VLOOKUP('cruce '!I151,Ingreso!$AL$11:$AM$260,2,0),0),0)</f>
        <v>2</v>
      </c>
      <c r="M151" s="95">
        <f>IFERROR(HLOOKUP(D151,Ingreso!$AW$10:$BC$260,VLOOKUP('cruce '!I151,Ingreso!$AL$11:$AM$260,2,0),0),0)</f>
        <v>0.5</v>
      </c>
      <c r="N151" t="str">
        <f t="shared" si="17"/>
        <v>OK</v>
      </c>
    </row>
    <row r="152" spans="2:14">
      <c r="C152"/>
      <c r="D152" t="s">
        <v>1439</v>
      </c>
      <c r="E152" t="s">
        <v>1321</v>
      </c>
      <c r="F152" s="78">
        <v>0.3125</v>
      </c>
      <c r="G152" s="55">
        <v>0.60759259259259257</v>
      </c>
      <c r="H152" s="55">
        <v>1.0034722222222221E-2</v>
      </c>
      <c r="I152" s="55" t="str">
        <f t="shared" si="14"/>
        <v>07.944.613-0</v>
      </c>
      <c r="J152" s="55">
        <f t="shared" si="15"/>
        <v>0.40244212962962966</v>
      </c>
      <c r="K152" s="93">
        <f>(J152*24)-(F152*24)</f>
        <v>2.1586111111111119</v>
      </c>
      <c r="L152">
        <f>IFERROR(HLOOKUP(D152,Ingreso!$AN$10:$AT$260,VLOOKUP('cruce '!I152,Ingreso!$AL$11:$AM$260,2,0),0),0)</f>
        <v>2</v>
      </c>
      <c r="M152" s="95">
        <f>IFERROR(HLOOKUP(D152,Ingreso!$AW$10:$BC$260,VLOOKUP('cruce '!I152,Ingreso!$AL$11:$AM$260,2,0),0),0)</f>
        <v>0.5</v>
      </c>
      <c r="N152" t="str">
        <f t="shared" si="17"/>
        <v>OK</v>
      </c>
    </row>
    <row r="153" spans="2:14">
      <c r="B153" t="s">
        <v>1164</v>
      </c>
      <c r="C153" t="s">
        <v>1167</v>
      </c>
      <c r="D153" t="s">
        <v>1440</v>
      </c>
      <c r="E153" t="s">
        <v>4</v>
      </c>
      <c r="F153" s="78">
        <v>0.3125</v>
      </c>
      <c r="G153" s="55">
        <v>0.31229166666666669</v>
      </c>
      <c r="H153" s="55">
        <v>0.7165625000000001</v>
      </c>
      <c r="I153" s="55" t="str">
        <f t="shared" si="14"/>
        <v>07.974.375-5</v>
      </c>
      <c r="J153" s="55">
        <f t="shared" si="15"/>
        <v>0.40427083333333341</v>
      </c>
      <c r="K153" s="93">
        <f t="shared" si="16"/>
        <v>2.2025000000000023</v>
      </c>
      <c r="L153">
        <f>IFERROR(HLOOKUP(D153,Ingreso!$AN$10:$AT$260,VLOOKUP('cruce '!I153,Ingreso!$AL$11:$AM$260,2,0),0),0)</f>
        <v>2</v>
      </c>
      <c r="M153" s="95">
        <f>IFERROR(HLOOKUP(D153,Ingreso!$AW$10:$BC$260,VLOOKUP('cruce '!I153,Ingreso!$AL$11:$AM$260,2,0),0),0)</f>
        <v>0.5</v>
      </c>
      <c r="N153" t="str">
        <f t="shared" si="17"/>
        <v>OK</v>
      </c>
    </row>
    <row r="154" spans="2:14">
      <c r="C154"/>
      <c r="D154" t="s">
        <v>1441</v>
      </c>
      <c r="E154" t="s">
        <v>4</v>
      </c>
      <c r="F154" s="78">
        <v>0.3125</v>
      </c>
      <c r="G154" s="55">
        <v>0.3103009259259259</v>
      </c>
      <c r="H154" s="55">
        <v>0.71604166666666658</v>
      </c>
      <c r="I154" s="55" t="str">
        <f t="shared" si="14"/>
        <v>07.974.375-5</v>
      </c>
      <c r="J154" s="55">
        <f t="shared" si="15"/>
        <v>0.40574074074074068</v>
      </c>
      <c r="K154" s="93">
        <f t="shared" si="16"/>
        <v>2.2377777777777759</v>
      </c>
      <c r="L154">
        <f>IFERROR(HLOOKUP(D154,Ingreso!$AN$10:$AT$260,VLOOKUP('cruce '!I154,Ingreso!$AL$11:$AM$260,2,0),0),0)</f>
        <v>0</v>
      </c>
      <c r="M154" s="95" t="str">
        <f>IFERROR(HLOOKUP(D154,Ingreso!$AW$10:$BC$260,VLOOKUP('cruce '!I154,Ingreso!$AL$11:$AM$260,2,0),0),0)</f>
        <v/>
      </c>
      <c r="N154" t="str">
        <f t="shared" si="17"/>
        <v>Revisar</v>
      </c>
    </row>
    <row r="155" spans="2:14">
      <c r="C155"/>
      <c r="D155" t="s">
        <v>1437</v>
      </c>
      <c r="E155" t="s">
        <v>4</v>
      </c>
      <c r="F155" s="78">
        <v>0.3125</v>
      </c>
      <c r="G155" s="55">
        <v>0.31156250000000002</v>
      </c>
      <c r="H155" s="55">
        <v>0.73204861111111119</v>
      </c>
      <c r="I155" s="55" t="str">
        <f t="shared" si="14"/>
        <v>07.974.375-5</v>
      </c>
      <c r="J155" s="55">
        <f t="shared" si="15"/>
        <v>0.42048611111111117</v>
      </c>
      <c r="K155" s="93">
        <f t="shared" si="16"/>
        <v>2.5916666666666686</v>
      </c>
      <c r="L155">
        <f>IFERROR(HLOOKUP(D155,Ingreso!$AN$10:$AT$260,VLOOKUP('cruce '!I155,Ingreso!$AL$11:$AM$260,2,0),0),0)</f>
        <v>2.5</v>
      </c>
      <c r="M155" s="95">
        <f>IFERROR(HLOOKUP(D155,Ingreso!$AW$10:$BC$260,VLOOKUP('cruce '!I155,Ingreso!$AL$11:$AM$260,2,0),0),0)</f>
        <v>0.5</v>
      </c>
      <c r="N155" t="str">
        <f t="shared" si="17"/>
        <v>OK</v>
      </c>
    </row>
    <row r="156" spans="2:14">
      <c r="C156"/>
      <c r="D156" t="s">
        <v>1438</v>
      </c>
      <c r="E156" t="s">
        <v>4</v>
      </c>
      <c r="F156" s="78">
        <v>0.3125</v>
      </c>
      <c r="G156" s="55">
        <v>0.31315972222222221</v>
      </c>
      <c r="H156" s="55">
        <v>0.73627314814814815</v>
      </c>
      <c r="I156" s="55" t="str">
        <f t="shared" si="14"/>
        <v>07.974.375-5</v>
      </c>
      <c r="J156" s="55">
        <f t="shared" si="15"/>
        <v>0.42311342592592593</v>
      </c>
      <c r="K156" s="93">
        <f t="shared" si="16"/>
        <v>2.6547222222222224</v>
      </c>
      <c r="L156">
        <f>IFERROR(HLOOKUP(D156,Ingreso!$AN$10:$AT$260,VLOOKUP('cruce '!I156,Ingreso!$AL$11:$AM$260,2,0),0),0)</f>
        <v>2.5</v>
      </c>
      <c r="M156" s="95">
        <f>IFERROR(HLOOKUP(D156,Ingreso!$AW$10:$BC$260,VLOOKUP('cruce '!I156,Ingreso!$AL$11:$AM$260,2,0),0),0)</f>
        <v>0.5</v>
      </c>
      <c r="N156" t="str">
        <f t="shared" si="17"/>
        <v>OK</v>
      </c>
    </row>
    <row r="157" spans="2:14">
      <c r="C157"/>
      <c r="D157" t="s">
        <v>1439</v>
      </c>
      <c r="E157" t="s">
        <v>4</v>
      </c>
      <c r="F157" s="78">
        <v>0.3125</v>
      </c>
      <c r="G157" s="55">
        <v>0.30885416666666665</v>
      </c>
      <c r="H157" s="55">
        <v>0.7171412037037036</v>
      </c>
      <c r="I157" s="55" t="str">
        <f t="shared" si="14"/>
        <v>07.974.375-5</v>
      </c>
      <c r="J157" s="55">
        <f t="shared" si="15"/>
        <v>0.40828703703703695</v>
      </c>
      <c r="K157" s="93">
        <f t="shared" si="16"/>
        <v>2.2988888888888859</v>
      </c>
      <c r="L157">
        <f>IFERROR(HLOOKUP(D157,Ingreso!$AN$10:$AT$260,VLOOKUP('cruce '!I157,Ingreso!$AL$11:$AM$260,2,0),0),0)</f>
        <v>2</v>
      </c>
      <c r="M157" s="95">
        <f>IFERROR(HLOOKUP(D157,Ingreso!$AW$10:$BC$260,VLOOKUP('cruce '!I157,Ingreso!$AL$11:$AM$260,2,0),0),0)</f>
        <v>0.5</v>
      </c>
      <c r="N157" t="str">
        <f t="shared" si="17"/>
        <v>OK</v>
      </c>
    </row>
    <row r="158" spans="2:14">
      <c r="B158" t="s">
        <v>459</v>
      </c>
      <c r="C158" t="s">
        <v>462</v>
      </c>
      <c r="D158" t="s">
        <v>1440</v>
      </c>
      <c r="E158" t="s">
        <v>4</v>
      </c>
      <c r="F158" s="78">
        <v>0.3125</v>
      </c>
      <c r="G158" s="55">
        <v>0.2910300925925926</v>
      </c>
      <c r="H158" s="55">
        <v>0.6366666666666666</v>
      </c>
      <c r="I158" s="55" t="str">
        <f t="shared" si="14"/>
        <v>07.975.267-3</v>
      </c>
      <c r="J158" s="55">
        <f t="shared" si="15"/>
        <v>0.345636574074074</v>
      </c>
      <c r="K158" s="93">
        <f t="shared" si="16"/>
        <v>0.79527777777777686</v>
      </c>
      <c r="L158">
        <f>IFERROR(HLOOKUP(D158,Ingreso!$AN$10:$AT$260,VLOOKUP('cruce '!I158,Ingreso!$AL$11:$AM$260,2,0),0),0)</f>
        <v>0</v>
      </c>
      <c r="M158" s="95">
        <f>IFERROR(HLOOKUP(D158,Ingreso!$AW$10:$BC$260,VLOOKUP('cruce '!I158,Ingreso!$AL$11:$AM$260,2,0),0),0)</f>
        <v>0</v>
      </c>
      <c r="N158" t="str">
        <f t="shared" si="17"/>
        <v>OK</v>
      </c>
    </row>
    <row r="159" spans="2:14">
      <c r="C159"/>
      <c r="D159" t="s">
        <v>1441</v>
      </c>
      <c r="E159" t="s">
        <v>4</v>
      </c>
      <c r="F159" s="78">
        <v>0.3125</v>
      </c>
      <c r="G159" s="55">
        <v>0.28972222222222221</v>
      </c>
      <c r="H159" s="55">
        <v>0.63915509259259262</v>
      </c>
      <c r="I159" s="55" t="str">
        <f t="shared" si="14"/>
        <v>07.975.267-3</v>
      </c>
      <c r="J159" s="55">
        <f t="shared" si="15"/>
        <v>0.34943287037037041</v>
      </c>
      <c r="K159" s="93">
        <f t="shared" si="16"/>
        <v>0.88638888888888978</v>
      </c>
      <c r="L159">
        <f>IFERROR(HLOOKUP(D159,Ingreso!$AN$10:$AT$260,VLOOKUP('cruce '!I159,Ingreso!$AL$11:$AM$260,2,0),0),0)</f>
        <v>0</v>
      </c>
      <c r="M159" s="95">
        <f>IFERROR(HLOOKUP(D159,Ingreso!$AW$10:$BC$260,VLOOKUP('cruce '!I159,Ingreso!$AL$11:$AM$260,2,0),0),0)</f>
        <v>0</v>
      </c>
      <c r="N159" t="str">
        <f t="shared" si="17"/>
        <v>OK</v>
      </c>
    </row>
    <row r="160" spans="2:14">
      <c r="C160"/>
      <c r="D160" t="s">
        <v>1437</v>
      </c>
      <c r="E160" t="s">
        <v>4</v>
      </c>
      <c r="F160" s="78">
        <v>0.3125</v>
      </c>
      <c r="G160" s="55">
        <v>0.28954861111111113</v>
      </c>
      <c r="H160" s="55">
        <v>0.63916666666666666</v>
      </c>
      <c r="I160" s="55" t="str">
        <f t="shared" si="14"/>
        <v>07.975.267-3</v>
      </c>
      <c r="J160" s="55">
        <f t="shared" si="15"/>
        <v>0.34961805555555553</v>
      </c>
      <c r="K160" s="93">
        <f t="shared" si="16"/>
        <v>0.89083333333333314</v>
      </c>
      <c r="L160">
        <f>IFERROR(HLOOKUP(D160,Ingreso!$AN$10:$AT$260,VLOOKUP('cruce '!I160,Ingreso!$AL$11:$AM$260,2,0),0),0)</f>
        <v>0</v>
      </c>
      <c r="M160" s="95">
        <f>IFERROR(HLOOKUP(D160,Ingreso!$AW$10:$BC$260,VLOOKUP('cruce '!I160,Ingreso!$AL$11:$AM$260,2,0),0),0)</f>
        <v>0</v>
      </c>
      <c r="N160" t="str">
        <f t="shared" si="17"/>
        <v>OK</v>
      </c>
    </row>
    <row r="161" spans="2:14">
      <c r="C161"/>
      <c r="D161" t="s">
        <v>1438</v>
      </c>
      <c r="E161" t="s">
        <v>4</v>
      </c>
      <c r="F161" s="78">
        <v>0.3125</v>
      </c>
      <c r="G161" s="55">
        <v>0.28843750000000001</v>
      </c>
      <c r="H161" s="55">
        <v>0.63709490740740737</v>
      </c>
      <c r="I161" s="55" t="str">
        <f t="shared" si="14"/>
        <v>07.975.267-3</v>
      </c>
      <c r="J161" s="55">
        <f t="shared" si="15"/>
        <v>0.34865740740740736</v>
      </c>
      <c r="K161" s="93">
        <f t="shared" si="16"/>
        <v>0.86777777777777665</v>
      </c>
      <c r="L161">
        <f>IFERROR(HLOOKUP(D161,Ingreso!$AN$10:$AT$260,VLOOKUP('cruce '!I161,Ingreso!$AL$11:$AM$260,2,0),0),0)</f>
        <v>0</v>
      </c>
      <c r="M161" s="95">
        <f>IFERROR(HLOOKUP(D161,Ingreso!$AW$10:$BC$260,VLOOKUP('cruce '!I161,Ingreso!$AL$11:$AM$260,2,0),0),0)</f>
        <v>0</v>
      </c>
      <c r="N161" t="str">
        <f t="shared" si="17"/>
        <v>OK</v>
      </c>
    </row>
    <row r="162" spans="2:14">
      <c r="C162"/>
      <c r="D162" t="s">
        <v>1439</v>
      </c>
      <c r="E162" t="s">
        <v>4</v>
      </c>
      <c r="F162" s="78">
        <v>0.3125</v>
      </c>
      <c r="G162" s="55">
        <v>0.29125000000000001</v>
      </c>
      <c r="H162" s="55">
        <v>0.63847222222222222</v>
      </c>
      <c r="I162" s="55" t="str">
        <f t="shared" si="14"/>
        <v>07.975.267-3</v>
      </c>
      <c r="J162" s="55">
        <f t="shared" si="15"/>
        <v>0.34722222222222221</v>
      </c>
      <c r="K162" s="93">
        <f t="shared" si="16"/>
        <v>0.83333333333333215</v>
      </c>
      <c r="L162">
        <f>IFERROR(HLOOKUP(D162,Ingreso!$AN$10:$AT$260,VLOOKUP('cruce '!I162,Ingreso!$AL$11:$AM$260,2,0),0),0)</f>
        <v>0</v>
      </c>
      <c r="M162" s="95">
        <f>IFERROR(HLOOKUP(D162,Ingreso!$AW$10:$BC$260,VLOOKUP('cruce '!I162,Ingreso!$AL$11:$AM$260,2,0),0),0)</f>
        <v>0</v>
      </c>
      <c r="N162" t="str">
        <f t="shared" si="17"/>
        <v>OK</v>
      </c>
    </row>
    <row r="163" spans="2:14">
      <c r="B163" t="s">
        <v>537</v>
      </c>
      <c r="C163" t="s">
        <v>540</v>
      </c>
      <c r="D163" t="s">
        <v>1440</v>
      </c>
      <c r="E163" t="s">
        <v>1323</v>
      </c>
      <c r="F163" s="78">
        <v>0.375</v>
      </c>
      <c r="G163" s="55">
        <v>0.91875000000000007</v>
      </c>
      <c r="H163" s="55">
        <v>0.32709490740740738</v>
      </c>
      <c r="I163" s="55" t="str">
        <f t="shared" si="14"/>
        <v>08.025.043-6</v>
      </c>
      <c r="J163" s="55">
        <f t="shared" si="15"/>
        <v>0.40834490740740736</v>
      </c>
      <c r="K163" s="93">
        <f t="shared" si="16"/>
        <v>0.80027777777777587</v>
      </c>
      <c r="L163">
        <f>IFERROR(HLOOKUP(D163,Ingreso!$AN$10:$AT$260,VLOOKUP('cruce '!I163,Ingreso!$AL$11:$AM$260,2,0),0),0)</f>
        <v>0</v>
      </c>
      <c r="M163" s="95">
        <f>IFERROR(HLOOKUP(D163,Ingreso!$AW$10:$BC$260,VLOOKUP('cruce '!I163,Ingreso!$AL$11:$AM$260,2,0),0),0)</f>
        <v>0</v>
      </c>
      <c r="N163" t="str">
        <f t="shared" si="17"/>
        <v>OK</v>
      </c>
    </row>
    <row r="164" spans="2:14">
      <c r="C164"/>
      <c r="D164" t="s">
        <v>1441</v>
      </c>
      <c r="E164" t="s">
        <v>1323</v>
      </c>
      <c r="F164" s="78">
        <v>0.375</v>
      </c>
      <c r="G164" s="55"/>
      <c r="H164" s="55">
        <v>0.32466435185185188</v>
      </c>
      <c r="I164" s="55" t="str">
        <f t="shared" si="14"/>
        <v>08.025.043-6</v>
      </c>
      <c r="J164" s="55">
        <f t="shared" si="15"/>
        <v>0.32466435185185188</v>
      </c>
      <c r="K164" s="93">
        <f t="shared" si="16"/>
        <v>-1.2080555555555552</v>
      </c>
      <c r="L164">
        <f>IFERROR(HLOOKUP(D164,Ingreso!$AN$10:$AT$260,VLOOKUP('cruce '!I164,Ingreso!$AL$11:$AM$260,2,0),0),0)</f>
        <v>0</v>
      </c>
      <c r="M164" s="95">
        <f>IFERROR(HLOOKUP(D164,Ingreso!$AW$10:$BC$260,VLOOKUP('cruce '!I164,Ingreso!$AL$11:$AM$260,2,0),0),0)</f>
        <v>0</v>
      </c>
      <c r="N164" t="str">
        <f t="shared" si="17"/>
        <v>Revisar</v>
      </c>
    </row>
    <row r="165" spans="2:14">
      <c r="C165"/>
      <c r="D165" t="s">
        <v>1437</v>
      </c>
      <c r="E165" t="s">
        <v>1323</v>
      </c>
      <c r="F165" s="78">
        <v>0.375</v>
      </c>
      <c r="G165" s="55">
        <v>0.91902777777777789</v>
      </c>
      <c r="H165" s="55"/>
      <c r="I165" s="55" t="str">
        <f t="shared" si="14"/>
        <v>08.025.043-6</v>
      </c>
      <c r="J165" s="55">
        <f t="shared" si="15"/>
        <v>8.0972222222222112E-2</v>
      </c>
      <c r="K165" s="93">
        <f t="shared" si="16"/>
        <v>-7.0566666666666693</v>
      </c>
      <c r="L165">
        <f>IFERROR(HLOOKUP(D165,Ingreso!$AN$10:$AT$260,VLOOKUP('cruce '!I165,Ingreso!$AL$11:$AM$260,2,0),0),0)</f>
        <v>0</v>
      </c>
      <c r="M165" s="95">
        <f>IFERROR(HLOOKUP(D165,Ingreso!$AW$10:$BC$260,VLOOKUP('cruce '!I165,Ingreso!$AL$11:$AM$260,2,0),0),0)</f>
        <v>0</v>
      </c>
      <c r="N165" t="str">
        <f t="shared" si="17"/>
        <v>Revisar</v>
      </c>
    </row>
    <row r="166" spans="2:14">
      <c r="C166"/>
      <c r="D166" t="s">
        <v>1438</v>
      </c>
      <c r="E166" t="s">
        <v>1323</v>
      </c>
      <c r="F166" s="78">
        <v>0.375</v>
      </c>
      <c r="G166" s="55">
        <v>0.91872685185185177</v>
      </c>
      <c r="H166" s="55">
        <v>0.32384259259259257</v>
      </c>
      <c r="I166" s="55" t="str">
        <f t="shared" si="14"/>
        <v>08.025.043-6</v>
      </c>
      <c r="J166" s="55">
        <f t="shared" si="15"/>
        <v>0.40511574074074075</v>
      </c>
      <c r="K166" s="93">
        <f t="shared" si="16"/>
        <v>0.72277777777777885</v>
      </c>
      <c r="L166">
        <f>IFERROR(HLOOKUP(D166,Ingreso!$AN$10:$AT$260,VLOOKUP('cruce '!I166,Ingreso!$AL$11:$AM$260,2,0),0),0)</f>
        <v>0</v>
      </c>
      <c r="M166" s="95">
        <f>IFERROR(HLOOKUP(D166,Ingreso!$AW$10:$BC$260,VLOOKUP('cruce '!I166,Ingreso!$AL$11:$AM$260,2,0),0),0)</f>
        <v>0</v>
      </c>
      <c r="N166" t="str">
        <f t="shared" si="17"/>
        <v>OK</v>
      </c>
    </row>
    <row r="167" spans="2:14">
      <c r="C167"/>
      <c r="D167" t="s">
        <v>1439</v>
      </c>
      <c r="E167" t="s">
        <v>1323</v>
      </c>
      <c r="F167" s="78">
        <v>0.375</v>
      </c>
      <c r="G167" s="55">
        <v>0.91813657407407412</v>
      </c>
      <c r="H167" s="55">
        <v>0.32687499999999997</v>
      </c>
      <c r="I167" s="55" t="str">
        <f t="shared" si="14"/>
        <v>08.025.043-6</v>
      </c>
      <c r="J167" s="55">
        <f t="shared" si="15"/>
        <v>0.40873842592592591</v>
      </c>
      <c r="K167" s="93">
        <f t="shared" si="16"/>
        <v>0.80972222222222179</v>
      </c>
      <c r="L167">
        <f>IFERROR(HLOOKUP(D167,Ingreso!$AN$10:$AT$260,VLOOKUP('cruce '!I167,Ingreso!$AL$11:$AM$260,2,0),0),0)</f>
        <v>0</v>
      </c>
      <c r="M167" s="95">
        <f>IFERROR(HLOOKUP(D167,Ingreso!$AW$10:$BC$260,VLOOKUP('cruce '!I167,Ingreso!$AL$11:$AM$260,2,0),0),0)</f>
        <v>0</v>
      </c>
      <c r="N167" t="str">
        <f t="shared" si="17"/>
        <v>OK</v>
      </c>
    </row>
    <row r="168" spans="2:14">
      <c r="B168" t="s">
        <v>995</v>
      </c>
      <c r="C168" t="s">
        <v>998</v>
      </c>
      <c r="D168" t="s">
        <v>1440</v>
      </c>
      <c r="E168" t="s">
        <v>4</v>
      </c>
      <c r="F168" s="78">
        <v>0.3125</v>
      </c>
      <c r="G168" s="55">
        <v>0.29472222222222222</v>
      </c>
      <c r="H168" s="55">
        <v>0.63869212962962962</v>
      </c>
      <c r="I168" s="55" t="str">
        <f t="shared" si="14"/>
        <v>08.085.825-6</v>
      </c>
      <c r="J168" s="55">
        <f t="shared" si="15"/>
        <v>0.3439699074074074</v>
      </c>
      <c r="K168" s="93">
        <f t="shared" si="16"/>
        <v>0.75527777777777771</v>
      </c>
      <c r="L168">
        <f>IFERROR(HLOOKUP(D168,Ingreso!$AN$10:$AT$260,VLOOKUP('cruce '!I168,Ingreso!$AL$11:$AM$260,2,0),0),0)</f>
        <v>0</v>
      </c>
      <c r="M168" s="95">
        <f>IFERROR(HLOOKUP(D168,Ingreso!$AW$10:$BC$260,VLOOKUP('cruce '!I168,Ingreso!$AL$11:$AM$260,2,0),0),0)</f>
        <v>0</v>
      </c>
      <c r="N168" t="str">
        <f t="shared" si="17"/>
        <v>OK</v>
      </c>
    </row>
    <row r="169" spans="2:14">
      <c r="C169"/>
      <c r="D169" t="s">
        <v>1441</v>
      </c>
      <c r="E169" t="s">
        <v>4</v>
      </c>
      <c r="F169" s="78">
        <v>0.3125</v>
      </c>
      <c r="G169" s="55">
        <v>0.29414351851851855</v>
      </c>
      <c r="H169" s="55">
        <v>0.6401041666666667</v>
      </c>
      <c r="I169" s="55" t="str">
        <f t="shared" si="14"/>
        <v>08.085.825-6</v>
      </c>
      <c r="J169" s="55">
        <f t="shared" si="15"/>
        <v>0.34596064814814814</v>
      </c>
      <c r="K169" s="93">
        <f t="shared" si="16"/>
        <v>0.80305555555555586</v>
      </c>
      <c r="L169">
        <f>IFERROR(HLOOKUP(D169,Ingreso!$AN$10:$AT$260,VLOOKUP('cruce '!I169,Ingreso!$AL$11:$AM$260,2,0),0),0)</f>
        <v>0</v>
      </c>
      <c r="M169" s="95">
        <f>IFERROR(HLOOKUP(D169,Ingreso!$AW$10:$BC$260,VLOOKUP('cruce '!I169,Ingreso!$AL$11:$AM$260,2,0),0),0)</f>
        <v>0</v>
      </c>
      <c r="N169" t="str">
        <f t="shared" si="17"/>
        <v>OK</v>
      </c>
    </row>
    <row r="170" spans="2:14">
      <c r="C170"/>
      <c r="D170" t="s">
        <v>1437</v>
      </c>
      <c r="E170" t="s">
        <v>4</v>
      </c>
      <c r="F170" s="78">
        <v>0.3125</v>
      </c>
      <c r="G170" s="55">
        <v>0.29530092592592594</v>
      </c>
      <c r="H170" s="55">
        <v>0.63708333333333333</v>
      </c>
      <c r="I170" s="55" t="str">
        <f t="shared" si="14"/>
        <v>08.085.825-6</v>
      </c>
      <c r="J170" s="55">
        <f t="shared" si="15"/>
        <v>0.3417824074074074</v>
      </c>
      <c r="K170" s="93">
        <f t="shared" si="16"/>
        <v>0.7027777777777775</v>
      </c>
      <c r="L170">
        <f>IFERROR(HLOOKUP(D170,Ingreso!$AN$10:$AT$260,VLOOKUP('cruce '!I170,Ingreso!$AL$11:$AM$260,2,0),0),0)</f>
        <v>0</v>
      </c>
      <c r="M170" s="95">
        <f>IFERROR(HLOOKUP(D170,Ingreso!$AW$10:$BC$260,VLOOKUP('cruce '!I170,Ingreso!$AL$11:$AM$260,2,0),0),0)</f>
        <v>0</v>
      </c>
      <c r="N170" t="str">
        <f t="shared" si="17"/>
        <v>OK</v>
      </c>
    </row>
    <row r="171" spans="2:14">
      <c r="C171"/>
      <c r="D171" t="s">
        <v>1438</v>
      </c>
      <c r="E171" t="s">
        <v>4</v>
      </c>
      <c r="F171" s="78">
        <v>0.3125</v>
      </c>
      <c r="G171" s="55">
        <v>0.29545138888888889</v>
      </c>
      <c r="H171" s="55">
        <v>0.6352430555555556</v>
      </c>
      <c r="I171" s="55" t="str">
        <f t="shared" si="14"/>
        <v>08.085.825-6</v>
      </c>
      <c r="J171" s="55">
        <f t="shared" si="15"/>
        <v>0.33979166666666671</v>
      </c>
      <c r="K171" s="93">
        <f t="shared" si="16"/>
        <v>0.65500000000000114</v>
      </c>
      <c r="L171">
        <f>IFERROR(HLOOKUP(D171,Ingreso!$AN$10:$AT$260,VLOOKUP('cruce '!I171,Ingreso!$AL$11:$AM$260,2,0),0),0)</f>
        <v>0</v>
      </c>
      <c r="M171" s="95">
        <f>IFERROR(HLOOKUP(D171,Ingreso!$AW$10:$BC$260,VLOOKUP('cruce '!I171,Ingreso!$AL$11:$AM$260,2,0),0),0)</f>
        <v>0</v>
      </c>
      <c r="N171" t="str">
        <f t="shared" si="17"/>
        <v>OK</v>
      </c>
    </row>
    <row r="172" spans="2:14">
      <c r="C172"/>
      <c r="D172" t="s">
        <v>1439</v>
      </c>
      <c r="E172" t="s">
        <v>4</v>
      </c>
      <c r="F172" s="78">
        <v>0.3125</v>
      </c>
      <c r="G172" s="55">
        <v>0.2946759259259259</v>
      </c>
      <c r="H172" s="55">
        <v>0.63723379629629628</v>
      </c>
      <c r="I172" s="55" t="str">
        <f t="shared" si="14"/>
        <v>08.085.825-6</v>
      </c>
      <c r="J172" s="55">
        <f t="shared" si="15"/>
        <v>0.34255787037037039</v>
      </c>
      <c r="K172" s="93">
        <f t="shared" si="16"/>
        <v>0.72138888888888886</v>
      </c>
      <c r="L172">
        <f>IFERROR(HLOOKUP(D172,Ingreso!$AN$10:$AT$260,VLOOKUP('cruce '!I172,Ingreso!$AL$11:$AM$260,2,0),0),0)</f>
        <v>0</v>
      </c>
      <c r="M172" s="95">
        <f>IFERROR(HLOOKUP(D172,Ingreso!$AW$10:$BC$260,VLOOKUP('cruce '!I172,Ingreso!$AL$11:$AM$260,2,0),0),0)</f>
        <v>0</v>
      </c>
      <c r="N172" t="str">
        <f t="shared" si="17"/>
        <v>OK</v>
      </c>
    </row>
    <row r="173" spans="2:14">
      <c r="B173" t="s">
        <v>1245</v>
      </c>
      <c r="C173" t="s">
        <v>1247</v>
      </c>
      <c r="D173" t="s">
        <v>1440</v>
      </c>
      <c r="E173" t="s">
        <v>4</v>
      </c>
      <c r="F173" s="78">
        <v>0.3125</v>
      </c>
      <c r="G173" s="55">
        <v>0.30601851851851852</v>
      </c>
      <c r="H173" s="55"/>
      <c r="I173" s="55" t="str">
        <f t="shared" si="14"/>
        <v>08.110.698-3</v>
      </c>
      <c r="J173" s="55">
        <f t="shared" si="15"/>
        <v>0.69398148148148153</v>
      </c>
      <c r="K173" s="93">
        <f t="shared" si="16"/>
        <v>9.1555555555555586</v>
      </c>
      <c r="L173">
        <f>IFERROR(HLOOKUP(D173,Ingreso!$AN$10:$AT$260,VLOOKUP('cruce '!I173,Ingreso!$AL$11:$AM$260,2,0),0),0)</f>
        <v>0</v>
      </c>
      <c r="M173" s="95">
        <f>IFERROR(HLOOKUP(D173,Ingreso!$AW$10:$BC$260,VLOOKUP('cruce '!I173,Ingreso!$AL$11:$AM$260,2,0),0),0)</f>
        <v>0</v>
      </c>
      <c r="N173" t="str">
        <f t="shared" si="17"/>
        <v>Revisar</v>
      </c>
    </row>
    <row r="174" spans="2:14">
      <c r="C174"/>
      <c r="D174"/>
      <c r="E174" t="s">
        <v>1473</v>
      </c>
      <c r="F174" t="s">
        <v>1472</v>
      </c>
      <c r="G174" s="55"/>
      <c r="H174" s="55">
        <v>0.81453703703703706</v>
      </c>
      <c r="I174" s="55" t="str">
        <f t="shared" si="14"/>
        <v>08.110.698-3</v>
      </c>
      <c r="J174" s="55">
        <f t="shared" si="15"/>
        <v>0.81453703703703706</v>
      </c>
      <c r="K174" s="93" t="e">
        <f t="shared" si="16"/>
        <v>#VALUE!</v>
      </c>
      <c r="L174">
        <f>IFERROR(HLOOKUP(D174,Ingreso!$AN$10:$AT$260,VLOOKUP('cruce '!I174,Ingreso!$AL$11:$AM$260,2,0),0),0)</f>
        <v>0</v>
      </c>
      <c r="M174" s="95">
        <f>IFERROR(HLOOKUP(D174,Ingreso!$AW$10:$BC$260,VLOOKUP('cruce '!I174,Ingreso!$AL$11:$AM$260,2,0),0),0)</f>
        <v>0</v>
      </c>
      <c r="N174" t="e">
        <f t="shared" si="17"/>
        <v>#VALUE!</v>
      </c>
    </row>
    <row r="175" spans="2:14">
      <c r="C175"/>
      <c r="D175" t="s">
        <v>1441</v>
      </c>
      <c r="E175" t="s">
        <v>4</v>
      </c>
      <c r="F175" s="78">
        <v>0.3125</v>
      </c>
      <c r="G175" s="55">
        <v>0.29454861111111114</v>
      </c>
      <c r="H175" s="55">
        <v>0.80334490740740738</v>
      </c>
      <c r="I175" s="55" t="str">
        <f t="shared" si="14"/>
        <v>08.110.698-3</v>
      </c>
      <c r="J175" s="55">
        <f t="shared" si="15"/>
        <v>0.50879629629629619</v>
      </c>
      <c r="K175" s="93">
        <f t="shared" si="16"/>
        <v>4.7111111111111086</v>
      </c>
      <c r="L175">
        <f>IFERROR(HLOOKUP(D175,Ingreso!$AN$10:$AT$260,VLOOKUP('cruce '!I175,Ingreso!$AL$11:$AM$260,2,0),0),0)</f>
        <v>0</v>
      </c>
      <c r="M175" s="95">
        <f>IFERROR(HLOOKUP(D175,Ingreso!$AW$10:$BC$260,VLOOKUP('cruce '!I175,Ingreso!$AL$11:$AM$260,2,0),0),0)</f>
        <v>0</v>
      </c>
      <c r="N175" t="str">
        <f t="shared" si="17"/>
        <v>Revisar</v>
      </c>
    </row>
    <row r="176" spans="2:14">
      <c r="C176"/>
      <c r="D176" t="s">
        <v>1437</v>
      </c>
      <c r="E176" t="s">
        <v>4</v>
      </c>
      <c r="F176" s="78">
        <v>0.3125</v>
      </c>
      <c r="G176" s="55">
        <v>0.29265046296296299</v>
      </c>
      <c r="H176" s="55">
        <v>0.80593750000000008</v>
      </c>
      <c r="I176" s="55" t="str">
        <f t="shared" si="14"/>
        <v>08.110.698-3</v>
      </c>
      <c r="J176" s="55">
        <f t="shared" si="15"/>
        <v>0.51328703703703704</v>
      </c>
      <c r="K176" s="93">
        <f t="shared" si="16"/>
        <v>4.818888888888889</v>
      </c>
      <c r="L176">
        <f>IFERROR(HLOOKUP(D176,Ingreso!$AN$10:$AT$260,VLOOKUP('cruce '!I176,Ingreso!$AL$11:$AM$260,2,0),0),0)</f>
        <v>0</v>
      </c>
      <c r="M176" s="95">
        <f>IFERROR(HLOOKUP(D176,Ingreso!$AW$10:$BC$260,VLOOKUP('cruce '!I176,Ingreso!$AL$11:$AM$260,2,0),0),0)</f>
        <v>0</v>
      </c>
      <c r="N176" t="str">
        <f t="shared" si="17"/>
        <v>Revisar</v>
      </c>
    </row>
    <row r="177" spans="2:14">
      <c r="C177"/>
      <c r="D177" t="s">
        <v>1438</v>
      </c>
      <c r="E177" t="s">
        <v>4</v>
      </c>
      <c r="F177" s="78">
        <v>0.3125</v>
      </c>
      <c r="G177" s="55">
        <v>0.29833333333333334</v>
      </c>
      <c r="H177" s="55">
        <v>0.63728009259259266</v>
      </c>
      <c r="I177" s="55" t="str">
        <f t="shared" si="14"/>
        <v>08.110.698-3</v>
      </c>
      <c r="J177" s="55">
        <f t="shared" si="15"/>
        <v>0.33894675925925932</v>
      </c>
      <c r="K177" s="93">
        <f t="shared" si="16"/>
        <v>0.63472222222222285</v>
      </c>
      <c r="L177">
        <f>IFERROR(HLOOKUP(D177,Ingreso!$AN$10:$AT$260,VLOOKUP('cruce '!I177,Ingreso!$AL$11:$AM$260,2,0),0),0)</f>
        <v>0</v>
      </c>
      <c r="M177" s="95">
        <f>IFERROR(HLOOKUP(D177,Ingreso!$AW$10:$BC$260,VLOOKUP('cruce '!I177,Ingreso!$AL$11:$AM$260,2,0),0),0)</f>
        <v>0</v>
      </c>
      <c r="N177" t="str">
        <f t="shared" si="17"/>
        <v>OK</v>
      </c>
    </row>
    <row r="178" spans="2:14">
      <c r="C178"/>
      <c r="D178" t="s">
        <v>1439</v>
      </c>
      <c r="E178" t="s">
        <v>4</v>
      </c>
      <c r="F178" s="78">
        <v>0.3125</v>
      </c>
      <c r="G178" s="55">
        <v>0.29603009259259261</v>
      </c>
      <c r="H178" s="55">
        <v>0.80905092592592587</v>
      </c>
      <c r="I178" s="55" t="str">
        <f t="shared" si="14"/>
        <v>08.110.698-3</v>
      </c>
      <c r="J178" s="55">
        <f t="shared" si="15"/>
        <v>0.51302083333333326</v>
      </c>
      <c r="K178" s="93">
        <f t="shared" si="16"/>
        <v>4.8124999999999982</v>
      </c>
      <c r="L178">
        <f>IFERROR(HLOOKUP(D178,Ingreso!$AN$10:$AT$260,VLOOKUP('cruce '!I178,Ingreso!$AL$11:$AM$260,2,0),0),0)</f>
        <v>0</v>
      </c>
      <c r="M178" s="95">
        <f>IFERROR(HLOOKUP(D178,Ingreso!$AW$10:$BC$260,VLOOKUP('cruce '!I178,Ingreso!$AL$11:$AM$260,2,0),0),0)</f>
        <v>0</v>
      </c>
      <c r="N178" t="str">
        <f t="shared" si="17"/>
        <v>Revisar</v>
      </c>
    </row>
    <row r="179" spans="2:14">
      <c r="B179" t="s">
        <v>362</v>
      </c>
      <c r="C179" t="s">
        <v>365</v>
      </c>
      <c r="D179" t="s">
        <v>1440</v>
      </c>
      <c r="E179" t="s">
        <v>1321</v>
      </c>
      <c r="F179" s="78">
        <v>0.3125</v>
      </c>
      <c r="G179" s="55">
        <v>0.59812500000000002</v>
      </c>
      <c r="H179" s="55">
        <v>0.94446759259259261</v>
      </c>
      <c r="I179" s="55" t="str">
        <f t="shared" si="14"/>
        <v>08.161.344-3</v>
      </c>
      <c r="J179" s="55">
        <f t="shared" si="15"/>
        <v>0.34634259259259259</v>
      </c>
      <c r="K179" s="93">
        <f t="shared" si="16"/>
        <v>0.81222222222222129</v>
      </c>
      <c r="L179">
        <f>IFERROR(HLOOKUP(D179,Ingreso!$AN$10:$AT$260,VLOOKUP('cruce '!I179,Ingreso!$AL$11:$AM$260,2,0),0),0)</f>
        <v>0</v>
      </c>
      <c r="M179" s="95">
        <f>IFERROR(HLOOKUP(D179,Ingreso!$AW$10:$BC$260,VLOOKUP('cruce '!I179,Ingreso!$AL$11:$AM$260,2,0),0),0)</f>
        <v>0</v>
      </c>
      <c r="N179" t="str">
        <f t="shared" si="17"/>
        <v>OK</v>
      </c>
    </row>
    <row r="180" spans="2:14">
      <c r="C180"/>
      <c r="D180" t="s">
        <v>1441</v>
      </c>
      <c r="E180" t="s">
        <v>1321</v>
      </c>
      <c r="F180" s="78">
        <v>0.3125</v>
      </c>
      <c r="G180" s="55">
        <v>0.60790509259259262</v>
      </c>
      <c r="H180" s="55">
        <v>0.94241898148148151</v>
      </c>
      <c r="I180" s="55" t="str">
        <f t="shared" si="14"/>
        <v>08.161.344-3</v>
      </c>
      <c r="J180" s="55">
        <f t="shared" si="15"/>
        <v>0.33451388888888889</v>
      </c>
      <c r="K180" s="93">
        <f t="shared" si="16"/>
        <v>0.52833333333333243</v>
      </c>
      <c r="L180">
        <f>IFERROR(HLOOKUP(D180,Ingreso!$AN$10:$AT$260,VLOOKUP('cruce '!I180,Ingreso!$AL$11:$AM$260,2,0),0),0)</f>
        <v>0</v>
      </c>
      <c r="M180" s="95">
        <f>IFERROR(HLOOKUP(D180,Ingreso!$AW$10:$BC$260,VLOOKUP('cruce '!I180,Ingreso!$AL$11:$AM$260,2,0),0),0)</f>
        <v>0</v>
      </c>
      <c r="N180" t="str">
        <f t="shared" si="17"/>
        <v>OK</v>
      </c>
    </row>
    <row r="181" spans="2:14">
      <c r="C181"/>
      <c r="D181" t="s">
        <v>1437</v>
      </c>
      <c r="E181" t="s">
        <v>1321</v>
      </c>
      <c r="F181" s="78">
        <v>0.3125</v>
      </c>
      <c r="G181" s="55">
        <v>0.6073263888888889</v>
      </c>
      <c r="H181" s="55">
        <v>0.94747685185185182</v>
      </c>
      <c r="I181" s="55" t="str">
        <f t="shared" si="14"/>
        <v>08.161.344-3</v>
      </c>
      <c r="J181" s="55">
        <f t="shared" si="15"/>
        <v>0.34015046296296292</v>
      </c>
      <c r="K181" s="93">
        <f t="shared" si="16"/>
        <v>0.66361111111110915</v>
      </c>
      <c r="L181">
        <f>IFERROR(HLOOKUP(D181,Ingreso!$AN$10:$AT$260,VLOOKUP('cruce '!I181,Ingreso!$AL$11:$AM$260,2,0),0),0)</f>
        <v>0</v>
      </c>
      <c r="M181" s="95">
        <f>IFERROR(HLOOKUP(D181,Ingreso!$AW$10:$BC$260,VLOOKUP('cruce '!I181,Ingreso!$AL$11:$AM$260,2,0),0),0)</f>
        <v>0</v>
      </c>
      <c r="N181" t="str">
        <f t="shared" si="17"/>
        <v>OK</v>
      </c>
    </row>
    <row r="182" spans="2:14">
      <c r="C182"/>
      <c r="D182" t="s">
        <v>1438</v>
      </c>
      <c r="E182" t="s">
        <v>1321</v>
      </c>
      <c r="F182" s="78">
        <v>0.3125</v>
      </c>
      <c r="G182" s="55">
        <v>0.61033564814814811</v>
      </c>
      <c r="H182" s="55">
        <v>0.94672453703703707</v>
      </c>
      <c r="I182" s="55" t="str">
        <f t="shared" si="14"/>
        <v>08.161.344-3</v>
      </c>
      <c r="J182" s="55">
        <f t="shared" si="15"/>
        <v>0.33638888888888896</v>
      </c>
      <c r="K182" s="93">
        <f t="shared" si="16"/>
        <v>0.57333333333333414</v>
      </c>
      <c r="L182">
        <f>IFERROR(HLOOKUP(D182,Ingreso!$AN$10:$AT$260,VLOOKUP('cruce '!I182,Ingreso!$AL$11:$AM$260,2,0),0),0)</f>
        <v>0</v>
      </c>
      <c r="M182" s="95">
        <f>IFERROR(HLOOKUP(D182,Ingreso!$AW$10:$BC$260,VLOOKUP('cruce '!I182,Ingreso!$AL$11:$AM$260,2,0),0),0)</f>
        <v>0</v>
      </c>
      <c r="N182" t="str">
        <f t="shared" si="17"/>
        <v>OK</v>
      </c>
    </row>
    <row r="183" spans="2:14">
      <c r="C183"/>
      <c r="D183" t="s">
        <v>1439</v>
      </c>
      <c r="E183" t="s">
        <v>1321</v>
      </c>
      <c r="F183" s="78">
        <v>0.3125</v>
      </c>
      <c r="G183" s="55">
        <v>0.60879629629629628</v>
      </c>
      <c r="H183" s="55">
        <v>0.94541666666666668</v>
      </c>
      <c r="I183" s="55" t="str">
        <f t="shared" si="14"/>
        <v>08.161.344-3</v>
      </c>
      <c r="J183" s="55">
        <f t="shared" si="15"/>
        <v>0.3366203703703704</v>
      </c>
      <c r="K183" s="93">
        <f t="shared" si="16"/>
        <v>0.57888888888889056</v>
      </c>
      <c r="L183">
        <f>IFERROR(HLOOKUP(D183,Ingreso!$AN$10:$AT$260,VLOOKUP('cruce '!I183,Ingreso!$AL$11:$AM$260,2,0),0),0)</f>
        <v>0</v>
      </c>
      <c r="M183" s="95">
        <f>IFERROR(HLOOKUP(D183,Ingreso!$AW$10:$BC$260,VLOOKUP('cruce '!I183,Ingreso!$AL$11:$AM$260,2,0),0),0)</f>
        <v>0</v>
      </c>
      <c r="N183" t="str">
        <f t="shared" si="17"/>
        <v>OK</v>
      </c>
    </row>
    <row r="184" spans="2:14">
      <c r="B184" t="s">
        <v>23</v>
      </c>
      <c r="C184" t="s">
        <v>27</v>
      </c>
      <c r="D184" t="s">
        <v>1440</v>
      </c>
      <c r="E184" t="s">
        <v>1321</v>
      </c>
      <c r="F184" s="78">
        <v>0.3125</v>
      </c>
      <c r="G184" s="55">
        <v>0.61663194444444447</v>
      </c>
      <c r="H184" s="55">
        <v>0.93752314814814808</v>
      </c>
      <c r="I184" s="55" t="str">
        <f t="shared" si="14"/>
        <v>08.224.093-4</v>
      </c>
      <c r="J184" s="55">
        <f t="shared" si="15"/>
        <v>0.32089120370370361</v>
      </c>
      <c r="K184" s="93">
        <f t="shared" si="16"/>
        <v>0.20138888888888662</v>
      </c>
      <c r="L184">
        <f>IFERROR(HLOOKUP(D184,Ingreso!$AN$10:$AT$260,VLOOKUP('cruce '!I184,Ingreso!$AL$11:$AM$260,2,0),0),0)</f>
        <v>0</v>
      </c>
      <c r="M184" s="95" t="str">
        <f>IFERROR(HLOOKUP(D184,Ingreso!$AW$10:$BC$260,VLOOKUP('cruce '!I184,Ingreso!$AL$11:$AM$260,2,0),0),0)</f>
        <v/>
      </c>
      <c r="N184" t="str">
        <f t="shared" si="17"/>
        <v>OK</v>
      </c>
    </row>
    <row r="185" spans="2:14">
      <c r="C185"/>
      <c r="D185" t="s">
        <v>1441</v>
      </c>
      <c r="E185" t="s">
        <v>1321</v>
      </c>
      <c r="F185" s="78">
        <v>0.3125</v>
      </c>
      <c r="G185" s="55">
        <v>0.61104166666666659</v>
      </c>
      <c r="H185" s="55">
        <v>0.85620370370370369</v>
      </c>
      <c r="I185" s="55" t="str">
        <f t="shared" si="14"/>
        <v>08.224.093-4</v>
      </c>
      <c r="J185" s="55">
        <f t="shared" si="15"/>
        <v>0.24516203703703709</v>
      </c>
      <c r="K185" s="93">
        <f t="shared" si="16"/>
        <v>-1.6161111111111097</v>
      </c>
      <c r="L185">
        <f>IFERROR(HLOOKUP(D185,Ingreso!$AN$10:$AT$260,VLOOKUP('cruce '!I185,Ingreso!$AL$11:$AM$260,2,0),0),0)</f>
        <v>0</v>
      </c>
      <c r="M185" s="95" t="str">
        <f>IFERROR(HLOOKUP(D185,Ingreso!$AW$10:$BC$260,VLOOKUP('cruce '!I185,Ingreso!$AL$11:$AM$260,2,0),0),0)</f>
        <v/>
      </c>
      <c r="N185" t="str">
        <f t="shared" si="17"/>
        <v>Revisar</v>
      </c>
    </row>
    <row r="186" spans="2:14">
      <c r="C186"/>
      <c r="D186" t="s">
        <v>1437</v>
      </c>
      <c r="E186" t="s">
        <v>1321</v>
      </c>
      <c r="F186" s="78">
        <v>0.3125</v>
      </c>
      <c r="G186" s="55">
        <v>0.60670138888888892</v>
      </c>
      <c r="H186" s="55">
        <v>0.94077546296296299</v>
      </c>
      <c r="I186" s="55" t="str">
        <f t="shared" si="14"/>
        <v>08.224.093-4</v>
      </c>
      <c r="J186" s="55">
        <f t="shared" si="15"/>
        <v>0.33407407407407408</v>
      </c>
      <c r="K186" s="93">
        <f t="shared" si="16"/>
        <v>0.517777777777777</v>
      </c>
      <c r="L186">
        <f>IFERROR(HLOOKUP(D186,Ingreso!$AN$10:$AT$260,VLOOKUP('cruce '!I186,Ingreso!$AL$11:$AM$260,2,0),0),0)</f>
        <v>0</v>
      </c>
      <c r="M186" s="95" t="str">
        <f>IFERROR(HLOOKUP(D186,Ingreso!$AW$10:$BC$260,VLOOKUP('cruce '!I186,Ingreso!$AL$11:$AM$260,2,0),0),0)</f>
        <v/>
      </c>
      <c r="N186" t="str">
        <f t="shared" si="17"/>
        <v>OK</v>
      </c>
    </row>
    <row r="187" spans="2:14">
      <c r="C187"/>
      <c r="D187" t="s">
        <v>1438</v>
      </c>
      <c r="E187" t="s">
        <v>1321</v>
      </c>
      <c r="F187" s="78">
        <v>0.3125</v>
      </c>
      <c r="G187" s="55">
        <v>0.60950231481481476</v>
      </c>
      <c r="H187" s="55">
        <v>0.93584490740740733</v>
      </c>
      <c r="I187" s="55" t="str">
        <f t="shared" si="14"/>
        <v>08.224.093-4</v>
      </c>
      <c r="J187" s="55">
        <f t="shared" si="15"/>
        <v>0.32634259259259257</v>
      </c>
      <c r="K187" s="93">
        <f t="shared" si="16"/>
        <v>0.33222222222222175</v>
      </c>
      <c r="L187">
        <f>IFERROR(HLOOKUP(D187,Ingreso!$AN$10:$AT$260,VLOOKUP('cruce '!I187,Ingreso!$AL$11:$AM$260,2,0),0),0)</f>
        <v>0</v>
      </c>
      <c r="M187" s="95" t="str">
        <f>IFERROR(HLOOKUP(D187,Ingreso!$AW$10:$BC$260,VLOOKUP('cruce '!I187,Ingreso!$AL$11:$AM$260,2,0),0),0)</f>
        <v/>
      </c>
      <c r="N187" t="str">
        <f t="shared" si="17"/>
        <v>OK</v>
      </c>
    </row>
    <row r="188" spans="2:14">
      <c r="C188"/>
      <c r="D188" t="s">
        <v>1439</v>
      </c>
      <c r="E188" t="s">
        <v>1321</v>
      </c>
      <c r="F188" s="78">
        <v>0.3125</v>
      </c>
      <c r="G188" s="55">
        <v>0.62392361111111116</v>
      </c>
      <c r="H188" s="55">
        <v>0.91681712962962969</v>
      </c>
      <c r="I188" s="55" t="str">
        <f t="shared" si="14"/>
        <v>08.224.093-4</v>
      </c>
      <c r="J188" s="55">
        <f t="shared" si="15"/>
        <v>0.29289351851851853</v>
      </c>
      <c r="K188" s="93">
        <f t="shared" si="16"/>
        <v>-0.47055555555555539</v>
      </c>
      <c r="L188">
        <f>IFERROR(HLOOKUP(D188,Ingreso!$AN$10:$AT$260,VLOOKUP('cruce '!I188,Ingreso!$AL$11:$AM$260,2,0),0),0)</f>
        <v>0</v>
      </c>
      <c r="M188" s="95" t="str">
        <f>IFERROR(HLOOKUP(D188,Ingreso!$AW$10:$BC$260,VLOOKUP('cruce '!I188,Ingreso!$AL$11:$AM$260,2,0),0),0)</f>
        <v/>
      </c>
      <c r="N188" t="str">
        <f t="shared" si="17"/>
        <v>OK</v>
      </c>
    </row>
    <row r="189" spans="2:14">
      <c r="B189" t="s">
        <v>959</v>
      </c>
      <c r="C189" t="s">
        <v>961</v>
      </c>
      <c r="D189" t="s">
        <v>1440</v>
      </c>
      <c r="E189" t="s">
        <v>1321</v>
      </c>
      <c r="F189" s="78">
        <v>0.3125</v>
      </c>
      <c r="G189" s="55">
        <v>0.60821759259259256</v>
      </c>
      <c r="H189" s="55">
        <v>0.94990740740740742</v>
      </c>
      <c r="I189" s="55" t="str">
        <f t="shared" si="14"/>
        <v>08.245.727-5</v>
      </c>
      <c r="J189" s="55">
        <f t="shared" si="15"/>
        <v>0.34168981481481486</v>
      </c>
      <c r="K189" s="93">
        <f t="shared" si="16"/>
        <v>0.70055555555555671</v>
      </c>
      <c r="L189">
        <f>IFERROR(HLOOKUP(D189,Ingreso!$AN$10:$AT$260,VLOOKUP('cruce '!I189,Ingreso!$AL$11:$AM$260,2,0),0),0)</f>
        <v>0</v>
      </c>
      <c r="M189" s="95" t="str">
        <f>IFERROR(HLOOKUP(D189,Ingreso!$AW$10:$BC$260,VLOOKUP('cruce '!I189,Ingreso!$AL$11:$AM$260,2,0),0),0)</f>
        <v/>
      </c>
      <c r="N189" t="str">
        <f t="shared" si="17"/>
        <v>OK</v>
      </c>
    </row>
    <row r="190" spans="2:14">
      <c r="C190"/>
      <c r="D190" t="s">
        <v>1441</v>
      </c>
      <c r="E190" t="s">
        <v>1321</v>
      </c>
      <c r="F190" s="78">
        <v>0.3125</v>
      </c>
      <c r="G190" s="55">
        <v>0.61232638888888891</v>
      </c>
      <c r="H190" s="55">
        <v>0.95245370370370364</v>
      </c>
      <c r="I190" s="55" t="str">
        <f t="shared" si="14"/>
        <v>08.245.727-5</v>
      </c>
      <c r="J190" s="55">
        <f t="shared" si="15"/>
        <v>0.34012731481481473</v>
      </c>
      <c r="K190" s="93">
        <f t="shared" si="16"/>
        <v>0.66305555555555351</v>
      </c>
      <c r="L190">
        <f>IFERROR(HLOOKUP(D190,Ingreso!$AN$10:$AT$260,VLOOKUP('cruce '!I190,Ingreso!$AL$11:$AM$260,2,0),0),0)</f>
        <v>0</v>
      </c>
      <c r="M190" s="95" t="str">
        <f>IFERROR(HLOOKUP(D190,Ingreso!$AW$10:$BC$260,VLOOKUP('cruce '!I190,Ingreso!$AL$11:$AM$260,2,0),0),0)</f>
        <v/>
      </c>
      <c r="N190" t="str">
        <f t="shared" si="17"/>
        <v>OK</v>
      </c>
    </row>
    <row r="191" spans="2:14">
      <c r="C191"/>
      <c r="D191" t="s">
        <v>1437</v>
      </c>
      <c r="E191" t="s">
        <v>1321</v>
      </c>
      <c r="F191" s="78">
        <v>0.3125</v>
      </c>
      <c r="G191" s="55">
        <v>0.60556712962962966</v>
      </c>
      <c r="H191" s="55">
        <v>0.95144675925925926</v>
      </c>
      <c r="I191" s="55" t="str">
        <f t="shared" ref="I191:I254" si="18">IF(B191="",I190,B191)</f>
        <v>08.245.727-5</v>
      </c>
      <c r="J191" s="55">
        <f t="shared" ref="J191:J254" si="19">IF(G191&gt;H191,(H191+0.5)-(G191-0.5),H191-G191)</f>
        <v>0.34587962962962959</v>
      </c>
      <c r="K191" s="93">
        <f t="shared" ref="K191:K254" si="20">(J191*24)-(F191*24)</f>
        <v>0.80111111111111022</v>
      </c>
      <c r="L191">
        <f>IFERROR(HLOOKUP(D191,Ingreso!$AN$10:$AT$260,VLOOKUP('cruce '!I191,Ingreso!$AL$11:$AM$260,2,0),0),0)</f>
        <v>0</v>
      </c>
      <c r="M191" s="95" t="str">
        <f>IFERROR(HLOOKUP(D191,Ingreso!$AW$10:$BC$260,VLOOKUP('cruce '!I191,Ingreso!$AL$11:$AM$260,2,0),0),0)</f>
        <v/>
      </c>
      <c r="N191" t="str">
        <f t="shared" ref="N191:N254" si="21">IF((K191-L191)&gt;1,"Revisar",IF((K191-L191)&lt;-1,"Revisar","OK"))</f>
        <v>OK</v>
      </c>
    </row>
    <row r="192" spans="2:14">
      <c r="C192"/>
      <c r="D192" t="s">
        <v>1438</v>
      </c>
      <c r="E192" t="s">
        <v>1321</v>
      </c>
      <c r="F192" s="78">
        <v>0.3125</v>
      </c>
      <c r="G192" s="55">
        <v>0.6066435185185185</v>
      </c>
      <c r="H192" s="55">
        <v>0.95048611111111114</v>
      </c>
      <c r="I192" s="55" t="str">
        <f t="shared" si="18"/>
        <v>08.245.727-5</v>
      </c>
      <c r="J192" s="55">
        <f t="shared" si="19"/>
        <v>0.34384259259259264</v>
      </c>
      <c r="K192" s="93">
        <f t="shared" si="20"/>
        <v>0.75222222222222257</v>
      </c>
      <c r="L192">
        <f>IFERROR(HLOOKUP(D192,Ingreso!$AN$10:$AT$260,VLOOKUP('cruce '!I192,Ingreso!$AL$11:$AM$260,2,0),0),0)</f>
        <v>0</v>
      </c>
      <c r="M192" s="95" t="str">
        <f>IFERROR(HLOOKUP(D192,Ingreso!$AW$10:$BC$260,VLOOKUP('cruce '!I192,Ingreso!$AL$11:$AM$260,2,0),0),0)</f>
        <v/>
      </c>
      <c r="N192" t="str">
        <f t="shared" si="21"/>
        <v>OK</v>
      </c>
    </row>
    <row r="193" spans="2:14">
      <c r="C193"/>
      <c r="D193" t="s">
        <v>1439</v>
      </c>
      <c r="E193" t="s">
        <v>1321</v>
      </c>
      <c r="F193" s="78">
        <v>0.3125</v>
      </c>
      <c r="G193" s="55">
        <v>0.60674768518518518</v>
      </c>
      <c r="H193" s="55">
        <v>0.95199074074074075</v>
      </c>
      <c r="I193" s="55" t="str">
        <f t="shared" si="18"/>
        <v>08.245.727-5</v>
      </c>
      <c r="J193" s="55">
        <f t="shared" si="19"/>
        <v>0.34524305555555557</v>
      </c>
      <c r="K193" s="93">
        <f t="shared" si="20"/>
        <v>0.78583333333333272</v>
      </c>
      <c r="L193">
        <f>IFERROR(HLOOKUP(D193,Ingreso!$AN$10:$AT$260,VLOOKUP('cruce '!I193,Ingreso!$AL$11:$AM$260,2,0),0),0)</f>
        <v>0</v>
      </c>
      <c r="M193" s="95" t="str">
        <f>IFERROR(HLOOKUP(D193,Ingreso!$AW$10:$BC$260,VLOOKUP('cruce '!I193,Ingreso!$AL$11:$AM$260,2,0),0),0)</f>
        <v/>
      </c>
      <c r="N193" t="str">
        <f t="shared" si="21"/>
        <v>OK</v>
      </c>
    </row>
    <row r="194" spans="2:14">
      <c r="B194" t="s">
        <v>1154</v>
      </c>
      <c r="C194" t="s">
        <v>1158</v>
      </c>
      <c r="D194" t="s">
        <v>1440</v>
      </c>
      <c r="E194" t="s">
        <v>1321</v>
      </c>
      <c r="F194" s="78">
        <v>0.3125</v>
      </c>
      <c r="G194" s="55">
        <v>0.60832175925925924</v>
      </c>
      <c r="H194" s="55">
        <v>0.94973379629629628</v>
      </c>
      <c r="I194" s="55" t="str">
        <f t="shared" si="18"/>
        <v>08.247.677-6</v>
      </c>
      <c r="J194" s="55">
        <f t="shared" si="19"/>
        <v>0.34141203703703704</v>
      </c>
      <c r="K194" s="93">
        <f t="shared" si="20"/>
        <v>0.693888888888889</v>
      </c>
      <c r="L194">
        <f>IFERROR(HLOOKUP(D194,Ingreso!$AN$10:$AT$260,VLOOKUP('cruce '!I194,Ingreso!$AL$11:$AM$260,2,0),0),0)</f>
        <v>0</v>
      </c>
      <c r="M194" s="95">
        <f>IFERROR(HLOOKUP(D194,Ingreso!$AW$10:$BC$260,VLOOKUP('cruce '!I194,Ingreso!$AL$11:$AM$260,2,0),0),0)</f>
        <v>0</v>
      </c>
      <c r="N194" t="str">
        <f t="shared" si="21"/>
        <v>OK</v>
      </c>
    </row>
    <row r="195" spans="2:14">
      <c r="C195"/>
      <c r="D195" t="s">
        <v>1441</v>
      </c>
      <c r="E195" t="s">
        <v>1321</v>
      </c>
      <c r="F195" s="78">
        <v>0.3125</v>
      </c>
      <c r="G195" s="55">
        <v>0.61251157407407408</v>
      </c>
      <c r="H195" s="55">
        <v>0.94988425925925923</v>
      </c>
      <c r="I195" s="55" t="str">
        <f t="shared" si="18"/>
        <v>08.247.677-6</v>
      </c>
      <c r="J195" s="55">
        <f t="shared" si="19"/>
        <v>0.33737268518518515</v>
      </c>
      <c r="K195" s="93">
        <f t="shared" si="20"/>
        <v>0.59694444444444272</v>
      </c>
      <c r="L195">
        <f>IFERROR(HLOOKUP(D195,Ingreso!$AN$10:$AT$260,VLOOKUP('cruce '!I195,Ingreso!$AL$11:$AM$260,2,0),0),0)</f>
        <v>0</v>
      </c>
      <c r="M195" s="95">
        <f>IFERROR(HLOOKUP(D195,Ingreso!$AW$10:$BC$260,VLOOKUP('cruce '!I195,Ingreso!$AL$11:$AM$260,2,0),0),0)</f>
        <v>0</v>
      </c>
      <c r="N195" t="str">
        <f t="shared" si="21"/>
        <v>OK</v>
      </c>
    </row>
    <row r="196" spans="2:14">
      <c r="C196"/>
      <c r="D196" t="s">
        <v>1437</v>
      </c>
      <c r="E196" t="s">
        <v>1321</v>
      </c>
      <c r="F196" s="78">
        <v>0.3125</v>
      </c>
      <c r="G196" s="55">
        <v>0.60569444444444442</v>
      </c>
      <c r="H196" s="55">
        <v>0.94784722222222229</v>
      </c>
      <c r="I196" s="55" t="str">
        <f t="shared" si="18"/>
        <v>08.247.677-6</v>
      </c>
      <c r="J196" s="55">
        <f t="shared" si="19"/>
        <v>0.34215277777777786</v>
      </c>
      <c r="K196" s="93">
        <f t="shared" si="20"/>
        <v>0.71166666666666956</v>
      </c>
      <c r="L196">
        <f>IFERROR(HLOOKUP(D196,Ingreso!$AN$10:$AT$260,VLOOKUP('cruce '!I196,Ingreso!$AL$11:$AM$260,2,0),0),0)</f>
        <v>0</v>
      </c>
      <c r="M196" s="95">
        <f>IFERROR(HLOOKUP(D196,Ingreso!$AW$10:$BC$260,VLOOKUP('cruce '!I196,Ingreso!$AL$11:$AM$260,2,0),0),0)</f>
        <v>0</v>
      </c>
      <c r="N196" t="str">
        <f t="shared" si="21"/>
        <v>OK</v>
      </c>
    </row>
    <row r="197" spans="2:14">
      <c r="C197"/>
      <c r="D197" t="s">
        <v>1438</v>
      </c>
      <c r="E197" t="s">
        <v>1321</v>
      </c>
      <c r="F197" s="78">
        <v>0.3125</v>
      </c>
      <c r="G197" s="55">
        <v>0.60678240740740741</v>
      </c>
      <c r="H197" s="55">
        <v>0.94987268518518519</v>
      </c>
      <c r="I197" s="55" t="str">
        <f t="shared" si="18"/>
        <v>08.247.677-6</v>
      </c>
      <c r="J197" s="55">
        <f t="shared" si="19"/>
        <v>0.34309027777777779</v>
      </c>
      <c r="K197" s="93">
        <f t="shared" si="20"/>
        <v>0.73416666666666686</v>
      </c>
      <c r="L197">
        <f>IFERROR(HLOOKUP(D197,Ingreso!$AN$10:$AT$260,VLOOKUP('cruce '!I197,Ingreso!$AL$11:$AM$260,2,0),0),0)</f>
        <v>0</v>
      </c>
      <c r="M197" s="95">
        <f>IFERROR(HLOOKUP(D197,Ingreso!$AW$10:$BC$260,VLOOKUP('cruce '!I197,Ingreso!$AL$11:$AM$260,2,0),0),0)</f>
        <v>0</v>
      </c>
      <c r="N197" t="str">
        <f t="shared" si="21"/>
        <v>OK</v>
      </c>
    </row>
    <row r="198" spans="2:14">
      <c r="C198"/>
      <c r="D198" t="s">
        <v>1439</v>
      </c>
      <c r="E198" t="s">
        <v>1321</v>
      </c>
      <c r="F198" s="78">
        <v>0.3125</v>
      </c>
      <c r="G198" s="55">
        <v>0.60692129629629632</v>
      </c>
      <c r="H198" s="55">
        <v>0.94842592592592589</v>
      </c>
      <c r="I198" s="55" t="str">
        <f t="shared" si="18"/>
        <v>08.247.677-6</v>
      </c>
      <c r="J198" s="55">
        <f t="shared" si="19"/>
        <v>0.34150462962962957</v>
      </c>
      <c r="K198" s="93">
        <f t="shared" si="20"/>
        <v>0.69611111111110979</v>
      </c>
      <c r="L198">
        <f>IFERROR(HLOOKUP(D198,Ingreso!$AN$10:$AT$260,VLOOKUP('cruce '!I198,Ingreso!$AL$11:$AM$260,2,0),0),0)</f>
        <v>0</v>
      </c>
      <c r="M198" s="95">
        <f>IFERROR(HLOOKUP(D198,Ingreso!$AW$10:$BC$260,VLOOKUP('cruce '!I198,Ingreso!$AL$11:$AM$260,2,0),0),0)</f>
        <v>0</v>
      </c>
      <c r="N198" t="str">
        <f t="shared" si="21"/>
        <v>OK</v>
      </c>
    </row>
    <row r="199" spans="2:14">
      <c r="B199" t="s">
        <v>731</v>
      </c>
      <c r="C199" t="s">
        <v>734</v>
      </c>
      <c r="D199" t="s">
        <v>1440</v>
      </c>
      <c r="E199" t="s">
        <v>1321</v>
      </c>
      <c r="F199" s="78">
        <v>0.3125</v>
      </c>
      <c r="G199" s="55">
        <v>0.60708333333333331</v>
      </c>
      <c r="H199" s="55">
        <v>0.94877314814814817</v>
      </c>
      <c r="I199" s="55" t="str">
        <f t="shared" si="18"/>
        <v>08.272.509-1</v>
      </c>
      <c r="J199" s="55">
        <f t="shared" si="19"/>
        <v>0.34168981481481486</v>
      </c>
      <c r="K199" s="93">
        <f t="shared" si="20"/>
        <v>0.70055555555555671</v>
      </c>
      <c r="L199">
        <f>IFERROR(HLOOKUP(D199,Ingreso!$AN$10:$AT$260,VLOOKUP('cruce '!I199,Ingreso!$AL$11:$AM$260,2,0),0),0)</f>
        <v>0</v>
      </c>
      <c r="M199" s="95">
        <f>IFERROR(HLOOKUP(D199,Ingreso!$AW$10:$BC$260,VLOOKUP('cruce '!I199,Ingreso!$AL$11:$AM$260,2,0),0),0)</f>
        <v>0</v>
      </c>
      <c r="N199" t="str">
        <f t="shared" si="21"/>
        <v>OK</v>
      </c>
    </row>
    <row r="200" spans="2:14">
      <c r="C200"/>
      <c r="D200" t="s">
        <v>1441</v>
      </c>
      <c r="E200" t="s">
        <v>1321</v>
      </c>
      <c r="F200" s="78">
        <v>0.3125</v>
      </c>
      <c r="G200" s="55">
        <v>0.60914351851851845</v>
      </c>
      <c r="H200" s="55">
        <v>0.95444444444444443</v>
      </c>
      <c r="I200" s="55" t="str">
        <f t="shared" si="18"/>
        <v>08.272.509-1</v>
      </c>
      <c r="J200" s="55">
        <f t="shared" si="19"/>
        <v>0.34530092592592598</v>
      </c>
      <c r="K200" s="93">
        <f t="shared" si="20"/>
        <v>0.78722222222222271</v>
      </c>
      <c r="L200">
        <f>IFERROR(HLOOKUP(D200,Ingreso!$AN$10:$AT$260,VLOOKUP('cruce '!I200,Ingreso!$AL$11:$AM$260,2,0),0),0)</f>
        <v>0</v>
      </c>
      <c r="M200" s="95">
        <f>IFERROR(HLOOKUP(D200,Ingreso!$AW$10:$BC$260,VLOOKUP('cruce '!I200,Ingreso!$AL$11:$AM$260,2,0),0),0)</f>
        <v>0</v>
      </c>
      <c r="N200" t="str">
        <f t="shared" si="21"/>
        <v>OK</v>
      </c>
    </row>
    <row r="201" spans="2:14">
      <c r="C201"/>
      <c r="D201" t="s">
        <v>1437</v>
      </c>
      <c r="E201" t="s">
        <v>1321</v>
      </c>
      <c r="F201" s="78">
        <v>0.3125</v>
      </c>
      <c r="G201" s="55">
        <v>0.60692129629629632</v>
      </c>
      <c r="H201" s="55">
        <v>0.94925925925925936</v>
      </c>
      <c r="I201" s="55" t="str">
        <f t="shared" si="18"/>
        <v>08.272.509-1</v>
      </c>
      <c r="J201" s="55">
        <f t="shared" si="19"/>
        <v>0.34233796296296304</v>
      </c>
      <c r="K201" s="93">
        <f t="shared" si="20"/>
        <v>0.71611111111111292</v>
      </c>
      <c r="L201">
        <f>IFERROR(HLOOKUP(D201,Ingreso!$AN$10:$AT$260,VLOOKUP('cruce '!I201,Ingreso!$AL$11:$AM$260,2,0),0),0)</f>
        <v>0</v>
      </c>
      <c r="M201" s="95">
        <f>IFERROR(HLOOKUP(D201,Ingreso!$AW$10:$BC$260,VLOOKUP('cruce '!I201,Ingreso!$AL$11:$AM$260,2,0),0),0)</f>
        <v>0</v>
      </c>
      <c r="N201" t="str">
        <f t="shared" si="21"/>
        <v>OK</v>
      </c>
    </row>
    <row r="202" spans="2:14">
      <c r="C202"/>
      <c r="D202" t="s">
        <v>1438</v>
      </c>
      <c r="E202" t="s">
        <v>1321</v>
      </c>
      <c r="F202" s="78">
        <v>0.3125</v>
      </c>
      <c r="G202" s="55">
        <v>0.60932870370370373</v>
      </c>
      <c r="H202" s="55">
        <v>0.95094907407407403</v>
      </c>
      <c r="I202" s="55" t="str">
        <f t="shared" si="18"/>
        <v>08.272.509-1</v>
      </c>
      <c r="J202" s="55">
        <f t="shared" si="19"/>
        <v>0.3416203703703703</v>
      </c>
      <c r="K202" s="93">
        <f t="shared" si="20"/>
        <v>0.698888888888888</v>
      </c>
      <c r="L202">
        <f>IFERROR(HLOOKUP(D202,Ingreso!$AN$10:$AT$260,VLOOKUP('cruce '!I202,Ingreso!$AL$11:$AM$260,2,0),0),0)</f>
        <v>0</v>
      </c>
      <c r="M202" s="95">
        <f>IFERROR(HLOOKUP(D202,Ingreso!$AW$10:$BC$260,VLOOKUP('cruce '!I202,Ingreso!$AL$11:$AM$260,2,0),0),0)</f>
        <v>0</v>
      </c>
      <c r="N202" t="str">
        <f t="shared" si="21"/>
        <v>OK</v>
      </c>
    </row>
    <row r="203" spans="2:14">
      <c r="C203"/>
      <c r="D203" t="s">
        <v>1439</v>
      </c>
      <c r="E203" t="s">
        <v>1321</v>
      </c>
      <c r="F203" s="78">
        <v>0.3125</v>
      </c>
      <c r="G203" s="55">
        <v>0.6074074074074074</v>
      </c>
      <c r="H203" s="55">
        <v>0.95046296296296295</v>
      </c>
      <c r="I203" s="55" t="str">
        <f t="shared" si="18"/>
        <v>08.272.509-1</v>
      </c>
      <c r="J203" s="55">
        <f t="shared" si="19"/>
        <v>0.34305555555555556</v>
      </c>
      <c r="K203" s="93">
        <f t="shared" si="20"/>
        <v>0.73333333333333428</v>
      </c>
      <c r="L203">
        <f>IFERROR(HLOOKUP(D203,Ingreso!$AN$10:$AT$260,VLOOKUP('cruce '!I203,Ingreso!$AL$11:$AM$260,2,0),0),0)</f>
        <v>0</v>
      </c>
      <c r="M203" s="95">
        <f>IFERROR(HLOOKUP(D203,Ingreso!$AW$10:$BC$260,VLOOKUP('cruce '!I203,Ingreso!$AL$11:$AM$260,2,0),0),0)</f>
        <v>0</v>
      </c>
      <c r="N203" t="str">
        <f t="shared" si="21"/>
        <v>OK</v>
      </c>
    </row>
    <row r="204" spans="2:14">
      <c r="B204" t="s">
        <v>101</v>
      </c>
      <c r="C204" t="s">
        <v>104</v>
      </c>
      <c r="D204" t="s">
        <v>1440</v>
      </c>
      <c r="E204" t="s">
        <v>1474</v>
      </c>
      <c r="F204" t="s">
        <v>1472</v>
      </c>
      <c r="G204" s="55">
        <v>0.30408564814814815</v>
      </c>
      <c r="H204" s="55">
        <v>0.73556712962962967</v>
      </c>
      <c r="I204" s="55" t="str">
        <f t="shared" si="18"/>
        <v>08.283.277-7</v>
      </c>
      <c r="J204" s="55">
        <f t="shared" si="19"/>
        <v>0.43148148148148152</v>
      </c>
      <c r="K204" s="93" t="e">
        <f t="shared" si="20"/>
        <v>#VALUE!</v>
      </c>
      <c r="L204">
        <f>IFERROR(HLOOKUP(D204,Ingreso!$AN$10:$AT$260,VLOOKUP('cruce '!I204,Ingreso!$AL$11:$AM$260,2,0),0),0)</f>
        <v>0</v>
      </c>
      <c r="M204" s="95" t="str">
        <f>IFERROR(HLOOKUP(D204,Ingreso!$AW$10:$BC$260,VLOOKUP('cruce '!I204,Ingreso!$AL$11:$AM$260,2,0),0),0)</f>
        <v/>
      </c>
      <c r="N204" t="e">
        <f t="shared" si="21"/>
        <v>#VALUE!</v>
      </c>
    </row>
    <row r="205" spans="2:14">
      <c r="C205"/>
      <c r="D205" t="s">
        <v>1441</v>
      </c>
      <c r="E205" t="s">
        <v>1474</v>
      </c>
      <c r="F205" t="s">
        <v>1472</v>
      </c>
      <c r="G205" s="55">
        <v>0.29217592592592595</v>
      </c>
      <c r="H205" s="55">
        <v>0.63984953703703706</v>
      </c>
      <c r="I205" s="55" t="str">
        <f t="shared" si="18"/>
        <v>08.283.277-7</v>
      </c>
      <c r="J205" s="55">
        <f t="shared" si="19"/>
        <v>0.34767361111111111</v>
      </c>
      <c r="K205" s="93" t="e">
        <f t="shared" si="20"/>
        <v>#VALUE!</v>
      </c>
      <c r="L205">
        <f>IFERROR(HLOOKUP(D205,Ingreso!$AN$10:$AT$260,VLOOKUP('cruce '!I205,Ingreso!$AL$11:$AM$260,2,0),0),0)</f>
        <v>0</v>
      </c>
      <c r="M205" s="95" t="str">
        <f>IFERROR(HLOOKUP(D205,Ingreso!$AW$10:$BC$260,VLOOKUP('cruce '!I205,Ingreso!$AL$11:$AM$260,2,0),0),0)</f>
        <v/>
      </c>
      <c r="N205" t="e">
        <f t="shared" si="21"/>
        <v>#VALUE!</v>
      </c>
    </row>
    <row r="206" spans="2:14">
      <c r="C206"/>
      <c r="D206" t="s">
        <v>1437</v>
      </c>
      <c r="E206" t="s">
        <v>1474</v>
      </c>
      <c r="F206" t="s">
        <v>1472</v>
      </c>
      <c r="G206" s="55">
        <v>0.29707175925925927</v>
      </c>
      <c r="H206" s="55">
        <v>0.73663194444444446</v>
      </c>
      <c r="I206" s="55" t="str">
        <f t="shared" si="18"/>
        <v>08.283.277-7</v>
      </c>
      <c r="J206" s="55">
        <f t="shared" si="19"/>
        <v>0.43956018518518519</v>
      </c>
      <c r="K206" s="93" t="e">
        <f t="shared" si="20"/>
        <v>#VALUE!</v>
      </c>
      <c r="L206">
        <f>IFERROR(HLOOKUP(D206,Ingreso!$AN$10:$AT$260,VLOOKUP('cruce '!I206,Ingreso!$AL$11:$AM$260,2,0),0),0)</f>
        <v>2</v>
      </c>
      <c r="M206" s="95">
        <f>IFERROR(HLOOKUP(D206,Ingreso!$AW$10:$BC$260,VLOOKUP('cruce '!I206,Ingreso!$AL$11:$AM$260,2,0),0),0)</f>
        <v>0.5</v>
      </c>
      <c r="N206" t="e">
        <f t="shared" si="21"/>
        <v>#VALUE!</v>
      </c>
    </row>
    <row r="207" spans="2:14">
      <c r="C207"/>
      <c r="D207" t="s">
        <v>1438</v>
      </c>
      <c r="E207" t="s">
        <v>1474</v>
      </c>
      <c r="F207" t="s">
        <v>1472</v>
      </c>
      <c r="G207" s="55">
        <v>0.30163194444444447</v>
      </c>
      <c r="H207" s="55">
        <v>0.74854166666666666</v>
      </c>
      <c r="I207" s="55" t="str">
        <f t="shared" si="18"/>
        <v>08.283.277-7</v>
      </c>
      <c r="J207" s="55">
        <f t="shared" si="19"/>
        <v>0.44690972222222219</v>
      </c>
      <c r="K207" s="93" t="e">
        <f t="shared" si="20"/>
        <v>#VALUE!</v>
      </c>
      <c r="L207">
        <f>IFERROR(HLOOKUP(D207,Ingreso!$AN$10:$AT$260,VLOOKUP('cruce '!I207,Ingreso!$AL$11:$AM$260,2,0),0),0)</f>
        <v>2</v>
      </c>
      <c r="M207" s="95">
        <f>IFERROR(HLOOKUP(D207,Ingreso!$AW$10:$BC$260,VLOOKUP('cruce '!I207,Ingreso!$AL$11:$AM$260,2,0),0),0)</f>
        <v>0.5</v>
      </c>
      <c r="N207" t="e">
        <f t="shared" si="21"/>
        <v>#VALUE!</v>
      </c>
    </row>
    <row r="208" spans="2:14">
      <c r="C208"/>
      <c r="D208" t="s">
        <v>1439</v>
      </c>
      <c r="E208" t="s">
        <v>1474</v>
      </c>
      <c r="F208" t="s">
        <v>1472</v>
      </c>
      <c r="G208" s="55">
        <v>0.30192129629629633</v>
      </c>
      <c r="H208" s="55">
        <v>0.73686342592592602</v>
      </c>
      <c r="I208" s="55" t="str">
        <f t="shared" si="18"/>
        <v>08.283.277-7</v>
      </c>
      <c r="J208" s="55">
        <f t="shared" si="19"/>
        <v>0.43494212962962969</v>
      </c>
      <c r="K208" s="93" t="e">
        <f t="shared" si="20"/>
        <v>#VALUE!</v>
      </c>
      <c r="L208">
        <f>IFERROR(HLOOKUP(D208,Ingreso!$AN$10:$AT$260,VLOOKUP('cruce '!I208,Ingreso!$AL$11:$AM$260,2,0),0),0)</f>
        <v>2</v>
      </c>
      <c r="M208" s="95">
        <f>IFERROR(HLOOKUP(D208,Ingreso!$AW$10:$BC$260,VLOOKUP('cruce '!I208,Ingreso!$AL$11:$AM$260,2,0),0),0)</f>
        <v>0.5</v>
      </c>
      <c r="N208" t="e">
        <f t="shared" si="21"/>
        <v>#VALUE!</v>
      </c>
    </row>
    <row r="209" spans="2:14">
      <c r="B209" t="s">
        <v>119</v>
      </c>
      <c r="C209" t="s">
        <v>122</v>
      </c>
      <c r="D209" t="s">
        <v>1440</v>
      </c>
      <c r="E209" t="s">
        <v>1323</v>
      </c>
      <c r="F209" s="78">
        <v>0.375</v>
      </c>
      <c r="G209" s="55">
        <v>0.91995370370370377</v>
      </c>
      <c r="H209" s="55">
        <v>0.31324074074074076</v>
      </c>
      <c r="I209" s="55" t="str">
        <f t="shared" si="18"/>
        <v>08.332.629-8</v>
      </c>
      <c r="J209" s="55">
        <f t="shared" si="19"/>
        <v>0.39328703703703694</v>
      </c>
      <c r="K209" s="93">
        <f t="shared" si="20"/>
        <v>0.43888888888888644</v>
      </c>
      <c r="L209">
        <f>IFERROR(HLOOKUP(D209,Ingreso!$AN$10:$AT$260,VLOOKUP('cruce '!I209,Ingreso!$AL$11:$AM$260,2,0),0),0)</f>
        <v>0</v>
      </c>
      <c r="M209" s="95">
        <f>IFERROR(HLOOKUP(D209,Ingreso!$AW$10:$BC$260,VLOOKUP('cruce '!I209,Ingreso!$AL$11:$AM$260,2,0),0),0)</f>
        <v>0</v>
      </c>
      <c r="N209" t="str">
        <f t="shared" si="21"/>
        <v>OK</v>
      </c>
    </row>
    <row r="210" spans="2:14">
      <c r="C210"/>
      <c r="D210" t="s">
        <v>1441</v>
      </c>
      <c r="E210" t="s">
        <v>1323</v>
      </c>
      <c r="F210" s="78">
        <v>0.375</v>
      </c>
      <c r="G210" s="55"/>
      <c r="H210" s="55">
        <v>0.31672453703703701</v>
      </c>
      <c r="I210" s="55" t="str">
        <f t="shared" si="18"/>
        <v>08.332.629-8</v>
      </c>
      <c r="J210" s="55">
        <f t="shared" si="19"/>
        <v>0.31672453703703701</v>
      </c>
      <c r="K210" s="93">
        <f t="shared" si="20"/>
        <v>-1.3986111111111121</v>
      </c>
      <c r="L210">
        <f>IFERROR(HLOOKUP(D210,Ingreso!$AN$10:$AT$260,VLOOKUP('cruce '!I210,Ingreso!$AL$11:$AM$260,2,0),0),0)</f>
        <v>0</v>
      </c>
      <c r="M210" s="95">
        <f>IFERROR(HLOOKUP(D210,Ingreso!$AW$10:$BC$260,VLOOKUP('cruce '!I210,Ingreso!$AL$11:$AM$260,2,0),0),0)</f>
        <v>0</v>
      </c>
      <c r="N210" t="str">
        <f t="shared" si="21"/>
        <v>Revisar</v>
      </c>
    </row>
    <row r="211" spans="2:14">
      <c r="C211"/>
      <c r="D211" t="s">
        <v>1437</v>
      </c>
      <c r="E211" t="s">
        <v>1323</v>
      </c>
      <c r="F211" s="78">
        <v>0.375</v>
      </c>
      <c r="G211" s="55">
        <v>0.91782407407407407</v>
      </c>
      <c r="H211" s="55"/>
      <c r="I211" s="55" t="str">
        <f t="shared" si="18"/>
        <v>08.332.629-8</v>
      </c>
      <c r="J211" s="55">
        <f t="shared" si="19"/>
        <v>8.217592592592593E-2</v>
      </c>
      <c r="K211" s="93">
        <f t="shared" si="20"/>
        <v>-7.0277777777777777</v>
      </c>
      <c r="L211">
        <f>IFERROR(HLOOKUP(D211,Ingreso!$AN$10:$AT$260,VLOOKUP('cruce '!I211,Ingreso!$AL$11:$AM$260,2,0),0),0)</f>
        <v>0</v>
      </c>
      <c r="M211" s="95">
        <f>IFERROR(HLOOKUP(D211,Ingreso!$AW$10:$BC$260,VLOOKUP('cruce '!I211,Ingreso!$AL$11:$AM$260,2,0),0),0)</f>
        <v>0</v>
      </c>
      <c r="N211" t="str">
        <f t="shared" si="21"/>
        <v>Revisar</v>
      </c>
    </row>
    <row r="212" spans="2:14">
      <c r="C212"/>
      <c r="D212" t="s">
        <v>1438</v>
      </c>
      <c r="E212" t="s">
        <v>1321</v>
      </c>
      <c r="F212" s="78">
        <v>0.3125</v>
      </c>
      <c r="G212" s="55">
        <v>0.94</v>
      </c>
      <c r="H212" s="55"/>
      <c r="I212" s="55" t="str">
        <f t="shared" si="18"/>
        <v>08.332.629-8</v>
      </c>
      <c r="J212" s="55">
        <f t="shared" si="19"/>
        <v>6.0000000000000053E-2</v>
      </c>
      <c r="K212" s="93">
        <f t="shared" si="20"/>
        <v>-6.0599999999999987</v>
      </c>
      <c r="L212">
        <f>IFERROR(HLOOKUP(D212,Ingreso!$AN$10:$AT$260,VLOOKUP('cruce '!I212,Ingreso!$AL$11:$AM$260,2,0),0),0)</f>
        <v>0</v>
      </c>
      <c r="M212" s="95">
        <f>IFERROR(HLOOKUP(D212,Ingreso!$AW$10:$BC$260,VLOOKUP('cruce '!I212,Ingreso!$AL$11:$AM$260,2,0),0),0)</f>
        <v>0</v>
      </c>
      <c r="N212" t="str">
        <f t="shared" si="21"/>
        <v>Revisar</v>
      </c>
    </row>
    <row r="213" spans="2:14">
      <c r="C213"/>
      <c r="D213"/>
      <c r="E213" t="s">
        <v>1323</v>
      </c>
      <c r="F213" s="78">
        <v>0.375</v>
      </c>
      <c r="G213" s="55"/>
      <c r="H213" s="55">
        <v>0.31253472222222223</v>
      </c>
      <c r="I213" s="55" t="str">
        <f t="shared" si="18"/>
        <v>08.332.629-8</v>
      </c>
      <c r="J213" s="55">
        <f t="shared" si="19"/>
        <v>0.31253472222222223</v>
      </c>
      <c r="K213" s="93">
        <f t="shared" si="20"/>
        <v>-1.4991666666666665</v>
      </c>
      <c r="L213">
        <f>IFERROR(HLOOKUP(D213,Ingreso!$AN$10:$AT$260,VLOOKUP('cruce '!I213,Ingreso!$AL$11:$AM$260,2,0),0),0)</f>
        <v>0</v>
      </c>
      <c r="M213" s="95">
        <f>IFERROR(HLOOKUP(D213,Ingreso!$AW$10:$BC$260,VLOOKUP('cruce '!I213,Ingreso!$AL$11:$AM$260,2,0),0),0)</f>
        <v>0</v>
      </c>
      <c r="N213" t="str">
        <f t="shared" si="21"/>
        <v>Revisar</v>
      </c>
    </row>
    <row r="214" spans="2:14">
      <c r="C214"/>
      <c r="D214" t="s">
        <v>1439</v>
      </c>
      <c r="E214" t="s">
        <v>1323</v>
      </c>
      <c r="F214" s="78">
        <v>0.375</v>
      </c>
      <c r="G214" s="55">
        <v>0.91758101851851848</v>
      </c>
      <c r="H214" s="55">
        <v>0.31265046296296295</v>
      </c>
      <c r="I214" s="55" t="str">
        <f t="shared" si="18"/>
        <v>08.332.629-8</v>
      </c>
      <c r="J214" s="55">
        <f t="shared" si="19"/>
        <v>0.39506944444444447</v>
      </c>
      <c r="K214" s="93">
        <f t="shared" si="20"/>
        <v>0.48166666666666735</v>
      </c>
      <c r="L214">
        <f>IFERROR(HLOOKUP(D214,Ingreso!$AN$10:$AT$260,VLOOKUP('cruce '!I214,Ingreso!$AL$11:$AM$260,2,0),0),0)</f>
        <v>0</v>
      </c>
      <c r="M214" s="95">
        <f>IFERROR(HLOOKUP(D214,Ingreso!$AW$10:$BC$260,VLOOKUP('cruce '!I214,Ingreso!$AL$11:$AM$260,2,0),0),0)</f>
        <v>0</v>
      </c>
      <c r="N214" t="str">
        <f t="shared" si="21"/>
        <v>OK</v>
      </c>
    </row>
    <row r="215" spans="2:14">
      <c r="B215" t="s">
        <v>218</v>
      </c>
      <c r="C215" t="s">
        <v>222</v>
      </c>
      <c r="D215" t="s">
        <v>1440</v>
      </c>
      <c r="E215" t="s">
        <v>4</v>
      </c>
      <c r="F215" s="78">
        <v>0.3125</v>
      </c>
      <c r="G215" s="55">
        <v>0.29894675925925923</v>
      </c>
      <c r="H215" s="55">
        <v>0.64200231481481485</v>
      </c>
      <c r="I215" s="55" t="str">
        <f t="shared" si="18"/>
        <v>08.360.971-0</v>
      </c>
      <c r="J215" s="55">
        <f t="shared" si="19"/>
        <v>0.34305555555555561</v>
      </c>
      <c r="K215" s="93">
        <f t="shared" si="20"/>
        <v>0.73333333333333428</v>
      </c>
      <c r="L215">
        <f>IFERROR(HLOOKUP(D215,Ingreso!$AN$10:$AT$260,VLOOKUP('cruce '!I215,Ingreso!$AL$11:$AM$260,2,0),0),0)</f>
        <v>0</v>
      </c>
      <c r="M215" s="95">
        <f>IFERROR(HLOOKUP(D215,Ingreso!$AW$10:$BC$260,VLOOKUP('cruce '!I215,Ingreso!$AL$11:$AM$260,2,0),0),0)</f>
        <v>0</v>
      </c>
      <c r="N215" t="str">
        <f t="shared" si="21"/>
        <v>OK</v>
      </c>
    </row>
    <row r="216" spans="2:14">
      <c r="C216"/>
      <c r="D216" t="s">
        <v>1441</v>
      </c>
      <c r="E216" t="s">
        <v>4</v>
      </c>
      <c r="F216" s="78">
        <v>0.3125</v>
      </c>
      <c r="G216" s="55">
        <v>0.29942129629629627</v>
      </c>
      <c r="H216" s="55">
        <v>0.64126157407407403</v>
      </c>
      <c r="I216" s="55" t="str">
        <f t="shared" si="18"/>
        <v>08.360.971-0</v>
      </c>
      <c r="J216" s="55">
        <f t="shared" si="19"/>
        <v>0.34184027777777776</v>
      </c>
      <c r="K216" s="93">
        <f t="shared" si="20"/>
        <v>0.70416666666666572</v>
      </c>
      <c r="L216">
        <f>IFERROR(HLOOKUP(D216,Ingreso!$AN$10:$AT$260,VLOOKUP('cruce '!I216,Ingreso!$AL$11:$AM$260,2,0),0),0)</f>
        <v>0</v>
      </c>
      <c r="M216" s="95">
        <f>IFERROR(HLOOKUP(D216,Ingreso!$AW$10:$BC$260,VLOOKUP('cruce '!I216,Ingreso!$AL$11:$AM$260,2,0),0),0)</f>
        <v>0</v>
      </c>
      <c r="N216" t="str">
        <f t="shared" si="21"/>
        <v>OK</v>
      </c>
    </row>
    <row r="217" spans="2:14">
      <c r="C217"/>
      <c r="D217" t="s">
        <v>1437</v>
      </c>
      <c r="E217" t="s">
        <v>4</v>
      </c>
      <c r="F217" s="78">
        <v>0.3125</v>
      </c>
      <c r="G217" s="55"/>
      <c r="H217" s="55">
        <v>0.64665509259259257</v>
      </c>
      <c r="I217" s="55" t="str">
        <f t="shared" si="18"/>
        <v>08.360.971-0</v>
      </c>
      <c r="J217" s="55">
        <f t="shared" si="19"/>
        <v>0.64665509259259257</v>
      </c>
      <c r="K217" s="93">
        <f t="shared" si="20"/>
        <v>8.0197222222222209</v>
      </c>
      <c r="L217">
        <f>IFERROR(HLOOKUP(D217,Ingreso!$AN$10:$AT$260,VLOOKUP('cruce '!I217,Ingreso!$AL$11:$AM$260,2,0),0),0)</f>
        <v>0</v>
      </c>
      <c r="M217" s="95">
        <f>IFERROR(HLOOKUP(D217,Ingreso!$AW$10:$BC$260,VLOOKUP('cruce '!I217,Ingreso!$AL$11:$AM$260,2,0),0),0)</f>
        <v>0</v>
      </c>
      <c r="N217" t="str">
        <f t="shared" si="21"/>
        <v>Revisar</v>
      </c>
    </row>
    <row r="218" spans="2:14">
      <c r="C218"/>
      <c r="D218"/>
      <c r="E218" t="s">
        <v>1473</v>
      </c>
      <c r="F218" t="s">
        <v>1472</v>
      </c>
      <c r="G218" s="55">
        <v>0.45324074074074078</v>
      </c>
      <c r="H218" s="55"/>
      <c r="I218" s="55" t="str">
        <f t="shared" si="18"/>
        <v>08.360.971-0</v>
      </c>
      <c r="J218" s="55">
        <f t="shared" si="19"/>
        <v>0.54675925925925917</v>
      </c>
      <c r="K218" s="93" t="e">
        <f t="shared" si="20"/>
        <v>#VALUE!</v>
      </c>
      <c r="L218">
        <f>IFERROR(HLOOKUP(D218,Ingreso!$AN$10:$AT$260,VLOOKUP('cruce '!I218,Ingreso!$AL$11:$AM$260,2,0),0),0)</f>
        <v>0</v>
      </c>
      <c r="M218" s="95">
        <f>IFERROR(HLOOKUP(D218,Ingreso!$AW$10:$BC$260,VLOOKUP('cruce '!I218,Ingreso!$AL$11:$AM$260,2,0),0),0)</f>
        <v>0</v>
      </c>
      <c r="N218" t="e">
        <f t="shared" si="21"/>
        <v>#VALUE!</v>
      </c>
    </row>
    <row r="219" spans="2:14">
      <c r="C219"/>
      <c r="D219" t="s">
        <v>1438</v>
      </c>
      <c r="E219" t="s">
        <v>4</v>
      </c>
      <c r="F219" s="78">
        <v>0.3125</v>
      </c>
      <c r="G219" s="55">
        <v>0.29935185185185187</v>
      </c>
      <c r="H219" s="55">
        <v>0.63740740740740742</v>
      </c>
      <c r="I219" s="55" t="str">
        <f t="shared" si="18"/>
        <v>08.360.971-0</v>
      </c>
      <c r="J219" s="55">
        <f t="shared" si="19"/>
        <v>0.33805555555555555</v>
      </c>
      <c r="K219" s="93">
        <f t="shared" si="20"/>
        <v>0.61333333333333329</v>
      </c>
      <c r="L219">
        <f>IFERROR(HLOOKUP(D219,Ingreso!$AN$10:$AT$260,VLOOKUP('cruce '!I219,Ingreso!$AL$11:$AM$260,2,0),0),0)</f>
        <v>0</v>
      </c>
      <c r="M219" s="95">
        <f>IFERROR(HLOOKUP(D219,Ingreso!$AW$10:$BC$260,VLOOKUP('cruce '!I219,Ingreso!$AL$11:$AM$260,2,0),0),0)</f>
        <v>0</v>
      </c>
      <c r="N219" t="str">
        <f t="shared" si="21"/>
        <v>OK</v>
      </c>
    </row>
    <row r="220" spans="2:14">
      <c r="C220"/>
      <c r="D220" t="s">
        <v>1439</v>
      </c>
      <c r="E220" t="s">
        <v>4</v>
      </c>
      <c r="F220" s="78">
        <v>0.3125</v>
      </c>
      <c r="G220" s="55">
        <v>0.29737268518518517</v>
      </c>
      <c r="H220" s="55">
        <v>0.64039351851851845</v>
      </c>
      <c r="I220" s="55" t="str">
        <f t="shared" si="18"/>
        <v>08.360.971-0</v>
      </c>
      <c r="J220" s="55">
        <f t="shared" si="19"/>
        <v>0.34302083333333327</v>
      </c>
      <c r="K220" s="93">
        <f t="shared" si="20"/>
        <v>0.73249999999999815</v>
      </c>
      <c r="L220">
        <f>IFERROR(HLOOKUP(D220,Ingreso!$AN$10:$AT$260,VLOOKUP('cruce '!I220,Ingreso!$AL$11:$AM$260,2,0),0),0)</f>
        <v>0</v>
      </c>
      <c r="M220" s="95">
        <f>IFERROR(HLOOKUP(D220,Ingreso!$AW$10:$BC$260,VLOOKUP('cruce '!I220,Ingreso!$AL$11:$AM$260,2,0),0),0)</f>
        <v>0</v>
      </c>
      <c r="N220" t="str">
        <f t="shared" si="21"/>
        <v>OK</v>
      </c>
    </row>
    <row r="221" spans="2:14">
      <c r="B221" t="s">
        <v>1127</v>
      </c>
      <c r="C221" t="s">
        <v>1130</v>
      </c>
      <c r="D221" t="s">
        <v>1440</v>
      </c>
      <c r="E221" t="s">
        <v>4</v>
      </c>
      <c r="F221" s="78">
        <v>0.3125</v>
      </c>
      <c r="G221" s="55">
        <v>0.29381944444444447</v>
      </c>
      <c r="H221" s="55">
        <v>0.65856481481481477</v>
      </c>
      <c r="I221" s="55" t="str">
        <f t="shared" si="18"/>
        <v>08.406.841-1</v>
      </c>
      <c r="J221" s="55">
        <f t="shared" si="19"/>
        <v>0.3647453703703703</v>
      </c>
      <c r="K221" s="93">
        <f t="shared" si="20"/>
        <v>1.2538888888888877</v>
      </c>
      <c r="L221">
        <f>IFERROR(HLOOKUP(D221,Ingreso!$AN$10:$AT$260,VLOOKUP('cruce '!I221,Ingreso!$AL$11:$AM$260,2,0),0),0)</f>
        <v>0</v>
      </c>
      <c r="M221" s="95">
        <f>IFERROR(HLOOKUP(D221,Ingreso!$AW$10:$BC$260,VLOOKUP('cruce '!I221,Ingreso!$AL$11:$AM$260,2,0),0),0)</f>
        <v>0</v>
      </c>
      <c r="N221" t="str">
        <f t="shared" si="21"/>
        <v>Revisar</v>
      </c>
    </row>
    <row r="222" spans="2:14">
      <c r="C222"/>
      <c r="D222" t="s">
        <v>1441</v>
      </c>
      <c r="E222" t="s">
        <v>4</v>
      </c>
      <c r="F222" s="78">
        <v>0.3125</v>
      </c>
      <c r="G222" s="55">
        <v>0.30560185185185185</v>
      </c>
      <c r="H222" s="55">
        <v>0.63462962962962965</v>
      </c>
      <c r="I222" s="55" t="str">
        <f t="shared" si="18"/>
        <v>08.406.841-1</v>
      </c>
      <c r="J222" s="55">
        <f t="shared" si="19"/>
        <v>0.32902777777777781</v>
      </c>
      <c r="K222" s="93">
        <f t="shared" si="20"/>
        <v>0.39666666666666739</v>
      </c>
      <c r="L222">
        <f>IFERROR(HLOOKUP(D222,Ingreso!$AN$10:$AT$260,VLOOKUP('cruce '!I222,Ingreso!$AL$11:$AM$260,2,0),0),0)</f>
        <v>0</v>
      </c>
      <c r="M222" s="95">
        <f>IFERROR(HLOOKUP(D222,Ingreso!$AW$10:$BC$260,VLOOKUP('cruce '!I222,Ingreso!$AL$11:$AM$260,2,0),0),0)</f>
        <v>0</v>
      </c>
      <c r="N222" t="str">
        <f t="shared" si="21"/>
        <v>OK</v>
      </c>
    </row>
    <row r="223" spans="2:14">
      <c r="C223"/>
      <c r="D223" t="s">
        <v>1437</v>
      </c>
      <c r="E223" t="s">
        <v>4</v>
      </c>
      <c r="F223" s="78">
        <v>0.3125</v>
      </c>
      <c r="G223" s="55">
        <v>0.29260416666666667</v>
      </c>
      <c r="H223" s="55">
        <v>0.63978009259259261</v>
      </c>
      <c r="I223" s="55" t="str">
        <f t="shared" si="18"/>
        <v>08.406.841-1</v>
      </c>
      <c r="J223" s="55">
        <f t="shared" si="19"/>
        <v>0.34717592592592594</v>
      </c>
      <c r="K223" s="93">
        <f t="shared" si="20"/>
        <v>0.83222222222222264</v>
      </c>
      <c r="L223">
        <f>IFERROR(HLOOKUP(D223,Ingreso!$AN$10:$AT$260,VLOOKUP('cruce '!I223,Ingreso!$AL$11:$AM$260,2,0),0),0)</f>
        <v>0</v>
      </c>
      <c r="M223" s="95">
        <f>IFERROR(HLOOKUP(D223,Ingreso!$AW$10:$BC$260,VLOOKUP('cruce '!I223,Ingreso!$AL$11:$AM$260,2,0),0),0)</f>
        <v>0</v>
      </c>
      <c r="N223" t="str">
        <f t="shared" si="21"/>
        <v>OK</v>
      </c>
    </row>
    <row r="224" spans="2:14">
      <c r="C224"/>
      <c r="D224" t="s">
        <v>1438</v>
      </c>
      <c r="E224" t="s">
        <v>4</v>
      </c>
      <c r="F224" s="78">
        <v>0.3125</v>
      </c>
      <c r="G224" s="55">
        <v>0.29328703703703701</v>
      </c>
      <c r="H224" s="55">
        <v>0.64113425925925926</v>
      </c>
      <c r="I224" s="55" t="str">
        <f t="shared" si="18"/>
        <v>08.406.841-1</v>
      </c>
      <c r="J224" s="55">
        <f t="shared" si="19"/>
        <v>0.34784722222222225</v>
      </c>
      <c r="K224" s="93">
        <f t="shared" si="20"/>
        <v>0.84833333333333449</v>
      </c>
      <c r="L224">
        <f>IFERROR(HLOOKUP(D224,Ingreso!$AN$10:$AT$260,VLOOKUP('cruce '!I224,Ingreso!$AL$11:$AM$260,2,0),0),0)</f>
        <v>0</v>
      </c>
      <c r="M224" s="95">
        <f>IFERROR(HLOOKUP(D224,Ingreso!$AW$10:$BC$260,VLOOKUP('cruce '!I224,Ingreso!$AL$11:$AM$260,2,0),0),0)</f>
        <v>0</v>
      </c>
      <c r="N224" t="str">
        <f t="shared" si="21"/>
        <v>OK</v>
      </c>
    </row>
    <row r="225" spans="2:14">
      <c r="B225" t="s">
        <v>201</v>
      </c>
      <c r="C225" t="s">
        <v>204</v>
      </c>
      <c r="D225" t="s">
        <v>1440</v>
      </c>
      <c r="E225" t="s">
        <v>1323</v>
      </c>
      <c r="F225" s="78">
        <v>0.375</v>
      </c>
      <c r="G225" s="55">
        <v>0.91954861111111119</v>
      </c>
      <c r="H225" s="55">
        <v>0.32590277777777776</v>
      </c>
      <c r="I225" s="55" t="str">
        <f t="shared" si="18"/>
        <v>08.454.836-7</v>
      </c>
      <c r="J225" s="55">
        <f t="shared" si="19"/>
        <v>0.40635416666666657</v>
      </c>
      <c r="K225" s="93">
        <f t="shared" si="20"/>
        <v>0.75249999999999773</v>
      </c>
      <c r="L225">
        <f>IFERROR(HLOOKUP(D225,Ingreso!$AN$10:$AT$260,VLOOKUP('cruce '!I225,Ingreso!$AL$11:$AM$260,2,0),0),0)</f>
        <v>0</v>
      </c>
      <c r="M225" s="95" t="str">
        <f>IFERROR(HLOOKUP(D225,Ingreso!$AW$10:$BC$260,VLOOKUP('cruce '!I225,Ingreso!$AL$11:$AM$260,2,0),0),0)</f>
        <v/>
      </c>
      <c r="N225" t="str">
        <f t="shared" si="21"/>
        <v>OK</v>
      </c>
    </row>
    <row r="226" spans="2:14">
      <c r="C226"/>
      <c r="D226" t="s">
        <v>1441</v>
      </c>
      <c r="E226" t="s">
        <v>1323</v>
      </c>
      <c r="F226" s="78">
        <v>0.375</v>
      </c>
      <c r="G226" s="55"/>
      <c r="H226" s="55">
        <v>0.32633101851851848</v>
      </c>
      <c r="I226" s="55" t="str">
        <f t="shared" si="18"/>
        <v>08.454.836-7</v>
      </c>
      <c r="J226" s="55">
        <f t="shared" si="19"/>
        <v>0.32633101851851848</v>
      </c>
      <c r="K226" s="93">
        <f t="shared" si="20"/>
        <v>-1.1680555555555561</v>
      </c>
      <c r="L226">
        <f>IFERROR(HLOOKUP(D226,Ingreso!$AN$10:$AT$260,VLOOKUP('cruce '!I226,Ingreso!$AL$11:$AM$260,2,0),0),0)</f>
        <v>0</v>
      </c>
      <c r="M226" s="95" t="str">
        <f>IFERROR(HLOOKUP(D226,Ingreso!$AW$10:$BC$260,VLOOKUP('cruce '!I226,Ingreso!$AL$11:$AM$260,2,0),0),0)</f>
        <v/>
      </c>
      <c r="N226" t="str">
        <f t="shared" si="21"/>
        <v>Revisar</v>
      </c>
    </row>
    <row r="227" spans="2:14">
      <c r="C227"/>
      <c r="D227" t="s">
        <v>1437</v>
      </c>
      <c r="E227" t="s">
        <v>1323</v>
      </c>
      <c r="F227" s="78">
        <v>0.375</v>
      </c>
      <c r="G227" s="55">
        <v>0.91695601851851849</v>
      </c>
      <c r="H227" s="55"/>
      <c r="I227" s="55" t="str">
        <f t="shared" si="18"/>
        <v>08.454.836-7</v>
      </c>
      <c r="J227" s="55">
        <f t="shared" si="19"/>
        <v>8.304398148148151E-2</v>
      </c>
      <c r="K227" s="93">
        <f t="shared" si="20"/>
        <v>-7.0069444444444438</v>
      </c>
      <c r="L227">
        <f>IFERROR(HLOOKUP(D227,Ingreso!$AN$10:$AT$260,VLOOKUP('cruce '!I227,Ingreso!$AL$11:$AM$260,2,0),0),0)</f>
        <v>0</v>
      </c>
      <c r="M227" s="95" t="str">
        <f>IFERROR(HLOOKUP(D227,Ingreso!$AW$10:$BC$260,VLOOKUP('cruce '!I227,Ingreso!$AL$11:$AM$260,2,0),0),0)</f>
        <v/>
      </c>
      <c r="N227" t="str">
        <f t="shared" si="21"/>
        <v>Revisar</v>
      </c>
    </row>
    <row r="228" spans="2:14">
      <c r="C228"/>
      <c r="D228" t="s">
        <v>1438</v>
      </c>
      <c r="E228" t="s">
        <v>1323</v>
      </c>
      <c r="F228" s="78">
        <v>0.375</v>
      </c>
      <c r="G228" s="55">
        <v>0.91817129629629635</v>
      </c>
      <c r="H228" s="55">
        <v>0.3225810185185185</v>
      </c>
      <c r="I228" s="55" t="str">
        <f t="shared" si="18"/>
        <v>08.454.836-7</v>
      </c>
      <c r="J228" s="55">
        <f t="shared" si="19"/>
        <v>0.40440972222222216</v>
      </c>
      <c r="K228" s="93">
        <f t="shared" si="20"/>
        <v>0.70583333333333087</v>
      </c>
      <c r="L228">
        <f>IFERROR(HLOOKUP(D228,Ingreso!$AN$10:$AT$260,VLOOKUP('cruce '!I228,Ingreso!$AL$11:$AM$260,2,0),0),0)</f>
        <v>0</v>
      </c>
      <c r="M228" s="95" t="str">
        <f>IFERROR(HLOOKUP(D228,Ingreso!$AW$10:$BC$260,VLOOKUP('cruce '!I228,Ingreso!$AL$11:$AM$260,2,0),0),0)</f>
        <v/>
      </c>
      <c r="N228" t="str">
        <f t="shared" si="21"/>
        <v>OK</v>
      </c>
    </row>
    <row r="229" spans="2:14">
      <c r="C229"/>
      <c r="D229" t="s">
        <v>1439</v>
      </c>
      <c r="E229" t="s">
        <v>1323</v>
      </c>
      <c r="F229" s="78">
        <v>0.375</v>
      </c>
      <c r="G229" s="55">
        <v>0.91702546296296295</v>
      </c>
      <c r="H229" s="55">
        <v>0.32200231481481484</v>
      </c>
      <c r="I229" s="55" t="str">
        <f t="shared" si="18"/>
        <v>08.454.836-7</v>
      </c>
      <c r="J229" s="55">
        <f t="shared" si="19"/>
        <v>0.40497685185185184</v>
      </c>
      <c r="K229" s="93">
        <f t="shared" si="20"/>
        <v>0.719444444444445</v>
      </c>
      <c r="L229">
        <f>IFERROR(HLOOKUP(D229,Ingreso!$AN$10:$AT$260,VLOOKUP('cruce '!I229,Ingreso!$AL$11:$AM$260,2,0),0),0)</f>
        <v>0</v>
      </c>
      <c r="M229" s="95" t="str">
        <f>IFERROR(HLOOKUP(D229,Ingreso!$AW$10:$BC$260,VLOOKUP('cruce '!I229,Ingreso!$AL$11:$AM$260,2,0),0),0)</f>
        <v/>
      </c>
      <c r="N229" t="str">
        <f t="shared" si="21"/>
        <v>OK</v>
      </c>
    </row>
    <row r="230" spans="2:14">
      <c r="B230" t="s">
        <v>230</v>
      </c>
      <c r="C230" t="s">
        <v>234</v>
      </c>
      <c r="D230" t="s">
        <v>1440</v>
      </c>
      <c r="E230" t="s">
        <v>4</v>
      </c>
      <c r="F230" s="78">
        <v>0.3125</v>
      </c>
      <c r="G230" s="55">
        <v>0.29376157407407405</v>
      </c>
      <c r="H230" s="55">
        <v>0.63583333333333336</v>
      </c>
      <c r="I230" s="55" t="str">
        <f t="shared" si="18"/>
        <v>08.465.592-9</v>
      </c>
      <c r="J230" s="55">
        <f t="shared" si="19"/>
        <v>0.34207175925925931</v>
      </c>
      <c r="K230" s="93">
        <f t="shared" si="20"/>
        <v>0.70972222222222392</v>
      </c>
      <c r="L230">
        <f>IFERROR(HLOOKUP(D230,Ingreso!$AN$10:$AT$260,VLOOKUP('cruce '!I230,Ingreso!$AL$11:$AM$260,2,0),0),0)</f>
        <v>0</v>
      </c>
      <c r="M230" s="95">
        <f>IFERROR(HLOOKUP(D230,Ingreso!$AW$10:$BC$260,VLOOKUP('cruce '!I230,Ingreso!$AL$11:$AM$260,2,0),0),0)</f>
        <v>0</v>
      </c>
      <c r="N230" t="str">
        <f t="shared" si="21"/>
        <v>OK</v>
      </c>
    </row>
    <row r="231" spans="2:14">
      <c r="C231"/>
      <c r="D231" t="s">
        <v>1441</v>
      </c>
      <c r="E231" t="s">
        <v>4</v>
      </c>
      <c r="F231" s="78">
        <v>0.3125</v>
      </c>
      <c r="G231" s="55">
        <v>0.29337962962962966</v>
      </c>
      <c r="H231" s="55"/>
      <c r="I231" s="55" t="str">
        <f t="shared" si="18"/>
        <v>08.465.592-9</v>
      </c>
      <c r="J231" s="55">
        <f t="shared" si="19"/>
        <v>0.7066203703703704</v>
      </c>
      <c r="K231" s="93">
        <f t="shared" si="20"/>
        <v>9.4588888888888896</v>
      </c>
      <c r="L231">
        <f>IFERROR(HLOOKUP(D231,Ingreso!$AN$10:$AT$260,VLOOKUP('cruce '!I231,Ingreso!$AL$11:$AM$260,2,0),0),0)</f>
        <v>0</v>
      </c>
      <c r="M231" s="95">
        <f>IFERROR(HLOOKUP(D231,Ingreso!$AW$10:$BC$260,VLOOKUP('cruce '!I231,Ingreso!$AL$11:$AM$260,2,0),0),0)</f>
        <v>0</v>
      </c>
      <c r="N231" t="str">
        <f t="shared" si="21"/>
        <v>Revisar</v>
      </c>
    </row>
    <row r="232" spans="2:14">
      <c r="C232"/>
      <c r="D232"/>
      <c r="E232" t="s">
        <v>1473</v>
      </c>
      <c r="F232" t="s">
        <v>1472</v>
      </c>
      <c r="G232" s="55"/>
      <c r="H232" s="55">
        <v>0.53469907407407413</v>
      </c>
      <c r="I232" s="55" t="str">
        <f t="shared" si="18"/>
        <v>08.465.592-9</v>
      </c>
      <c r="J232" s="55">
        <f t="shared" si="19"/>
        <v>0.53469907407407413</v>
      </c>
      <c r="K232" s="93" t="e">
        <f t="shared" si="20"/>
        <v>#VALUE!</v>
      </c>
      <c r="L232">
        <f>IFERROR(HLOOKUP(D232,Ingreso!$AN$10:$AT$260,VLOOKUP('cruce '!I232,Ingreso!$AL$11:$AM$260,2,0),0),0)</f>
        <v>0</v>
      </c>
      <c r="M232" s="95">
        <f>IFERROR(HLOOKUP(D232,Ingreso!$AW$10:$BC$260,VLOOKUP('cruce '!I232,Ingreso!$AL$11:$AM$260,2,0),0),0)</f>
        <v>0</v>
      </c>
      <c r="N232" t="e">
        <f t="shared" si="21"/>
        <v>#VALUE!</v>
      </c>
    </row>
    <row r="233" spans="2:14">
      <c r="C233"/>
      <c r="D233" t="s">
        <v>1437</v>
      </c>
      <c r="E233" t="s">
        <v>4</v>
      </c>
      <c r="F233" s="78">
        <v>0.3125</v>
      </c>
      <c r="G233" s="55">
        <v>0.2925462962962963</v>
      </c>
      <c r="H233" s="55">
        <v>0.63869212962962962</v>
      </c>
      <c r="I233" s="55" t="str">
        <f t="shared" si="18"/>
        <v>08.465.592-9</v>
      </c>
      <c r="J233" s="55">
        <f t="shared" si="19"/>
        <v>0.34614583333333332</v>
      </c>
      <c r="K233" s="93">
        <f t="shared" si="20"/>
        <v>0.80749999999999922</v>
      </c>
      <c r="L233">
        <f>IFERROR(HLOOKUP(D233,Ingreso!$AN$10:$AT$260,VLOOKUP('cruce '!I233,Ingreso!$AL$11:$AM$260,2,0),0),0)</f>
        <v>0</v>
      </c>
      <c r="M233" s="95">
        <f>IFERROR(HLOOKUP(D233,Ingreso!$AW$10:$BC$260,VLOOKUP('cruce '!I233,Ingreso!$AL$11:$AM$260,2,0),0),0)</f>
        <v>0</v>
      </c>
      <c r="N233" t="str">
        <f t="shared" si="21"/>
        <v>OK</v>
      </c>
    </row>
    <row r="234" spans="2:14">
      <c r="C234"/>
      <c r="D234" t="s">
        <v>1438</v>
      </c>
      <c r="E234" t="s">
        <v>4</v>
      </c>
      <c r="F234" s="78">
        <v>0.3125</v>
      </c>
      <c r="G234" s="55">
        <v>0.29311342592592593</v>
      </c>
      <c r="H234" s="55">
        <v>0.63681712962962966</v>
      </c>
      <c r="I234" s="55" t="str">
        <f t="shared" si="18"/>
        <v>08.465.592-9</v>
      </c>
      <c r="J234" s="55">
        <f t="shared" si="19"/>
        <v>0.34370370370370373</v>
      </c>
      <c r="K234" s="93">
        <f t="shared" si="20"/>
        <v>0.74888888888888872</v>
      </c>
      <c r="L234">
        <f>IFERROR(HLOOKUP(D234,Ingreso!$AN$10:$AT$260,VLOOKUP('cruce '!I234,Ingreso!$AL$11:$AM$260,2,0),0),0)</f>
        <v>0</v>
      </c>
      <c r="M234" s="95">
        <f>IFERROR(HLOOKUP(D234,Ingreso!$AW$10:$BC$260,VLOOKUP('cruce '!I234,Ingreso!$AL$11:$AM$260,2,0),0),0)</f>
        <v>0</v>
      </c>
      <c r="N234" t="str">
        <f t="shared" si="21"/>
        <v>OK</v>
      </c>
    </row>
    <row r="235" spans="2:14">
      <c r="C235"/>
      <c r="D235" t="s">
        <v>1439</v>
      </c>
      <c r="E235" t="s">
        <v>4</v>
      </c>
      <c r="F235" s="78">
        <v>0.3125</v>
      </c>
      <c r="G235" s="55">
        <v>0.29357638888888887</v>
      </c>
      <c r="H235" s="55">
        <v>0.63868055555555558</v>
      </c>
      <c r="I235" s="55" t="str">
        <f t="shared" si="18"/>
        <v>08.465.592-9</v>
      </c>
      <c r="J235" s="55">
        <f t="shared" si="19"/>
        <v>0.34510416666666671</v>
      </c>
      <c r="K235" s="93">
        <f t="shared" si="20"/>
        <v>0.78250000000000064</v>
      </c>
      <c r="L235">
        <f>IFERROR(HLOOKUP(D235,Ingreso!$AN$10:$AT$260,VLOOKUP('cruce '!I235,Ingreso!$AL$11:$AM$260,2,0),0),0)</f>
        <v>0</v>
      </c>
      <c r="M235" s="95">
        <f>IFERROR(HLOOKUP(D235,Ingreso!$AW$10:$BC$260,VLOOKUP('cruce '!I235,Ingreso!$AL$11:$AM$260,2,0),0),0)</f>
        <v>0</v>
      </c>
      <c r="N235" t="str">
        <f t="shared" si="21"/>
        <v>OK</v>
      </c>
    </row>
    <row r="236" spans="2:14">
      <c r="B236" t="s">
        <v>643</v>
      </c>
      <c r="C236" t="s">
        <v>646</v>
      </c>
      <c r="D236" t="s">
        <v>1440</v>
      </c>
      <c r="E236" t="s">
        <v>4</v>
      </c>
      <c r="F236" s="78">
        <v>0.3125</v>
      </c>
      <c r="G236" s="55">
        <v>0.80940972222222218</v>
      </c>
      <c r="H236" s="55"/>
      <c r="I236" s="55" t="str">
        <f t="shared" si="18"/>
        <v>08.585.356-2</v>
      </c>
      <c r="J236" s="55">
        <f t="shared" si="19"/>
        <v>0.19059027777777782</v>
      </c>
      <c r="K236" s="93">
        <f t="shared" si="20"/>
        <v>-2.9258333333333324</v>
      </c>
      <c r="L236">
        <f>IFERROR(HLOOKUP(D236,Ingreso!$AN$10:$AT$260,VLOOKUP('cruce '!I236,Ingreso!$AL$11:$AM$260,2,0),0),0)</f>
        <v>0</v>
      </c>
      <c r="M236" s="95">
        <f>IFERROR(HLOOKUP(D236,Ingreso!$AW$10:$BC$260,VLOOKUP('cruce '!I236,Ingreso!$AL$11:$AM$260,2,0),0),0)</f>
        <v>0</v>
      </c>
      <c r="N236" t="str">
        <f t="shared" si="21"/>
        <v>Revisar</v>
      </c>
    </row>
    <row r="237" spans="2:14">
      <c r="C237"/>
      <c r="D237"/>
      <c r="E237" t="s">
        <v>1323</v>
      </c>
      <c r="F237" s="78">
        <v>0.375</v>
      </c>
      <c r="G237" s="55"/>
      <c r="H237" s="55">
        <v>0.33600694444444446</v>
      </c>
      <c r="I237" s="55" t="str">
        <f t="shared" si="18"/>
        <v>08.585.356-2</v>
      </c>
      <c r="J237" s="55">
        <f t="shared" si="19"/>
        <v>0.33600694444444446</v>
      </c>
      <c r="K237" s="93">
        <f t="shared" si="20"/>
        <v>-0.93583333333333307</v>
      </c>
      <c r="L237">
        <f>IFERROR(HLOOKUP(D237,Ingreso!$AN$10:$AT$260,VLOOKUP('cruce '!I237,Ingreso!$AL$11:$AM$260,2,0),0),0)</f>
        <v>0</v>
      </c>
      <c r="M237" s="95">
        <f>IFERROR(HLOOKUP(D237,Ingreso!$AW$10:$BC$260,VLOOKUP('cruce '!I237,Ingreso!$AL$11:$AM$260,2,0),0),0)</f>
        <v>0</v>
      </c>
      <c r="N237" t="str">
        <f t="shared" si="21"/>
        <v>OK</v>
      </c>
    </row>
    <row r="238" spans="2:14">
      <c r="C238"/>
      <c r="D238" t="s">
        <v>1441</v>
      </c>
      <c r="E238" t="s">
        <v>1323</v>
      </c>
      <c r="F238" s="78">
        <v>0.375</v>
      </c>
      <c r="G238" s="55"/>
      <c r="H238" s="55">
        <v>0.35167824074074078</v>
      </c>
      <c r="I238" s="55" t="str">
        <f t="shared" si="18"/>
        <v>08.585.356-2</v>
      </c>
      <c r="J238" s="55">
        <f t="shared" si="19"/>
        <v>0.35167824074074078</v>
      </c>
      <c r="K238" s="93">
        <f t="shared" si="20"/>
        <v>-0.55972222222222179</v>
      </c>
      <c r="L238">
        <f>IFERROR(HLOOKUP(D238,Ingreso!$AN$10:$AT$260,VLOOKUP('cruce '!I238,Ingreso!$AL$11:$AM$260,2,0),0),0)</f>
        <v>0</v>
      </c>
      <c r="M238" s="95">
        <f>IFERROR(HLOOKUP(D238,Ingreso!$AW$10:$BC$260,VLOOKUP('cruce '!I238,Ingreso!$AL$11:$AM$260,2,0),0),0)</f>
        <v>0</v>
      </c>
      <c r="N238" t="str">
        <f t="shared" si="21"/>
        <v>OK</v>
      </c>
    </row>
    <row r="239" spans="2:14">
      <c r="C239"/>
      <c r="D239" t="s">
        <v>1438</v>
      </c>
      <c r="E239" t="s">
        <v>4</v>
      </c>
      <c r="F239" s="78">
        <v>0.3125</v>
      </c>
      <c r="G239" s="55">
        <v>0.80620370370370376</v>
      </c>
      <c r="H239" s="55"/>
      <c r="I239" s="55" t="str">
        <f t="shared" si="18"/>
        <v>08.585.356-2</v>
      </c>
      <c r="J239" s="55">
        <f t="shared" si="19"/>
        <v>0.19379629629629624</v>
      </c>
      <c r="K239" s="93">
        <f t="shared" si="20"/>
        <v>-2.8488888888888901</v>
      </c>
      <c r="L239">
        <f>IFERROR(HLOOKUP(D239,Ingreso!$AN$10:$AT$260,VLOOKUP('cruce '!I239,Ingreso!$AL$11:$AM$260,2,0),0),0)</f>
        <v>0</v>
      </c>
      <c r="M239" s="95">
        <f>IFERROR(HLOOKUP(D239,Ingreso!$AW$10:$BC$260,VLOOKUP('cruce '!I239,Ingreso!$AL$11:$AM$260,2,0),0),0)</f>
        <v>0</v>
      </c>
      <c r="N239" t="str">
        <f t="shared" si="21"/>
        <v>Revisar</v>
      </c>
    </row>
    <row r="240" spans="2:14">
      <c r="C240"/>
      <c r="D240" t="s">
        <v>1439</v>
      </c>
      <c r="E240" t="s">
        <v>4</v>
      </c>
      <c r="F240" s="78">
        <v>0.3125</v>
      </c>
      <c r="G240" s="55">
        <v>0.80620370370370376</v>
      </c>
      <c r="H240" s="55"/>
      <c r="I240" s="55" t="str">
        <f t="shared" si="18"/>
        <v>08.585.356-2</v>
      </c>
      <c r="J240" s="55">
        <f t="shared" si="19"/>
        <v>0.19379629629629624</v>
      </c>
      <c r="K240" s="93">
        <f t="shared" si="20"/>
        <v>-2.8488888888888901</v>
      </c>
      <c r="L240">
        <f>IFERROR(HLOOKUP(D240,Ingreso!$AN$10:$AT$260,VLOOKUP('cruce '!I240,Ingreso!$AL$11:$AM$260,2,0),0),0)</f>
        <v>0</v>
      </c>
      <c r="M240" s="95">
        <f>IFERROR(HLOOKUP(D240,Ingreso!$AW$10:$BC$260,VLOOKUP('cruce '!I240,Ingreso!$AL$11:$AM$260,2,0),0),0)</f>
        <v>0</v>
      </c>
      <c r="N240" t="str">
        <f t="shared" si="21"/>
        <v>Revisar</v>
      </c>
    </row>
    <row r="241" spans="2:14">
      <c r="C241"/>
      <c r="D241"/>
      <c r="E241" t="s">
        <v>1323</v>
      </c>
      <c r="F241" s="78">
        <v>0.375</v>
      </c>
      <c r="G241" s="55"/>
      <c r="H241" s="55">
        <v>0.3399652777777778</v>
      </c>
      <c r="I241" s="55" t="str">
        <f t="shared" si="18"/>
        <v>08.585.356-2</v>
      </c>
      <c r="J241" s="55">
        <f t="shared" si="19"/>
        <v>0.3399652777777778</v>
      </c>
      <c r="K241" s="93">
        <f t="shared" si="20"/>
        <v>-0.84083333333333243</v>
      </c>
      <c r="L241">
        <f>IFERROR(HLOOKUP(D241,Ingreso!$AN$10:$AT$260,VLOOKUP('cruce '!I241,Ingreso!$AL$11:$AM$260,2,0),0),0)</f>
        <v>0</v>
      </c>
      <c r="M241" s="95">
        <f>IFERROR(HLOOKUP(D241,Ingreso!$AW$10:$BC$260,VLOOKUP('cruce '!I241,Ingreso!$AL$11:$AM$260,2,0),0),0)</f>
        <v>0</v>
      </c>
      <c r="N241" t="str">
        <f t="shared" si="21"/>
        <v>OK</v>
      </c>
    </row>
    <row r="242" spans="2:14">
      <c r="B242" t="s">
        <v>986</v>
      </c>
      <c r="C242" t="s">
        <v>988</v>
      </c>
      <c r="D242" t="s">
        <v>1440</v>
      </c>
      <c r="E242" t="s">
        <v>1474</v>
      </c>
      <c r="F242" t="s">
        <v>1472</v>
      </c>
      <c r="G242" s="55">
        <v>0.30246527777777776</v>
      </c>
      <c r="H242" s="55">
        <v>0.62593750000000004</v>
      </c>
      <c r="I242" s="55" t="str">
        <f t="shared" si="18"/>
        <v>08.618.882-1</v>
      </c>
      <c r="J242" s="55">
        <f t="shared" si="19"/>
        <v>0.32347222222222227</v>
      </c>
      <c r="K242" s="93" t="e">
        <f t="shared" si="20"/>
        <v>#VALUE!</v>
      </c>
      <c r="L242">
        <f>IFERROR(HLOOKUP(D242,Ingreso!$AN$10:$AT$260,VLOOKUP('cruce '!I242,Ingreso!$AL$11:$AM$260,2,0),0),0)</f>
        <v>0</v>
      </c>
      <c r="M242" s="95" t="str">
        <f>IFERROR(HLOOKUP(D242,Ingreso!$AW$10:$BC$260,VLOOKUP('cruce '!I242,Ingreso!$AL$11:$AM$260,2,0),0),0)</f>
        <v/>
      </c>
      <c r="N242" t="e">
        <f t="shared" si="21"/>
        <v>#VALUE!</v>
      </c>
    </row>
    <row r="243" spans="2:14">
      <c r="C243"/>
      <c r="D243" t="s">
        <v>1441</v>
      </c>
      <c r="E243" t="s">
        <v>1474</v>
      </c>
      <c r="F243" t="s">
        <v>1472</v>
      </c>
      <c r="G243" s="55">
        <v>0.31225694444444446</v>
      </c>
      <c r="H243" s="55">
        <v>0.62370370370370376</v>
      </c>
      <c r="I243" s="55" t="str">
        <f t="shared" si="18"/>
        <v>08.618.882-1</v>
      </c>
      <c r="J243" s="55">
        <f t="shared" si="19"/>
        <v>0.3114467592592593</v>
      </c>
      <c r="K243" s="93" t="e">
        <f t="shared" si="20"/>
        <v>#VALUE!</v>
      </c>
      <c r="L243">
        <f>IFERROR(HLOOKUP(D243,Ingreso!$AN$10:$AT$260,VLOOKUP('cruce '!I243,Ingreso!$AL$11:$AM$260,2,0),0),0)</f>
        <v>0</v>
      </c>
      <c r="M243" s="95" t="str">
        <f>IFERROR(HLOOKUP(D243,Ingreso!$AW$10:$BC$260,VLOOKUP('cruce '!I243,Ingreso!$AL$11:$AM$260,2,0),0),0)</f>
        <v/>
      </c>
      <c r="N243" t="e">
        <f t="shared" si="21"/>
        <v>#VALUE!</v>
      </c>
    </row>
    <row r="244" spans="2:14">
      <c r="C244"/>
      <c r="D244" t="s">
        <v>1437</v>
      </c>
      <c r="E244" t="s">
        <v>1474</v>
      </c>
      <c r="F244" t="s">
        <v>1472</v>
      </c>
      <c r="G244" s="55">
        <v>0.30395833333333333</v>
      </c>
      <c r="H244" s="55">
        <v>0.62770833333333331</v>
      </c>
      <c r="I244" s="55" t="str">
        <f t="shared" si="18"/>
        <v>08.618.882-1</v>
      </c>
      <c r="J244" s="55">
        <f t="shared" si="19"/>
        <v>0.32374999999999998</v>
      </c>
      <c r="K244" s="93" t="e">
        <f t="shared" si="20"/>
        <v>#VALUE!</v>
      </c>
      <c r="L244">
        <f>IFERROR(HLOOKUP(D244,Ingreso!$AN$10:$AT$260,VLOOKUP('cruce '!I244,Ingreso!$AL$11:$AM$260,2,0),0),0)</f>
        <v>0</v>
      </c>
      <c r="M244" s="95" t="str">
        <f>IFERROR(HLOOKUP(D244,Ingreso!$AW$10:$BC$260,VLOOKUP('cruce '!I244,Ingreso!$AL$11:$AM$260,2,0),0),0)</f>
        <v/>
      </c>
      <c r="N244" t="e">
        <f t="shared" si="21"/>
        <v>#VALUE!</v>
      </c>
    </row>
    <row r="245" spans="2:14">
      <c r="C245"/>
      <c r="D245" t="s">
        <v>1438</v>
      </c>
      <c r="E245" t="s">
        <v>1474</v>
      </c>
      <c r="F245" t="s">
        <v>1472</v>
      </c>
      <c r="G245" s="55">
        <v>0.3044560185185185</v>
      </c>
      <c r="H245" s="55">
        <v>0.62843749999999998</v>
      </c>
      <c r="I245" s="55" t="str">
        <f t="shared" si="18"/>
        <v>08.618.882-1</v>
      </c>
      <c r="J245" s="55">
        <f t="shared" si="19"/>
        <v>0.32398148148148148</v>
      </c>
      <c r="K245" s="93" t="e">
        <f t="shared" si="20"/>
        <v>#VALUE!</v>
      </c>
      <c r="L245">
        <f>IFERROR(HLOOKUP(D245,Ingreso!$AN$10:$AT$260,VLOOKUP('cruce '!I245,Ingreso!$AL$11:$AM$260,2,0),0),0)</f>
        <v>0</v>
      </c>
      <c r="M245" s="95" t="str">
        <f>IFERROR(HLOOKUP(D245,Ingreso!$AW$10:$BC$260,VLOOKUP('cruce '!I245,Ingreso!$AL$11:$AM$260,2,0),0),0)</f>
        <v/>
      </c>
      <c r="N245" t="e">
        <f t="shared" si="21"/>
        <v>#VALUE!</v>
      </c>
    </row>
    <row r="246" spans="2:14">
      <c r="C246"/>
      <c r="D246" t="s">
        <v>1439</v>
      </c>
      <c r="E246" t="s">
        <v>1474</v>
      </c>
      <c r="F246" t="s">
        <v>1472</v>
      </c>
      <c r="G246" s="55">
        <v>0.31293981481481481</v>
      </c>
      <c r="H246" s="55">
        <v>0.62672453703703701</v>
      </c>
      <c r="I246" s="55" t="str">
        <f t="shared" si="18"/>
        <v>08.618.882-1</v>
      </c>
      <c r="J246" s="55">
        <f t="shared" si="19"/>
        <v>0.3137847222222222</v>
      </c>
      <c r="K246" s="93" t="e">
        <f t="shared" si="20"/>
        <v>#VALUE!</v>
      </c>
      <c r="L246">
        <f>IFERROR(HLOOKUP(D246,Ingreso!$AN$10:$AT$260,VLOOKUP('cruce '!I246,Ingreso!$AL$11:$AM$260,2,0),0),0)</f>
        <v>0</v>
      </c>
      <c r="M246" s="95" t="str">
        <f>IFERROR(HLOOKUP(D246,Ingreso!$AW$10:$BC$260,VLOOKUP('cruce '!I246,Ingreso!$AL$11:$AM$260,2,0),0),0)</f>
        <v/>
      </c>
      <c r="N246" t="e">
        <f t="shared" si="21"/>
        <v>#VALUE!</v>
      </c>
    </row>
    <row r="247" spans="2:14">
      <c r="B247" t="s">
        <v>916</v>
      </c>
      <c r="C247" t="s">
        <v>919</v>
      </c>
      <c r="D247" t="s">
        <v>1440</v>
      </c>
      <c r="E247" t="s">
        <v>4</v>
      </c>
      <c r="F247" s="78">
        <v>0.3125</v>
      </c>
      <c r="G247" s="55">
        <v>0.30009259259259258</v>
      </c>
      <c r="H247" s="55">
        <v>0.81148148148148147</v>
      </c>
      <c r="I247" s="55" t="str">
        <f t="shared" si="18"/>
        <v>08.634.737-7</v>
      </c>
      <c r="J247" s="55">
        <f t="shared" si="19"/>
        <v>0.51138888888888889</v>
      </c>
      <c r="K247" s="93">
        <f t="shared" si="20"/>
        <v>4.7733333333333334</v>
      </c>
      <c r="L247">
        <f>IFERROR(HLOOKUP(D247,Ingreso!$AN$10:$AT$260,VLOOKUP('cruce '!I247,Ingreso!$AL$11:$AM$260,2,0),0),0)</f>
        <v>0</v>
      </c>
      <c r="M247" s="95" t="str">
        <f>IFERROR(HLOOKUP(D247,Ingreso!$AW$10:$BC$260,VLOOKUP('cruce '!I247,Ingreso!$AL$11:$AM$260,2,0),0),0)</f>
        <v/>
      </c>
      <c r="N247" t="str">
        <f t="shared" si="21"/>
        <v>Revisar</v>
      </c>
    </row>
    <row r="248" spans="2:14">
      <c r="C248"/>
      <c r="D248" t="s">
        <v>1441</v>
      </c>
      <c r="E248" t="s">
        <v>4</v>
      </c>
      <c r="F248" s="78">
        <v>0.3125</v>
      </c>
      <c r="G248" s="55">
        <v>0.30116898148148147</v>
      </c>
      <c r="H248" s="55">
        <v>0.62778935185185192</v>
      </c>
      <c r="I248" s="55" t="str">
        <f t="shared" si="18"/>
        <v>08.634.737-7</v>
      </c>
      <c r="J248" s="55">
        <f t="shared" si="19"/>
        <v>0.32662037037037045</v>
      </c>
      <c r="K248" s="93">
        <f t="shared" si="20"/>
        <v>0.33888888888889035</v>
      </c>
      <c r="L248">
        <f>IFERROR(HLOOKUP(D248,Ingreso!$AN$10:$AT$260,VLOOKUP('cruce '!I248,Ingreso!$AL$11:$AM$260,2,0),0),0)</f>
        <v>0</v>
      </c>
      <c r="M248" s="95" t="str">
        <f>IFERROR(HLOOKUP(D248,Ingreso!$AW$10:$BC$260,VLOOKUP('cruce '!I248,Ingreso!$AL$11:$AM$260,2,0),0),0)</f>
        <v/>
      </c>
      <c r="N248" t="str">
        <f t="shared" si="21"/>
        <v>OK</v>
      </c>
    </row>
    <row r="249" spans="2:14">
      <c r="C249"/>
      <c r="D249" t="s">
        <v>1437</v>
      </c>
      <c r="E249" t="s">
        <v>4</v>
      </c>
      <c r="F249" s="78">
        <v>0.3125</v>
      </c>
      <c r="G249" s="55">
        <v>0.29670138888888892</v>
      </c>
      <c r="H249" s="55">
        <v>0.63105324074074076</v>
      </c>
      <c r="I249" s="55" t="str">
        <f t="shared" si="18"/>
        <v>08.634.737-7</v>
      </c>
      <c r="J249" s="55">
        <f t="shared" si="19"/>
        <v>0.33435185185185184</v>
      </c>
      <c r="K249" s="93">
        <f t="shared" si="20"/>
        <v>0.52444444444444471</v>
      </c>
      <c r="L249">
        <f>IFERROR(HLOOKUP(D249,Ingreso!$AN$10:$AT$260,VLOOKUP('cruce '!I249,Ingreso!$AL$11:$AM$260,2,0),0),0)</f>
        <v>0</v>
      </c>
      <c r="M249" s="95" t="str">
        <f>IFERROR(HLOOKUP(D249,Ingreso!$AW$10:$BC$260,VLOOKUP('cruce '!I249,Ingreso!$AL$11:$AM$260,2,0),0),0)</f>
        <v/>
      </c>
      <c r="N249" t="str">
        <f t="shared" si="21"/>
        <v>OK</v>
      </c>
    </row>
    <row r="250" spans="2:14">
      <c r="C250"/>
      <c r="D250" t="s">
        <v>1438</v>
      </c>
      <c r="E250" t="s">
        <v>4</v>
      </c>
      <c r="F250" s="78">
        <v>0.3125</v>
      </c>
      <c r="G250" s="55">
        <v>0.29623842592592592</v>
      </c>
      <c r="H250" s="55">
        <v>0.62829861111111118</v>
      </c>
      <c r="I250" s="55" t="str">
        <f t="shared" si="18"/>
        <v>08.634.737-7</v>
      </c>
      <c r="J250" s="55">
        <f t="shared" si="19"/>
        <v>0.33206018518518526</v>
      </c>
      <c r="K250" s="93">
        <f t="shared" si="20"/>
        <v>0.46944444444444677</v>
      </c>
      <c r="L250">
        <f>IFERROR(HLOOKUP(D250,Ingreso!$AN$10:$AT$260,VLOOKUP('cruce '!I250,Ingreso!$AL$11:$AM$260,2,0),0),0)</f>
        <v>0</v>
      </c>
      <c r="M250" s="95" t="str">
        <f>IFERROR(HLOOKUP(D250,Ingreso!$AW$10:$BC$260,VLOOKUP('cruce '!I250,Ingreso!$AL$11:$AM$260,2,0),0),0)</f>
        <v/>
      </c>
      <c r="N250" t="str">
        <f t="shared" si="21"/>
        <v>OK</v>
      </c>
    </row>
    <row r="251" spans="2:14">
      <c r="C251"/>
      <c r="D251" t="s">
        <v>1439</v>
      </c>
      <c r="E251" t="s">
        <v>4</v>
      </c>
      <c r="F251" s="78">
        <v>0.3125</v>
      </c>
      <c r="G251" s="55">
        <v>0.301724537037037</v>
      </c>
      <c r="H251" s="55">
        <v>0.81633101851851853</v>
      </c>
      <c r="I251" s="55" t="str">
        <f t="shared" si="18"/>
        <v>08.634.737-7</v>
      </c>
      <c r="J251" s="55">
        <f t="shared" si="19"/>
        <v>0.51460648148148147</v>
      </c>
      <c r="K251" s="93">
        <f t="shared" si="20"/>
        <v>4.8505555555555553</v>
      </c>
      <c r="L251">
        <f>IFERROR(HLOOKUP(D251,Ingreso!$AN$10:$AT$260,VLOOKUP('cruce '!I251,Ingreso!$AL$11:$AM$260,2,0),0),0)</f>
        <v>4.5</v>
      </c>
      <c r="M251" s="95">
        <f>IFERROR(HLOOKUP(D251,Ingreso!$AW$10:$BC$260,VLOOKUP('cruce '!I251,Ingreso!$AL$11:$AM$260,2,0),0),0)</f>
        <v>0.5</v>
      </c>
      <c r="N251" t="str">
        <f t="shared" si="21"/>
        <v>OK</v>
      </c>
    </row>
    <row r="252" spans="2:14">
      <c r="B252" t="s">
        <v>402</v>
      </c>
      <c r="C252" t="s">
        <v>405</v>
      </c>
      <c r="D252" t="s">
        <v>1440</v>
      </c>
      <c r="E252" t="s">
        <v>4</v>
      </c>
      <c r="F252" s="78">
        <v>0.3125</v>
      </c>
      <c r="G252" s="55">
        <v>0.29131944444444446</v>
      </c>
      <c r="H252" s="55">
        <v>0.64547453703703705</v>
      </c>
      <c r="I252" s="55" t="str">
        <f t="shared" si="18"/>
        <v>08.733.235-7</v>
      </c>
      <c r="J252" s="55">
        <f t="shared" si="19"/>
        <v>0.35415509259259259</v>
      </c>
      <c r="K252" s="93">
        <f t="shared" si="20"/>
        <v>0.99972222222222129</v>
      </c>
      <c r="L252">
        <f>IFERROR(HLOOKUP(D252,Ingreso!$AN$10:$AT$260,VLOOKUP('cruce '!I252,Ingreso!$AL$11:$AM$260,2,0),0),0)</f>
        <v>0</v>
      </c>
      <c r="M252" s="95">
        <f>IFERROR(HLOOKUP(D252,Ingreso!$AW$10:$BC$260,VLOOKUP('cruce '!I252,Ingreso!$AL$11:$AM$260,2,0),0),0)</f>
        <v>0</v>
      </c>
      <c r="N252" t="str">
        <f t="shared" si="21"/>
        <v>OK</v>
      </c>
    </row>
    <row r="253" spans="2:14">
      <c r="C253"/>
      <c r="D253" t="s">
        <v>1441</v>
      </c>
      <c r="E253" t="s">
        <v>4</v>
      </c>
      <c r="F253" s="78">
        <v>0.3125</v>
      </c>
      <c r="G253" s="55">
        <v>0.29222222222222222</v>
      </c>
      <c r="H253" s="55">
        <v>0.63596064814814812</v>
      </c>
      <c r="I253" s="55" t="str">
        <f t="shared" si="18"/>
        <v>08.733.235-7</v>
      </c>
      <c r="J253" s="55">
        <f t="shared" si="19"/>
        <v>0.34373842592592591</v>
      </c>
      <c r="K253" s="93">
        <f t="shared" si="20"/>
        <v>0.74972222222222129</v>
      </c>
      <c r="L253">
        <f>IFERROR(HLOOKUP(D253,Ingreso!$AN$10:$AT$260,VLOOKUP('cruce '!I253,Ingreso!$AL$11:$AM$260,2,0),0),0)</f>
        <v>0</v>
      </c>
      <c r="M253" s="95">
        <f>IFERROR(HLOOKUP(D253,Ingreso!$AW$10:$BC$260,VLOOKUP('cruce '!I253,Ingreso!$AL$11:$AM$260,2,0),0),0)</f>
        <v>0</v>
      </c>
      <c r="N253" t="str">
        <f t="shared" si="21"/>
        <v>OK</v>
      </c>
    </row>
    <row r="254" spans="2:14">
      <c r="C254"/>
      <c r="D254" t="s">
        <v>1437</v>
      </c>
      <c r="E254" t="s">
        <v>4</v>
      </c>
      <c r="F254" s="78">
        <v>0.3125</v>
      </c>
      <c r="G254" s="55">
        <v>0.29592592592592593</v>
      </c>
      <c r="H254" s="55">
        <v>0.63930555555555557</v>
      </c>
      <c r="I254" s="55" t="str">
        <f t="shared" si="18"/>
        <v>08.733.235-7</v>
      </c>
      <c r="J254" s="55">
        <f t="shared" si="19"/>
        <v>0.34337962962962965</v>
      </c>
      <c r="K254" s="93">
        <f t="shared" si="20"/>
        <v>0.7411111111111115</v>
      </c>
      <c r="L254">
        <f>IFERROR(HLOOKUP(D254,Ingreso!$AN$10:$AT$260,VLOOKUP('cruce '!I254,Ingreso!$AL$11:$AM$260,2,0),0),0)</f>
        <v>0</v>
      </c>
      <c r="M254" s="95">
        <f>IFERROR(HLOOKUP(D254,Ingreso!$AW$10:$BC$260,VLOOKUP('cruce '!I254,Ingreso!$AL$11:$AM$260,2,0),0),0)</f>
        <v>0</v>
      </c>
      <c r="N254" t="str">
        <f t="shared" si="21"/>
        <v>OK</v>
      </c>
    </row>
    <row r="255" spans="2:14">
      <c r="C255"/>
      <c r="D255" t="s">
        <v>1438</v>
      </c>
      <c r="E255" t="s">
        <v>4</v>
      </c>
      <c r="F255" s="78">
        <v>0.3125</v>
      </c>
      <c r="G255" s="55">
        <v>0.29188657407407409</v>
      </c>
      <c r="H255" s="55">
        <v>0.63438657407407406</v>
      </c>
      <c r="I255" s="55" t="str">
        <f t="shared" ref="I255:I318" si="22">IF(B255="",I254,B255)</f>
        <v>08.733.235-7</v>
      </c>
      <c r="J255" s="55">
        <f t="shared" ref="J255:J318" si="23">IF(G255&gt;H255,(H255+0.5)-(G255-0.5),H255-G255)</f>
        <v>0.34249999999999997</v>
      </c>
      <c r="K255" s="93">
        <f t="shared" ref="K255:K318" si="24">(J255*24)-(F255*24)</f>
        <v>0.71999999999999886</v>
      </c>
      <c r="L255">
        <f>IFERROR(HLOOKUP(D255,Ingreso!$AN$10:$AT$260,VLOOKUP('cruce '!I255,Ingreso!$AL$11:$AM$260,2,0),0),0)</f>
        <v>0</v>
      </c>
      <c r="M255" s="95">
        <f>IFERROR(HLOOKUP(D255,Ingreso!$AW$10:$BC$260,VLOOKUP('cruce '!I255,Ingreso!$AL$11:$AM$260,2,0),0),0)</f>
        <v>0</v>
      </c>
      <c r="N255" t="str">
        <f t="shared" ref="N255:N318" si="25">IF((K255-L255)&gt;1,"Revisar",IF((K255-L255)&lt;-1,"Revisar","OK"))</f>
        <v>OK</v>
      </c>
    </row>
    <row r="256" spans="2:14">
      <c r="C256"/>
      <c r="D256" t="s">
        <v>1439</v>
      </c>
      <c r="E256" t="s">
        <v>4</v>
      </c>
      <c r="F256" s="78">
        <v>0.3125</v>
      </c>
      <c r="G256" s="55">
        <v>0.2925462962962963</v>
      </c>
      <c r="H256" s="55">
        <v>0.6392592592592593</v>
      </c>
      <c r="I256" s="55" t="str">
        <f t="shared" si="22"/>
        <v>08.733.235-7</v>
      </c>
      <c r="J256" s="55">
        <f t="shared" si="23"/>
        <v>0.346712962962963</v>
      </c>
      <c r="K256" s="93">
        <f t="shared" si="24"/>
        <v>0.82111111111111157</v>
      </c>
      <c r="L256">
        <f>IFERROR(HLOOKUP(D256,Ingreso!$AN$10:$AT$260,VLOOKUP('cruce '!I256,Ingreso!$AL$11:$AM$260,2,0),0),0)</f>
        <v>0</v>
      </c>
      <c r="M256" s="95">
        <f>IFERROR(HLOOKUP(D256,Ingreso!$AW$10:$BC$260,VLOOKUP('cruce '!I256,Ingreso!$AL$11:$AM$260,2,0),0),0)</f>
        <v>0</v>
      </c>
      <c r="N256" t="str">
        <f t="shared" si="25"/>
        <v>OK</v>
      </c>
    </row>
    <row r="257" spans="2:14">
      <c r="B257" t="s">
        <v>520</v>
      </c>
      <c r="C257" t="s">
        <v>524</v>
      </c>
      <c r="D257" t="s">
        <v>1440</v>
      </c>
      <c r="E257" t="s">
        <v>1323</v>
      </c>
      <c r="F257" s="78">
        <v>0.375</v>
      </c>
      <c r="G257" s="55">
        <v>0.91913194444444446</v>
      </c>
      <c r="H257" s="55">
        <v>0.32254629629629633</v>
      </c>
      <c r="I257" s="55" t="str">
        <f t="shared" si="22"/>
        <v>08.771.787-9</v>
      </c>
      <c r="J257" s="55">
        <f t="shared" si="23"/>
        <v>0.40341435185185193</v>
      </c>
      <c r="K257" s="93">
        <f t="shared" si="24"/>
        <v>0.68194444444444713</v>
      </c>
      <c r="L257">
        <f>IFERROR(HLOOKUP(D257,Ingreso!$AN$10:$AT$260,VLOOKUP('cruce '!I257,Ingreso!$AL$11:$AM$260,2,0),0),0)</f>
        <v>0</v>
      </c>
      <c r="M257" s="95">
        <f>IFERROR(HLOOKUP(D257,Ingreso!$AW$10:$BC$260,VLOOKUP('cruce '!I257,Ingreso!$AL$11:$AM$260,2,0),0),0)</f>
        <v>0</v>
      </c>
      <c r="N257" t="str">
        <f t="shared" si="25"/>
        <v>OK</v>
      </c>
    </row>
    <row r="258" spans="2:14">
      <c r="C258"/>
      <c r="D258" t="s">
        <v>1441</v>
      </c>
      <c r="E258" t="s">
        <v>1323</v>
      </c>
      <c r="F258" s="78">
        <v>0.375</v>
      </c>
      <c r="G258" s="55"/>
      <c r="H258" s="55">
        <v>0.32374999999999998</v>
      </c>
      <c r="I258" s="55" t="str">
        <f t="shared" si="22"/>
        <v>08.771.787-9</v>
      </c>
      <c r="J258" s="55">
        <f t="shared" si="23"/>
        <v>0.32374999999999998</v>
      </c>
      <c r="K258" s="93">
        <f t="shared" si="24"/>
        <v>-1.2300000000000004</v>
      </c>
      <c r="L258">
        <f>IFERROR(HLOOKUP(D258,Ingreso!$AN$10:$AT$260,VLOOKUP('cruce '!I258,Ingreso!$AL$11:$AM$260,2,0),0),0)</f>
        <v>0</v>
      </c>
      <c r="M258" s="95">
        <f>IFERROR(HLOOKUP(D258,Ingreso!$AW$10:$BC$260,VLOOKUP('cruce '!I258,Ingreso!$AL$11:$AM$260,2,0),0),0)</f>
        <v>0</v>
      </c>
      <c r="N258" t="str">
        <f t="shared" si="25"/>
        <v>Revisar</v>
      </c>
    </row>
    <row r="259" spans="2:14">
      <c r="C259"/>
      <c r="D259" t="s">
        <v>1437</v>
      </c>
      <c r="E259" t="s">
        <v>1323</v>
      </c>
      <c r="F259" s="78">
        <v>0.375</v>
      </c>
      <c r="G259" s="55">
        <v>0.91930555555555549</v>
      </c>
      <c r="H259" s="55"/>
      <c r="I259" s="55" t="str">
        <f t="shared" si="22"/>
        <v>08.771.787-9</v>
      </c>
      <c r="J259" s="55">
        <f t="shared" si="23"/>
        <v>8.0694444444444513E-2</v>
      </c>
      <c r="K259" s="93">
        <f t="shared" si="24"/>
        <v>-7.0633333333333317</v>
      </c>
      <c r="L259">
        <f>IFERROR(HLOOKUP(D259,Ingreso!$AN$10:$AT$260,VLOOKUP('cruce '!I259,Ingreso!$AL$11:$AM$260,2,0),0),0)</f>
        <v>0</v>
      </c>
      <c r="M259" s="95">
        <f>IFERROR(HLOOKUP(D259,Ingreso!$AW$10:$BC$260,VLOOKUP('cruce '!I259,Ingreso!$AL$11:$AM$260,2,0),0),0)</f>
        <v>0</v>
      </c>
      <c r="N259" t="str">
        <f t="shared" si="25"/>
        <v>Revisar</v>
      </c>
    </row>
    <row r="260" spans="2:14">
      <c r="C260"/>
      <c r="D260" t="s">
        <v>1438</v>
      </c>
      <c r="E260" t="s">
        <v>1323</v>
      </c>
      <c r="F260" s="78">
        <v>0.375</v>
      </c>
      <c r="G260" s="55">
        <v>0.91861111111111116</v>
      </c>
      <c r="H260" s="55">
        <v>0.31700231481481483</v>
      </c>
      <c r="I260" s="55" t="str">
        <f t="shared" si="22"/>
        <v>08.771.787-9</v>
      </c>
      <c r="J260" s="55">
        <f t="shared" si="23"/>
        <v>0.39839120370370373</v>
      </c>
      <c r="K260" s="93">
        <f t="shared" si="24"/>
        <v>0.56138888888888872</v>
      </c>
      <c r="L260">
        <f>IFERROR(HLOOKUP(D260,Ingreso!$AN$10:$AT$260,VLOOKUP('cruce '!I260,Ingreso!$AL$11:$AM$260,2,0),0),0)</f>
        <v>0</v>
      </c>
      <c r="M260" s="95">
        <f>IFERROR(HLOOKUP(D260,Ingreso!$AW$10:$BC$260,VLOOKUP('cruce '!I260,Ingreso!$AL$11:$AM$260,2,0),0),0)</f>
        <v>0</v>
      </c>
      <c r="N260" t="str">
        <f t="shared" si="25"/>
        <v>OK</v>
      </c>
    </row>
    <row r="261" spans="2:14">
      <c r="C261"/>
      <c r="D261" t="s">
        <v>1439</v>
      </c>
      <c r="E261" t="s">
        <v>1323</v>
      </c>
      <c r="F261" s="78">
        <v>0.375</v>
      </c>
      <c r="G261" s="55">
        <v>0.91862268518518519</v>
      </c>
      <c r="H261" s="55">
        <v>0.32217592592592592</v>
      </c>
      <c r="I261" s="55" t="str">
        <f t="shared" si="22"/>
        <v>08.771.787-9</v>
      </c>
      <c r="J261" s="55">
        <f t="shared" si="23"/>
        <v>0.40355324074074073</v>
      </c>
      <c r="K261" s="93">
        <f t="shared" si="24"/>
        <v>0.68527777777777743</v>
      </c>
      <c r="L261">
        <f>IFERROR(HLOOKUP(D261,Ingreso!$AN$10:$AT$260,VLOOKUP('cruce '!I261,Ingreso!$AL$11:$AM$260,2,0),0),0)</f>
        <v>0</v>
      </c>
      <c r="M261" s="95">
        <f>IFERROR(HLOOKUP(D261,Ingreso!$AW$10:$BC$260,VLOOKUP('cruce '!I261,Ingreso!$AL$11:$AM$260,2,0),0),0)</f>
        <v>0</v>
      </c>
      <c r="N261" t="str">
        <f t="shared" si="25"/>
        <v>OK</v>
      </c>
    </row>
    <row r="262" spans="2:14">
      <c r="B262" t="s">
        <v>38</v>
      </c>
      <c r="C262" t="s">
        <v>42</v>
      </c>
      <c r="D262" t="s">
        <v>1440</v>
      </c>
      <c r="E262" t="s">
        <v>1323</v>
      </c>
      <c r="F262" s="78">
        <v>0.375</v>
      </c>
      <c r="G262" s="55">
        <v>0.91429398148148155</v>
      </c>
      <c r="H262" s="55">
        <v>0.32313657407407409</v>
      </c>
      <c r="I262" s="55" t="str">
        <f t="shared" si="22"/>
        <v>08.809.784-K</v>
      </c>
      <c r="J262" s="55">
        <f t="shared" si="23"/>
        <v>0.40884259259259259</v>
      </c>
      <c r="K262" s="93">
        <f t="shared" si="24"/>
        <v>0.81222222222222129</v>
      </c>
      <c r="L262">
        <f>IFERROR(HLOOKUP(D262,Ingreso!$AN$10:$AT$260,VLOOKUP('cruce '!I262,Ingreso!$AL$11:$AM$260,2,0),0),0)</f>
        <v>0</v>
      </c>
      <c r="M262" s="95">
        <f>IFERROR(HLOOKUP(D262,Ingreso!$AW$10:$BC$260,VLOOKUP('cruce '!I262,Ingreso!$AL$11:$AM$260,2,0),0),0)</f>
        <v>0</v>
      </c>
      <c r="N262" t="str">
        <f t="shared" si="25"/>
        <v>OK</v>
      </c>
    </row>
    <row r="263" spans="2:14">
      <c r="C263"/>
      <c r="D263" t="s">
        <v>1441</v>
      </c>
      <c r="E263" t="s">
        <v>1323</v>
      </c>
      <c r="F263" s="78">
        <v>0.375</v>
      </c>
      <c r="G263" s="55"/>
      <c r="H263" s="55">
        <v>0.32120370370370371</v>
      </c>
      <c r="I263" s="55" t="str">
        <f t="shared" si="22"/>
        <v>08.809.784-K</v>
      </c>
      <c r="J263" s="55">
        <f t="shared" si="23"/>
        <v>0.32120370370370371</v>
      </c>
      <c r="K263" s="93">
        <f t="shared" si="24"/>
        <v>-1.2911111111111104</v>
      </c>
      <c r="L263">
        <f>IFERROR(HLOOKUP(D263,Ingreso!$AN$10:$AT$260,VLOOKUP('cruce '!I263,Ingreso!$AL$11:$AM$260,2,0),0),0)</f>
        <v>0</v>
      </c>
      <c r="M263" s="95">
        <f>IFERROR(HLOOKUP(D263,Ingreso!$AW$10:$BC$260,VLOOKUP('cruce '!I263,Ingreso!$AL$11:$AM$260,2,0),0),0)</f>
        <v>0</v>
      </c>
      <c r="N263" t="str">
        <f t="shared" si="25"/>
        <v>Revisar</v>
      </c>
    </row>
    <row r="264" spans="2:14">
      <c r="C264"/>
      <c r="D264" t="s">
        <v>1436</v>
      </c>
      <c r="E264" t="s">
        <v>1473</v>
      </c>
      <c r="F264" t="s">
        <v>1472</v>
      </c>
      <c r="G264" s="55">
        <v>0.98420138888888886</v>
      </c>
      <c r="H264" s="55"/>
      <c r="I264" s="55" t="str">
        <f t="shared" si="22"/>
        <v>08.809.784-K</v>
      </c>
      <c r="J264" s="55">
        <f t="shared" si="23"/>
        <v>1.5798611111111138E-2</v>
      </c>
      <c r="K264" s="93" t="e">
        <f t="shared" si="24"/>
        <v>#VALUE!</v>
      </c>
      <c r="L264">
        <f>IFERROR(HLOOKUP(D264,Ingreso!$AN$10:$AT$260,VLOOKUP('cruce '!I264,Ingreso!$AL$11:$AM$260,2,0),0),0)</f>
        <v>0</v>
      </c>
      <c r="M264" s="95">
        <f>IFERROR(HLOOKUP(D264,Ingreso!$AW$10:$BC$260,VLOOKUP('cruce '!I264,Ingreso!$AL$11:$AM$260,2,0),0),0)</f>
        <v>0</v>
      </c>
      <c r="N264" t="e">
        <f t="shared" si="25"/>
        <v>#VALUE!</v>
      </c>
    </row>
    <row r="265" spans="2:14">
      <c r="C265"/>
      <c r="D265" t="s">
        <v>1437</v>
      </c>
      <c r="E265" t="s">
        <v>1323</v>
      </c>
      <c r="F265" s="78">
        <v>0.375</v>
      </c>
      <c r="G265" s="55">
        <v>0.91973379629629637</v>
      </c>
      <c r="H265" s="55">
        <v>0.32042824074074078</v>
      </c>
      <c r="I265" s="55" t="str">
        <f t="shared" si="22"/>
        <v>08.809.784-K</v>
      </c>
      <c r="J265" s="55">
        <f t="shared" si="23"/>
        <v>0.40069444444444446</v>
      </c>
      <c r="K265" s="93">
        <f t="shared" si="24"/>
        <v>0.61666666666666714</v>
      </c>
      <c r="L265">
        <f>IFERROR(HLOOKUP(D265,Ingreso!$AN$10:$AT$260,VLOOKUP('cruce '!I265,Ingreso!$AL$11:$AM$260,2,0),0),0)</f>
        <v>0</v>
      </c>
      <c r="M265" s="95">
        <f>IFERROR(HLOOKUP(D265,Ingreso!$AW$10:$BC$260,VLOOKUP('cruce '!I265,Ingreso!$AL$11:$AM$260,2,0),0),0)</f>
        <v>0</v>
      </c>
      <c r="N265" t="str">
        <f t="shared" si="25"/>
        <v>OK</v>
      </c>
    </row>
    <row r="266" spans="2:14">
      <c r="C266"/>
      <c r="D266" t="s">
        <v>1438</v>
      </c>
      <c r="E266" t="s">
        <v>1323</v>
      </c>
      <c r="F266" s="78">
        <v>0.375</v>
      </c>
      <c r="G266" s="55">
        <v>0.92054398148148142</v>
      </c>
      <c r="H266" s="55">
        <v>0.32219907407407405</v>
      </c>
      <c r="I266" s="55" t="str">
        <f t="shared" si="22"/>
        <v>08.809.784-K</v>
      </c>
      <c r="J266" s="55">
        <f t="shared" si="23"/>
        <v>0.40165509259259269</v>
      </c>
      <c r="K266" s="93">
        <f t="shared" si="24"/>
        <v>0.63972222222222541</v>
      </c>
      <c r="L266">
        <f>IFERROR(HLOOKUP(D266,Ingreso!$AN$10:$AT$260,VLOOKUP('cruce '!I266,Ingreso!$AL$11:$AM$260,2,0),0),0)</f>
        <v>0</v>
      </c>
      <c r="M266" s="95">
        <f>IFERROR(HLOOKUP(D266,Ingreso!$AW$10:$BC$260,VLOOKUP('cruce '!I266,Ingreso!$AL$11:$AM$260,2,0),0),0)</f>
        <v>0</v>
      </c>
      <c r="N266" t="str">
        <f t="shared" si="25"/>
        <v>OK</v>
      </c>
    </row>
    <row r="267" spans="2:14">
      <c r="C267"/>
      <c r="D267" t="s">
        <v>1439</v>
      </c>
      <c r="E267" t="s">
        <v>1323</v>
      </c>
      <c r="F267" s="78">
        <v>0.375</v>
      </c>
      <c r="G267" s="55">
        <v>0.91913194444444446</v>
      </c>
      <c r="H267" s="55">
        <v>0.32295138888888891</v>
      </c>
      <c r="I267" s="55" t="str">
        <f t="shared" si="22"/>
        <v>08.809.784-K</v>
      </c>
      <c r="J267" s="55">
        <f t="shared" si="23"/>
        <v>0.4038194444444444</v>
      </c>
      <c r="K267" s="93">
        <f t="shared" si="24"/>
        <v>0.69166666666666643</v>
      </c>
      <c r="L267">
        <f>IFERROR(HLOOKUP(D267,Ingreso!$AN$10:$AT$260,VLOOKUP('cruce '!I267,Ingreso!$AL$11:$AM$260,2,0),0),0)</f>
        <v>0</v>
      </c>
      <c r="M267" s="95">
        <f>IFERROR(HLOOKUP(D267,Ingreso!$AW$10:$BC$260,VLOOKUP('cruce '!I267,Ingreso!$AL$11:$AM$260,2,0),0),0)</f>
        <v>0</v>
      </c>
      <c r="N267" t="str">
        <f t="shared" si="25"/>
        <v>OK</v>
      </c>
    </row>
    <row r="268" spans="2:14">
      <c r="B268" t="s">
        <v>1069</v>
      </c>
      <c r="C268" t="s">
        <v>1072</v>
      </c>
      <c r="D268" t="s">
        <v>1440</v>
      </c>
      <c r="E268" t="s">
        <v>4</v>
      </c>
      <c r="F268" s="78">
        <v>0.3125</v>
      </c>
      <c r="G268" s="55">
        <v>0.29457175925925927</v>
      </c>
      <c r="H268" s="55">
        <v>0.63792824074074073</v>
      </c>
      <c r="I268" s="55" t="str">
        <f t="shared" si="22"/>
        <v>08.881.760-5</v>
      </c>
      <c r="J268" s="55">
        <f t="shared" si="23"/>
        <v>0.34335648148148146</v>
      </c>
      <c r="K268" s="93">
        <f t="shared" si="24"/>
        <v>0.74055555555555586</v>
      </c>
      <c r="L268">
        <f>IFERROR(HLOOKUP(D268,Ingreso!$AN$10:$AT$260,VLOOKUP('cruce '!I268,Ingreso!$AL$11:$AM$260,2,0),0),0)</f>
        <v>0</v>
      </c>
      <c r="M268" s="95">
        <f>IFERROR(HLOOKUP(D268,Ingreso!$AW$10:$BC$260,VLOOKUP('cruce '!I268,Ingreso!$AL$11:$AM$260,2,0),0),0)</f>
        <v>0</v>
      </c>
      <c r="N268" t="str">
        <f t="shared" si="25"/>
        <v>OK</v>
      </c>
    </row>
    <row r="269" spans="2:14">
      <c r="C269"/>
      <c r="D269" t="s">
        <v>1441</v>
      </c>
      <c r="E269" t="s">
        <v>4</v>
      </c>
      <c r="F269" s="78">
        <v>0.3125</v>
      </c>
      <c r="G269" s="55">
        <v>0.29431712962962964</v>
      </c>
      <c r="H269" s="55">
        <v>0.63908564814814817</v>
      </c>
      <c r="I269" s="55" t="str">
        <f t="shared" si="22"/>
        <v>08.881.760-5</v>
      </c>
      <c r="J269" s="55">
        <f t="shared" si="23"/>
        <v>0.34476851851851853</v>
      </c>
      <c r="K269" s="93">
        <f t="shared" si="24"/>
        <v>0.77444444444444471</v>
      </c>
      <c r="L269">
        <f>IFERROR(HLOOKUP(D269,Ingreso!$AN$10:$AT$260,VLOOKUP('cruce '!I269,Ingreso!$AL$11:$AM$260,2,0),0),0)</f>
        <v>0</v>
      </c>
      <c r="M269" s="95">
        <f>IFERROR(HLOOKUP(D269,Ingreso!$AW$10:$BC$260,VLOOKUP('cruce '!I269,Ingreso!$AL$11:$AM$260,2,0),0),0)</f>
        <v>0</v>
      </c>
      <c r="N269" t="str">
        <f t="shared" si="25"/>
        <v>OK</v>
      </c>
    </row>
    <row r="270" spans="2:14">
      <c r="C270"/>
      <c r="D270" t="s">
        <v>1442</v>
      </c>
      <c r="E270" t="s">
        <v>1473</v>
      </c>
      <c r="F270" t="s">
        <v>1472</v>
      </c>
      <c r="G270" s="55">
        <v>0.99812499999999993</v>
      </c>
      <c r="H270" s="55"/>
      <c r="I270" s="55" t="str">
        <f t="shared" si="22"/>
        <v>08.881.760-5</v>
      </c>
      <c r="J270" s="55">
        <f t="shared" si="23"/>
        <v>1.8750000000000711E-3</v>
      </c>
      <c r="K270" s="93" t="e">
        <f t="shared" si="24"/>
        <v>#VALUE!</v>
      </c>
      <c r="L270">
        <f>IFERROR(HLOOKUP(D270,Ingreso!$AN$10:$AT$260,VLOOKUP('cruce '!I270,Ingreso!$AL$11:$AM$260,2,0),0),0)</f>
        <v>0</v>
      </c>
      <c r="M270" s="95">
        <f>IFERROR(HLOOKUP(D270,Ingreso!$AW$10:$BC$260,VLOOKUP('cruce '!I270,Ingreso!$AL$11:$AM$260,2,0),0),0)</f>
        <v>0</v>
      </c>
      <c r="N270" t="e">
        <f t="shared" si="25"/>
        <v>#VALUE!</v>
      </c>
    </row>
    <row r="271" spans="2:14">
      <c r="C271"/>
      <c r="D271" t="s">
        <v>1437</v>
      </c>
      <c r="E271" t="s">
        <v>4</v>
      </c>
      <c r="F271" s="78">
        <v>0.3125</v>
      </c>
      <c r="G271" s="55">
        <v>0.29319444444444448</v>
      </c>
      <c r="H271" s="55">
        <v>0.6383564814814815</v>
      </c>
      <c r="I271" s="55" t="str">
        <f t="shared" si="22"/>
        <v>08.881.760-5</v>
      </c>
      <c r="J271" s="55">
        <f t="shared" si="23"/>
        <v>0.34516203703703702</v>
      </c>
      <c r="K271" s="93">
        <f t="shared" si="24"/>
        <v>0.78388888888888886</v>
      </c>
      <c r="L271">
        <f>IFERROR(HLOOKUP(D271,Ingreso!$AN$10:$AT$260,VLOOKUP('cruce '!I271,Ingreso!$AL$11:$AM$260,2,0),0),0)</f>
        <v>0</v>
      </c>
      <c r="M271" s="95">
        <f>IFERROR(HLOOKUP(D271,Ingreso!$AW$10:$BC$260,VLOOKUP('cruce '!I271,Ingreso!$AL$11:$AM$260,2,0),0),0)</f>
        <v>0</v>
      </c>
      <c r="N271" t="str">
        <f t="shared" si="25"/>
        <v>OK</v>
      </c>
    </row>
    <row r="272" spans="2:14">
      <c r="C272"/>
      <c r="D272" t="s">
        <v>1438</v>
      </c>
      <c r="E272" t="s">
        <v>4</v>
      </c>
      <c r="F272" s="78">
        <v>0.3125</v>
      </c>
      <c r="G272" s="55">
        <v>0.29412037037037037</v>
      </c>
      <c r="H272" s="55">
        <v>0.63746527777777773</v>
      </c>
      <c r="I272" s="55" t="str">
        <f t="shared" si="22"/>
        <v>08.881.760-5</v>
      </c>
      <c r="J272" s="55">
        <f t="shared" si="23"/>
        <v>0.34334490740740736</v>
      </c>
      <c r="K272" s="93">
        <f t="shared" si="24"/>
        <v>0.74027777777777715</v>
      </c>
      <c r="L272">
        <f>IFERROR(HLOOKUP(D272,Ingreso!$AN$10:$AT$260,VLOOKUP('cruce '!I272,Ingreso!$AL$11:$AM$260,2,0),0),0)</f>
        <v>0</v>
      </c>
      <c r="M272" s="95">
        <f>IFERROR(HLOOKUP(D272,Ingreso!$AW$10:$BC$260,VLOOKUP('cruce '!I272,Ingreso!$AL$11:$AM$260,2,0),0),0)</f>
        <v>0</v>
      </c>
      <c r="N272" t="str">
        <f t="shared" si="25"/>
        <v>OK</v>
      </c>
    </row>
    <row r="273" spans="2:14">
      <c r="C273"/>
      <c r="D273" t="s">
        <v>1439</v>
      </c>
      <c r="E273" t="s">
        <v>4</v>
      </c>
      <c r="F273" s="78">
        <v>0.3125</v>
      </c>
      <c r="G273" s="55">
        <v>0.29444444444444445</v>
      </c>
      <c r="H273" s="55">
        <v>0.63776620370370374</v>
      </c>
      <c r="I273" s="55" t="str">
        <f t="shared" si="22"/>
        <v>08.881.760-5</v>
      </c>
      <c r="J273" s="55">
        <f t="shared" si="23"/>
        <v>0.34332175925925928</v>
      </c>
      <c r="K273" s="93">
        <f t="shared" si="24"/>
        <v>0.73972222222222328</v>
      </c>
      <c r="L273">
        <f>IFERROR(HLOOKUP(D273,Ingreso!$AN$10:$AT$260,VLOOKUP('cruce '!I273,Ingreso!$AL$11:$AM$260,2,0),0),0)</f>
        <v>0</v>
      </c>
      <c r="M273" s="95">
        <f>IFERROR(HLOOKUP(D273,Ingreso!$AW$10:$BC$260,VLOOKUP('cruce '!I273,Ingreso!$AL$11:$AM$260,2,0),0),0)</f>
        <v>0</v>
      </c>
      <c r="N273" t="str">
        <f t="shared" si="25"/>
        <v>OK</v>
      </c>
    </row>
    <row r="274" spans="2:14">
      <c r="B274" t="s">
        <v>464</v>
      </c>
      <c r="C274" t="s">
        <v>466</v>
      </c>
      <c r="D274" t="s">
        <v>1440</v>
      </c>
      <c r="E274" t="s">
        <v>4</v>
      </c>
      <c r="F274" s="78">
        <v>0.3125</v>
      </c>
      <c r="G274" s="55">
        <v>0.29615740740740742</v>
      </c>
      <c r="H274" s="55">
        <v>0.64034722222222229</v>
      </c>
      <c r="I274" s="55" t="str">
        <f t="shared" si="22"/>
        <v>08.962.599-8</v>
      </c>
      <c r="J274" s="55">
        <f t="shared" si="23"/>
        <v>0.34418981481481487</v>
      </c>
      <c r="K274" s="93">
        <f t="shared" si="24"/>
        <v>0.76055555555555721</v>
      </c>
      <c r="L274">
        <f>IFERROR(HLOOKUP(D274,Ingreso!$AN$10:$AT$260,VLOOKUP('cruce '!I274,Ingreso!$AL$11:$AM$260,2,0),0),0)</f>
        <v>0</v>
      </c>
      <c r="M274" s="95">
        <f>IFERROR(HLOOKUP(D274,Ingreso!$AW$10:$BC$260,VLOOKUP('cruce '!I274,Ingreso!$AL$11:$AM$260,2,0),0),0)</f>
        <v>0</v>
      </c>
      <c r="N274" t="str">
        <f t="shared" si="25"/>
        <v>OK</v>
      </c>
    </row>
    <row r="275" spans="2:14">
      <c r="C275"/>
      <c r="D275" t="s">
        <v>1441</v>
      </c>
      <c r="E275" t="s">
        <v>4</v>
      </c>
      <c r="F275" s="78">
        <v>0.3125</v>
      </c>
      <c r="G275" s="55">
        <v>0.29478009259259258</v>
      </c>
      <c r="H275" s="55">
        <v>0.64196759259259262</v>
      </c>
      <c r="I275" s="55" t="str">
        <f t="shared" si="22"/>
        <v>08.962.599-8</v>
      </c>
      <c r="J275" s="55">
        <f t="shared" si="23"/>
        <v>0.34718750000000004</v>
      </c>
      <c r="K275" s="93">
        <f t="shared" si="24"/>
        <v>0.83250000000000135</v>
      </c>
      <c r="L275">
        <f>IFERROR(HLOOKUP(D275,Ingreso!$AN$10:$AT$260,VLOOKUP('cruce '!I275,Ingreso!$AL$11:$AM$260,2,0),0),0)</f>
        <v>0</v>
      </c>
      <c r="M275" s="95">
        <f>IFERROR(HLOOKUP(D275,Ingreso!$AW$10:$BC$260,VLOOKUP('cruce '!I275,Ingreso!$AL$11:$AM$260,2,0),0),0)</f>
        <v>0</v>
      </c>
      <c r="N275" t="str">
        <f t="shared" si="25"/>
        <v>OK</v>
      </c>
    </row>
    <row r="276" spans="2:14">
      <c r="C276"/>
      <c r="D276" t="s">
        <v>1437</v>
      </c>
      <c r="E276" t="s">
        <v>4</v>
      </c>
      <c r="F276" s="78">
        <v>0.3125</v>
      </c>
      <c r="G276" s="55">
        <v>0.29456018518518517</v>
      </c>
      <c r="H276" s="55">
        <v>0.63850694444444445</v>
      </c>
      <c r="I276" s="55" t="str">
        <f t="shared" si="22"/>
        <v>08.962.599-8</v>
      </c>
      <c r="J276" s="55">
        <f t="shared" si="23"/>
        <v>0.34394675925925927</v>
      </c>
      <c r="K276" s="93">
        <f t="shared" si="24"/>
        <v>0.75472222222222207</v>
      </c>
      <c r="L276">
        <f>IFERROR(HLOOKUP(D276,Ingreso!$AN$10:$AT$260,VLOOKUP('cruce '!I276,Ingreso!$AL$11:$AM$260,2,0),0),0)</f>
        <v>0</v>
      </c>
      <c r="M276" s="95">
        <f>IFERROR(HLOOKUP(D276,Ingreso!$AW$10:$BC$260,VLOOKUP('cruce '!I276,Ingreso!$AL$11:$AM$260,2,0),0),0)</f>
        <v>0</v>
      </c>
      <c r="N276" t="str">
        <f t="shared" si="25"/>
        <v>OK</v>
      </c>
    </row>
    <row r="277" spans="2:14">
      <c r="C277"/>
      <c r="D277" t="s">
        <v>1438</v>
      </c>
      <c r="E277" t="s">
        <v>4</v>
      </c>
      <c r="F277" s="78">
        <v>0.3125</v>
      </c>
      <c r="G277" s="55">
        <v>0.29072916666666665</v>
      </c>
      <c r="H277" s="55">
        <v>0.6404050925925926</v>
      </c>
      <c r="I277" s="55" t="str">
        <f t="shared" si="22"/>
        <v>08.962.599-8</v>
      </c>
      <c r="J277" s="55">
        <f t="shared" si="23"/>
        <v>0.34967592592592595</v>
      </c>
      <c r="K277" s="93">
        <f t="shared" si="24"/>
        <v>0.89222222222222314</v>
      </c>
      <c r="L277">
        <f>IFERROR(HLOOKUP(D277,Ingreso!$AN$10:$AT$260,VLOOKUP('cruce '!I277,Ingreso!$AL$11:$AM$260,2,0),0),0)</f>
        <v>0</v>
      </c>
      <c r="M277" s="95">
        <f>IFERROR(HLOOKUP(D277,Ingreso!$AW$10:$BC$260,VLOOKUP('cruce '!I277,Ingreso!$AL$11:$AM$260,2,0),0),0)</f>
        <v>0</v>
      </c>
      <c r="N277" t="str">
        <f t="shared" si="25"/>
        <v>OK</v>
      </c>
    </row>
    <row r="278" spans="2:14">
      <c r="C278"/>
      <c r="D278" t="s">
        <v>1439</v>
      </c>
      <c r="E278" t="s">
        <v>4</v>
      </c>
      <c r="F278" s="78">
        <v>0.3125</v>
      </c>
      <c r="G278" s="55">
        <v>0.29496527777777776</v>
      </c>
      <c r="H278" s="55">
        <v>0.63982638888888888</v>
      </c>
      <c r="I278" s="55" t="str">
        <f t="shared" si="22"/>
        <v>08.962.599-8</v>
      </c>
      <c r="J278" s="55">
        <f t="shared" si="23"/>
        <v>0.34486111111111112</v>
      </c>
      <c r="K278" s="93">
        <f t="shared" si="24"/>
        <v>0.77666666666666728</v>
      </c>
      <c r="L278">
        <f>IFERROR(HLOOKUP(D278,Ingreso!$AN$10:$AT$260,VLOOKUP('cruce '!I278,Ingreso!$AL$11:$AM$260,2,0),0),0)</f>
        <v>0</v>
      </c>
      <c r="M278" s="95">
        <f>IFERROR(HLOOKUP(D278,Ingreso!$AW$10:$BC$260,VLOOKUP('cruce '!I278,Ingreso!$AL$11:$AM$260,2,0),0),0)</f>
        <v>0</v>
      </c>
      <c r="N278" t="str">
        <f t="shared" si="25"/>
        <v>OK</v>
      </c>
    </row>
    <row r="279" spans="2:14">
      <c r="B279" t="s">
        <v>443</v>
      </c>
      <c r="C279" t="s">
        <v>446</v>
      </c>
      <c r="D279" t="s">
        <v>1440</v>
      </c>
      <c r="E279" t="s">
        <v>1474</v>
      </c>
      <c r="F279" t="s">
        <v>1472</v>
      </c>
      <c r="G279" s="55">
        <v>0.31291666666666668</v>
      </c>
      <c r="H279" s="55">
        <v>0.73265046296296299</v>
      </c>
      <c r="I279" s="55" t="str">
        <f t="shared" si="22"/>
        <v>09.048.185-1</v>
      </c>
      <c r="J279" s="55">
        <f t="shared" si="23"/>
        <v>0.41973379629629631</v>
      </c>
      <c r="K279" s="93" t="e">
        <f t="shared" si="24"/>
        <v>#VALUE!</v>
      </c>
      <c r="L279">
        <f>IFERROR(HLOOKUP(D279,Ingreso!$AN$10:$AT$260,VLOOKUP('cruce '!I279,Ingreso!$AL$11:$AM$260,2,0),0),0)</f>
        <v>0</v>
      </c>
      <c r="M279" s="95" t="str">
        <f>IFERROR(HLOOKUP(D279,Ingreso!$AW$10:$BC$260,VLOOKUP('cruce '!I279,Ingreso!$AL$11:$AM$260,2,0),0),0)</f>
        <v/>
      </c>
      <c r="N279" t="e">
        <f t="shared" si="25"/>
        <v>#VALUE!</v>
      </c>
    </row>
    <row r="280" spans="2:14">
      <c r="C280"/>
      <c r="D280" t="s">
        <v>1441</v>
      </c>
      <c r="E280" t="s">
        <v>1474</v>
      </c>
      <c r="F280" t="s">
        <v>1472</v>
      </c>
      <c r="G280" s="55">
        <v>0.3222800925925926</v>
      </c>
      <c r="H280" s="55">
        <v>0.67634259259259266</v>
      </c>
      <c r="I280" s="55" t="str">
        <f t="shared" si="22"/>
        <v>09.048.185-1</v>
      </c>
      <c r="J280" s="55">
        <f t="shared" si="23"/>
        <v>0.35406250000000006</v>
      </c>
      <c r="K280" s="93" t="e">
        <f t="shared" si="24"/>
        <v>#VALUE!</v>
      </c>
      <c r="L280">
        <f>IFERROR(HLOOKUP(D280,Ingreso!$AN$10:$AT$260,VLOOKUP('cruce '!I280,Ingreso!$AL$11:$AM$260,2,0),0),0)</f>
        <v>0</v>
      </c>
      <c r="M280" s="95" t="str">
        <f>IFERROR(HLOOKUP(D280,Ingreso!$AW$10:$BC$260,VLOOKUP('cruce '!I280,Ingreso!$AL$11:$AM$260,2,0),0),0)</f>
        <v/>
      </c>
      <c r="N280" t="e">
        <f t="shared" si="25"/>
        <v>#VALUE!</v>
      </c>
    </row>
    <row r="281" spans="2:14">
      <c r="C281"/>
      <c r="D281" t="s">
        <v>1437</v>
      </c>
      <c r="E281" t="s">
        <v>1474</v>
      </c>
      <c r="F281" t="s">
        <v>1472</v>
      </c>
      <c r="G281" s="55">
        <v>0.3134953703703704</v>
      </c>
      <c r="H281" s="55">
        <v>0.76278935185185182</v>
      </c>
      <c r="I281" s="55" t="str">
        <f t="shared" si="22"/>
        <v>09.048.185-1</v>
      </c>
      <c r="J281" s="55">
        <f t="shared" si="23"/>
        <v>0.44929398148148142</v>
      </c>
      <c r="K281" s="93" t="e">
        <f t="shared" si="24"/>
        <v>#VALUE!</v>
      </c>
      <c r="L281">
        <f>IFERROR(HLOOKUP(D281,Ingreso!$AN$10:$AT$260,VLOOKUP('cruce '!I281,Ingreso!$AL$11:$AM$260,2,0),0),0)</f>
        <v>2</v>
      </c>
      <c r="M281" s="95">
        <f>IFERROR(HLOOKUP(D281,Ingreso!$AW$10:$BC$260,VLOOKUP('cruce '!I281,Ingreso!$AL$11:$AM$260,2,0),0),0)</f>
        <v>0.5</v>
      </c>
      <c r="N281" t="e">
        <f t="shared" si="25"/>
        <v>#VALUE!</v>
      </c>
    </row>
    <row r="282" spans="2:14">
      <c r="C282"/>
      <c r="D282" t="s">
        <v>1438</v>
      </c>
      <c r="E282" t="s">
        <v>1474</v>
      </c>
      <c r="F282" t="s">
        <v>1472</v>
      </c>
      <c r="G282" s="55">
        <v>0.31443287037037038</v>
      </c>
      <c r="H282" s="55">
        <v>0.73810185185185195</v>
      </c>
      <c r="I282" s="55" t="str">
        <f t="shared" si="22"/>
        <v>09.048.185-1</v>
      </c>
      <c r="J282" s="55">
        <f t="shared" si="23"/>
        <v>0.42366898148148158</v>
      </c>
      <c r="K282" s="93" t="e">
        <f t="shared" si="24"/>
        <v>#VALUE!</v>
      </c>
      <c r="L282">
        <f>IFERROR(HLOOKUP(D282,Ingreso!$AN$10:$AT$260,VLOOKUP('cruce '!I282,Ingreso!$AL$11:$AM$260,2,0),0),0)</f>
        <v>2</v>
      </c>
      <c r="M282" s="95">
        <f>IFERROR(HLOOKUP(D282,Ingreso!$AW$10:$BC$260,VLOOKUP('cruce '!I282,Ingreso!$AL$11:$AM$260,2,0),0),0)</f>
        <v>0.5</v>
      </c>
      <c r="N282" t="e">
        <f t="shared" si="25"/>
        <v>#VALUE!</v>
      </c>
    </row>
    <row r="283" spans="2:14">
      <c r="C283"/>
      <c r="D283" t="s">
        <v>1439</v>
      </c>
      <c r="E283" t="s">
        <v>1474</v>
      </c>
      <c r="F283" t="s">
        <v>1472</v>
      </c>
      <c r="G283" s="55">
        <v>0.31033564814814812</v>
      </c>
      <c r="H283" s="55">
        <v>0.76240740740740742</v>
      </c>
      <c r="I283" s="55" t="str">
        <f t="shared" si="22"/>
        <v>09.048.185-1</v>
      </c>
      <c r="J283" s="55">
        <f t="shared" si="23"/>
        <v>0.4520717592592593</v>
      </c>
      <c r="K283" s="93" t="e">
        <f t="shared" si="24"/>
        <v>#VALUE!</v>
      </c>
      <c r="L283">
        <f>IFERROR(HLOOKUP(D283,Ingreso!$AN$10:$AT$260,VLOOKUP('cruce '!I283,Ingreso!$AL$11:$AM$260,2,0),0),0)</f>
        <v>2</v>
      </c>
      <c r="M283" s="95">
        <f>IFERROR(HLOOKUP(D283,Ingreso!$AW$10:$BC$260,VLOOKUP('cruce '!I283,Ingreso!$AL$11:$AM$260,2,0),0),0)</f>
        <v>0.5</v>
      </c>
      <c r="N283" t="e">
        <f t="shared" si="25"/>
        <v>#VALUE!</v>
      </c>
    </row>
    <row r="284" spans="2:14">
      <c r="B284" t="s">
        <v>454</v>
      </c>
      <c r="C284" t="s">
        <v>457</v>
      </c>
      <c r="D284" t="s">
        <v>1440</v>
      </c>
      <c r="E284" t="s">
        <v>1321</v>
      </c>
      <c r="F284" s="78">
        <v>0.3125</v>
      </c>
      <c r="G284" s="55">
        <v>0.60857638888888888</v>
      </c>
      <c r="H284" s="55">
        <v>0.94289351851851855</v>
      </c>
      <c r="I284" s="55" t="str">
        <f t="shared" si="22"/>
        <v>09.068.490-6</v>
      </c>
      <c r="J284" s="55">
        <f t="shared" si="23"/>
        <v>0.33431712962962967</v>
      </c>
      <c r="K284" s="93">
        <f t="shared" si="24"/>
        <v>0.52361111111111214</v>
      </c>
      <c r="L284">
        <f>IFERROR(HLOOKUP(D284,Ingreso!$AN$10:$AT$260,VLOOKUP('cruce '!I284,Ingreso!$AL$11:$AM$260,2,0),0),0)</f>
        <v>0</v>
      </c>
      <c r="M284" s="95" t="str">
        <f>IFERROR(HLOOKUP(D284,Ingreso!$AW$10:$BC$260,VLOOKUP('cruce '!I284,Ingreso!$AL$11:$AM$260,2,0),0),0)</f>
        <v/>
      </c>
      <c r="N284" t="str">
        <f t="shared" si="25"/>
        <v>OK</v>
      </c>
    </row>
    <row r="285" spans="2:14">
      <c r="C285"/>
      <c r="D285" t="s">
        <v>1441</v>
      </c>
      <c r="E285" t="s">
        <v>1321</v>
      </c>
      <c r="F285" s="78">
        <v>0.3125</v>
      </c>
      <c r="G285" s="55">
        <v>0.61321759259259256</v>
      </c>
      <c r="H285" s="55">
        <v>0.94164351851851846</v>
      </c>
      <c r="I285" s="55" t="str">
        <f t="shared" si="22"/>
        <v>09.068.490-6</v>
      </c>
      <c r="J285" s="55">
        <f t="shared" si="23"/>
        <v>0.3284259259259259</v>
      </c>
      <c r="K285" s="93">
        <f t="shared" si="24"/>
        <v>0.38222222222222157</v>
      </c>
      <c r="L285">
        <f>IFERROR(HLOOKUP(D285,Ingreso!$AN$10:$AT$260,VLOOKUP('cruce '!I285,Ingreso!$AL$11:$AM$260,2,0),0),0)</f>
        <v>0</v>
      </c>
      <c r="M285" s="95" t="str">
        <f>IFERROR(HLOOKUP(D285,Ingreso!$AW$10:$BC$260,VLOOKUP('cruce '!I285,Ingreso!$AL$11:$AM$260,2,0),0),0)</f>
        <v/>
      </c>
      <c r="N285" t="str">
        <f t="shared" si="25"/>
        <v>OK</v>
      </c>
    </row>
    <row r="286" spans="2:14">
      <c r="C286"/>
      <c r="D286" t="s">
        <v>1437</v>
      </c>
      <c r="E286" t="s">
        <v>1321</v>
      </c>
      <c r="F286" s="78">
        <v>0.3125</v>
      </c>
      <c r="G286" s="55">
        <v>0.60605324074074074</v>
      </c>
      <c r="H286" s="55">
        <v>0.93936342592592592</v>
      </c>
      <c r="I286" s="55" t="str">
        <f t="shared" si="22"/>
        <v>09.068.490-6</v>
      </c>
      <c r="J286" s="55">
        <f t="shared" si="23"/>
        <v>0.33331018518518518</v>
      </c>
      <c r="K286" s="93">
        <f t="shared" si="24"/>
        <v>0.49944444444444436</v>
      </c>
      <c r="L286">
        <f>IFERROR(HLOOKUP(D286,Ingreso!$AN$10:$AT$260,VLOOKUP('cruce '!I286,Ingreso!$AL$11:$AM$260,2,0),0),0)</f>
        <v>0</v>
      </c>
      <c r="M286" s="95" t="str">
        <f>IFERROR(HLOOKUP(D286,Ingreso!$AW$10:$BC$260,VLOOKUP('cruce '!I286,Ingreso!$AL$11:$AM$260,2,0),0),0)</f>
        <v/>
      </c>
      <c r="N286" t="str">
        <f t="shared" si="25"/>
        <v>OK</v>
      </c>
    </row>
    <row r="287" spans="2:14">
      <c r="C287"/>
      <c r="D287" t="s">
        <v>1438</v>
      </c>
      <c r="E287" t="s">
        <v>1321</v>
      </c>
      <c r="F287" s="78">
        <v>0.3125</v>
      </c>
      <c r="G287" s="55">
        <v>0.60696759259259259</v>
      </c>
      <c r="H287" s="55">
        <v>0.94405092592592599</v>
      </c>
      <c r="I287" s="55" t="str">
        <f t="shared" si="22"/>
        <v>09.068.490-6</v>
      </c>
      <c r="J287" s="55">
        <f t="shared" si="23"/>
        <v>0.3370833333333334</v>
      </c>
      <c r="K287" s="93">
        <f t="shared" si="24"/>
        <v>0.59000000000000163</v>
      </c>
      <c r="L287">
        <f>IFERROR(HLOOKUP(D287,Ingreso!$AN$10:$AT$260,VLOOKUP('cruce '!I287,Ingreso!$AL$11:$AM$260,2,0),0),0)</f>
        <v>0</v>
      </c>
      <c r="M287" s="95" t="str">
        <f>IFERROR(HLOOKUP(D287,Ingreso!$AW$10:$BC$260,VLOOKUP('cruce '!I287,Ingreso!$AL$11:$AM$260,2,0),0),0)</f>
        <v/>
      </c>
      <c r="N287" t="str">
        <f t="shared" si="25"/>
        <v>OK</v>
      </c>
    </row>
    <row r="288" spans="2:14">
      <c r="C288"/>
      <c r="D288" t="s">
        <v>1439</v>
      </c>
      <c r="E288" t="s">
        <v>1321</v>
      </c>
      <c r="F288" s="78">
        <v>0.3125</v>
      </c>
      <c r="G288" s="55">
        <v>0.60723379629629626</v>
      </c>
      <c r="H288" s="55">
        <v>0.94254629629629638</v>
      </c>
      <c r="I288" s="55" t="str">
        <f t="shared" si="22"/>
        <v>09.068.490-6</v>
      </c>
      <c r="J288" s="55">
        <f t="shared" si="23"/>
        <v>0.33531250000000012</v>
      </c>
      <c r="K288" s="93">
        <f t="shared" si="24"/>
        <v>0.54750000000000298</v>
      </c>
      <c r="L288">
        <f>IFERROR(HLOOKUP(D288,Ingreso!$AN$10:$AT$260,VLOOKUP('cruce '!I288,Ingreso!$AL$11:$AM$260,2,0),0),0)</f>
        <v>0</v>
      </c>
      <c r="M288" s="95" t="str">
        <f>IFERROR(HLOOKUP(D288,Ingreso!$AW$10:$BC$260,VLOOKUP('cruce '!I288,Ingreso!$AL$11:$AM$260,2,0),0),0)</f>
        <v/>
      </c>
      <c r="N288" t="str">
        <f t="shared" si="25"/>
        <v>OK</v>
      </c>
    </row>
    <row r="289" spans="2:14">
      <c r="B289" t="s">
        <v>589</v>
      </c>
      <c r="C289" t="s">
        <v>591</v>
      </c>
      <c r="D289" t="s">
        <v>1440</v>
      </c>
      <c r="E289" t="s">
        <v>1321</v>
      </c>
      <c r="F289" s="78">
        <v>0.3125</v>
      </c>
      <c r="G289" s="55">
        <v>0.60903935185185187</v>
      </c>
      <c r="H289" s="55">
        <v>0.94082175925925926</v>
      </c>
      <c r="I289" s="55" t="str">
        <f t="shared" si="22"/>
        <v>09.081.025-1</v>
      </c>
      <c r="J289" s="55">
        <f t="shared" si="23"/>
        <v>0.33178240740740739</v>
      </c>
      <c r="K289" s="93">
        <f t="shared" si="24"/>
        <v>0.46277777777777729</v>
      </c>
      <c r="L289">
        <f>IFERROR(HLOOKUP(D289,Ingreso!$AN$10:$AT$260,VLOOKUP('cruce '!I289,Ingreso!$AL$11:$AM$260,2,0),0),0)</f>
        <v>0</v>
      </c>
      <c r="M289" s="95" t="str">
        <f>IFERROR(HLOOKUP(D289,Ingreso!$AW$10:$BC$260,VLOOKUP('cruce '!I289,Ingreso!$AL$11:$AM$260,2,0),0),0)</f>
        <v/>
      </c>
      <c r="N289" t="str">
        <f t="shared" si="25"/>
        <v>OK</v>
      </c>
    </row>
    <row r="290" spans="2:14">
      <c r="C290"/>
      <c r="D290" t="s">
        <v>1441</v>
      </c>
      <c r="E290" t="s">
        <v>1321</v>
      </c>
      <c r="F290" s="78">
        <v>0.3125</v>
      </c>
      <c r="G290" s="55">
        <v>0.6089930555555555</v>
      </c>
      <c r="H290" s="55">
        <v>0.93730324074074067</v>
      </c>
      <c r="I290" s="55" t="str">
        <f t="shared" si="22"/>
        <v>09.081.025-1</v>
      </c>
      <c r="J290" s="55">
        <f t="shared" si="23"/>
        <v>0.32831018518518518</v>
      </c>
      <c r="K290" s="93">
        <f t="shared" si="24"/>
        <v>0.37944444444444425</v>
      </c>
      <c r="L290">
        <f>IFERROR(HLOOKUP(D290,Ingreso!$AN$10:$AT$260,VLOOKUP('cruce '!I290,Ingreso!$AL$11:$AM$260,2,0),0),0)</f>
        <v>0</v>
      </c>
      <c r="M290" s="95" t="str">
        <f>IFERROR(HLOOKUP(D290,Ingreso!$AW$10:$BC$260,VLOOKUP('cruce '!I290,Ingreso!$AL$11:$AM$260,2,0),0),0)</f>
        <v/>
      </c>
      <c r="N290" t="str">
        <f t="shared" si="25"/>
        <v>OK</v>
      </c>
    </row>
    <row r="291" spans="2:14">
      <c r="C291"/>
      <c r="D291" t="s">
        <v>1437</v>
      </c>
      <c r="E291" t="s">
        <v>1321</v>
      </c>
      <c r="F291" s="78">
        <v>0.3125</v>
      </c>
      <c r="G291" s="55">
        <v>0.58564814814814814</v>
      </c>
      <c r="H291" s="55">
        <v>0.94038194444444445</v>
      </c>
      <c r="I291" s="55" t="str">
        <f t="shared" si="22"/>
        <v>09.081.025-1</v>
      </c>
      <c r="J291" s="55">
        <f t="shared" si="23"/>
        <v>0.35473379629629631</v>
      </c>
      <c r="K291" s="93">
        <f t="shared" si="24"/>
        <v>1.0136111111111106</v>
      </c>
      <c r="L291">
        <f>IFERROR(HLOOKUP(D291,Ingreso!$AN$10:$AT$260,VLOOKUP('cruce '!I291,Ingreso!$AL$11:$AM$260,2,0),0),0)</f>
        <v>0</v>
      </c>
      <c r="M291" s="95" t="str">
        <f>IFERROR(HLOOKUP(D291,Ingreso!$AW$10:$BC$260,VLOOKUP('cruce '!I291,Ingreso!$AL$11:$AM$260,2,0),0),0)</f>
        <v/>
      </c>
      <c r="N291" t="str">
        <f t="shared" si="25"/>
        <v>Revisar</v>
      </c>
    </row>
    <row r="292" spans="2:14">
      <c r="C292"/>
      <c r="D292" t="s">
        <v>1438</v>
      </c>
      <c r="E292" t="s">
        <v>1321</v>
      </c>
      <c r="F292" s="78">
        <v>0.3125</v>
      </c>
      <c r="G292" s="55">
        <v>0.60625000000000007</v>
      </c>
      <c r="H292" s="55">
        <v>0.94259259259259265</v>
      </c>
      <c r="I292" s="55" t="str">
        <f t="shared" si="22"/>
        <v>09.081.025-1</v>
      </c>
      <c r="J292" s="55">
        <f t="shared" si="23"/>
        <v>0.33634259259259258</v>
      </c>
      <c r="K292" s="93">
        <f t="shared" si="24"/>
        <v>0.57222222222222285</v>
      </c>
      <c r="L292">
        <f>IFERROR(HLOOKUP(D292,Ingreso!$AN$10:$AT$260,VLOOKUP('cruce '!I292,Ingreso!$AL$11:$AM$260,2,0),0),0)</f>
        <v>0</v>
      </c>
      <c r="M292" s="95" t="str">
        <f>IFERROR(HLOOKUP(D292,Ingreso!$AW$10:$BC$260,VLOOKUP('cruce '!I292,Ingreso!$AL$11:$AM$260,2,0),0),0)</f>
        <v/>
      </c>
      <c r="N292" t="str">
        <f t="shared" si="25"/>
        <v>OK</v>
      </c>
    </row>
    <row r="293" spans="2:14">
      <c r="C293"/>
      <c r="D293" t="s">
        <v>1439</v>
      </c>
      <c r="E293" t="s">
        <v>1321</v>
      </c>
      <c r="F293" s="78">
        <v>0.3125</v>
      </c>
      <c r="G293" s="55">
        <v>0.60763888888888895</v>
      </c>
      <c r="H293" s="55">
        <v>0.94119212962962961</v>
      </c>
      <c r="I293" s="55" t="str">
        <f t="shared" si="22"/>
        <v>09.081.025-1</v>
      </c>
      <c r="J293" s="55">
        <f t="shared" si="23"/>
        <v>0.33355324074074066</v>
      </c>
      <c r="K293" s="93">
        <f t="shared" si="24"/>
        <v>0.50527777777777594</v>
      </c>
      <c r="L293">
        <f>IFERROR(HLOOKUP(D293,Ingreso!$AN$10:$AT$260,VLOOKUP('cruce '!I293,Ingreso!$AL$11:$AM$260,2,0),0),0)</f>
        <v>0</v>
      </c>
      <c r="M293" s="95" t="str">
        <f>IFERROR(HLOOKUP(D293,Ingreso!$AW$10:$BC$260,VLOOKUP('cruce '!I293,Ingreso!$AL$11:$AM$260,2,0),0),0)</f>
        <v/>
      </c>
      <c r="N293" t="str">
        <f t="shared" si="25"/>
        <v>OK</v>
      </c>
    </row>
    <row r="294" spans="2:14">
      <c r="B294" t="s">
        <v>136</v>
      </c>
      <c r="C294" t="s">
        <v>139</v>
      </c>
      <c r="D294" t="s">
        <v>1440</v>
      </c>
      <c r="E294" t="s">
        <v>1323</v>
      </c>
      <c r="F294" s="78">
        <v>0.375</v>
      </c>
      <c r="G294" s="55">
        <v>0.91939814814814813</v>
      </c>
      <c r="H294" s="55">
        <v>0.31253472222222223</v>
      </c>
      <c r="I294" s="55" t="str">
        <f t="shared" si="22"/>
        <v>09.148.214-2</v>
      </c>
      <c r="J294" s="55">
        <f t="shared" si="23"/>
        <v>0.3931365740740741</v>
      </c>
      <c r="K294" s="93">
        <f t="shared" si="24"/>
        <v>0.43527777777777743</v>
      </c>
      <c r="L294">
        <f>IFERROR(HLOOKUP(D294,Ingreso!$AN$10:$AT$260,VLOOKUP('cruce '!I294,Ingreso!$AL$11:$AM$260,2,0),0),0)</f>
        <v>0</v>
      </c>
      <c r="M294" s="95" t="str">
        <f>IFERROR(HLOOKUP(D294,Ingreso!$AW$10:$BC$260,VLOOKUP('cruce '!I294,Ingreso!$AL$11:$AM$260,2,0),0),0)</f>
        <v/>
      </c>
      <c r="N294" t="str">
        <f t="shared" si="25"/>
        <v>OK</v>
      </c>
    </row>
    <row r="295" spans="2:14">
      <c r="C295"/>
      <c r="D295" t="s">
        <v>1441</v>
      </c>
      <c r="E295" t="s">
        <v>1323</v>
      </c>
      <c r="F295" s="78">
        <v>0.375</v>
      </c>
      <c r="G295" s="55"/>
      <c r="H295" s="55">
        <v>0.3349421296296296</v>
      </c>
      <c r="I295" s="55" t="str">
        <f t="shared" si="22"/>
        <v>09.148.214-2</v>
      </c>
      <c r="J295" s="55">
        <f t="shared" si="23"/>
        <v>0.3349421296296296</v>
      </c>
      <c r="K295" s="93">
        <f t="shared" si="24"/>
        <v>-0.96138888888888907</v>
      </c>
      <c r="L295">
        <f>IFERROR(HLOOKUP(D295,Ingreso!$AN$10:$AT$260,VLOOKUP('cruce '!I295,Ingreso!$AL$11:$AM$260,2,0),0),0)</f>
        <v>0</v>
      </c>
      <c r="M295" s="95" t="str">
        <f>IFERROR(HLOOKUP(D295,Ingreso!$AW$10:$BC$260,VLOOKUP('cruce '!I295,Ingreso!$AL$11:$AM$260,2,0),0),0)</f>
        <v/>
      </c>
      <c r="N295" t="str">
        <f t="shared" si="25"/>
        <v>OK</v>
      </c>
    </row>
    <row r="296" spans="2:14">
      <c r="C296"/>
      <c r="D296" t="s">
        <v>1437</v>
      </c>
      <c r="E296" t="s">
        <v>1323</v>
      </c>
      <c r="F296" s="78">
        <v>0.375</v>
      </c>
      <c r="G296" s="55">
        <v>0.91706018518518517</v>
      </c>
      <c r="H296" s="55"/>
      <c r="I296" s="55" t="str">
        <f t="shared" si="22"/>
        <v>09.148.214-2</v>
      </c>
      <c r="J296" s="55">
        <f t="shared" si="23"/>
        <v>8.2939814814814827E-2</v>
      </c>
      <c r="K296" s="93">
        <f t="shared" si="24"/>
        <v>-7.0094444444444441</v>
      </c>
      <c r="L296">
        <f>IFERROR(HLOOKUP(D296,Ingreso!$AN$10:$AT$260,VLOOKUP('cruce '!I296,Ingreso!$AL$11:$AM$260,2,0),0),0)</f>
        <v>0</v>
      </c>
      <c r="M296" s="95" t="str">
        <f>IFERROR(HLOOKUP(D296,Ingreso!$AW$10:$BC$260,VLOOKUP('cruce '!I296,Ingreso!$AL$11:$AM$260,2,0),0),0)</f>
        <v/>
      </c>
      <c r="N296" t="str">
        <f t="shared" si="25"/>
        <v>Revisar</v>
      </c>
    </row>
    <row r="297" spans="2:14">
      <c r="C297"/>
      <c r="D297" t="s">
        <v>1438</v>
      </c>
      <c r="E297" t="s">
        <v>1323</v>
      </c>
      <c r="F297" s="78">
        <v>0.375</v>
      </c>
      <c r="G297" s="55">
        <v>0.91824074074074069</v>
      </c>
      <c r="H297" s="55">
        <v>0.31290509259259258</v>
      </c>
      <c r="I297" s="55" t="str">
        <f t="shared" si="22"/>
        <v>09.148.214-2</v>
      </c>
      <c r="J297" s="55">
        <f t="shared" si="23"/>
        <v>0.39466435185185189</v>
      </c>
      <c r="K297" s="93">
        <f t="shared" si="24"/>
        <v>0.47194444444444628</v>
      </c>
      <c r="L297">
        <f>IFERROR(HLOOKUP(D297,Ingreso!$AN$10:$AT$260,VLOOKUP('cruce '!I297,Ingreso!$AL$11:$AM$260,2,0),0),0)</f>
        <v>0</v>
      </c>
      <c r="M297" s="95" t="str">
        <f>IFERROR(HLOOKUP(D297,Ingreso!$AW$10:$BC$260,VLOOKUP('cruce '!I297,Ingreso!$AL$11:$AM$260,2,0),0),0)</f>
        <v/>
      </c>
      <c r="N297" t="str">
        <f t="shared" si="25"/>
        <v>OK</v>
      </c>
    </row>
    <row r="298" spans="2:14">
      <c r="C298"/>
      <c r="D298" t="s">
        <v>1439</v>
      </c>
      <c r="E298" t="s">
        <v>1323</v>
      </c>
      <c r="F298" s="78">
        <v>0.375</v>
      </c>
      <c r="G298" s="55">
        <v>0.91707175925925932</v>
      </c>
      <c r="H298" s="55">
        <v>0.31153935185185183</v>
      </c>
      <c r="I298" s="55" t="str">
        <f t="shared" si="22"/>
        <v>09.148.214-2</v>
      </c>
      <c r="J298" s="55">
        <f t="shared" si="23"/>
        <v>0.39446759259259256</v>
      </c>
      <c r="K298" s="93">
        <f t="shared" si="24"/>
        <v>0.46722222222222243</v>
      </c>
      <c r="L298">
        <f>IFERROR(HLOOKUP(D298,Ingreso!$AN$10:$AT$260,VLOOKUP('cruce '!I298,Ingreso!$AL$11:$AM$260,2,0),0),0)</f>
        <v>0</v>
      </c>
      <c r="M298" s="95" t="str">
        <f>IFERROR(HLOOKUP(D298,Ingreso!$AW$10:$BC$260,VLOOKUP('cruce '!I298,Ingreso!$AL$11:$AM$260,2,0),0),0)</f>
        <v/>
      </c>
      <c r="N298" t="str">
        <f t="shared" si="25"/>
        <v>OK</v>
      </c>
    </row>
    <row r="299" spans="2:14">
      <c r="B299" t="s">
        <v>556</v>
      </c>
      <c r="C299" t="s">
        <v>559</v>
      </c>
      <c r="D299" t="s">
        <v>1440</v>
      </c>
      <c r="E299" t="s">
        <v>1321</v>
      </c>
      <c r="F299" s="78">
        <v>0.3125</v>
      </c>
      <c r="G299" s="55">
        <v>0.5977083333333334</v>
      </c>
      <c r="H299" s="55">
        <v>0.9487268518518519</v>
      </c>
      <c r="I299" s="55" t="str">
        <f t="shared" si="22"/>
        <v>09.253.701-3</v>
      </c>
      <c r="J299" s="55">
        <f t="shared" si="23"/>
        <v>0.35101851851851851</v>
      </c>
      <c r="K299" s="93">
        <f t="shared" si="24"/>
        <v>0.92444444444444329</v>
      </c>
      <c r="L299">
        <f>IFERROR(HLOOKUP(D299,Ingreso!$AN$10:$AT$260,VLOOKUP('cruce '!I299,Ingreso!$AL$11:$AM$260,2,0),0),0)</f>
        <v>0</v>
      </c>
      <c r="M299" s="95">
        <f>IFERROR(HLOOKUP(D299,Ingreso!$AW$10:$BC$260,VLOOKUP('cruce '!I299,Ingreso!$AL$11:$AM$260,2,0),0),0)</f>
        <v>0</v>
      </c>
      <c r="N299" t="str">
        <f t="shared" si="25"/>
        <v>OK</v>
      </c>
    </row>
    <row r="300" spans="2:14">
      <c r="C300"/>
      <c r="D300" t="s">
        <v>1441</v>
      </c>
      <c r="E300" t="s">
        <v>1321</v>
      </c>
      <c r="F300" s="78">
        <v>0.3125</v>
      </c>
      <c r="G300" s="55">
        <v>0.60693287037037036</v>
      </c>
      <c r="H300" s="55">
        <v>0.94152777777777785</v>
      </c>
      <c r="I300" s="55" t="str">
        <f t="shared" si="22"/>
        <v>09.253.701-3</v>
      </c>
      <c r="J300" s="55">
        <f t="shared" si="23"/>
        <v>0.33459490740740749</v>
      </c>
      <c r="K300" s="93">
        <f t="shared" si="24"/>
        <v>0.53027777777777985</v>
      </c>
      <c r="L300">
        <f>IFERROR(HLOOKUP(D300,Ingreso!$AN$10:$AT$260,VLOOKUP('cruce '!I300,Ingreso!$AL$11:$AM$260,2,0),0),0)</f>
        <v>0</v>
      </c>
      <c r="M300" s="95">
        <f>IFERROR(HLOOKUP(D300,Ingreso!$AW$10:$BC$260,VLOOKUP('cruce '!I300,Ingreso!$AL$11:$AM$260,2,0),0),0)</f>
        <v>0</v>
      </c>
      <c r="N300" t="str">
        <f t="shared" si="25"/>
        <v>OK</v>
      </c>
    </row>
    <row r="301" spans="2:14">
      <c r="C301"/>
      <c r="D301" t="s">
        <v>1437</v>
      </c>
      <c r="E301" t="s">
        <v>1321</v>
      </c>
      <c r="F301" s="78">
        <v>0.3125</v>
      </c>
      <c r="G301" s="55">
        <v>0.59311342592592597</v>
      </c>
      <c r="H301" s="55">
        <v>0.94548611111111114</v>
      </c>
      <c r="I301" s="55" t="str">
        <f t="shared" si="22"/>
        <v>09.253.701-3</v>
      </c>
      <c r="J301" s="55">
        <f t="shared" si="23"/>
        <v>0.35237268518518516</v>
      </c>
      <c r="K301" s="93">
        <f t="shared" si="24"/>
        <v>0.95694444444444393</v>
      </c>
      <c r="L301">
        <f>IFERROR(HLOOKUP(D301,Ingreso!$AN$10:$AT$260,VLOOKUP('cruce '!I301,Ingreso!$AL$11:$AM$260,2,0),0),0)</f>
        <v>0</v>
      </c>
      <c r="M301" s="95">
        <f>IFERROR(HLOOKUP(D301,Ingreso!$AW$10:$BC$260,VLOOKUP('cruce '!I301,Ingreso!$AL$11:$AM$260,2,0),0),0)</f>
        <v>0</v>
      </c>
      <c r="N301" t="str">
        <f t="shared" si="25"/>
        <v>OK</v>
      </c>
    </row>
    <row r="302" spans="2:14">
      <c r="C302"/>
      <c r="D302" t="s">
        <v>1438</v>
      </c>
      <c r="E302" t="s">
        <v>1321</v>
      </c>
      <c r="F302" s="78">
        <v>0.3125</v>
      </c>
      <c r="G302" s="55">
        <v>0.60135416666666663</v>
      </c>
      <c r="H302" s="55">
        <v>0.94851851851851843</v>
      </c>
      <c r="I302" s="55" t="str">
        <f t="shared" si="22"/>
        <v>09.253.701-3</v>
      </c>
      <c r="J302" s="55">
        <f t="shared" si="23"/>
        <v>0.34716435185185179</v>
      </c>
      <c r="K302" s="93">
        <f t="shared" si="24"/>
        <v>0.83194444444444215</v>
      </c>
      <c r="L302">
        <f>IFERROR(HLOOKUP(D302,Ingreso!$AN$10:$AT$260,VLOOKUP('cruce '!I302,Ingreso!$AL$11:$AM$260,2,0),0),0)</f>
        <v>0</v>
      </c>
      <c r="M302" s="95">
        <f>IFERROR(HLOOKUP(D302,Ingreso!$AW$10:$BC$260,VLOOKUP('cruce '!I302,Ingreso!$AL$11:$AM$260,2,0),0),0)</f>
        <v>0</v>
      </c>
      <c r="N302" t="str">
        <f t="shared" si="25"/>
        <v>OK</v>
      </c>
    </row>
    <row r="303" spans="2:14">
      <c r="C303"/>
      <c r="D303" t="s">
        <v>1439</v>
      </c>
      <c r="E303" t="s">
        <v>1321</v>
      </c>
      <c r="F303" s="78">
        <v>0.3125</v>
      </c>
      <c r="G303" s="55">
        <v>0.60053240740740743</v>
      </c>
      <c r="H303" s="55">
        <v>0.94478009259259255</v>
      </c>
      <c r="I303" s="55" t="str">
        <f t="shared" si="22"/>
        <v>09.253.701-3</v>
      </c>
      <c r="J303" s="55">
        <f t="shared" si="23"/>
        <v>0.34424768518518511</v>
      </c>
      <c r="K303" s="93">
        <f t="shared" si="24"/>
        <v>0.76194444444444187</v>
      </c>
      <c r="L303">
        <f>IFERROR(HLOOKUP(D303,Ingreso!$AN$10:$AT$260,VLOOKUP('cruce '!I303,Ingreso!$AL$11:$AM$260,2,0),0),0)</f>
        <v>0</v>
      </c>
      <c r="M303" s="95">
        <f>IFERROR(HLOOKUP(D303,Ingreso!$AW$10:$BC$260,VLOOKUP('cruce '!I303,Ingreso!$AL$11:$AM$260,2,0),0),0)</f>
        <v>0</v>
      </c>
      <c r="N303" t="str">
        <f t="shared" si="25"/>
        <v>OK</v>
      </c>
    </row>
    <row r="304" spans="2:14">
      <c r="B304" t="s">
        <v>921</v>
      </c>
      <c r="C304" t="s">
        <v>922</v>
      </c>
      <c r="D304" t="s">
        <v>1440</v>
      </c>
      <c r="E304" t="s">
        <v>1323</v>
      </c>
      <c r="F304" s="78">
        <v>0.375</v>
      </c>
      <c r="G304" s="55">
        <v>0.92063657407407407</v>
      </c>
      <c r="H304" s="55">
        <v>0.32868055555555559</v>
      </c>
      <c r="I304" s="55" t="str">
        <f t="shared" si="22"/>
        <v>09.485.526-8</v>
      </c>
      <c r="J304" s="55">
        <f t="shared" si="23"/>
        <v>0.40804398148148158</v>
      </c>
      <c r="K304" s="93">
        <f t="shared" si="24"/>
        <v>0.79305555555555785</v>
      </c>
      <c r="L304">
        <f>IFERROR(HLOOKUP(D304,Ingreso!$AN$10:$AT$260,VLOOKUP('cruce '!I304,Ingreso!$AL$11:$AM$260,2,0),0),0)</f>
        <v>0</v>
      </c>
      <c r="M304" s="95" t="str">
        <f>IFERROR(HLOOKUP(D304,Ingreso!$AW$10:$BC$260,VLOOKUP('cruce '!I304,Ingreso!$AL$11:$AM$260,2,0),0),0)</f>
        <v/>
      </c>
      <c r="N304" t="str">
        <f t="shared" si="25"/>
        <v>OK</v>
      </c>
    </row>
    <row r="305" spans="2:14">
      <c r="C305"/>
      <c r="D305" t="s">
        <v>1441</v>
      </c>
      <c r="E305" t="s">
        <v>1323</v>
      </c>
      <c r="F305" s="78">
        <v>0.375</v>
      </c>
      <c r="G305" s="55"/>
      <c r="H305" s="55">
        <v>0.32907407407407407</v>
      </c>
      <c r="I305" s="55" t="str">
        <f t="shared" si="22"/>
        <v>09.485.526-8</v>
      </c>
      <c r="J305" s="55">
        <f t="shared" si="23"/>
        <v>0.32907407407407407</v>
      </c>
      <c r="K305" s="93">
        <f t="shared" si="24"/>
        <v>-1.1022222222222222</v>
      </c>
      <c r="L305">
        <f>IFERROR(HLOOKUP(D305,Ingreso!$AN$10:$AT$260,VLOOKUP('cruce '!I305,Ingreso!$AL$11:$AM$260,2,0),0),0)</f>
        <v>0</v>
      </c>
      <c r="M305" s="95" t="str">
        <f>IFERROR(HLOOKUP(D305,Ingreso!$AW$10:$BC$260,VLOOKUP('cruce '!I305,Ingreso!$AL$11:$AM$260,2,0),0),0)</f>
        <v/>
      </c>
      <c r="N305" t="str">
        <f t="shared" si="25"/>
        <v>Revisar</v>
      </c>
    </row>
    <row r="306" spans="2:14">
      <c r="C306"/>
      <c r="D306" t="s">
        <v>1436</v>
      </c>
      <c r="E306" t="s">
        <v>1323</v>
      </c>
      <c r="F306" s="78">
        <v>0.375</v>
      </c>
      <c r="G306" s="55">
        <v>0.99329861111111117</v>
      </c>
      <c r="H306" s="55"/>
      <c r="I306" s="55" t="str">
        <f t="shared" si="22"/>
        <v>09.485.526-8</v>
      </c>
      <c r="J306" s="55">
        <f t="shared" si="23"/>
        <v>6.7013888888888262E-3</v>
      </c>
      <c r="K306" s="93">
        <f t="shared" si="24"/>
        <v>-8.8391666666666673</v>
      </c>
      <c r="L306">
        <f>IFERROR(HLOOKUP(D306,Ingreso!$AN$10:$AT$260,VLOOKUP('cruce '!I306,Ingreso!$AL$11:$AM$260,2,0),0),0)</f>
        <v>0</v>
      </c>
      <c r="M306" s="95" t="str">
        <f>IFERROR(HLOOKUP(D306,Ingreso!$AW$10:$BC$260,VLOOKUP('cruce '!I306,Ingreso!$AL$11:$AM$260,2,0),0),0)</f>
        <v/>
      </c>
      <c r="N306" t="str">
        <f t="shared" si="25"/>
        <v>Revisar</v>
      </c>
    </row>
    <row r="307" spans="2:14">
      <c r="C307"/>
      <c r="D307" t="s">
        <v>1437</v>
      </c>
      <c r="E307" t="s">
        <v>1323</v>
      </c>
      <c r="F307" s="78">
        <v>0.375</v>
      </c>
      <c r="G307" s="55">
        <v>0.91844907407407417</v>
      </c>
      <c r="H307" s="55">
        <v>0.32488425925925929</v>
      </c>
      <c r="I307" s="55" t="str">
        <f t="shared" si="22"/>
        <v>09.485.526-8</v>
      </c>
      <c r="J307" s="55">
        <f t="shared" si="23"/>
        <v>0.40643518518518518</v>
      </c>
      <c r="K307" s="93">
        <f t="shared" si="24"/>
        <v>0.75444444444444514</v>
      </c>
      <c r="L307">
        <f>IFERROR(HLOOKUP(D307,Ingreso!$AN$10:$AT$260,VLOOKUP('cruce '!I307,Ingreso!$AL$11:$AM$260,2,0),0),0)</f>
        <v>7.5</v>
      </c>
      <c r="M307" s="95">
        <f>IFERROR(HLOOKUP(D307,Ingreso!$AW$10:$BC$260,VLOOKUP('cruce '!I307,Ingreso!$AL$11:$AM$260,2,0),0),0)</f>
        <v>1</v>
      </c>
      <c r="N307" t="str">
        <f t="shared" si="25"/>
        <v>Revisar</v>
      </c>
    </row>
    <row r="308" spans="2:14">
      <c r="C308"/>
      <c r="D308" t="s">
        <v>1438</v>
      </c>
      <c r="E308" t="s">
        <v>1323</v>
      </c>
      <c r="F308" s="78">
        <v>0.375</v>
      </c>
      <c r="G308" s="55">
        <v>0.92012731481481491</v>
      </c>
      <c r="H308" s="55">
        <v>0.31884259259259257</v>
      </c>
      <c r="I308" s="55" t="str">
        <f t="shared" si="22"/>
        <v>09.485.526-8</v>
      </c>
      <c r="J308" s="55">
        <f t="shared" si="23"/>
        <v>0.39871527777777771</v>
      </c>
      <c r="K308" s="93">
        <f t="shared" si="24"/>
        <v>0.56916666666666416</v>
      </c>
      <c r="L308">
        <f>IFERROR(HLOOKUP(D308,Ingreso!$AN$10:$AT$260,VLOOKUP('cruce '!I308,Ingreso!$AL$11:$AM$260,2,0),0),0)</f>
        <v>0</v>
      </c>
      <c r="M308" s="95" t="str">
        <f>IFERROR(HLOOKUP(D308,Ingreso!$AW$10:$BC$260,VLOOKUP('cruce '!I308,Ingreso!$AL$11:$AM$260,2,0),0),0)</f>
        <v/>
      </c>
      <c r="N308" t="str">
        <f t="shared" si="25"/>
        <v>OK</v>
      </c>
    </row>
    <row r="309" spans="2:14">
      <c r="C309"/>
      <c r="D309" t="s">
        <v>1439</v>
      </c>
      <c r="E309" t="s">
        <v>1323</v>
      </c>
      <c r="F309" s="78">
        <v>0.375</v>
      </c>
      <c r="G309" s="55">
        <v>0.91853009259259266</v>
      </c>
      <c r="H309" s="55">
        <v>0.32006944444444446</v>
      </c>
      <c r="I309" s="55" t="str">
        <f t="shared" si="22"/>
        <v>09.485.526-8</v>
      </c>
      <c r="J309" s="55">
        <f t="shared" si="23"/>
        <v>0.40153935185185186</v>
      </c>
      <c r="K309" s="93">
        <f t="shared" si="24"/>
        <v>0.63694444444444542</v>
      </c>
      <c r="L309">
        <f>IFERROR(HLOOKUP(D309,Ingreso!$AN$10:$AT$260,VLOOKUP('cruce '!I309,Ingreso!$AL$11:$AM$260,2,0),0),0)</f>
        <v>0</v>
      </c>
      <c r="M309" s="95" t="str">
        <f>IFERROR(HLOOKUP(D309,Ingreso!$AW$10:$BC$260,VLOOKUP('cruce '!I309,Ingreso!$AL$11:$AM$260,2,0),0),0)</f>
        <v/>
      </c>
      <c r="N309" t="str">
        <f t="shared" si="25"/>
        <v>OK</v>
      </c>
    </row>
    <row r="310" spans="2:14">
      <c r="B310" t="s">
        <v>777</v>
      </c>
      <c r="C310" t="s">
        <v>779</v>
      </c>
      <c r="D310" t="s">
        <v>1440</v>
      </c>
      <c r="E310" t="s">
        <v>1323</v>
      </c>
      <c r="F310" s="78">
        <v>0.375</v>
      </c>
      <c r="G310" s="55">
        <v>0.92662037037037026</v>
      </c>
      <c r="H310" s="55">
        <v>0.31914351851851852</v>
      </c>
      <c r="I310" s="55" t="str">
        <f t="shared" si="22"/>
        <v>09.488.801-8</v>
      </c>
      <c r="J310" s="55">
        <f t="shared" si="23"/>
        <v>0.39252314814814826</v>
      </c>
      <c r="K310" s="93">
        <f t="shared" si="24"/>
        <v>0.42055555555555912</v>
      </c>
      <c r="L310">
        <f>IFERROR(HLOOKUP(D310,Ingreso!$AN$10:$AT$260,VLOOKUP('cruce '!I310,Ingreso!$AL$11:$AM$260,2,0),0),0)</f>
        <v>0</v>
      </c>
      <c r="M310" s="95">
        <f>IFERROR(HLOOKUP(D310,Ingreso!$AW$10:$BC$260,VLOOKUP('cruce '!I310,Ingreso!$AL$11:$AM$260,2,0),0),0)</f>
        <v>0</v>
      </c>
      <c r="N310" t="str">
        <f t="shared" si="25"/>
        <v>OK</v>
      </c>
    </row>
    <row r="311" spans="2:14">
      <c r="C311"/>
      <c r="D311" t="s">
        <v>1441</v>
      </c>
      <c r="E311" t="s">
        <v>1323</v>
      </c>
      <c r="F311" s="78">
        <v>0.375</v>
      </c>
      <c r="G311" s="55"/>
      <c r="H311" s="55">
        <v>0.32072916666666668</v>
      </c>
      <c r="I311" s="55" t="str">
        <f t="shared" si="22"/>
        <v>09.488.801-8</v>
      </c>
      <c r="J311" s="55">
        <f t="shared" si="23"/>
        <v>0.32072916666666668</v>
      </c>
      <c r="K311" s="93">
        <f t="shared" si="24"/>
        <v>-1.3025000000000002</v>
      </c>
      <c r="L311">
        <f>IFERROR(HLOOKUP(D311,Ingreso!$AN$10:$AT$260,VLOOKUP('cruce '!I311,Ingreso!$AL$11:$AM$260,2,0),0),0)</f>
        <v>0</v>
      </c>
      <c r="M311" s="95">
        <f>IFERROR(HLOOKUP(D311,Ingreso!$AW$10:$BC$260,VLOOKUP('cruce '!I311,Ingreso!$AL$11:$AM$260,2,0),0),0)</f>
        <v>0</v>
      </c>
      <c r="N311" t="str">
        <f t="shared" si="25"/>
        <v>Revisar</v>
      </c>
    </row>
    <row r="312" spans="2:14">
      <c r="C312"/>
      <c r="D312" t="s">
        <v>1437</v>
      </c>
      <c r="E312" t="s">
        <v>1323</v>
      </c>
      <c r="F312" s="78">
        <v>0.375</v>
      </c>
      <c r="G312" s="55">
        <v>0.92901620370370364</v>
      </c>
      <c r="H312" s="55"/>
      <c r="I312" s="55" t="str">
        <f t="shared" si="22"/>
        <v>09.488.801-8</v>
      </c>
      <c r="J312" s="55">
        <f t="shared" si="23"/>
        <v>7.0983796296296364E-2</v>
      </c>
      <c r="K312" s="93">
        <f t="shared" si="24"/>
        <v>-7.2963888888888873</v>
      </c>
      <c r="L312">
        <f>IFERROR(HLOOKUP(D312,Ingreso!$AN$10:$AT$260,VLOOKUP('cruce '!I312,Ingreso!$AL$11:$AM$260,2,0),0),0)</f>
        <v>0</v>
      </c>
      <c r="M312" s="95">
        <f>IFERROR(HLOOKUP(D312,Ingreso!$AW$10:$BC$260,VLOOKUP('cruce '!I312,Ingreso!$AL$11:$AM$260,2,0),0),0)</f>
        <v>0</v>
      </c>
      <c r="N312" t="str">
        <f t="shared" si="25"/>
        <v>Revisar</v>
      </c>
    </row>
    <row r="313" spans="2:14">
      <c r="C313"/>
      <c r="D313" t="s">
        <v>1438</v>
      </c>
      <c r="E313" t="s">
        <v>1323</v>
      </c>
      <c r="F313" s="78">
        <v>0.375</v>
      </c>
      <c r="G313" s="55">
        <v>0.92925925925925934</v>
      </c>
      <c r="H313" s="55">
        <v>0.31915509259259262</v>
      </c>
      <c r="I313" s="55" t="str">
        <f t="shared" si="22"/>
        <v>09.488.801-8</v>
      </c>
      <c r="J313" s="55">
        <f t="shared" si="23"/>
        <v>0.38989583333333322</v>
      </c>
      <c r="K313" s="93">
        <f t="shared" si="24"/>
        <v>0.35749999999999815</v>
      </c>
      <c r="L313">
        <f>IFERROR(HLOOKUP(D313,Ingreso!$AN$10:$AT$260,VLOOKUP('cruce '!I313,Ingreso!$AL$11:$AM$260,2,0),0),0)</f>
        <v>0</v>
      </c>
      <c r="M313" s="95">
        <f>IFERROR(HLOOKUP(D313,Ingreso!$AW$10:$BC$260,VLOOKUP('cruce '!I313,Ingreso!$AL$11:$AM$260,2,0),0),0)</f>
        <v>0</v>
      </c>
      <c r="N313" t="str">
        <f t="shared" si="25"/>
        <v>OK</v>
      </c>
    </row>
    <row r="314" spans="2:14">
      <c r="C314"/>
      <c r="D314" t="s">
        <v>1439</v>
      </c>
      <c r="E314" t="s">
        <v>1323</v>
      </c>
      <c r="F314" s="78">
        <v>0.375</v>
      </c>
      <c r="G314" s="55">
        <v>0.92826388888888889</v>
      </c>
      <c r="H314" s="55">
        <v>0.32083333333333336</v>
      </c>
      <c r="I314" s="55" t="str">
        <f t="shared" si="22"/>
        <v>09.488.801-8</v>
      </c>
      <c r="J314" s="55">
        <f t="shared" si="23"/>
        <v>0.39256944444444442</v>
      </c>
      <c r="K314" s="93">
        <f t="shared" si="24"/>
        <v>0.42166666666666686</v>
      </c>
      <c r="L314">
        <f>IFERROR(HLOOKUP(D314,Ingreso!$AN$10:$AT$260,VLOOKUP('cruce '!I314,Ingreso!$AL$11:$AM$260,2,0),0),0)</f>
        <v>0</v>
      </c>
      <c r="M314" s="95">
        <f>IFERROR(HLOOKUP(D314,Ingreso!$AW$10:$BC$260,VLOOKUP('cruce '!I314,Ingreso!$AL$11:$AM$260,2,0),0),0)</f>
        <v>0</v>
      </c>
      <c r="N314" t="str">
        <f t="shared" si="25"/>
        <v>OK</v>
      </c>
    </row>
    <row r="315" spans="2:14">
      <c r="B315" t="s">
        <v>659</v>
      </c>
      <c r="C315" t="s">
        <v>660</v>
      </c>
      <c r="D315" t="s">
        <v>1440</v>
      </c>
      <c r="E315" t="s">
        <v>4</v>
      </c>
      <c r="F315" s="78">
        <v>0.3125</v>
      </c>
      <c r="G315" s="55">
        <v>0.79596064814814815</v>
      </c>
      <c r="H315" s="55"/>
      <c r="I315" s="55" t="str">
        <f t="shared" si="22"/>
        <v>09.488.820-4</v>
      </c>
      <c r="J315" s="55">
        <f t="shared" si="23"/>
        <v>0.20403935185185185</v>
      </c>
      <c r="K315" s="93">
        <f t="shared" si="24"/>
        <v>-2.6030555555555557</v>
      </c>
      <c r="L315">
        <f>IFERROR(HLOOKUP(D315,Ingreso!$AN$10:$AT$260,VLOOKUP('cruce '!I315,Ingreso!$AL$11:$AM$260,2,0),0),0)</f>
        <v>0</v>
      </c>
      <c r="M315" s="95">
        <f>IFERROR(HLOOKUP(D315,Ingreso!$AW$10:$BC$260,VLOOKUP('cruce '!I315,Ingreso!$AL$11:$AM$260,2,0),0),0)</f>
        <v>0</v>
      </c>
      <c r="N315" t="str">
        <f t="shared" si="25"/>
        <v>Revisar</v>
      </c>
    </row>
    <row r="316" spans="2:14">
      <c r="C316"/>
      <c r="D316"/>
      <c r="E316" t="s">
        <v>1323</v>
      </c>
      <c r="F316" s="78">
        <v>0.375</v>
      </c>
      <c r="G316" s="55"/>
      <c r="H316" s="55">
        <v>0.32326388888888885</v>
      </c>
      <c r="I316" s="55" t="str">
        <f t="shared" si="22"/>
        <v>09.488.820-4</v>
      </c>
      <c r="J316" s="55">
        <f t="shared" si="23"/>
        <v>0.32326388888888885</v>
      </c>
      <c r="K316" s="93">
        <f t="shared" si="24"/>
        <v>-1.2416666666666671</v>
      </c>
      <c r="L316">
        <f>IFERROR(HLOOKUP(D316,Ingreso!$AN$10:$AT$260,VLOOKUP('cruce '!I316,Ingreso!$AL$11:$AM$260,2,0),0),0)</f>
        <v>0</v>
      </c>
      <c r="M316" s="95">
        <f>IFERROR(HLOOKUP(D316,Ingreso!$AW$10:$BC$260,VLOOKUP('cruce '!I316,Ingreso!$AL$11:$AM$260,2,0),0),0)</f>
        <v>0</v>
      </c>
      <c r="N316" t="str">
        <f t="shared" si="25"/>
        <v>Revisar</v>
      </c>
    </row>
    <row r="317" spans="2:14">
      <c r="C317"/>
      <c r="D317" t="s">
        <v>1441</v>
      </c>
      <c r="E317" t="s">
        <v>1321</v>
      </c>
      <c r="F317" s="78">
        <v>0.3125</v>
      </c>
      <c r="G317" s="55">
        <v>0.60958333333333337</v>
      </c>
      <c r="H317" s="55">
        <v>0.94981481481481478</v>
      </c>
      <c r="I317" s="55" t="str">
        <f t="shared" si="22"/>
        <v>09.488.820-4</v>
      </c>
      <c r="J317" s="55">
        <f t="shared" si="23"/>
        <v>0.34023148148148141</v>
      </c>
      <c r="K317" s="93">
        <f t="shared" si="24"/>
        <v>0.66555555555555301</v>
      </c>
      <c r="L317">
        <f>IFERROR(HLOOKUP(D317,Ingreso!$AN$10:$AT$260,VLOOKUP('cruce '!I317,Ingreso!$AL$11:$AM$260,2,0),0),0)</f>
        <v>0</v>
      </c>
      <c r="M317" s="95">
        <f>IFERROR(HLOOKUP(D317,Ingreso!$AW$10:$BC$260,VLOOKUP('cruce '!I317,Ingreso!$AL$11:$AM$260,2,0),0),0)</f>
        <v>0</v>
      </c>
      <c r="N317" t="str">
        <f t="shared" si="25"/>
        <v>OK</v>
      </c>
    </row>
    <row r="318" spans="2:14">
      <c r="C318"/>
      <c r="D318"/>
      <c r="E318" t="s">
        <v>1323</v>
      </c>
      <c r="F318" s="78">
        <v>0.375</v>
      </c>
      <c r="G318" s="55"/>
      <c r="H318" s="55">
        <v>0.32520833333333332</v>
      </c>
      <c r="I318" s="55" t="str">
        <f t="shared" si="22"/>
        <v>09.488.820-4</v>
      </c>
      <c r="J318" s="55">
        <f t="shared" si="23"/>
        <v>0.32520833333333332</v>
      </c>
      <c r="K318" s="93">
        <f t="shared" si="24"/>
        <v>-1.1950000000000003</v>
      </c>
      <c r="L318">
        <f>IFERROR(HLOOKUP(D318,Ingreso!$AN$10:$AT$260,VLOOKUP('cruce '!I318,Ingreso!$AL$11:$AM$260,2,0),0),0)</f>
        <v>0</v>
      </c>
      <c r="M318" s="95">
        <f>IFERROR(HLOOKUP(D318,Ingreso!$AW$10:$BC$260,VLOOKUP('cruce '!I318,Ingreso!$AL$11:$AM$260,2,0),0),0)</f>
        <v>0</v>
      </c>
      <c r="N318" t="str">
        <f t="shared" si="25"/>
        <v>Revisar</v>
      </c>
    </row>
    <row r="319" spans="2:14">
      <c r="C319"/>
      <c r="D319" t="s">
        <v>1437</v>
      </c>
      <c r="E319" t="s">
        <v>1323</v>
      </c>
      <c r="F319" s="78">
        <v>0.375</v>
      </c>
      <c r="G319" s="55">
        <v>0.91812499999999997</v>
      </c>
      <c r="H319" s="55"/>
      <c r="I319" s="55" t="str">
        <f t="shared" ref="I319:I382" si="26">IF(B319="",I318,B319)</f>
        <v>09.488.820-4</v>
      </c>
      <c r="J319" s="55">
        <f t="shared" ref="J319:J382" si="27">IF(G319&gt;H319,(H319+0.5)-(G319-0.5),H319-G319)</f>
        <v>8.1875000000000031E-2</v>
      </c>
      <c r="K319" s="93">
        <f t="shared" ref="K319:K382" si="28">(J319*24)-(F319*24)</f>
        <v>-7.0349999999999993</v>
      </c>
      <c r="L319">
        <f>IFERROR(HLOOKUP(D319,Ingreso!$AN$10:$AT$260,VLOOKUP('cruce '!I319,Ingreso!$AL$11:$AM$260,2,0),0),0)</f>
        <v>0</v>
      </c>
      <c r="M319" s="95">
        <f>IFERROR(HLOOKUP(D319,Ingreso!$AW$10:$BC$260,VLOOKUP('cruce '!I319,Ingreso!$AL$11:$AM$260,2,0),0),0)</f>
        <v>0</v>
      </c>
      <c r="N319" t="str">
        <f t="shared" ref="N319:N382" si="29">IF((K319-L319)&gt;1,"Revisar",IF((K319-L319)&lt;-1,"Revisar","OK"))</f>
        <v>Revisar</v>
      </c>
    </row>
    <row r="320" spans="2:14">
      <c r="C320"/>
      <c r="D320" t="s">
        <v>1438</v>
      </c>
      <c r="E320" t="s">
        <v>1323</v>
      </c>
      <c r="F320" s="78">
        <v>0.375</v>
      </c>
      <c r="G320" s="55">
        <v>0.92017361111111118</v>
      </c>
      <c r="H320" s="55">
        <v>0.3210763888888889</v>
      </c>
      <c r="I320" s="55" t="str">
        <f t="shared" si="26"/>
        <v>09.488.820-4</v>
      </c>
      <c r="J320" s="55">
        <f t="shared" si="27"/>
        <v>0.40090277777777772</v>
      </c>
      <c r="K320" s="93">
        <f t="shared" si="28"/>
        <v>0.62166666666666615</v>
      </c>
      <c r="L320">
        <f>IFERROR(HLOOKUP(D320,Ingreso!$AN$10:$AT$260,VLOOKUP('cruce '!I320,Ingreso!$AL$11:$AM$260,2,0),0),0)</f>
        <v>0</v>
      </c>
      <c r="M320" s="95">
        <f>IFERROR(HLOOKUP(D320,Ingreso!$AW$10:$BC$260,VLOOKUP('cruce '!I320,Ingreso!$AL$11:$AM$260,2,0),0),0)</f>
        <v>0</v>
      </c>
      <c r="N320" t="str">
        <f t="shared" si="29"/>
        <v>OK</v>
      </c>
    </row>
    <row r="321" spans="2:14">
      <c r="C321"/>
      <c r="D321" t="s">
        <v>1439</v>
      </c>
      <c r="E321" t="s">
        <v>4</v>
      </c>
      <c r="F321" s="78">
        <v>0.3125</v>
      </c>
      <c r="G321" s="55">
        <v>0.80846064814814822</v>
      </c>
      <c r="H321" s="55"/>
      <c r="I321" s="55" t="str">
        <f t="shared" si="26"/>
        <v>09.488.820-4</v>
      </c>
      <c r="J321" s="55">
        <f t="shared" si="27"/>
        <v>0.19153935185185178</v>
      </c>
      <c r="K321" s="93">
        <f t="shared" si="28"/>
        <v>-2.9030555555555573</v>
      </c>
      <c r="L321">
        <f>IFERROR(HLOOKUP(D321,Ingreso!$AN$10:$AT$260,VLOOKUP('cruce '!I321,Ingreso!$AL$11:$AM$260,2,0),0),0)</f>
        <v>0</v>
      </c>
      <c r="M321" s="95">
        <f>IFERROR(HLOOKUP(D321,Ingreso!$AW$10:$BC$260,VLOOKUP('cruce '!I321,Ingreso!$AL$11:$AM$260,2,0),0),0)</f>
        <v>0</v>
      </c>
      <c r="N321" t="str">
        <f t="shared" si="29"/>
        <v>Revisar</v>
      </c>
    </row>
    <row r="322" spans="2:14">
      <c r="C322"/>
      <c r="D322"/>
      <c r="E322" t="s">
        <v>1323</v>
      </c>
      <c r="F322" s="78">
        <v>0.375</v>
      </c>
      <c r="G322" s="55"/>
      <c r="H322" s="55">
        <v>0.3228935185185185</v>
      </c>
      <c r="I322" s="55" t="str">
        <f t="shared" si="26"/>
        <v>09.488.820-4</v>
      </c>
      <c r="J322" s="55">
        <f t="shared" si="27"/>
        <v>0.3228935185185185</v>
      </c>
      <c r="K322" s="93">
        <f t="shared" si="28"/>
        <v>-1.2505555555555556</v>
      </c>
      <c r="L322">
        <f>IFERROR(HLOOKUP(D322,Ingreso!$AN$10:$AT$260,VLOOKUP('cruce '!I322,Ingreso!$AL$11:$AM$260,2,0),0),0)</f>
        <v>0</v>
      </c>
      <c r="M322" s="95">
        <f>IFERROR(HLOOKUP(D322,Ingreso!$AW$10:$BC$260,VLOOKUP('cruce '!I322,Ingreso!$AL$11:$AM$260,2,0),0),0)</f>
        <v>0</v>
      </c>
      <c r="N322" t="str">
        <f t="shared" si="29"/>
        <v>Revisar</v>
      </c>
    </row>
    <row r="323" spans="2:14">
      <c r="B323" t="s">
        <v>726</v>
      </c>
      <c r="C323" t="s">
        <v>729</v>
      </c>
      <c r="D323" t="s">
        <v>1440</v>
      </c>
      <c r="E323" t="s">
        <v>4</v>
      </c>
      <c r="F323" s="78">
        <v>0.3125</v>
      </c>
      <c r="G323" s="55">
        <v>0.29093750000000002</v>
      </c>
      <c r="H323" s="55">
        <v>0.63421296296296303</v>
      </c>
      <c r="I323" s="55" t="str">
        <f t="shared" si="26"/>
        <v>09.503.712-7</v>
      </c>
      <c r="J323" s="55">
        <f t="shared" si="27"/>
        <v>0.34327546296296302</v>
      </c>
      <c r="K323" s="93">
        <f t="shared" si="28"/>
        <v>0.738611111111112</v>
      </c>
      <c r="L323">
        <f>IFERROR(HLOOKUP(D323,Ingreso!$AN$10:$AT$260,VLOOKUP('cruce '!I323,Ingreso!$AL$11:$AM$260,2,0),0),0)</f>
        <v>0</v>
      </c>
      <c r="M323" s="95">
        <f>IFERROR(HLOOKUP(D323,Ingreso!$AW$10:$BC$260,VLOOKUP('cruce '!I323,Ingreso!$AL$11:$AM$260,2,0),0),0)</f>
        <v>0</v>
      </c>
      <c r="N323" t="str">
        <f t="shared" si="29"/>
        <v>OK</v>
      </c>
    </row>
    <row r="324" spans="2:14">
      <c r="C324"/>
      <c r="D324" t="s">
        <v>1441</v>
      </c>
      <c r="E324" t="s">
        <v>4</v>
      </c>
      <c r="F324" s="78">
        <v>0.3125</v>
      </c>
      <c r="G324" s="55">
        <v>0.29151620370370374</v>
      </c>
      <c r="H324" s="55">
        <v>0.63535879629629632</v>
      </c>
      <c r="I324" s="55" t="str">
        <f t="shared" si="26"/>
        <v>09.503.712-7</v>
      </c>
      <c r="J324" s="55">
        <f t="shared" si="27"/>
        <v>0.34384259259259259</v>
      </c>
      <c r="K324" s="93">
        <f t="shared" si="28"/>
        <v>0.75222222222222257</v>
      </c>
      <c r="L324">
        <f>IFERROR(HLOOKUP(D324,Ingreso!$AN$10:$AT$260,VLOOKUP('cruce '!I324,Ingreso!$AL$11:$AM$260,2,0),0),0)</f>
        <v>0</v>
      </c>
      <c r="M324" s="95">
        <f>IFERROR(HLOOKUP(D324,Ingreso!$AW$10:$BC$260,VLOOKUP('cruce '!I324,Ingreso!$AL$11:$AM$260,2,0),0),0)</f>
        <v>0</v>
      </c>
      <c r="N324" t="str">
        <f t="shared" si="29"/>
        <v>OK</v>
      </c>
    </row>
    <row r="325" spans="2:14">
      <c r="C325"/>
      <c r="D325" t="s">
        <v>1438</v>
      </c>
      <c r="E325" t="s">
        <v>4</v>
      </c>
      <c r="F325" s="78">
        <v>0.3125</v>
      </c>
      <c r="G325" s="55">
        <v>0.28836805555555556</v>
      </c>
      <c r="H325" s="55">
        <v>0.63627314814814817</v>
      </c>
      <c r="I325" s="55" t="str">
        <f t="shared" si="26"/>
        <v>09.503.712-7</v>
      </c>
      <c r="J325" s="55">
        <f t="shared" si="27"/>
        <v>0.34790509259259261</v>
      </c>
      <c r="K325" s="93">
        <f t="shared" si="28"/>
        <v>0.84972222222222271</v>
      </c>
      <c r="L325">
        <f>IFERROR(HLOOKUP(D325,Ingreso!$AN$10:$AT$260,VLOOKUP('cruce '!I325,Ingreso!$AL$11:$AM$260,2,0),0),0)</f>
        <v>0</v>
      </c>
      <c r="M325" s="95">
        <f>IFERROR(HLOOKUP(D325,Ingreso!$AW$10:$BC$260,VLOOKUP('cruce '!I325,Ingreso!$AL$11:$AM$260,2,0),0),0)</f>
        <v>0</v>
      </c>
      <c r="N325" t="str">
        <f t="shared" si="29"/>
        <v>OK</v>
      </c>
    </row>
    <row r="326" spans="2:14">
      <c r="C326"/>
      <c r="D326" t="s">
        <v>1439</v>
      </c>
      <c r="E326" t="s">
        <v>4</v>
      </c>
      <c r="F326" s="78">
        <v>0.3125</v>
      </c>
      <c r="G326" s="55">
        <v>0.29115740740740742</v>
      </c>
      <c r="H326" s="55">
        <v>0.63555555555555554</v>
      </c>
      <c r="I326" s="55" t="str">
        <f t="shared" si="26"/>
        <v>09.503.712-7</v>
      </c>
      <c r="J326" s="55">
        <f t="shared" si="27"/>
        <v>0.34439814814814812</v>
      </c>
      <c r="K326" s="93">
        <f t="shared" si="28"/>
        <v>0.76555555555555443</v>
      </c>
      <c r="L326">
        <f>IFERROR(HLOOKUP(D326,Ingreso!$AN$10:$AT$260,VLOOKUP('cruce '!I326,Ingreso!$AL$11:$AM$260,2,0),0),0)</f>
        <v>0</v>
      </c>
      <c r="M326" s="95">
        <f>IFERROR(HLOOKUP(D326,Ingreso!$AW$10:$BC$260,VLOOKUP('cruce '!I326,Ingreso!$AL$11:$AM$260,2,0),0),0)</f>
        <v>0</v>
      </c>
      <c r="N326" t="str">
        <f t="shared" si="29"/>
        <v>OK</v>
      </c>
    </row>
    <row r="327" spans="2:14">
      <c r="B327" t="s">
        <v>418</v>
      </c>
      <c r="C327" t="s">
        <v>421</v>
      </c>
      <c r="D327" t="s">
        <v>1440</v>
      </c>
      <c r="E327" t="s">
        <v>1321</v>
      </c>
      <c r="F327" s="78">
        <v>0.3125</v>
      </c>
      <c r="G327" s="55">
        <v>0.56723379629629633</v>
      </c>
      <c r="H327" s="55">
        <v>0.98006944444444433</v>
      </c>
      <c r="I327" s="55" t="str">
        <f t="shared" si="26"/>
        <v>09.571.017-4</v>
      </c>
      <c r="J327" s="55">
        <f t="shared" si="27"/>
        <v>0.41283564814814799</v>
      </c>
      <c r="K327" s="93">
        <f t="shared" si="28"/>
        <v>2.4080555555555527</v>
      </c>
      <c r="L327">
        <f>IFERROR(HLOOKUP(D327,Ingreso!$AN$10:$AT$260,VLOOKUP('cruce '!I327,Ingreso!$AL$11:$AM$260,2,0),0),0)</f>
        <v>0</v>
      </c>
      <c r="M327" s="95" t="str">
        <f>IFERROR(HLOOKUP(D327,Ingreso!$AW$10:$BC$260,VLOOKUP('cruce '!I327,Ingreso!$AL$11:$AM$260,2,0),0),0)</f>
        <v/>
      </c>
      <c r="N327" t="str">
        <f t="shared" si="29"/>
        <v>Revisar</v>
      </c>
    </row>
    <row r="328" spans="2:14">
      <c r="C328"/>
      <c r="D328" t="s">
        <v>1441</v>
      </c>
      <c r="E328" t="s">
        <v>1321</v>
      </c>
      <c r="F328" s="78">
        <v>0.3125</v>
      </c>
      <c r="G328" s="55">
        <v>0.648900462962963</v>
      </c>
      <c r="H328" s="55">
        <v>0.91630787037037031</v>
      </c>
      <c r="I328" s="55" t="str">
        <f t="shared" si="26"/>
        <v>09.571.017-4</v>
      </c>
      <c r="J328" s="55">
        <f t="shared" si="27"/>
        <v>0.26740740740740732</v>
      </c>
      <c r="K328" s="93">
        <f t="shared" si="28"/>
        <v>-1.0822222222222244</v>
      </c>
      <c r="L328">
        <f>IFERROR(HLOOKUP(D328,Ingreso!$AN$10:$AT$260,VLOOKUP('cruce '!I328,Ingreso!$AL$11:$AM$260,2,0),0),0)</f>
        <v>0</v>
      </c>
      <c r="M328" s="95" t="str">
        <f>IFERROR(HLOOKUP(D328,Ingreso!$AW$10:$BC$260,VLOOKUP('cruce '!I328,Ingreso!$AL$11:$AM$260,2,0),0),0)</f>
        <v/>
      </c>
      <c r="N328" t="str">
        <f t="shared" si="29"/>
        <v>Revisar</v>
      </c>
    </row>
    <row r="329" spans="2:14">
      <c r="C329"/>
      <c r="D329" t="s">
        <v>1437</v>
      </c>
      <c r="E329" t="s">
        <v>1321</v>
      </c>
      <c r="F329" s="78">
        <v>0.3125</v>
      </c>
      <c r="G329" s="55">
        <v>0.51922453703703708</v>
      </c>
      <c r="H329" s="55">
        <v>0.96462962962962961</v>
      </c>
      <c r="I329" s="55" t="str">
        <f t="shared" si="26"/>
        <v>09.571.017-4</v>
      </c>
      <c r="J329" s="55">
        <f t="shared" si="27"/>
        <v>0.44540509259259253</v>
      </c>
      <c r="K329" s="93">
        <f t="shared" si="28"/>
        <v>3.1897222222222208</v>
      </c>
      <c r="L329">
        <f>IFERROR(HLOOKUP(D329,Ingreso!$AN$10:$AT$260,VLOOKUP('cruce '!I329,Ingreso!$AL$11:$AM$260,2,0),0),0)</f>
        <v>2.5</v>
      </c>
      <c r="M329" s="95">
        <f>IFERROR(HLOOKUP(D329,Ingreso!$AW$10:$BC$260,VLOOKUP('cruce '!I329,Ingreso!$AL$11:$AM$260,2,0),0),0)</f>
        <v>0.5</v>
      </c>
      <c r="N329" t="str">
        <f t="shared" si="29"/>
        <v>OK</v>
      </c>
    </row>
    <row r="330" spans="2:14">
      <c r="C330"/>
      <c r="D330" t="s">
        <v>1438</v>
      </c>
      <c r="E330" t="s">
        <v>1321</v>
      </c>
      <c r="F330" s="78">
        <v>0.3125</v>
      </c>
      <c r="G330" s="55">
        <v>0.5379976851851852</v>
      </c>
      <c r="H330" s="55"/>
      <c r="I330" s="55" t="str">
        <f t="shared" si="26"/>
        <v>09.571.017-4</v>
      </c>
      <c r="J330" s="55">
        <f t="shared" si="27"/>
        <v>0.4620023148148148</v>
      </c>
      <c r="K330" s="93">
        <f t="shared" si="28"/>
        <v>3.588055555555556</v>
      </c>
      <c r="L330">
        <f>IFERROR(HLOOKUP(D330,Ingreso!$AN$10:$AT$260,VLOOKUP('cruce '!I330,Ingreso!$AL$11:$AM$260,2,0),0),0)</f>
        <v>4</v>
      </c>
      <c r="M330" s="95">
        <f>IFERROR(HLOOKUP(D330,Ingreso!$AW$10:$BC$260,VLOOKUP('cruce '!I330,Ingreso!$AL$11:$AM$260,2,0),0),0)</f>
        <v>0.5</v>
      </c>
      <c r="N330" t="str">
        <f t="shared" si="29"/>
        <v>OK</v>
      </c>
    </row>
    <row r="331" spans="2:14">
      <c r="C331"/>
      <c r="D331" t="s">
        <v>1439</v>
      </c>
      <c r="E331" t="s">
        <v>1321</v>
      </c>
      <c r="F331" s="78">
        <v>0.3125</v>
      </c>
      <c r="G331" s="55">
        <v>0.56049768518518517</v>
      </c>
      <c r="H331" s="55">
        <v>1.0729166666666666E-2</v>
      </c>
      <c r="I331" s="55" t="str">
        <f t="shared" si="26"/>
        <v>09.571.017-4</v>
      </c>
      <c r="J331" s="55">
        <f t="shared" si="27"/>
        <v>0.45023148148148151</v>
      </c>
      <c r="K331" s="93">
        <f t="shared" si="28"/>
        <v>3.3055555555555571</v>
      </c>
      <c r="L331">
        <f>IFERROR(HLOOKUP(D331,Ingreso!$AN$10:$AT$260,VLOOKUP('cruce '!I331,Ingreso!$AL$11:$AM$260,2,0),0),0)</f>
        <v>4</v>
      </c>
      <c r="M331" s="95">
        <f>IFERROR(HLOOKUP(D331,Ingreso!$AW$10:$BC$260,VLOOKUP('cruce '!I331,Ingreso!$AL$11:$AM$260,2,0),0),0)</f>
        <v>0.5</v>
      </c>
      <c r="N331" t="str">
        <f t="shared" si="29"/>
        <v>OK</v>
      </c>
    </row>
    <row r="332" spans="2:14">
      <c r="B332" t="s">
        <v>662</v>
      </c>
      <c r="C332" t="s">
        <v>664</v>
      </c>
      <c r="D332" t="s">
        <v>1440</v>
      </c>
      <c r="E332" t="s">
        <v>1321</v>
      </c>
      <c r="F332" s="78">
        <v>0.3125</v>
      </c>
      <c r="G332" s="55">
        <v>0.61798611111111112</v>
      </c>
      <c r="H332" s="55">
        <v>0.95079861111111119</v>
      </c>
      <c r="I332" s="55" t="str">
        <f t="shared" si="26"/>
        <v>09.613.720-6</v>
      </c>
      <c r="J332" s="55">
        <f t="shared" si="27"/>
        <v>0.33281250000000007</v>
      </c>
      <c r="K332" s="93">
        <f t="shared" si="28"/>
        <v>0.4875000000000016</v>
      </c>
      <c r="L332">
        <f>IFERROR(HLOOKUP(D332,Ingreso!$AN$10:$AT$260,VLOOKUP('cruce '!I332,Ingreso!$AL$11:$AM$260,2,0),0),0)</f>
        <v>0</v>
      </c>
      <c r="M332" s="95">
        <f>IFERROR(HLOOKUP(D332,Ingreso!$AW$10:$BC$260,VLOOKUP('cruce '!I332,Ingreso!$AL$11:$AM$260,2,0),0),0)</f>
        <v>0</v>
      </c>
      <c r="N332" t="str">
        <f t="shared" si="29"/>
        <v>OK</v>
      </c>
    </row>
    <row r="333" spans="2:14">
      <c r="C333"/>
      <c r="D333" t="s">
        <v>1441</v>
      </c>
      <c r="E333" t="s">
        <v>1321</v>
      </c>
      <c r="F333" s="78">
        <v>0.3125</v>
      </c>
      <c r="G333" s="55">
        <v>0.61438657407407404</v>
      </c>
      <c r="H333" s="55">
        <v>0.95116898148148143</v>
      </c>
      <c r="I333" s="55" t="str">
        <f t="shared" si="26"/>
        <v>09.613.720-6</v>
      </c>
      <c r="J333" s="55">
        <f t="shared" si="27"/>
        <v>0.33678240740740739</v>
      </c>
      <c r="K333" s="93">
        <f t="shared" si="28"/>
        <v>0.58277777777777828</v>
      </c>
      <c r="L333">
        <f>IFERROR(HLOOKUP(D333,Ingreso!$AN$10:$AT$260,VLOOKUP('cruce '!I333,Ingreso!$AL$11:$AM$260,2,0),0),0)</f>
        <v>0</v>
      </c>
      <c r="M333" s="95">
        <f>IFERROR(HLOOKUP(D333,Ingreso!$AW$10:$BC$260,VLOOKUP('cruce '!I333,Ingreso!$AL$11:$AM$260,2,0),0),0)</f>
        <v>0</v>
      </c>
      <c r="N333" t="str">
        <f t="shared" si="29"/>
        <v>OK</v>
      </c>
    </row>
    <row r="334" spans="2:14">
      <c r="C334"/>
      <c r="D334" t="s">
        <v>1437</v>
      </c>
      <c r="E334" t="s">
        <v>1321</v>
      </c>
      <c r="F334" s="78">
        <v>0.3125</v>
      </c>
      <c r="G334" s="55">
        <v>0.60878472222222224</v>
      </c>
      <c r="H334" s="55">
        <v>0.94655092592592593</v>
      </c>
      <c r="I334" s="55" t="str">
        <f t="shared" si="26"/>
        <v>09.613.720-6</v>
      </c>
      <c r="J334" s="55">
        <f t="shared" si="27"/>
        <v>0.33776620370370369</v>
      </c>
      <c r="K334" s="93">
        <f t="shared" si="28"/>
        <v>0.60638888888888864</v>
      </c>
      <c r="L334">
        <f>IFERROR(HLOOKUP(D334,Ingreso!$AN$10:$AT$260,VLOOKUP('cruce '!I334,Ingreso!$AL$11:$AM$260,2,0),0),0)</f>
        <v>0</v>
      </c>
      <c r="M334" s="95">
        <f>IFERROR(HLOOKUP(D334,Ingreso!$AW$10:$BC$260,VLOOKUP('cruce '!I334,Ingreso!$AL$11:$AM$260,2,0),0),0)</f>
        <v>0</v>
      </c>
      <c r="N334" t="str">
        <f t="shared" si="29"/>
        <v>OK</v>
      </c>
    </row>
    <row r="335" spans="2:14">
      <c r="C335"/>
      <c r="D335" t="s">
        <v>1438</v>
      </c>
      <c r="E335" t="s">
        <v>1321</v>
      </c>
      <c r="F335" s="78">
        <v>0.3125</v>
      </c>
      <c r="G335" s="55">
        <v>0.60822916666666671</v>
      </c>
      <c r="H335" s="55">
        <v>0.94329861111111113</v>
      </c>
      <c r="I335" s="55" t="str">
        <f t="shared" si="26"/>
        <v>09.613.720-6</v>
      </c>
      <c r="J335" s="55">
        <f t="shared" si="27"/>
        <v>0.33506944444444442</v>
      </c>
      <c r="K335" s="93">
        <f t="shared" si="28"/>
        <v>0.54166666666666607</v>
      </c>
      <c r="L335">
        <f>IFERROR(HLOOKUP(D335,Ingreso!$AN$10:$AT$260,VLOOKUP('cruce '!I335,Ingreso!$AL$11:$AM$260,2,0),0),0)</f>
        <v>0</v>
      </c>
      <c r="M335" s="95">
        <f>IFERROR(HLOOKUP(D335,Ingreso!$AW$10:$BC$260,VLOOKUP('cruce '!I335,Ingreso!$AL$11:$AM$260,2,0),0),0)</f>
        <v>0</v>
      </c>
      <c r="N335" t="str">
        <f t="shared" si="29"/>
        <v>OK</v>
      </c>
    </row>
    <row r="336" spans="2:14">
      <c r="C336"/>
      <c r="D336" t="s">
        <v>1439</v>
      </c>
      <c r="E336" t="s">
        <v>1321</v>
      </c>
      <c r="F336" s="78">
        <v>0.3125</v>
      </c>
      <c r="G336" s="55">
        <v>0.60827546296296298</v>
      </c>
      <c r="H336" s="55">
        <v>0.94731481481481483</v>
      </c>
      <c r="I336" s="55" t="str">
        <f t="shared" si="26"/>
        <v>09.613.720-6</v>
      </c>
      <c r="J336" s="55">
        <f t="shared" si="27"/>
        <v>0.33903935185185186</v>
      </c>
      <c r="K336" s="93">
        <f t="shared" si="28"/>
        <v>0.63694444444444542</v>
      </c>
      <c r="L336">
        <f>IFERROR(HLOOKUP(D336,Ingreso!$AN$10:$AT$260,VLOOKUP('cruce '!I336,Ingreso!$AL$11:$AM$260,2,0),0),0)</f>
        <v>0</v>
      </c>
      <c r="M336" s="95">
        <f>IFERROR(HLOOKUP(D336,Ingreso!$AW$10:$BC$260,VLOOKUP('cruce '!I336,Ingreso!$AL$11:$AM$260,2,0),0),0)</f>
        <v>0</v>
      </c>
      <c r="N336" t="str">
        <f t="shared" si="29"/>
        <v>OK</v>
      </c>
    </row>
    <row r="337" spans="2:14">
      <c r="B337" t="s">
        <v>855</v>
      </c>
      <c r="C337" t="s">
        <v>859</v>
      </c>
      <c r="D337" t="s">
        <v>1440</v>
      </c>
      <c r="E337" t="s">
        <v>1321</v>
      </c>
      <c r="F337" s="78">
        <v>0.3125</v>
      </c>
      <c r="G337" s="55">
        <v>0.63394675925925925</v>
      </c>
      <c r="H337" s="55">
        <v>0.95512731481481483</v>
      </c>
      <c r="I337" s="55" t="str">
        <f t="shared" si="26"/>
        <v>09.741.880-2</v>
      </c>
      <c r="J337" s="55">
        <f t="shared" si="27"/>
        <v>0.32118055555555558</v>
      </c>
      <c r="K337" s="93">
        <f t="shared" si="28"/>
        <v>0.20833333333333393</v>
      </c>
      <c r="L337">
        <f>IFERROR(HLOOKUP(D337,Ingreso!$AN$10:$AT$260,VLOOKUP('cruce '!I337,Ingreso!$AL$11:$AM$260,2,0),0),0)</f>
        <v>0</v>
      </c>
      <c r="M337" s="95" t="str">
        <f>IFERROR(HLOOKUP(D337,Ingreso!$AW$10:$BC$260,VLOOKUP('cruce '!I337,Ingreso!$AL$11:$AM$260,2,0),0),0)</f>
        <v/>
      </c>
      <c r="N337" t="str">
        <f t="shared" si="29"/>
        <v>OK</v>
      </c>
    </row>
    <row r="338" spans="2:14">
      <c r="C338"/>
      <c r="D338" t="s">
        <v>1441</v>
      </c>
      <c r="E338" t="s">
        <v>1321</v>
      </c>
      <c r="F338" s="78">
        <v>0.3125</v>
      </c>
      <c r="G338" s="55">
        <v>0.29383101851851851</v>
      </c>
      <c r="H338" s="55">
        <v>0.63032407407407409</v>
      </c>
      <c r="I338" s="55" t="str">
        <f t="shared" si="26"/>
        <v>09.741.880-2</v>
      </c>
      <c r="J338" s="55">
        <f t="shared" si="27"/>
        <v>0.33649305555555559</v>
      </c>
      <c r="K338" s="93">
        <f t="shared" si="28"/>
        <v>0.57583333333333364</v>
      </c>
      <c r="L338">
        <f>IFERROR(HLOOKUP(D338,Ingreso!$AN$10:$AT$260,VLOOKUP('cruce '!I338,Ingreso!$AL$11:$AM$260,2,0),0),0)</f>
        <v>0</v>
      </c>
      <c r="M338" s="95" t="str">
        <f>IFERROR(HLOOKUP(D338,Ingreso!$AW$10:$BC$260,VLOOKUP('cruce '!I338,Ingreso!$AL$11:$AM$260,2,0),0),0)</f>
        <v/>
      </c>
      <c r="N338" t="str">
        <f t="shared" si="29"/>
        <v>OK</v>
      </c>
    </row>
    <row r="339" spans="2:14">
      <c r="C339"/>
      <c r="D339" t="s">
        <v>1437</v>
      </c>
      <c r="E339" t="s">
        <v>1321</v>
      </c>
      <c r="F339" s="78">
        <v>0.3125</v>
      </c>
      <c r="G339" s="55">
        <v>0.28248842592592593</v>
      </c>
      <c r="H339" s="55">
        <v>0.62415509259259261</v>
      </c>
      <c r="I339" s="55" t="str">
        <f t="shared" si="26"/>
        <v>09.741.880-2</v>
      </c>
      <c r="J339" s="55">
        <f t="shared" si="27"/>
        <v>0.34166666666666667</v>
      </c>
      <c r="K339" s="93">
        <f t="shared" si="28"/>
        <v>0.69999999999999929</v>
      </c>
      <c r="L339">
        <f>IFERROR(HLOOKUP(D339,Ingreso!$AN$10:$AT$260,VLOOKUP('cruce '!I339,Ingreso!$AL$11:$AM$260,2,0),0),0)</f>
        <v>0</v>
      </c>
      <c r="M339" s="95" t="str">
        <f>IFERROR(HLOOKUP(D339,Ingreso!$AW$10:$BC$260,VLOOKUP('cruce '!I339,Ingreso!$AL$11:$AM$260,2,0),0),0)</f>
        <v/>
      </c>
      <c r="N339" t="str">
        <f t="shared" si="29"/>
        <v>OK</v>
      </c>
    </row>
    <row r="340" spans="2:14">
      <c r="C340"/>
      <c r="D340" t="s">
        <v>1438</v>
      </c>
      <c r="E340" t="s">
        <v>1321</v>
      </c>
      <c r="F340" s="78">
        <v>0.3125</v>
      </c>
      <c r="G340" s="55">
        <v>0.61843749999999997</v>
      </c>
      <c r="H340" s="55">
        <v>0.97418981481481481</v>
      </c>
      <c r="I340" s="55" t="str">
        <f t="shared" si="26"/>
        <v>09.741.880-2</v>
      </c>
      <c r="J340" s="55">
        <f t="shared" si="27"/>
        <v>0.35575231481481484</v>
      </c>
      <c r="K340" s="93">
        <f t="shared" si="28"/>
        <v>1.0380555555555553</v>
      </c>
      <c r="L340">
        <f>IFERROR(HLOOKUP(D340,Ingreso!$AN$10:$AT$260,VLOOKUP('cruce '!I340,Ingreso!$AL$11:$AM$260,2,0),0),0)</f>
        <v>0</v>
      </c>
      <c r="M340" s="95" t="str">
        <f>IFERROR(HLOOKUP(D340,Ingreso!$AW$10:$BC$260,VLOOKUP('cruce '!I340,Ingreso!$AL$11:$AM$260,2,0),0),0)</f>
        <v/>
      </c>
      <c r="N340" t="str">
        <f t="shared" si="29"/>
        <v>Revisar</v>
      </c>
    </row>
    <row r="341" spans="2:14">
      <c r="C341"/>
      <c r="D341" t="s">
        <v>1439</v>
      </c>
      <c r="E341" t="s">
        <v>1321</v>
      </c>
      <c r="F341" s="78">
        <v>0.3125</v>
      </c>
      <c r="G341" s="55">
        <v>0.6208217592592592</v>
      </c>
      <c r="H341" s="55">
        <v>0.94958333333333333</v>
      </c>
      <c r="I341" s="55" t="str">
        <f t="shared" si="26"/>
        <v>09.741.880-2</v>
      </c>
      <c r="J341" s="55">
        <f t="shared" si="27"/>
        <v>0.32876157407407414</v>
      </c>
      <c r="K341" s="93">
        <f t="shared" si="28"/>
        <v>0.39027777777777928</v>
      </c>
      <c r="L341">
        <f>IFERROR(HLOOKUP(D341,Ingreso!$AN$10:$AT$260,VLOOKUP('cruce '!I341,Ingreso!$AL$11:$AM$260,2,0),0),0)</f>
        <v>0</v>
      </c>
      <c r="M341" s="95" t="str">
        <f>IFERROR(HLOOKUP(D341,Ingreso!$AW$10:$BC$260,VLOOKUP('cruce '!I341,Ingreso!$AL$11:$AM$260,2,0),0),0)</f>
        <v/>
      </c>
      <c r="N341" t="str">
        <f t="shared" si="29"/>
        <v>OK</v>
      </c>
    </row>
    <row r="342" spans="2:14">
      <c r="B342" t="s">
        <v>474</v>
      </c>
      <c r="C342" t="s">
        <v>476</v>
      </c>
      <c r="D342" t="s">
        <v>1440</v>
      </c>
      <c r="E342" t="s">
        <v>1474</v>
      </c>
      <c r="F342" t="s">
        <v>1472</v>
      </c>
      <c r="G342" s="55">
        <v>0.34038194444444447</v>
      </c>
      <c r="H342" s="55">
        <v>0.6326504629629629</v>
      </c>
      <c r="I342" s="55" t="str">
        <f t="shared" si="26"/>
        <v>09.748.915-7</v>
      </c>
      <c r="J342" s="55">
        <f t="shared" si="27"/>
        <v>0.29226851851851843</v>
      </c>
      <c r="K342" s="93" t="e">
        <f t="shared" si="28"/>
        <v>#VALUE!</v>
      </c>
      <c r="L342">
        <f>IFERROR(HLOOKUP(D342,Ingreso!$AN$10:$AT$260,VLOOKUP('cruce '!I342,Ingreso!$AL$11:$AM$260,2,0),0),0)</f>
        <v>0</v>
      </c>
      <c r="M342" s="95" t="str">
        <f>IFERROR(HLOOKUP(D342,Ingreso!$AW$10:$BC$260,VLOOKUP('cruce '!I342,Ingreso!$AL$11:$AM$260,2,0),0),0)</f>
        <v/>
      </c>
      <c r="N342" t="e">
        <f t="shared" si="29"/>
        <v>#VALUE!</v>
      </c>
    </row>
    <row r="343" spans="2:14">
      <c r="C343"/>
      <c r="D343" t="s">
        <v>1441</v>
      </c>
      <c r="E343" t="s">
        <v>1474</v>
      </c>
      <c r="F343" t="s">
        <v>1472</v>
      </c>
      <c r="G343" s="55">
        <v>0.37945601851851851</v>
      </c>
      <c r="H343" s="55">
        <v>0.69459490740740737</v>
      </c>
      <c r="I343" s="55" t="str">
        <f t="shared" si="26"/>
        <v>09.748.915-7</v>
      </c>
      <c r="J343" s="55">
        <f t="shared" si="27"/>
        <v>0.31513888888888886</v>
      </c>
      <c r="K343" s="93" t="e">
        <f t="shared" si="28"/>
        <v>#VALUE!</v>
      </c>
      <c r="L343">
        <f>IFERROR(HLOOKUP(D343,Ingreso!$AN$10:$AT$260,VLOOKUP('cruce '!I343,Ingreso!$AL$11:$AM$260,2,0),0),0)</f>
        <v>0</v>
      </c>
      <c r="M343" s="95" t="str">
        <f>IFERROR(HLOOKUP(D343,Ingreso!$AW$10:$BC$260,VLOOKUP('cruce '!I343,Ingreso!$AL$11:$AM$260,2,0),0),0)</f>
        <v/>
      </c>
      <c r="N343" t="e">
        <f t="shared" si="29"/>
        <v>#VALUE!</v>
      </c>
    </row>
    <row r="344" spans="2:14">
      <c r="C344"/>
      <c r="D344" t="s">
        <v>1437</v>
      </c>
      <c r="E344" t="s">
        <v>1474</v>
      </c>
      <c r="F344" t="s">
        <v>1472</v>
      </c>
      <c r="G344" s="55">
        <v>0.32931712962962961</v>
      </c>
      <c r="H344" s="55">
        <v>0.64597222222222228</v>
      </c>
      <c r="I344" s="55" t="str">
        <f t="shared" si="26"/>
        <v>09.748.915-7</v>
      </c>
      <c r="J344" s="55">
        <f t="shared" si="27"/>
        <v>0.31665509259259267</v>
      </c>
      <c r="K344" s="93" t="e">
        <f t="shared" si="28"/>
        <v>#VALUE!</v>
      </c>
      <c r="L344">
        <f>IFERROR(HLOOKUP(D344,Ingreso!$AN$10:$AT$260,VLOOKUP('cruce '!I344,Ingreso!$AL$11:$AM$260,2,0),0),0)</f>
        <v>0</v>
      </c>
      <c r="M344" s="95" t="str">
        <f>IFERROR(HLOOKUP(D344,Ingreso!$AW$10:$BC$260,VLOOKUP('cruce '!I344,Ingreso!$AL$11:$AM$260,2,0),0),0)</f>
        <v/>
      </c>
      <c r="N344" t="e">
        <f t="shared" si="29"/>
        <v>#VALUE!</v>
      </c>
    </row>
    <row r="345" spans="2:14">
      <c r="C345"/>
      <c r="D345" t="s">
        <v>1438</v>
      </c>
      <c r="E345" t="s">
        <v>1474</v>
      </c>
      <c r="F345" t="s">
        <v>1472</v>
      </c>
      <c r="G345" s="55">
        <v>0.32340277777777776</v>
      </c>
      <c r="H345" s="55">
        <v>0.66284722222222225</v>
      </c>
      <c r="I345" s="55" t="str">
        <f t="shared" si="26"/>
        <v>09.748.915-7</v>
      </c>
      <c r="J345" s="55">
        <f t="shared" si="27"/>
        <v>0.33944444444444449</v>
      </c>
      <c r="K345" s="93" t="e">
        <f t="shared" si="28"/>
        <v>#VALUE!</v>
      </c>
      <c r="L345">
        <f>IFERROR(HLOOKUP(D345,Ingreso!$AN$10:$AT$260,VLOOKUP('cruce '!I345,Ingreso!$AL$11:$AM$260,2,0),0),0)</f>
        <v>0</v>
      </c>
      <c r="M345" s="95" t="str">
        <f>IFERROR(HLOOKUP(D345,Ingreso!$AW$10:$BC$260,VLOOKUP('cruce '!I345,Ingreso!$AL$11:$AM$260,2,0),0),0)</f>
        <v/>
      </c>
      <c r="N345" t="e">
        <f t="shared" si="29"/>
        <v>#VALUE!</v>
      </c>
    </row>
    <row r="346" spans="2:14">
      <c r="C346"/>
      <c r="D346" t="s">
        <v>1439</v>
      </c>
      <c r="E346" t="s">
        <v>1474</v>
      </c>
      <c r="F346" t="s">
        <v>1472</v>
      </c>
      <c r="G346" s="55">
        <v>0.62631944444444443</v>
      </c>
      <c r="H346" s="55">
        <v>0.94024305555555554</v>
      </c>
      <c r="I346" s="55" t="str">
        <f t="shared" si="26"/>
        <v>09.748.915-7</v>
      </c>
      <c r="J346" s="55">
        <f t="shared" si="27"/>
        <v>0.31392361111111111</v>
      </c>
      <c r="K346" s="93" t="e">
        <f t="shared" si="28"/>
        <v>#VALUE!</v>
      </c>
      <c r="L346">
        <f>IFERROR(HLOOKUP(D346,Ingreso!$AN$10:$AT$260,VLOOKUP('cruce '!I346,Ingreso!$AL$11:$AM$260,2,0),0),0)</f>
        <v>0</v>
      </c>
      <c r="M346" s="95" t="str">
        <f>IFERROR(HLOOKUP(D346,Ingreso!$AW$10:$BC$260,VLOOKUP('cruce '!I346,Ingreso!$AL$11:$AM$260,2,0),0),0)</f>
        <v/>
      </c>
      <c r="N346" t="e">
        <f t="shared" si="29"/>
        <v>#VALUE!</v>
      </c>
    </row>
    <row r="347" spans="2:14">
      <c r="B347" t="s">
        <v>1124</v>
      </c>
      <c r="C347" t="s">
        <v>1125</v>
      </c>
      <c r="D347" t="s">
        <v>1440</v>
      </c>
      <c r="E347" t="s">
        <v>1323</v>
      </c>
      <c r="F347" s="78">
        <v>0.375</v>
      </c>
      <c r="G347" s="55">
        <v>0.91781250000000003</v>
      </c>
      <c r="H347" s="55">
        <v>0.32471064814814815</v>
      </c>
      <c r="I347" s="55" t="str">
        <f t="shared" si="26"/>
        <v>09.774.031-3</v>
      </c>
      <c r="J347" s="55">
        <f t="shared" si="27"/>
        <v>0.40689814814814806</v>
      </c>
      <c r="K347" s="93">
        <f t="shared" si="28"/>
        <v>0.76555555555555443</v>
      </c>
      <c r="L347">
        <f>IFERROR(HLOOKUP(D347,Ingreso!$AN$10:$AT$260,VLOOKUP('cruce '!I347,Ingreso!$AL$11:$AM$260,2,0),0),0)</f>
        <v>0</v>
      </c>
      <c r="M347" s="95">
        <f>IFERROR(HLOOKUP(D347,Ingreso!$AW$10:$BC$260,VLOOKUP('cruce '!I347,Ingreso!$AL$11:$AM$260,2,0),0),0)</f>
        <v>0</v>
      </c>
      <c r="N347" t="str">
        <f t="shared" si="29"/>
        <v>OK</v>
      </c>
    </row>
    <row r="348" spans="2:14">
      <c r="C348"/>
      <c r="D348" t="s">
        <v>1441</v>
      </c>
      <c r="E348" t="s">
        <v>1323</v>
      </c>
      <c r="F348" s="78">
        <v>0.375</v>
      </c>
      <c r="G348" s="55"/>
      <c r="H348" s="55">
        <v>0.32530092592592591</v>
      </c>
      <c r="I348" s="55" t="str">
        <f t="shared" si="26"/>
        <v>09.774.031-3</v>
      </c>
      <c r="J348" s="55">
        <f t="shared" si="27"/>
        <v>0.32530092592592591</v>
      </c>
      <c r="K348" s="93">
        <f t="shared" si="28"/>
        <v>-1.1927777777777777</v>
      </c>
      <c r="L348">
        <f>IFERROR(HLOOKUP(D348,Ingreso!$AN$10:$AT$260,VLOOKUP('cruce '!I348,Ingreso!$AL$11:$AM$260,2,0),0),0)</f>
        <v>0</v>
      </c>
      <c r="M348" s="95">
        <f>IFERROR(HLOOKUP(D348,Ingreso!$AW$10:$BC$260,VLOOKUP('cruce '!I348,Ingreso!$AL$11:$AM$260,2,0),0),0)</f>
        <v>0</v>
      </c>
      <c r="N348" t="str">
        <f t="shared" si="29"/>
        <v>Revisar</v>
      </c>
    </row>
    <row r="349" spans="2:14">
      <c r="C349"/>
      <c r="D349" t="s">
        <v>1437</v>
      </c>
      <c r="E349" t="s">
        <v>1323</v>
      </c>
      <c r="F349" s="78">
        <v>0.375</v>
      </c>
      <c r="G349" s="55">
        <v>0.91724537037037035</v>
      </c>
      <c r="H349" s="55"/>
      <c r="I349" s="55" t="str">
        <f t="shared" si="26"/>
        <v>09.774.031-3</v>
      </c>
      <c r="J349" s="55">
        <f t="shared" si="27"/>
        <v>8.275462962962965E-2</v>
      </c>
      <c r="K349" s="93">
        <f t="shared" si="28"/>
        <v>-7.0138888888888884</v>
      </c>
      <c r="L349">
        <f>IFERROR(HLOOKUP(D349,Ingreso!$AN$10:$AT$260,VLOOKUP('cruce '!I349,Ingreso!$AL$11:$AM$260,2,0),0),0)</f>
        <v>0</v>
      </c>
      <c r="M349" s="95">
        <f>IFERROR(HLOOKUP(D349,Ingreso!$AW$10:$BC$260,VLOOKUP('cruce '!I349,Ingreso!$AL$11:$AM$260,2,0),0),0)</f>
        <v>0</v>
      </c>
      <c r="N349" t="str">
        <f t="shared" si="29"/>
        <v>Revisar</v>
      </c>
    </row>
    <row r="350" spans="2:14">
      <c r="C350"/>
      <c r="D350" t="s">
        <v>1438</v>
      </c>
      <c r="E350" t="s">
        <v>1323</v>
      </c>
      <c r="F350" s="78">
        <v>0.375</v>
      </c>
      <c r="G350" s="55">
        <v>0.91856481481481478</v>
      </c>
      <c r="H350" s="55">
        <v>0.3225115740740741</v>
      </c>
      <c r="I350" s="55" t="str">
        <f t="shared" si="26"/>
        <v>09.774.031-3</v>
      </c>
      <c r="J350" s="55">
        <f t="shared" si="27"/>
        <v>0.40394675925925927</v>
      </c>
      <c r="K350" s="93">
        <f t="shared" si="28"/>
        <v>0.69472222222222157</v>
      </c>
      <c r="L350">
        <f>IFERROR(HLOOKUP(D350,Ingreso!$AN$10:$AT$260,VLOOKUP('cruce '!I350,Ingreso!$AL$11:$AM$260,2,0),0),0)</f>
        <v>0</v>
      </c>
      <c r="M350" s="95">
        <f>IFERROR(HLOOKUP(D350,Ingreso!$AW$10:$BC$260,VLOOKUP('cruce '!I350,Ingreso!$AL$11:$AM$260,2,0),0),0)</f>
        <v>0</v>
      </c>
      <c r="N350" t="str">
        <f t="shared" si="29"/>
        <v>OK</v>
      </c>
    </row>
    <row r="351" spans="2:14">
      <c r="C351"/>
      <c r="D351" t="s">
        <v>1439</v>
      </c>
      <c r="E351" t="s">
        <v>1323</v>
      </c>
      <c r="F351" s="78">
        <v>0.375</v>
      </c>
      <c r="G351" s="55">
        <v>0.91716435185185186</v>
      </c>
      <c r="H351" s="55">
        <v>0.32872685185185185</v>
      </c>
      <c r="I351" s="55" t="str">
        <f t="shared" si="26"/>
        <v>09.774.031-3</v>
      </c>
      <c r="J351" s="55">
        <f t="shared" si="27"/>
        <v>0.41156249999999994</v>
      </c>
      <c r="K351" s="93">
        <f t="shared" si="28"/>
        <v>0.87749999999999773</v>
      </c>
      <c r="L351">
        <f>IFERROR(HLOOKUP(D351,Ingreso!$AN$10:$AT$260,VLOOKUP('cruce '!I351,Ingreso!$AL$11:$AM$260,2,0),0),0)</f>
        <v>0</v>
      </c>
      <c r="M351" s="95">
        <f>IFERROR(HLOOKUP(D351,Ingreso!$AW$10:$BC$260,VLOOKUP('cruce '!I351,Ingreso!$AL$11:$AM$260,2,0),0),0)</f>
        <v>0</v>
      </c>
      <c r="N351" t="str">
        <f t="shared" si="29"/>
        <v>OK</v>
      </c>
    </row>
    <row r="352" spans="2:14">
      <c r="B352" t="s">
        <v>893</v>
      </c>
      <c r="C352" t="s">
        <v>895</v>
      </c>
      <c r="D352" t="s">
        <v>1440</v>
      </c>
      <c r="E352" t="s">
        <v>1323</v>
      </c>
      <c r="F352" s="78">
        <v>0.375</v>
      </c>
      <c r="G352" s="55">
        <v>0.91292824074074075</v>
      </c>
      <c r="H352" s="55">
        <v>0.32348379629629631</v>
      </c>
      <c r="I352" s="55" t="str">
        <f t="shared" si="26"/>
        <v>09.806.171-1</v>
      </c>
      <c r="J352" s="55">
        <f t="shared" si="27"/>
        <v>0.41055555555555556</v>
      </c>
      <c r="K352" s="93">
        <f t="shared" si="28"/>
        <v>0.8533333333333335</v>
      </c>
      <c r="L352">
        <f>IFERROR(HLOOKUP(D352,Ingreso!$AN$10:$AT$260,VLOOKUP('cruce '!I352,Ingreso!$AL$11:$AM$260,2,0),0),0)</f>
        <v>0</v>
      </c>
      <c r="M352" s="95">
        <f>IFERROR(HLOOKUP(D352,Ingreso!$AW$10:$BC$260,VLOOKUP('cruce '!I352,Ingreso!$AL$11:$AM$260,2,0),0),0)</f>
        <v>0</v>
      </c>
      <c r="N352" t="str">
        <f t="shared" si="29"/>
        <v>OK</v>
      </c>
    </row>
    <row r="353" spans="2:14">
      <c r="C353"/>
      <c r="D353" t="s">
        <v>1441</v>
      </c>
      <c r="E353" t="s">
        <v>1323</v>
      </c>
      <c r="F353" s="78">
        <v>0.375</v>
      </c>
      <c r="G353" s="55"/>
      <c r="H353" s="55">
        <v>0.33012731481481478</v>
      </c>
      <c r="I353" s="55" t="str">
        <f t="shared" si="26"/>
        <v>09.806.171-1</v>
      </c>
      <c r="J353" s="55">
        <f t="shared" si="27"/>
        <v>0.33012731481481478</v>
      </c>
      <c r="K353" s="93">
        <f t="shared" si="28"/>
        <v>-1.0769444444444449</v>
      </c>
      <c r="L353">
        <f>IFERROR(HLOOKUP(D353,Ingreso!$AN$10:$AT$260,VLOOKUP('cruce '!I353,Ingreso!$AL$11:$AM$260,2,0),0),0)</f>
        <v>0</v>
      </c>
      <c r="M353" s="95">
        <f>IFERROR(HLOOKUP(D353,Ingreso!$AW$10:$BC$260,VLOOKUP('cruce '!I353,Ingreso!$AL$11:$AM$260,2,0),0),0)</f>
        <v>0</v>
      </c>
      <c r="N353" t="str">
        <f t="shared" si="29"/>
        <v>Revisar</v>
      </c>
    </row>
    <row r="354" spans="2:14">
      <c r="C354"/>
      <c r="D354" t="s">
        <v>1437</v>
      </c>
      <c r="E354" t="s">
        <v>1323</v>
      </c>
      <c r="F354" s="78">
        <v>0.375</v>
      </c>
      <c r="G354" s="55">
        <v>0.91093750000000007</v>
      </c>
      <c r="H354" s="55"/>
      <c r="I354" s="55" t="str">
        <f t="shared" si="26"/>
        <v>09.806.171-1</v>
      </c>
      <c r="J354" s="55">
        <f t="shared" si="27"/>
        <v>8.9062499999999933E-2</v>
      </c>
      <c r="K354" s="93">
        <f t="shared" si="28"/>
        <v>-6.8625000000000016</v>
      </c>
      <c r="L354">
        <f>IFERROR(HLOOKUP(D354,Ingreso!$AN$10:$AT$260,VLOOKUP('cruce '!I354,Ingreso!$AL$11:$AM$260,2,0),0),0)</f>
        <v>0</v>
      </c>
      <c r="M354" s="95">
        <f>IFERROR(HLOOKUP(D354,Ingreso!$AW$10:$BC$260,VLOOKUP('cruce '!I354,Ingreso!$AL$11:$AM$260,2,0),0),0)</f>
        <v>0</v>
      </c>
      <c r="N354" t="str">
        <f t="shared" si="29"/>
        <v>Revisar</v>
      </c>
    </row>
    <row r="355" spans="2:14">
      <c r="C355"/>
      <c r="D355" t="s">
        <v>1438</v>
      </c>
      <c r="E355" t="s">
        <v>1323</v>
      </c>
      <c r="F355" s="78">
        <v>0.375</v>
      </c>
      <c r="G355" s="55">
        <v>0.91699074074074083</v>
      </c>
      <c r="H355" s="55">
        <v>0.32427083333333334</v>
      </c>
      <c r="I355" s="55" t="str">
        <f t="shared" si="26"/>
        <v>09.806.171-1</v>
      </c>
      <c r="J355" s="55">
        <f t="shared" si="27"/>
        <v>0.40728009259259246</v>
      </c>
      <c r="K355" s="93">
        <f t="shared" si="28"/>
        <v>0.77472222222221987</v>
      </c>
      <c r="L355">
        <f>IFERROR(HLOOKUP(D355,Ingreso!$AN$10:$AT$260,VLOOKUP('cruce '!I355,Ingreso!$AL$11:$AM$260,2,0),0),0)</f>
        <v>0</v>
      </c>
      <c r="M355" s="95">
        <f>IFERROR(HLOOKUP(D355,Ingreso!$AW$10:$BC$260,VLOOKUP('cruce '!I355,Ingreso!$AL$11:$AM$260,2,0),0),0)</f>
        <v>0</v>
      </c>
      <c r="N355" t="str">
        <f t="shared" si="29"/>
        <v>OK</v>
      </c>
    </row>
    <row r="356" spans="2:14">
      <c r="C356"/>
      <c r="D356" t="s">
        <v>1439</v>
      </c>
      <c r="E356" t="s">
        <v>1323</v>
      </c>
      <c r="F356" s="78">
        <v>0.375</v>
      </c>
      <c r="G356" s="55">
        <v>0.91347222222222213</v>
      </c>
      <c r="H356" s="55">
        <v>0.32171296296296298</v>
      </c>
      <c r="I356" s="55" t="str">
        <f t="shared" si="26"/>
        <v>09.806.171-1</v>
      </c>
      <c r="J356" s="55">
        <f t="shared" si="27"/>
        <v>0.40824074074074079</v>
      </c>
      <c r="K356" s="93">
        <f t="shared" si="28"/>
        <v>0.79777777777777814</v>
      </c>
      <c r="L356">
        <f>IFERROR(HLOOKUP(D356,Ingreso!$AN$10:$AT$260,VLOOKUP('cruce '!I356,Ingreso!$AL$11:$AM$260,2,0),0),0)</f>
        <v>0</v>
      </c>
      <c r="M356" s="95">
        <f>IFERROR(HLOOKUP(D356,Ingreso!$AW$10:$BC$260,VLOOKUP('cruce '!I356,Ingreso!$AL$11:$AM$260,2,0),0),0)</f>
        <v>0</v>
      </c>
      <c r="N356" t="str">
        <f t="shared" si="29"/>
        <v>OK</v>
      </c>
    </row>
    <row r="357" spans="2:14">
      <c r="B357" t="s">
        <v>206</v>
      </c>
      <c r="C357" t="s">
        <v>210</v>
      </c>
      <c r="D357" t="s">
        <v>1440</v>
      </c>
      <c r="E357" t="s">
        <v>1474</v>
      </c>
      <c r="F357" t="s">
        <v>1472</v>
      </c>
      <c r="G357" s="55">
        <v>0.34684027777777776</v>
      </c>
      <c r="H357" s="55">
        <v>0.76119212962962957</v>
      </c>
      <c r="I357" s="55" t="str">
        <f t="shared" si="26"/>
        <v>09.832.710-K</v>
      </c>
      <c r="J357" s="55">
        <f t="shared" si="27"/>
        <v>0.4143518518518518</v>
      </c>
      <c r="K357" s="93" t="e">
        <f t="shared" si="28"/>
        <v>#VALUE!</v>
      </c>
      <c r="L357">
        <f>IFERROR(HLOOKUP(D357,Ingreso!$AN$10:$AT$260,VLOOKUP('cruce '!I357,Ingreso!$AL$11:$AM$260,2,0),0),0)</f>
        <v>0</v>
      </c>
      <c r="M357" s="95" t="str">
        <f>IFERROR(HLOOKUP(D357,Ingreso!$AW$10:$BC$260,VLOOKUP('cruce '!I357,Ingreso!$AL$11:$AM$260,2,0),0),0)</f>
        <v/>
      </c>
      <c r="N357" t="e">
        <f t="shared" si="29"/>
        <v>#VALUE!</v>
      </c>
    </row>
    <row r="358" spans="2:14">
      <c r="C358"/>
      <c r="D358" t="s">
        <v>1437</v>
      </c>
      <c r="E358" t="s">
        <v>1474</v>
      </c>
      <c r="F358" t="s">
        <v>1472</v>
      </c>
      <c r="G358" s="55">
        <v>0.34454861111111112</v>
      </c>
      <c r="H358" s="55">
        <v>0.76387731481481491</v>
      </c>
      <c r="I358" s="55" t="str">
        <f t="shared" si="26"/>
        <v>09.832.710-K</v>
      </c>
      <c r="J358" s="55">
        <f t="shared" si="27"/>
        <v>0.41932870370370379</v>
      </c>
      <c r="K358" s="93" t="e">
        <f t="shared" si="28"/>
        <v>#VALUE!</v>
      </c>
      <c r="L358">
        <f>IFERROR(HLOOKUP(D358,Ingreso!$AN$10:$AT$260,VLOOKUP('cruce '!I358,Ingreso!$AL$11:$AM$260,2,0),0),0)</f>
        <v>0</v>
      </c>
      <c r="M358" s="95" t="str">
        <f>IFERROR(HLOOKUP(D358,Ingreso!$AW$10:$BC$260,VLOOKUP('cruce '!I358,Ingreso!$AL$11:$AM$260,2,0),0),0)</f>
        <v/>
      </c>
      <c r="N358" t="e">
        <f t="shared" si="29"/>
        <v>#VALUE!</v>
      </c>
    </row>
    <row r="359" spans="2:14">
      <c r="C359"/>
      <c r="D359" t="s">
        <v>1438</v>
      </c>
      <c r="E359" t="s">
        <v>1474</v>
      </c>
      <c r="F359" t="s">
        <v>1472</v>
      </c>
      <c r="G359" s="55">
        <v>0.3543634259259259</v>
      </c>
      <c r="H359" s="55">
        <v>0.76662037037037034</v>
      </c>
      <c r="I359" s="55" t="str">
        <f t="shared" si="26"/>
        <v>09.832.710-K</v>
      </c>
      <c r="J359" s="55">
        <f t="shared" si="27"/>
        <v>0.41225694444444444</v>
      </c>
      <c r="K359" s="93" t="e">
        <f t="shared" si="28"/>
        <v>#VALUE!</v>
      </c>
      <c r="L359">
        <f>IFERROR(HLOOKUP(D359,Ingreso!$AN$10:$AT$260,VLOOKUP('cruce '!I359,Ingreso!$AL$11:$AM$260,2,0),0),0)</f>
        <v>0</v>
      </c>
      <c r="M359" s="95" t="str">
        <f>IFERROR(HLOOKUP(D359,Ingreso!$AW$10:$BC$260,VLOOKUP('cruce '!I359,Ingreso!$AL$11:$AM$260,2,0),0),0)</f>
        <v/>
      </c>
      <c r="N359" t="e">
        <f t="shared" si="29"/>
        <v>#VALUE!</v>
      </c>
    </row>
    <row r="360" spans="2:14">
      <c r="C360"/>
      <c r="D360" t="s">
        <v>1439</v>
      </c>
      <c r="E360" t="s">
        <v>1474</v>
      </c>
      <c r="F360" t="s">
        <v>1472</v>
      </c>
      <c r="G360" s="55">
        <v>0.3449652777777778</v>
      </c>
      <c r="H360" s="55">
        <v>0.76906249999999998</v>
      </c>
      <c r="I360" s="55" t="str">
        <f t="shared" si="26"/>
        <v>09.832.710-K</v>
      </c>
      <c r="J360" s="55">
        <f t="shared" si="27"/>
        <v>0.42409722222222218</v>
      </c>
      <c r="K360" s="93" t="e">
        <f t="shared" si="28"/>
        <v>#VALUE!</v>
      </c>
      <c r="L360">
        <f>IFERROR(HLOOKUP(D360,Ingreso!$AN$10:$AT$260,VLOOKUP('cruce '!I360,Ingreso!$AL$11:$AM$260,2,0),0),0)</f>
        <v>0</v>
      </c>
      <c r="M360" s="95" t="str">
        <f>IFERROR(HLOOKUP(D360,Ingreso!$AW$10:$BC$260,VLOOKUP('cruce '!I360,Ingreso!$AL$11:$AM$260,2,0),0),0)</f>
        <v/>
      </c>
      <c r="N360" t="e">
        <f t="shared" si="29"/>
        <v>#VALUE!</v>
      </c>
    </row>
    <row r="361" spans="2:14">
      <c r="B361" t="s">
        <v>928</v>
      </c>
      <c r="C361" t="s">
        <v>930</v>
      </c>
      <c r="D361" t="s">
        <v>1440</v>
      </c>
      <c r="E361" t="s">
        <v>4</v>
      </c>
      <c r="F361" s="78">
        <v>0.3125</v>
      </c>
      <c r="G361" s="55">
        <v>0.30076388888888889</v>
      </c>
      <c r="H361" s="55"/>
      <c r="I361" s="55" t="str">
        <f t="shared" si="26"/>
        <v>09.839.411-7</v>
      </c>
      <c r="J361" s="55">
        <f t="shared" si="27"/>
        <v>0.69923611111111117</v>
      </c>
      <c r="K361" s="93">
        <f t="shared" si="28"/>
        <v>9.2816666666666663</v>
      </c>
      <c r="L361">
        <f>IFERROR(HLOOKUP(D361,Ingreso!$AN$10:$AT$260,VLOOKUP('cruce '!I361,Ingreso!$AL$11:$AM$260,2,0),0),0)</f>
        <v>0</v>
      </c>
      <c r="M361" s="95">
        <f>IFERROR(HLOOKUP(D361,Ingreso!$AW$10:$BC$260,VLOOKUP('cruce '!I361,Ingreso!$AL$11:$AM$260,2,0),0),0)</f>
        <v>0</v>
      </c>
      <c r="N361" t="str">
        <f t="shared" si="29"/>
        <v>Revisar</v>
      </c>
    </row>
    <row r="362" spans="2:14">
      <c r="C362"/>
      <c r="D362"/>
      <c r="E362" t="s">
        <v>1473</v>
      </c>
      <c r="F362" t="s">
        <v>1472</v>
      </c>
      <c r="G362" s="55"/>
      <c r="H362" s="55">
        <v>0.82937500000000008</v>
      </c>
      <c r="I362" s="55" t="str">
        <f t="shared" si="26"/>
        <v>09.839.411-7</v>
      </c>
      <c r="J362" s="55">
        <f t="shared" si="27"/>
        <v>0.82937500000000008</v>
      </c>
      <c r="K362" s="93" t="e">
        <f t="shared" si="28"/>
        <v>#VALUE!</v>
      </c>
      <c r="L362">
        <f>IFERROR(HLOOKUP(D362,Ingreso!$AN$10:$AT$260,VLOOKUP('cruce '!I362,Ingreso!$AL$11:$AM$260,2,0),0),0)</f>
        <v>0</v>
      </c>
      <c r="M362" s="95">
        <f>IFERROR(HLOOKUP(D362,Ingreso!$AW$10:$BC$260,VLOOKUP('cruce '!I362,Ingreso!$AL$11:$AM$260,2,0),0),0)</f>
        <v>0</v>
      </c>
      <c r="N362" t="e">
        <f t="shared" si="29"/>
        <v>#VALUE!</v>
      </c>
    </row>
    <row r="363" spans="2:14">
      <c r="C363"/>
      <c r="D363" t="s">
        <v>1441</v>
      </c>
      <c r="E363" t="s">
        <v>4</v>
      </c>
      <c r="F363" s="78">
        <v>0.3125</v>
      </c>
      <c r="G363" s="55">
        <v>0.30799768518518517</v>
      </c>
      <c r="H363" s="55">
        <v>0.6514699074074074</v>
      </c>
      <c r="I363" s="55" t="str">
        <f t="shared" si="26"/>
        <v>09.839.411-7</v>
      </c>
      <c r="J363" s="55">
        <f t="shared" si="27"/>
        <v>0.34347222222222223</v>
      </c>
      <c r="K363" s="93">
        <f t="shared" si="28"/>
        <v>0.74333333333333407</v>
      </c>
      <c r="L363">
        <f>IFERROR(HLOOKUP(D363,Ingreso!$AN$10:$AT$260,VLOOKUP('cruce '!I363,Ingreso!$AL$11:$AM$260,2,0),0),0)</f>
        <v>0</v>
      </c>
      <c r="M363" s="95">
        <f>IFERROR(HLOOKUP(D363,Ingreso!$AW$10:$BC$260,VLOOKUP('cruce '!I363,Ingreso!$AL$11:$AM$260,2,0),0),0)</f>
        <v>0</v>
      </c>
      <c r="N363" t="str">
        <f t="shared" si="29"/>
        <v>OK</v>
      </c>
    </row>
    <row r="364" spans="2:14">
      <c r="C364"/>
      <c r="D364" t="s">
        <v>1437</v>
      </c>
      <c r="E364" t="s">
        <v>4</v>
      </c>
      <c r="F364" s="78">
        <v>0.3125</v>
      </c>
      <c r="G364" s="55">
        <v>0.30171296296296296</v>
      </c>
      <c r="H364" s="55"/>
      <c r="I364" s="55" t="str">
        <f t="shared" si="26"/>
        <v>09.839.411-7</v>
      </c>
      <c r="J364" s="55">
        <f t="shared" si="27"/>
        <v>0.69828703703703709</v>
      </c>
      <c r="K364" s="93">
        <f t="shared" si="28"/>
        <v>9.2588888888888903</v>
      </c>
      <c r="L364">
        <f>IFERROR(HLOOKUP(D364,Ingreso!$AN$10:$AT$260,VLOOKUP('cruce '!I364,Ingreso!$AL$11:$AM$260,2,0),0),0)</f>
        <v>0</v>
      </c>
      <c r="M364" s="95">
        <f>IFERROR(HLOOKUP(D364,Ingreso!$AW$10:$BC$260,VLOOKUP('cruce '!I364,Ingreso!$AL$11:$AM$260,2,0),0),0)</f>
        <v>0</v>
      </c>
      <c r="N364" t="str">
        <f t="shared" si="29"/>
        <v>Revisar</v>
      </c>
    </row>
    <row r="365" spans="2:14">
      <c r="C365"/>
      <c r="D365"/>
      <c r="E365" t="s">
        <v>1473</v>
      </c>
      <c r="F365" t="s">
        <v>1472</v>
      </c>
      <c r="G365" s="55"/>
      <c r="H365" s="55">
        <v>0.82490740740740742</v>
      </c>
      <c r="I365" s="55" t="str">
        <f t="shared" si="26"/>
        <v>09.839.411-7</v>
      </c>
      <c r="J365" s="55">
        <f t="shared" si="27"/>
        <v>0.82490740740740742</v>
      </c>
      <c r="K365" s="93" t="e">
        <f t="shared" si="28"/>
        <v>#VALUE!</v>
      </c>
      <c r="L365">
        <f>IFERROR(HLOOKUP(D365,Ingreso!$AN$10:$AT$260,VLOOKUP('cruce '!I365,Ingreso!$AL$11:$AM$260,2,0),0),0)</f>
        <v>0</v>
      </c>
      <c r="M365" s="95">
        <f>IFERROR(HLOOKUP(D365,Ingreso!$AW$10:$BC$260,VLOOKUP('cruce '!I365,Ingreso!$AL$11:$AM$260,2,0),0),0)</f>
        <v>0</v>
      </c>
      <c r="N365" t="e">
        <f t="shared" si="29"/>
        <v>#VALUE!</v>
      </c>
    </row>
    <row r="366" spans="2:14">
      <c r="C366"/>
      <c r="D366" t="s">
        <v>1438</v>
      </c>
      <c r="E366" t="s">
        <v>4</v>
      </c>
      <c r="F366" s="78">
        <v>0.3125</v>
      </c>
      <c r="G366" s="55">
        <v>0.30356481481481484</v>
      </c>
      <c r="H366" s="55"/>
      <c r="I366" s="55" t="str">
        <f t="shared" si="26"/>
        <v>09.839.411-7</v>
      </c>
      <c r="J366" s="55">
        <f t="shared" si="27"/>
        <v>0.6964351851851851</v>
      </c>
      <c r="K366" s="93">
        <f t="shared" si="28"/>
        <v>9.2144444444444424</v>
      </c>
      <c r="L366">
        <f>IFERROR(HLOOKUP(D366,Ingreso!$AN$10:$AT$260,VLOOKUP('cruce '!I366,Ingreso!$AL$11:$AM$260,2,0),0),0)</f>
        <v>0</v>
      </c>
      <c r="M366" s="95">
        <f>IFERROR(HLOOKUP(D366,Ingreso!$AW$10:$BC$260,VLOOKUP('cruce '!I366,Ingreso!$AL$11:$AM$260,2,0),0),0)</f>
        <v>0</v>
      </c>
      <c r="N366" t="str">
        <f t="shared" si="29"/>
        <v>Revisar</v>
      </c>
    </row>
    <row r="367" spans="2:14">
      <c r="C367"/>
      <c r="D367"/>
      <c r="E367" t="s">
        <v>1473</v>
      </c>
      <c r="F367" t="s">
        <v>1472</v>
      </c>
      <c r="G367" s="55"/>
      <c r="H367" s="55">
        <v>0.8208333333333333</v>
      </c>
      <c r="I367" s="55" t="str">
        <f t="shared" si="26"/>
        <v>09.839.411-7</v>
      </c>
      <c r="J367" s="55">
        <f t="shared" si="27"/>
        <v>0.8208333333333333</v>
      </c>
      <c r="K367" s="93" t="e">
        <f t="shared" si="28"/>
        <v>#VALUE!</v>
      </c>
      <c r="L367">
        <f>IFERROR(HLOOKUP(D367,Ingreso!$AN$10:$AT$260,VLOOKUP('cruce '!I367,Ingreso!$AL$11:$AM$260,2,0),0),0)</f>
        <v>0</v>
      </c>
      <c r="M367" s="95">
        <f>IFERROR(HLOOKUP(D367,Ingreso!$AW$10:$BC$260,VLOOKUP('cruce '!I367,Ingreso!$AL$11:$AM$260,2,0),0),0)</f>
        <v>0</v>
      </c>
      <c r="N367" t="e">
        <f t="shared" si="29"/>
        <v>#VALUE!</v>
      </c>
    </row>
    <row r="368" spans="2:14">
      <c r="C368"/>
      <c r="D368" t="s">
        <v>1439</v>
      </c>
      <c r="E368" t="s">
        <v>4</v>
      </c>
      <c r="F368" s="78">
        <v>0.3125</v>
      </c>
      <c r="G368" s="55">
        <v>0.30290509259259263</v>
      </c>
      <c r="H368" s="55"/>
      <c r="I368" s="55" t="str">
        <f t="shared" si="26"/>
        <v>09.839.411-7</v>
      </c>
      <c r="J368" s="55">
        <f t="shared" si="27"/>
        <v>0.69709490740740732</v>
      </c>
      <c r="K368" s="93">
        <f t="shared" si="28"/>
        <v>9.2302777777777756</v>
      </c>
      <c r="L368">
        <f>IFERROR(HLOOKUP(D368,Ingreso!$AN$10:$AT$260,VLOOKUP('cruce '!I368,Ingreso!$AL$11:$AM$260,2,0),0),0)</f>
        <v>0</v>
      </c>
      <c r="M368" s="95">
        <f>IFERROR(HLOOKUP(D368,Ingreso!$AW$10:$BC$260,VLOOKUP('cruce '!I368,Ingreso!$AL$11:$AM$260,2,0),0),0)</f>
        <v>0</v>
      </c>
      <c r="N368" t="str">
        <f t="shared" si="29"/>
        <v>Revisar</v>
      </c>
    </row>
    <row r="369" spans="2:14">
      <c r="C369"/>
      <c r="D369"/>
      <c r="E369" t="s">
        <v>1473</v>
      </c>
      <c r="F369" t="s">
        <v>1472</v>
      </c>
      <c r="G369" s="55"/>
      <c r="H369" s="55">
        <v>0.81976851851851851</v>
      </c>
      <c r="I369" s="55" t="str">
        <f t="shared" si="26"/>
        <v>09.839.411-7</v>
      </c>
      <c r="J369" s="55">
        <f t="shared" si="27"/>
        <v>0.81976851851851851</v>
      </c>
      <c r="K369" s="93" t="e">
        <f t="shared" si="28"/>
        <v>#VALUE!</v>
      </c>
      <c r="L369">
        <f>IFERROR(HLOOKUP(D369,Ingreso!$AN$10:$AT$260,VLOOKUP('cruce '!I369,Ingreso!$AL$11:$AM$260,2,0),0),0)</f>
        <v>0</v>
      </c>
      <c r="M369" s="95">
        <f>IFERROR(HLOOKUP(D369,Ingreso!$AW$10:$BC$260,VLOOKUP('cruce '!I369,Ingreso!$AL$11:$AM$260,2,0),0),0)</f>
        <v>0</v>
      </c>
      <c r="N369" t="e">
        <f t="shared" si="29"/>
        <v>#VALUE!</v>
      </c>
    </row>
    <row r="370" spans="2:14">
      <c r="B370" t="s">
        <v>551</v>
      </c>
      <c r="C370" t="s">
        <v>554</v>
      </c>
      <c r="D370" t="s">
        <v>1440</v>
      </c>
      <c r="E370" t="s">
        <v>4</v>
      </c>
      <c r="F370" s="78">
        <v>0.3125</v>
      </c>
      <c r="G370" s="55">
        <v>0.29621527777777779</v>
      </c>
      <c r="H370" s="55">
        <v>0.63863425925925921</v>
      </c>
      <c r="I370" s="55" t="str">
        <f t="shared" si="26"/>
        <v>09.878.189-7</v>
      </c>
      <c r="J370" s="55">
        <f t="shared" si="27"/>
        <v>0.34241898148148142</v>
      </c>
      <c r="K370" s="93">
        <f t="shared" si="28"/>
        <v>0.718055555555555</v>
      </c>
      <c r="L370">
        <f>IFERROR(HLOOKUP(D370,Ingreso!$AN$10:$AT$260,VLOOKUP('cruce '!I370,Ingreso!$AL$11:$AM$260,2,0),0),0)</f>
        <v>0</v>
      </c>
      <c r="M370" s="95">
        <f>IFERROR(HLOOKUP(D370,Ingreso!$AW$10:$BC$260,VLOOKUP('cruce '!I370,Ingreso!$AL$11:$AM$260,2,0),0),0)</f>
        <v>0</v>
      </c>
      <c r="N370" t="str">
        <f t="shared" si="29"/>
        <v>OK</v>
      </c>
    </row>
    <row r="371" spans="2:14">
      <c r="C371"/>
      <c r="D371" t="s">
        <v>1437</v>
      </c>
      <c r="E371" t="s">
        <v>4</v>
      </c>
      <c r="F371" s="78">
        <v>0.3125</v>
      </c>
      <c r="G371" s="55">
        <v>0.29143518518518519</v>
      </c>
      <c r="H371" s="55">
        <v>0.6369097222222222</v>
      </c>
      <c r="I371" s="55" t="str">
        <f t="shared" si="26"/>
        <v>09.878.189-7</v>
      </c>
      <c r="J371" s="55">
        <f t="shared" si="27"/>
        <v>0.34547453703703701</v>
      </c>
      <c r="K371" s="93">
        <f t="shared" si="28"/>
        <v>0.79138888888888914</v>
      </c>
      <c r="L371">
        <f>IFERROR(HLOOKUP(D371,Ingreso!$AN$10:$AT$260,VLOOKUP('cruce '!I371,Ingreso!$AL$11:$AM$260,2,0),0),0)</f>
        <v>0</v>
      </c>
      <c r="M371" s="95">
        <f>IFERROR(HLOOKUP(D371,Ingreso!$AW$10:$BC$260,VLOOKUP('cruce '!I371,Ingreso!$AL$11:$AM$260,2,0),0),0)</f>
        <v>0</v>
      </c>
      <c r="N371" t="str">
        <f t="shared" si="29"/>
        <v>OK</v>
      </c>
    </row>
    <row r="372" spans="2:14">
      <c r="C372"/>
      <c r="D372" t="s">
        <v>1438</v>
      </c>
      <c r="E372" t="s">
        <v>4</v>
      </c>
      <c r="F372" s="78">
        <v>0.3125</v>
      </c>
      <c r="G372" s="55">
        <v>0.2862615740740741</v>
      </c>
      <c r="H372" s="55">
        <v>0.63829861111111108</v>
      </c>
      <c r="I372" s="55" t="str">
        <f t="shared" si="26"/>
        <v>09.878.189-7</v>
      </c>
      <c r="J372" s="55">
        <f t="shared" si="27"/>
        <v>0.35203703703703698</v>
      </c>
      <c r="K372" s="93">
        <f t="shared" si="28"/>
        <v>0.948888888888888</v>
      </c>
      <c r="L372">
        <f>IFERROR(HLOOKUP(D372,Ingreso!$AN$10:$AT$260,VLOOKUP('cruce '!I372,Ingreso!$AL$11:$AM$260,2,0),0),0)</f>
        <v>0</v>
      </c>
      <c r="M372" s="95">
        <f>IFERROR(HLOOKUP(D372,Ingreso!$AW$10:$BC$260,VLOOKUP('cruce '!I372,Ingreso!$AL$11:$AM$260,2,0),0),0)</f>
        <v>0</v>
      </c>
      <c r="N372" t="str">
        <f t="shared" si="29"/>
        <v>OK</v>
      </c>
    </row>
    <row r="373" spans="2:14">
      <c r="C373"/>
      <c r="D373" t="s">
        <v>1439</v>
      </c>
      <c r="E373" t="s">
        <v>4</v>
      </c>
      <c r="F373" s="78">
        <v>0.3125</v>
      </c>
      <c r="G373" s="55">
        <v>0.28644675925925928</v>
      </c>
      <c r="H373" s="55">
        <v>0.63858796296296294</v>
      </c>
      <c r="I373" s="55" t="str">
        <f t="shared" si="26"/>
        <v>09.878.189-7</v>
      </c>
      <c r="J373" s="55">
        <f t="shared" si="27"/>
        <v>0.35214120370370366</v>
      </c>
      <c r="K373" s="93">
        <f t="shared" si="28"/>
        <v>0.95138888888888751</v>
      </c>
      <c r="L373">
        <f>IFERROR(HLOOKUP(D373,Ingreso!$AN$10:$AT$260,VLOOKUP('cruce '!I373,Ingreso!$AL$11:$AM$260,2,0),0),0)</f>
        <v>0</v>
      </c>
      <c r="M373" s="95">
        <f>IFERROR(HLOOKUP(D373,Ingreso!$AW$10:$BC$260,VLOOKUP('cruce '!I373,Ingreso!$AL$11:$AM$260,2,0),0),0)</f>
        <v>0</v>
      </c>
      <c r="N373" t="str">
        <f t="shared" si="29"/>
        <v>OK</v>
      </c>
    </row>
    <row r="374" spans="2:14">
      <c r="B374" t="s">
        <v>1074</v>
      </c>
      <c r="C374" t="s">
        <v>1076</v>
      </c>
      <c r="D374" t="s">
        <v>1440</v>
      </c>
      <c r="E374" t="s">
        <v>1323</v>
      </c>
      <c r="F374" s="78">
        <v>0.375</v>
      </c>
      <c r="G374" s="55">
        <v>0.9202662037037036</v>
      </c>
      <c r="H374" s="55">
        <v>0.32063657407407409</v>
      </c>
      <c r="I374" s="55" t="str">
        <f t="shared" si="26"/>
        <v>09.959.939-1</v>
      </c>
      <c r="J374" s="55">
        <f t="shared" si="27"/>
        <v>0.40037037037037049</v>
      </c>
      <c r="K374" s="93">
        <f t="shared" si="28"/>
        <v>0.6088888888888917</v>
      </c>
      <c r="L374">
        <f>IFERROR(HLOOKUP(D374,Ingreso!$AN$10:$AT$260,VLOOKUP('cruce '!I374,Ingreso!$AL$11:$AM$260,2,0),0),0)</f>
        <v>0</v>
      </c>
      <c r="M374" s="95">
        <f>IFERROR(HLOOKUP(D374,Ingreso!$AW$10:$BC$260,VLOOKUP('cruce '!I374,Ingreso!$AL$11:$AM$260,2,0),0),0)</f>
        <v>0</v>
      </c>
      <c r="N374" t="str">
        <f t="shared" si="29"/>
        <v>OK</v>
      </c>
    </row>
    <row r="375" spans="2:14">
      <c r="C375"/>
      <c r="D375" t="s">
        <v>1441</v>
      </c>
      <c r="E375" t="s">
        <v>1323</v>
      </c>
      <c r="F375" s="78">
        <v>0.375</v>
      </c>
      <c r="G375" s="55"/>
      <c r="H375" s="55">
        <v>0.31535879629629632</v>
      </c>
      <c r="I375" s="55" t="str">
        <f t="shared" si="26"/>
        <v>09.959.939-1</v>
      </c>
      <c r="J375" s="55">
        <f t="shared" si="27"/>
        <v>0.31535879629629632</v>
      </c>
      <c r="K375" s="93">
        <f t="shared" si="28"/>
        <v>-1.4313888888888879</v>
      </c>
      <c r="L375">
        <f>IFERROR(HLOOKUP(D375,Ingreso!$AN$10:$AT$260,VLOOKUP('cruce '!I375,Ingreso!$AL$11:$AM$260,2,0),0),0)</f>
        <v>0</v>
      </c>
      <c r="M375" s="95">
        <f>IFERROR(HLOOKUP(D375,Ingreso!$AW$10:$BC$260,VLOOKUP('cruce '!I375,Ingreso!$AL$11:$AM$260,2,0),0),0)</f>
        <v>0</v>
      </c>
      <c r="N375" t="str">
        <f t="shared" si="29"/>
        <v>Revisar</v>
      </c>
    </row>
    <row r="376" spans="2:14">
      <c r="C376"/>
      <c r="D376" t="s">
        <v>1437</v>
      </c>
      <c r="E376" t="s">
        <v>1323</v>
      </c>
      <c r="F376" s="78">
        <v>0.375</v>
      </c>
      <c r="G376" s="55">
        <v>0.91699074074074083</v>
      </c>
      <c r="H376" s="55"/>
      <c r="I376" s="55" t="str">
        <f t="shared" si="26"/>
        <v>09.959.939-1</v>
      </c>
      <c r="J376" s="55">
        <f t="shared" si="27"/>
        <v>8.3009259259259172E-2</v>
      </c>
      <c r="K376" s="93">
        <f t="shared" si="28"/>
        <v>-7.0077777777777799</v>
      </c>
      <c r="L376">
        <f>IFERROR(HLOOKUP(D376,Ingreso!$AN$10:$AT$260,VLOOKUP('cruce '!I376,Ingreso!$AL$11:$AM$260,2,0),0),0)</f>
        <v>0</v>
      </c>
      <c r="M376" s="95">
        <f>IFERROR(HLOOKUP(D376,Ingreso!$AW$10:$BC$260,VLOOKUP('cruce '!I376,Ingreso!$AL$11:$AM$260,2,0),0),0)</f>
        <v>0</v>
      </c>
      <c r="N376" t="str">
        <f t="shared" si="29"/>
        <v>Revisar</v>
      </c>
    </row>
    <row r="377" spans="2:14">
      <c r="C377"/>
      <c r="D377" t="s">
        <v>1438</v>
      </c>
      <c r="E377" t="s">
        <v>1323</v>
      </c>
      <c r="F377" s="78">
        <v>0.375</v>
      </c>
      <c r="G377" s="55">
        <v>0.91866898148148157</v>
      </c>
      <c r="H377" s="55">
        <v>0.31785879629629626</v>
      </c>
      <c r="I377" s="55" t="str">
        <f t="shared" si="26"/>
        <v>09.959.939-1</v>
      </c>
      <c r="J377" s="55">
        <f t="shared" si="27"/>
        <v>0.39918981481481464</v>
      </c>
      <c r="K377" s="93">
        <f t="shared" si="28"/>
        <v>0.58055555555555216</v>
      </c>
      <c r="L377">
        <f>IFERROR(HLOOKUP(D377,Ingreso!$AN$10:$AT$260,VLOOKUP('cruce '!I377,Ingreso!$AL$11:$AM$260,2,0),0),0)</f>
        <v>0</v>
      </c>
      <c r="M377" s="95">
        <f>IFERROR(HLOOKUP(D377,Ingreso!$AW$10:$BC$260,VLOOKUP('cruce '!I377,Ingreso!$AL$11:$AM$260,2,0),0),0)</f>
        <v>0</v>
      </c>
      <c r="N377" t="str">
        <f t="shared" si="29"/>
        <v>OK</v>
      </c>
    </row>
    <row r="378" spans="2:14">
      <c r="C378"/>
      <c r="D378" t="s">
        <v>1439</v>
      </c>
      <c r="E378" t="s">
        <v>1323</v>
      </c>
      <c r="F378" s="78">
        <v>0.375</v>
      </c>
      <c r="G378" s="55">
        <v>0.91753472222222221</v>
      </c>
      <c r="H378" s="55">
        <v>0.3181134259259259</v>
      </c>
      <c r="I378" s="55" t="str">
        <f t="shared" si="26"/>
        <v>09.959.939-1</v>
      </c>
      <c r="J378" s="55">
        <f t="shared" si="27"/>
        <v>0.40057870370370374</v>
      </c>
      <c r="K378" s="93">
        <f t="shared" si="28"/>
        <v>0.6138888888888907</v>
      </c>
      <c r="L378">
        <f>IFERROR(HLOOKUP(D378,Ingreso!$AN$10:$AT$260,VLOOKUP('cruce '!I378,Ingreso!$AL$11:$AM$260,2,0),0),0)</f>
        <v>0</v>
      </c>
      <c r="M378" s="95">
        <f>IFERROR(HLOOKUP(D378,Ingreso!$AW$10:$BC$260,VLOOKUP('cruce '!I378,Ingreso!$AL$11:$AM$260,2,0),0),0)</f>
        <v>0</v>
      </c>
      <c r="N378" t="str">
        <f t="shared" si="29"/>
        <v>OK</v>
      </c>
    </row>
    <row r="379" spans="2:14">
      <c r="B379" t="s">
        <v>478</v>
      </c>
      <c r="C379" t="s">
        <v>482</v>
      </c>
      <c r="D379" t="s">
        <v>1440</v>
      </c>
      <c r="E379" t="s">
        <v>1321</v>
      </c>
      <c r="F379" s="78">
        <v>0.3125</v>
      </c>
      <c r="G379" s="55">
        <v>0.60872685185185182</v>
      </c>
      <c r="H379" s="55">
        <v>0.94946759259259261</v>
      </c>
      <c r="I379" s="55" t="str">
        <f t="shared" si="26"/>
        <v>09.989.723-6</v>
      </c>
      <c r="J379" s="55">
        <f t="shared" si="27"/>
        <v>0.34074074074074079</v>
      </c>
      <c r="K379" s="93">
        <f t="shared" si="28"/>
        <v>0.67777777777777892</v>
      </c>
      <c r="L379">
        <f>IFERROR(HLOOKUP(D379,Ingreso!$AN$10:$AT$260,VLOOKUP('cruce '!I379,Ingreso!$AL$11:$AM$260,2,0),0),0)</f>
        <v>0</v>
      </c>
      <c r="M379" s="95" t="str">
        <f>IFERROR(HLOOKUP(D379,Ingreso!$AW$10:$BC$260,VLOOKUP('cruce '!I379,Ingreso!$AL$11:$AM$260,2,0),0),0)</f>
        <v/>
      </c>
      <c r="N379" t="str">
        <f t="shared" si="29"/>
        <v>OK</v>
      </c>
    </row>
    <row r="380" spans="2:14">
      <c r="C380"/>
      <c r="D380" t="s">
        <v>1441</v>
      </c>
      <c r="E380" t="s">
        <v>1321</v>
      </c>
      <c r="F380" s="78">
        <v>0.3125</v>
      </c>
      <c r="G380" s="55">
        <v>0.61944444444444446</v>
      </c>
      <c r="H380" s="55">
        <v>0.9186805555555555</v>
      </c>
      <c r="I380" s="55" t="str">
        <f t="shared" si="26"/>
        <v>09.989.723-6</v>
      </c>
      <c r="J380" s="55">
        <f t="shared" si="27"/>
        <v>0.29923611111111104</v>
      </c>
      <c r="K380" s="93">
        <f t="shared" si="28"/>
        <v>-0.31833333333333513</v>
      </c>
      <c r="L380">
        <f>IFERROR(HLOOKUP(D380,Ingreso!$AN$10:$AT$260,VLOOKUP('cruce '!I380,Ingreso!$AL$11:$AM$260,2,0),0),0)</f>
        <v>0</v>
      </c>
      <c r="M380" s="95" t="str">
        <f>IFERROR(HLOOKUP(D380,Ingreso!$AW$10:$BC$260,VLOOKUP('cruce '!I380,Ingreso!$AL$11:$AM$260,2,0),0),0)</f>
        <v/>
      </c>
      <c r="N380" t="str">
        <f t="shared" si="29"/>
        <v>OK</v>
      </c>
    </row>
    <row r="381" spans="2:14">
      <c r="C381"/>
      <c r="D381" t="s">
        <v>1437</v>
      </c>
      <c r="E381" t="s">
        <v>1321</v>
      </c>
      <c r="F381" s="78">
        <v>0.3125</v>
      </c>
      <c r="G381" s="55">
        <v>0.60642361111111109</v>
      </c>
      <c r="H381" s="55">
        <v>0.96703703703703703</v>
      </c>
      <c r="I381" s="55" t="str">
        <f t="shared" si="26"/>
        <v>09.989.723-6</v>
      </c>
      <c r="J381" s="55">
        <f t="shared" si="27"/>
        <v>0.36061342592592593</v>
      </c>
      <c r="K381" s="93">
        <f t="shared" si="28"/>
        <v>1.1547222222222224</v>
      </c>
      <c r="L381">
        <f>IFERROR(HLOOKUP(D381,Ingreso!$AN$10:$AT$260,VLOOKUP('cruce '!I381,Ingreso!$AL$11:$AM$260,2,0),0),0)</f>
        <v>0</v>
      </c>
      <c r="M381" s="95" t="str">
        <f>IFERROR(HLOOKUP(D381,Ingreso!$AW$10:$BC$260,VLOOKUP('cruce '!I381,Ingreso!$AL$11:$AM$260,2,0),0),0)</f>
        <v/>
      </c>
      <c r="N381" t="str">
        <f t="shared" si="29"/>
        <v>Revisar</v>
      </c>
    </row>
    <row r="382" spans="2:14">
      <c r="C382"/>
      <c r="D382" t="s">
        <v>1438</v>
      </c>
      <c r="E382" t="s">
        <v>1321</v>
      </c>
      <c r="F382" s="78">
        <v>0.3125</v>
      </c>
      <c r="G382" s="55">
        <v>0.62468749999999995</v>
      </c>
      <c r="H382" s="55">
        <v>0.97620370370370368</v>
      </c>
      <c r="I382" s="55" t="str">
        <f t="shared" si="26"/>
        <v>09.989.723-6</v>
      </c>
      <c r="J382" s="55">
        <f t="shared" si="27"/>
        <v>0.35151620370370373</v>
      </c>
      <c r="K382" s="93">
        <f t="shared" si="28"/>
        <v>0.93638888888888872</v>
      </c>
      <c r="L382">
        <f>IFERROR(HLOOKUP(D382,Ingreso!$AN$10:$AT$260,VLOOKUP('cruce '!I382,Ingreso!$AL$11:$AM$260,2,0),0),0)</f>
        <v>0</v>
      </c>
      <c r="M382" s="95" t="str">
        <f>IFERROR(HLOOKUP(D382,Ingreso!$AW$10:$BC$260,VLOOKUP('cruce '!I382,Ingreso!$AL$11:$AM$260,2,0),0),0)</f>
        <v/>
      </c>
      <c r="N382" t="str">
        <f t="shared" si="29"/>
        <v>OK</v>
      </c>
    </row>
    <row r="383" spans="2:14">
      <c r="C383"/>
      <c r="D383" t="s">
        <v>1439</v>
      </c>
      <c r="E383" t="s">
        <v>1321</v>
      </c>
      <c r="F383" s="78">
        <v>0.3125</v>
      </c>
      <c r="G383" s="55">
        <v>0.63351851851851848</v>
      </c>
      <c r="H383" s="55">
        <v>0.94862268518518522</v>
      </c>
      <c r="I383" s="55" t="str">
        <f t="shared" ref="I383:I446" si="30">IF(B383="",I382,B383)</f>
        <v>09.989.723-6</v>
      </c>
      <c r="J383" s="55">
        <f t="shared" ref="J383:J446" si="31">IF(G383&gt;H383,(H383+0.5)-(G383-0.5),H383-G383)</f>
        <v>0.31510416666666674</v>
      </c>
      <c r="K383" s="93">
        <f t="shared" ref="K383:K446" si="32">(J383*24)-(F383*24)</f>
        <v>6.2500000000001776E-2</v>
      </c>
      <c r="L383">
        <f>IFERROR(HLOOKUP(D383,Ingreso!$AN$10:$AT$260,VLOOKUP('cruce '!I383,Ingreso!$AL$11:$AM$260,2,0),0),0)</f>
        <v>0</v>
      </c>
      <c r="M383" s="95" t="str">
        <f>IFERROR(HLOOKUP(D383,Ingreso!$AW$10:$BC$260,VLOOKUP('cruce '!I383,Ingreso!$AL$11:$AM$260,2,0),0),0)</f>
        <v/>
      </c>
      <c r="N383" t="str">
        <f t="shared" ref="N383:N446" si="33">IF((K383-L383)&gt;1,"Revisar",IF((K383-L383)&lt;-1,"Revisar","OK"))</f>
        <v>OK</v>
      </c>
    </row>
    <row r="384" spans="2:14">
      <c r="B384" t="s">
        <v>1185</v>
      </c>
      <c r="C384" t="s">
        <v>1187</v>
      </c>
      <c r="D384" t="s">
        <v>1440</v>
      </c>
      <c r="E384" t="s">
        <v>1323</v>
      </c>
      <c r="F384" s="78">
        <v>0.375</v>
      </c>
      <c r="G384" s="55"/>
      <c r="H384" s="55">
        <v>0.31814814814814812</v>
      </c>
      <c r="I384" s="55" t="str">
        <f t="shared" si="30"/>
        <v>10.033.627-8</v>
      </c>
      <c r="J384" s="55">
        <f t="shared" si="31"/>
        <v>0.31814814814814812</v>
      </c>
      <c r="K384" s="93">
        <f t="shared" si="32"/>
        <v>-1.3644444444444446</v>
      </c>
      <c r="L384">
        <f>IFERROR(HLOOKUP(D384,Ingreso!$AN$10:$AT$260,VLOOKUP('cruce '!I384,Ingreso!$AL$11:$AM$260,2,0),0),0)</f>
        <v>0</v>
      </c>
      <c r="M384" s="95">
        <f>IFERROR(HLOOKUP(D384,Ingreso!$AW$10:$BC$260,VLOOKUP('cruce '!I384,Ingreso!$AL$11:$AM$260,2,0),0),0)</f>
        <v>0</v>
      </c>
      <c r="N384" t="str">
        <f t="shared" si="33"/>
        <v>Revisar</v>
      </c>
    </row>
    <row r="385" spans="2:14">
      <c r="C385"/>
      <c r="D385" t="s">
        <v>1437</v>
      </c>
      <c r="E385" t="s">
        <v>1323</v>
      </c>
      <c r="F385" s="78">
        <v>0.375</v>
      </c>
      <c r="G385" s="55">
        <v>0.9193634259259259</v>
      </c>
      <c r="H385" s="55"/>
      <c r="I385" s="55" t="str">
        <f t="shared" si="30"/>
        <v>10.033.627-8</v>
      </c>
      <c r="J385" s="55">
        <f t="shared" si="31"/>
        <v>8.0636574074074097E-2</v>
      </c>
      <c r="K385" s="93">
        <f t="shared" si="32"/>
        <v>-7.0647222222222217</v>
      </c>
      <c r="L385">
        <f>IFERROR(HLOOKUP(D385,Ingreso!$AN$10:$AT$260,VLOOKUP('cruce '!I385,Ingreso!$AL$11:$AM$260,2,0),0),0)</f>
        <v>0</v>
      </c>
      <c r="M385" s="95">
        <f>IFERROR(HLOOKUP(D385,Ingreso!$AW$10:$BC$260,VLOOKUP('cruce '!I385,Ingreso!$AL$11:$AM$260,2,0),0),0)</f>
        <v>0</v>
      </c>
      <c r="N385" t="str">
        <f t="shared" si="33"/>
        <v>Revisar</v>
      </c>
    </row>
    <row r="386" spans="2:14">
      <c r="C386"/>
      <c r="D386" t="s">
        <v>1438</v>
      </c>
      <c r="E386" t="s">
        <v>1323</v>
      </c>
      <c r="F386" s="78">
        <v>0.375</v>
      </c>
      <c r="G386" s="55">
        <v>0.91934027777777771</v>
      </c>
      <c r="H386" s="55">
        <v>0.31993055555555555</v>
      </c>
      <c r="I386" s="55" t="str">
        <f t="shared" si="30"/>
        <v>10.033.627-8</v>
      </c>
      <c r="J386" s="55">
        <f t="shared" si="31"/>
        <v>0.40059027777777789</v>
      </c>
      <c r="K386" s="93">
        <f t="shared" si="32"/>
        <v>0.61416666666666941</v>
      </c>
      <c r="L386">
        <f>IFERROR(HLOOKUP(D386,Ingreso!$AN$10:$AT$260,VLOOKUP('cruce '!I386,Ingreso!$AL$11:$AM$260,2,0),0),0)</f>
        <v>0</v>
      </c>
      <c r="M386" s="95">
        <f>IFERROR(HLOOKUP(D386,Ingreso!$AW$10:$BC$260,VLOOKUP('cruce '!I386,Ingreso!$AL$11:$AM$260,2,0),0),0)</f>
        <v>0</v>
      </c>
      <c r="N386" t="str">
        <f t="shared" si="33"/>
        <v>OK</v>
      </c>
    </row>
    <row r="387" spans="2:14">
      <c r="C387"/>
      <c r="D387" t="s">
        <v>1439</v>
      </c>
      <c r="E387" t="s">
        <v>1323</v>
      </c>
      <c r="F387" s="78">
        <v>0.375</v>
      </c>
      <c r="G387" s="55">
        <v>0.91883101851851856</v>
      </c>
      <c r="H387" s="55">
        <v>0.32276620370370374</v>
      </c>
      <c r="I387" s="55" t="str">
        <f t="shared" si="30"/>
        <v>10.033.627-8</v>
      </c>
      <c r="J387" s="55">
        <f t="shared" si="31"/>
        <v>0.40393518518518523</v>
      </c>
      <c r="K387" s="93">
        <f t="shared" si="32"/>
        <v>0.69444444444444642</v>
      </c>
      <c r="L387">
        <f>IFERROR(HLOOKUP(D387,Ingreso!$AN$10:$AT$260,VLOOKUP('cruce '!I387,Ingreso!$AL$11:$AM$260,2,0),0),0)</f>
        <v>0</v>
      </c>
      <c r="M387" s="95">
        <f>IFERROR(HLOOKUP(D387,Ingreso!$AW$10:$BC$260,VLOOKUP('cruce '!I387,Ingreso!$AL$11:$AM$260,2,0),0),0)</f>
        <v>0</v>
      </c>
      <c r="N387" t="str">
        <f t="shared" si="33"/>
        <v>OK</v>
      </c>
    </row>
    <row r="388" spans="2:14">
      <c r="B388" t="s">
        <v>1209</v>
      </c>
      <c r="C388" t="s">
        <v>1212</v>
      </c>
      <c r="D388" t="s">
        <v>1440</v>
      </c>
      <c r="E388" t="s">
        <v>1321</v>
      </c>
      <c r="F388" s="78">
        <v>0.3125</v>
      </c>
      <c r="G388" s="55">
        <v>0.60851851851851857</v>
      </c>
      <c r="H388" s="55">
        <v>0.95038194444444446</v>
      </c>
      <c r="I388" s="55" t="str">
        <f t="shared" si="30"/>
        <v>10.042.860-1</v>
      </c>
      <c r="J388" s="55">
        <f t="shared" si="31"/>
        <v>0.34186342592592589</v>
      </c>
      <c r="K388" s="93">
        <f t="shared" si="32"/>
        <v>0.70472222222222136</v>
      </c>
      <c r="L388">
        <f>IFERROR(HLOOKUP(D388,Ingreso!$AN$10:$AT$260,VLOOKUP('cruce '!I388,Ingreso!$AL$11:$AM$260,2,0),0),0)</f>
        <v>0</v>
      </c>
      <c r="M388" s="95">
        <f>IFERROR(HLOOKUP(D388,Ingreso!$AW$10:$BC$260,VLOOKUP('cruce '!I388,Ingreso!$AL$11:$AM$260,2,0),0),0)</f>
        <v>0</v>
      </c>
      <c r="N388" t="str">
        <f t="shared" si="33"/>
        <v>OK</v>
      </c>
    </row>
    <row r="389" spans="2:14">
      <c r="C389"/>
      <c r="D389" t="s">
        <v>1441</v>
      </c>
      <c r="E389" t="s">
        <v>1321</v>
      </c>
      <c r="F389" s="78">
        <v>0.3125</v>
      </c>
      <c r="G389" s="55">
        <v>0.61284722222222221</v>
      </c>
      <c r="H389" s="55">
        <v>0.94966435185185183</v>
      </c>
      <c r="I389" s="55" t="str">
        <f t="shared" si="30"/>
        <v>10.042.860-1</v>
      </c>
      <c r="J389" s="55">
        <f t="shared" si="31"/>
        <v>0.33681712962962962</v>
      </c>
      <c r="K389" s="93">
        <f t="shared" si="32"/>
        <v>0.58361111111111086</v>
      </c>
      <c r="L389">
        <f>IFERROR(HLOOKUP(D389,Ingreso!$AN$10:$AT$260,VLOOKUP('cruce '!I389,Ingreso!$AL$11:$AM$260,2,0),0),0)</f>
        <v>0</v>
      </c>
      <c r="M389" s="95">
        <f>IFERROR(HLOOKUP(D389,Ingreso!$AW$10:$BC$260,VLOOKUP('cruce '!I389,Ingreso!$AL$11:$AM$260,2,0),0),0)</f>
        <v>0</v>
      </c>
      <c r="N389" t="str">
        <f t="shared" si="33"/>
        <v>OK</v>
      </c>
    </row>
    <row r="390" spans="2:14">
      <c r="C390"/>
      <c r="D390" t="s">
        <v>1437</v>
      </c>
      <c r="E390" t="s">
        <v>1321</v>
      </c>
      <c r="F390" s="78">
        <v>0.3125</v>
      </c>
      <c r="G390" s="55">
        <v>0.60611111111111116</v>
      </c>
      <c r="H390" s="55">
        <v>0.95119212962962962</v>
      </c>
      <c r="I390" s="55" t="str">
        <f t="shared" si="30"/>
        <v>10.042.860-1</v>
      </c>
      <c r="J390" s="55">
        <f t="shared" si="31"/>
        <v>0.34508101851851847</v>
      </c>
      <c r="K390" s="93">
        <f t="shared" si="32"/>
        <v>0.78194444444444322</v>
      </c>
      <c r="L390">
        <f>IFERROR(HLOOKUP(D390,Ingreso!$AN$10:$AT$260,VLOOKUP('cruce '!I390,Ingreso!$AL$11:$AM$260,2,0),0),0)</f>
        <v>0</v>
      </c>
      <c r="M390" s="95">
        <f>IFERROR(HLOOKUP(D390,Ingreso!$AW$10:$BC$260,VLOOKUP('cruce '!I390,Ingreso!$AL$11:$AM$260,2,0),0),0)</f>
        <v>0</v>
      </c>
      <c r="N390" t="str">
        <f t="shared" si="33"/>
        <v>OK</v>
      </c>
    </row>
    <row r="391" spans="2:14">
      <c r="C391"/>
      <c r="D391" t="s">
        <v>1438</v>
      </c>
      <c r="E391" t="s">
        <v>1321</v>
      </c>
      <c r="F391" s="78">
        <v>0.3125</v>
      </c>
      <c r="G391" s="55">
        <v>0.60690972222222228</v>
      </c>
      <c r="H391" s="55">
        <v>0.95063657407407398</v>
      </c>
      <c r="I391" s="55" t="str">
        <f t="shared" si="30"/>
        <v>10.042.860-1</v>
      </c>
      <c r="J391" s="55">
        <f t="shared" si="31"/>
        <v>0.3437268518518517</v>
      </c>
      <c r="K391" s="93">
        <f t="shared" si="32"/>
        <v>0.7494444444444408</v>
      </c>
      <c r="L391">
        <f>IFERROR(HLOOKUP(D391,Ingreso!$AN$10:$AT$260,VLOOKUP('cruce '!I391,Ingreso!$AL$11:$AM$260,2,0),0),0)</f>
        <v>0</v>
      </c>
      <c r="M391" s="95">
        <f>IFERROR(HLOOKUP(D391,Ingreso!$AW$10:$BC$260,VLOOKUP('cruce '!I391,Ingreso!$AL$11:$AM$260,2,0),0),0)</f>
        <v>0</v>
      </c>
      <c r="N391" t="str">
        <f t="shared" si="33"/>
        <v>OK</v>
      </c>
    </row>
    <row r="392" spans="2:14">
      <c r="C392"/>
      <c r="D392" t="s">
        <v>1439</v>
      </c>
      <c r="E392" t="s">
        <v>1321</v>
      </c>
      <c r="F392" s="78">
        <v>0.3125</v>
      </c>
      <c r="G392" s="55">
        <v>0.60728009259259264</v>
      </c>
      <c r="H392" s="55">
        <v>0.95060185185185186</v>
      </c>
      <c r="I392" s="55" t="str">
        <f t="shared" si="30"/>
        <v>10.042.860-1</v>
      </c>
      <c r="J392" s="55">
        <f t="shared" si="31"/>
        <v>0.34332175925925923</v>
      </c>
      <c r="K392" s="93">
        <f t="shared" si="32"/>
        <v>0.7397222222222215</v>
      </c>
      <c r="L392">
        <f>IFERROR(HLOOKUP(D392,Ingreso!$AN$10:$AT$260,VLOOKUP('cruce '!I392,Ingreso!$AL$11:$AM$260,2,0),0),0)</f>
        <v>0</v>
      </c>
      <c r="M392" s="95">
        <f>IFERROR(HLOOKUP(D392,Ingreso!$AW$10:$BC$260,VLOOKUP('cruce '!I392,Ingreso!$AL$11:$AM$260,2,0),0),0)</f>
        <v>0</v>
      </c>
      <c r="N392" t="str">
        <f t="shared" si="33"/>
        <v>OK</v>
      </c>
    </row>
    <row r="393" spans="2:14">
      <c r="B393" t="s">
        <v>1132</v>
      </c>
      <c r="C393" t="s">
        <v>1136</v>
      </c>
      <c r="D393" t="s">
        <v>1440</v>
      </c>
      <c r="E393" t="s">
        <v>4</v>
      </c>
      <c r="F393" s="78">
        <v>0.3125</v>
      </c>
      <c r="G393" s="55">
        <v>0.30130787037037038</v>
      </c>
      <c r="H393" s="55">
        <v>0.71480324074074064</v>
      </c>
      <c r="I393" s="55" t="str">
        <f t="shared" si="30"/>
        <v>10.042.994-2</v>
      </c>
      <c r="J393" s="55">
        <f t="shared" si="31"/>
        <v>0.41349537037037026</v>
      </c>
      <c r="K393" s="93">
        <f t="shared" si="32"/>
        <v>2.4238888888888859</v>
      </c>
      <c r="L393">
        <f>IFERROR(HLOOKUP(D393,Ingreso!$AN$10:$AT$260,VLOOKUP('cruce '!I393,Ingreso!$AL$11:$AM$260,2,0),0),0)</f>
        <v>2</v>
      </c>
      <c r="M393" s="95">
        <f>IFERROR(HLOOKUP(D393,Ingreso!$AW$10:$BC$260,VLOOKUP('cruce '!I393,Ingreso!$AL$11:$AM$260,2,0),0),0)</f>
        <v>0.5</v>
      </c>
      <c r="N393" t="str">
        <f t="shared" si="33"/>
        <v>OK</v>
      </c>
    </row>
    <row r="394" spans="2:14">
      <c r="C394"/>
      <c r="D394" t="s">
        <v>1441</v>
      </c>
      <c r="E394" t="s">
        <v>4</v>
      </c>
      <c r="F394" s="78">
        <v>0.3125</v>
      </c>
      <c r="G394" s="55">
        <v>0.30425925925925928</v>
      </c>
      <c r="H394" s="55">
        <v>0.70870370370370372</v>
      </c>
      <c r="I394" s="55" t="str">
        <f t="shared" si="30"/>
        <v>10.042.994-2</v>
      </c>
      <c r="J394" s="55">
        <f t="shared" si="31"/>
        <v>0.40444444444444444</v>
      </c>
      <c r="K394" s="93">
        <f t="shared" si="32"/>
        <v>2.206666666666667</v>
      </c>
      <c r="L394">
        <f>IFERROR(HLOOKUP(D394,Ingreso!$AN$10:$AT$260,VLOOKUP('cruce '!I394,Ingreso!$AL$11:$AM$260,2,0),0),0)</f>
        <v>0</v>
      </c>
      <c r="M394" s="95" t="str">
        <f>IFERROR(HLOOKUP(D394,Ingreso!$AW$10:$BC$260,VLOOKUP('cruce '!I394,Ingreso!$AL$11:$AM$260,2,0),0),0)</f>
        <v/>
      </c>
      <c r="N394" t="str">
        <f t="shared" si="33"/>
        <v>Revisar</v>
      </c>
    </row>
    <row r="395" spans="2:14">
      <c r="C395"/>
      <c r="D395" t="s">
        <v>1437</v>
      </c>
      <c r="E395" t="s">
        <v>4</v>
      </c>
      <c r="F395" s="78">
        <v>0.3125</v>
      </c>
      <c r="G395" s="55">
        <v>0.29469907407407409</v>
      </c>
      <c r="H395" s="55">
        <v>0.63581018518518517</v>
      </c>
      <c r="I395" s="55" t="str">
        <f t="shared" si="30"/>
        <v>10.042.994-2</v>
      </c>
      <c r="J395" s="55">
        <f t="shared" si="31"/>
        <v>0.34111111111111109</v>
      </c>
      <c r="K395" s="93">
        <f t="shared" si="32"/>
        <v>0.68666666666666565</v>
      </c>
      <c r="L395">
        <f>IFERROR(HLOOKUP(D395,Ingreso!$AN$10:$AT$260,VLOOKUP('cruce '!I395,Ingreso!$AL$11:$AM$260,2,0),0),0)</f>
        <v>0</v>
      </c>
      <c r="M395" s="95" t="str">
        <f>IFERROR(HLOOKUP(D395,Ingreso!$AW$10:$BC$260,VLOOKUP('cruce '!I395,Ingreso!$AL$11:$AM$260,2,0),0),0)</f>
        <v/>
      </c>
      <c r="N395" t="str">
        <f t="shared" si="33"/>
        <v>OK</v>
      </c>
    </row>
    <row r="396" spans="2:14">
      <c r="C396"/>
      <c r="D396" t="s">
        <v>1438</v>
      </c>
      <c r="E396" t="s">
        <v>4</v>
      </c>
      <c r="F396" s="78">
        <v>0.3125</v>
      </c>
      <c r="G396" s="55">
        <v>0.31940972222222225</v>
      </c>
      <c r="H396" s="55">
        <v>0.72560185185185189</v>
      </c>
      <c r="I396" s="55" t="str">
        <f t="shared" si="30"/>
        <v>10.042.994-2</v>
      </c>
      <c r="J396" s="55">
        <f t="shared" si="31"/>
        <v>0.40619212962962964</v>
      </c>
      <c r="K396" s="93">
        <f t="shared" si="32"/>
        <v>2.2486111111111118</v>
      </c>
      <c r="L396">
        <f>IFERROR(HLOOKUP(D396,Ingreso!$AN$10:$AT$260,VLOOKUP('cruce '!I396,Ingreso!$AL$11:$AM$260,2,0),0),0)</f>
        <v>2</v>
      </c>
      <c r="M396" s="95">
        <f>IFERROR(HLOOKUP(D396,Ingreso!$AW$10:$BC$260,VLOOKUP('cruce '!I396,Ingreso!$AL$11:$AM$260,2,0),0),0)</f>
        <v>0.5</v>
      </c>
      <c r="N396" t="str">
        <f t="shared" si="33"/>
        <v>OK</v>
      </c>
    </row>
    <row r="397" spans="2:14">
      <c r="C397"/>
      <c r="D397" t="s">
        <v>1439</v>
      </c>
      <c r="E397" t="s">
        <v>4</v>
      </c>
      <c r="F397" s="78">
        <v>0.3125</v>
      </c>
      <c r="G397" s="55">
        <v>0.30138888888888887</v>
      </c>
      <c r="H397" s="55">
        <v>0.73765046296296299</v>
      </c>
      <c r="I397" s="55" t="str">
        <f t="shared" si="30"/>
        <v>10.042.994-2</v>
      </c>
      <c r="J397" s="55">
        <f t="shared" si="31"/>
        <v>0.43626157407407412</v>
      </c>
      <c r="K397" s="93">
        <f t="shared" si="32"/>
        <v>2.9702777777777793</v>
      </c>
      <c r="L397">
        <f>IFERROR(HLOOKUP(D397,Ingreso!$AN$10:$AT$260,VLOOKUP('cruce '!I397,Ingreso!$AL$11:$AM$260,2,0),0),0)</f>
        <v>2</v>
      </c>
      <c r="M397" s="95">
        <f>IFERROR(HLOOKUP(D397,Ingreso!$AW$10:$BC$260,VLOOKUP('cruce '!I397,Ingreso!$AL$11:$AM$260,2,0),0),0)</f>
        <v>0.5</v>
      </c>
      <c r="N397" t="str">
        <f t="shared" si="33"/>
        <v>OK</v>
      </c>
    </row>
    <row r="398" spans="2:14">
      <c r="B398" t="s">
        <v>172</v>
      </c>
      <c r="C398" t="s">
        <v>175</v>
      </c>
      <c r="D398" t="s">
        <v>1440</v>
      </c>
      <c r="E398" t="s">
        <v>1321</v>
      </c>
      <c r="F398" s="78">
        <v>0.3125</v>
      </c>
      <c r="G398" s="55">
        <v>0.60887731481481489</v>
      </c>
      <c r="H398" s="55">
        <v>0.94657407407407401</v>
      </c>
      <c r="I398" s="55" t="str">
        <f t="shared" si="30"/>
        <v>10.116.815-8</v>
      </c>
      <c r="J398" s="55">
        <f t="shared" si="31"/>
        <v>0.33769675925925913</v>
      </c>
      <c r="K398" s="93">
        <f t="shared" si="32"/>
        <v>0.60472222222221816</v>
      </c>
      <c r="L398">
        <f>IFERROR(HLOOKUP(D398,Ingreso!$AN$10:$AT$260,VLOOKUP('cruce '!I398,Ingreso!$AL$11:$AM$260,2,0),0),0)</f>
        <v>0</v>
      </c>
      <c r="M398" s="95" t="str">
        <f>IFERROR(HLOOKUP(D398,Ingreso!$AW$10:$BC$260,VLOOKUP('cruce '!I398,Ingreso!$AL$11:$AM$260,2,0),0),0)</f>
        <v/>
      </c>
      <c r="N398" t="str">
        <f t="shared" si="33"/>
        <v>OK</v>
      </c>
    </row>
    <row r="399" spans="2:14">
      <c r="C399"/>
      <c r="D399" t="s">
        <v>1441</v>
      </c>
      <c r="E399" t="s">
        <v>1321</v>
      </c>
      <c r="F399" s="78">
        <v>0.3125</v>
      </c>
      <c r="G399" s="55">
        <v>0.60949074074074072</v>
      </c>
      <c r="H399" s="55">
        <v>0.94503472222222218</v>
      </c>
      <c r="I399" s="55" t="str">
        <f t="shared" si="30"/>
        <v>10.116.815-8</v>
      </c>
      <c r="J399" s="55">
        <f t="shared" si="31"/>
        <v>0.33554398148148146</v>
      </c>
      <c r="K399" s="93">
        <f t="shared" si="32"/>
        <v>0.55305555555555586</v>
      </c>
      <c r="L399">
        <f>IFERROR(HLOOKUP(D399,Ingreso!$AN$10:$AT$260,VLOOKUP('cruce '!I399,Ingreso!$AL$11:$AM$260,2,0),0),0)</f>
        <v>0</v>
      </c>
      <c r="M399" s="95" t="str">
        <f>IFERROR(HLOOKUP(D399,Ingreso!$AW$10:$BC$260,VLOOKUP('cruce '!I399,Ingreso!$AL$11:$AM$260,2,0),0),0)</f>
        <v/>
      </c>
      <c r="N399" t="str">
        <f t="shared" si="33"/>
        <v>OK</v>
      </c>
    </row>
    <row r="400" spans="2:14">
      <c r="C400"/>
      <c r="D400" t="s">
        <v>1437</v>
      </c>
      <c r="E400" t="s">
        <v>1321</v>
      </c>
      <c r="F400" s="78">
        <v>0.3125</v>
      </c>
      <c r="G400" s="55">
        <v>0.6071064814814815</v>
      </c>
      <c r="H400" s="55">
        <v>0.94608796296296294</v>
      </c>
      <c r="I400" s="55" t="str">
        <f t="shared" si="30"/>
        <v>10.116.815-8</v>
      </c>
      <c r="J400" s="55">
        <f t="shared" si="31"/>
        <v>0.33898148148148144</v>
      </c>
      <c r="K400" s="93">
        <f t="shared" si="32"/>
        <v>0.63555555555555543</v>
      </c>
      <c r="L400">
        <f>IFERROR(HLOOKUP(D400,Ingreso!$AN$10:$AT$260,VLOOKUP('cruce '!I400,Ingreso!$AL$11:$AM$260,2,0),0),0)</f>
        <v>0</v>
      </c>
      <c r="M400" s="95" t="str">
        <f>IFERROR(HLOOKUP(D400,Ingreso!$AW$10:$BC$260,VLOOKUP('cruce '!I400,Ingreso!$AL$11:$AM$260,2,0),0),0)</f>
        <v/>
      </c>
      <c r="N400" t="str">
        <f t="shared" si="33"/>
        <v>OK</v>
      </c>
    </row>
    <row r="401" spans="2:14">
      <c r="C401"/>
      <c r="D401" t="s">
        <v>1438</v>
      </c>
      <c r="E401" t="s">
        <v>1321</v>
      </c>
      <c r="F401" s="78">
        <v>0.3125</v>
      </c>
      <c r="G401" s="55">
        <v>0.60961805555555559</v>
      </c>
      <c r="H401" s="55">
        <v>0.94319444444444445</v>
      </c>
      <c r="I401" s="55" t="str">
        <f t="shared" si="30"/>
        <v>10.116.815-8</v>
      </c>
      <c r="J401" s="55">
        <f t="shared" si="31"/>
        <v>0.33357638888888885</v>
      </c>
      <c r="K401" s="93">
        <f t="shared" si="32"/>
        <v>0.50583333333333158</v>
      </c>
      <c r="L401">
        <f>IFERROR(HLOOKUP(D401,Ingreso!$AN$10:$AT$260,VLOOKUP('cruce '!I401,Ingreso!$AL$11:$AM$260,2,0),0),0)</f>
        <v>0</v>
      </c>
      <c r="M401" s="95" t="str">
        <f>IFERROR(HLOOKUP(D401,Ingreso!$AW$10:$BC$260,VLOOKUP('cruce '!I401,Ingreso!$AL$11:$AM$260,2,0),0),0)</f>
        <v/>
      </c>
      <c r="N401" t="str">
        <f t="shared" si="33"/>
        <v>OK</v>
      </c>
    </row>
    <row r="402" spans="2:14">
      <c r="C402"/>
      <c r="D402" t="s">
        <v>1439</v>
      </c>
      <c r="E402" t="s">
        <v>1321</v>
      </c>
      <c r="F402" s="78">
        <v>0.3125</v>
      </c>
      <c r="G402" s="55">
        <v>0.60792824074074081</v>
      </c>
      <c r="H402" s="55">
        <v>0.94644675925925925</v>
      </c>
      <c r="I402" s="55" t="str">
        <f t="shared" si="30"/>
        <v>10.116.815-8</v>
      </c>
      <c r="J402" s="55">
        <f t="shared" si="31"/>
        <v>0.33851851851851844</v>
      </c>
      <c r="K402" s="93">
        <f t="shared" si="32"/>
        <v>0.62444444444444258</v>
      </c>
      <c r="L402">
        <f>IFERROR(HLOOKUP(D402,Ingreso!$AN$10:$AT$260,VLOOKUP('cruce '!I402,Ingreso!$AL$11:$AM$260,2,0),0),0)</f>
        <v>0</v>
      </c>
      <c r="M402" s="95" t="str">
        <f>IFERROR(HLOOKUP(D402,Ingreso!$AW$10:$BC$260,VLOOKUP('cruce '!I402,Ingreso!$AL$11:$AM$260,2,0),0),0)</f>
        <v/>
      </c>
      <c r="N402" t="str">
        <f t="shared" si="33"/>
        <v>OK</v>
      </c>
    </row>
    <row r="403" spans="2:14">
      <c r="B403" t="s">
        <v>610</v>
      </c>
      <c r="C403" t="s">
        <v>613</v>
      </c>
      <c r="D403" t="s">
        <v>1440</v>
      </c>
      <c r="E403" t="s">
        <v>1474</v>
      </c>
      <c r="F403" t="s">
        <v>1472</v>
      </c>
      <c r="G403" s="55">
        <v>0.29466435185185186</v>
      </c>
      <c r="H403" s="55">
        <v>0.73317129629629629</v>
      </c>
      <c r="I403" s="55" t="str">
        <f t="shared" si="30"/>
        <v>10.157.067-3</v>
      </c>
      <c r="J403" s="55">
        <f t="shared" si="31"/>
        <v>0.43850694444444444</v>
      </c>
      <c r="K403" s="93" t="e">
        <f t="shared" si="32"/>
        <v>#VALUE!</v>
      </c>
      <c r="L403">
        <f>IFERROR(HLOOKUP(D403,Ingreso!$AN$10:$AT$260,VLOOKUP('cruce '!I403,Ingreso!$AL$11:$AM$260,2,0),0),0)</f>
        <v>0</v>
      </c>
      <c r="M403" s="95" t="str">
        <f>IFERROR(HLOOKUP(D403,Ingreso!$AW$10:$BC$260,VLOOKUP('cruce '!I403,Ingreso!$AL$11:$AM$260,2,0),0),0)</f>
        <v/>
      </c>
      <c r="N403" t="e">
        <f t="shared" si="33"/>
        <v>#VALUE!</v>
      </c>
    </row>
    <row r="404" spans="2:14">
      <c r="C404"/>
      <c r="D404" t="s">
        <v>1441</v>
      </c>
      <c r="E404" t="s">
        <v>1474</v>
      </c>
      <c r="F404" t="s">
        <v>1472</v>
      </c>
      <c r="G404" s="55">
        <v>0.29409722222222223</v>
      </c>
      <c r="H404" s="55">
        <v>0.49986111111111109</v>
      </c>
      <c r="I404" s="55" t="str">
        <f t="shared" si="30"/>
        <v>10.157.067-3</v>
      </c>
      <c r="J404" s="55">
        <f t="shared" si="31"/>
        <v>0.20576388888888886</v>
      </c>
      <c r="K404" s="93" t="e">
        <f t="shared" si="32"/>
        <v>#VALUE!</v>
      </c>
      <c r="L404">
        <f>IFERROR(HLOOKUP(D404,Ingreso!$AN$10:$AT$260,VLOOKUP('cruce '!I404,Ingreso!$AL$11:$AM$260,2,0),0),0)</f>
        <v>0</v>
      </c>
      <c r="M404" s="95" t="str">
        <f>IFERROR(HLOOKUP(D404,Ingreso!$AW$10:$BC$260,VLOOKUP('cruce '!I404,Ingreso!$AL$11:$AM$260,2,0),0),0)</f>
        <v/>
      </c>
      <c r="N404" t="e">
        <f t="shared" si="33"/>
        <v>#VALUE!</v>
      </c>
    </row>
    <row r="405" spans="2:14">
      <c r="C405"/>
      <c r="D405" t="s">
        <v>1437</v>
      </c>
      <c r="E405" t="s">
        <v>1474</v>
      </c>
      <c r="F405" t="s">
        <v>1472</v>
      </c>
      <c r="G405" s="55">
        <v>0.29296296296296298</v>
      </c>
      <c r="H405" s="55">
        <v>0.73569444444444443</v>
      </c>
      <c r="I405" s="55" t="str">
        <f t="shared" si="30"/>
        <v>10.157.067-3</v>
      </c>
      <c r="J405" s="55">
        <f t="shared" si="31"/>
        <v>0.44273148148148145</v>
      </c>
      <c r="K405" s="93" t="e">
        <f t="shared" si="32"/>
        <v>#VALUE!</v>
      </c>
      <c r="L405">
        <f>IFERROR(HLOOKUP(D405,Ingreso!$AN$10:$AT$260,VLOOKUP('cruce '!I405,Ingreso!$AL$11:$AM$260,2,0),0),0)</f>
        <v>2.5</v>
      </c>
      <c r="M405" s="95">
        <f>IFERROR(HLOOKUP(D405,Ingreso!$AW$10:$BC$260,VLOOKUP('cruce '!I405,Ingreso!$AL$11:$AM$260,2,0),0),0)</f>
        <v>0.5</v>
      </c>
      <c r="N405" t="e">
        <f t="shared" si="33"/>
        <v>#VALUE!</v>
      </c>
    </row>
    <row r="406" spans="2:14">
      <c r="C406"/>
      <c r="D406" t="s">
        <v>1438</v>
      </c>
      <c r="E406" t="s">
        <v>1474</v>
      </c>
      <c r="F406" t="s">
        <v>1472</v>
      </c>
      <c r="G406" s="55">
        <v>0.2940740740740741</v>
      </c>
      <c r="H406" s="55">
        <v>0.7359837962962964</v>
      </c>
      <c r="I406" s="55" t="str">
        <f t="shared" si="30"/>
        <v>10.157.067-3</v>
      </c>
      <c r="J406" s="55">
        <f t="shared" si="31"/>
        <v>0.4419097222222223</v>
      </c>
      <c r="K406" s="93" t="e">
        <f t="shared" si="32"/>
        <v>#VALUE!</v>
      </c>
      <c r="L406">
        <f>IFERROR(HLOOKUP(D406,Ingreso!$AN$10:$AT$260,VLOOKUP('cruce '!I406,Ingreso!$AL$11:$AM$260,2,0),0),0)</f>
        <v>2.5</v>
      </c>
      <c r="M406" s="95">
        <f>IFERROR(HLOOKUP(D406,Ingreso!$AW$10:$BC$260,VLOOKUP('cruce '!I406,Ingreso!$AL$11:$AM$260,2,0),0),0)</f>
        <v>0.5</v>
      </c>
      <c r="N406" t="e">
        <f t="shared" si="33"/>
        <v>#VALUE!</v>
      </c>
    </row>
    <row r="407" spans="2:14">
      <c r="C407"/>
      <c r="D407" t="s">
        <v>1439</v>
      </c>
      <c r="E407" t="s">
        <v>1474</v>
      </c>
      <c r="F407" t="s">
        <v>1472</v>
      </c>
      <c r="G407" s="55">
        <v>0.29537037037037034</v>
      </c>
      <c r="H407" s="55">
        <v>0.73682870370370368</v>
      </c>
      <c r="I407" s="55" t="str">
        <f t="shared" si="30"/>
        <v>10.157.067-3</v>
      </c>
      <c r="J407" s="55">
        <f t="shared" si="31"/>
        <v>0.44145833333333334</v>
      </c>
      <c r="K407" s="93" t="e">
        <f t="shared" si="32"/>
        <v>#VALUE!</v>
      </c>
      <c r="L407">
        <f>IFERROR(HLOOKUP(D407,Ingreso!$AN$10:$AT$260,VLOOKUP('cruce '!I407,Ingreso!$AL$11:$AM$260,2,0),0),0)</f>
        <v>2.5</v>
      </c>
      <c r="M407" s="95">
        <f>IFERROR(HLOOKUP(D407,Ingreso!$AW$10:$BC$260,VLOOKUP('cruce '!I407,Ingreso!$AL$11:$AM$260,2,0),0),0)</f>
        <v>0.5</v>
      </c>
      <c r="N407" t="e">
        <f t="shared" si="33"/>
        <v>#VALUE!</v>
      </c>
    </row>
    <row r="408" spans="2:14">
      <c r="B408" t="s">
        <v>851</v>
      </c>
      <c r="C408" t="s">
        <v>853</v>
      </c>
      <c r="D408" t="s">
        <v>1440</v>
      </c>
      <c r="E408" t="s">
        <v>1323</v>
      </c>
      <c r="F408" s="78">
        <v>0.375</v>
      </c>
      <c r="G408" s="55">
        <v>0.95004629629629633</v>
      </c>
      <c r="H408" s="55">
        <v>0.32050925925925927</v>
      </c>
      <c r="I408" s="55" t="str">
        <f t="shared" si="30"/>
        <v>10.168.958-1</v>
      </c>
      <c r="J408" s="55">
        <f t="shared" si="31"/>
        <v>0.37046296296296299</v>
      </c>
      <c r="K408" s="93">
        <f t="shared" si="32"/>
        <v>-0.10888888888888815</v>
      </c>
      <c r="L408">
        <f>IFERROR(HLOOKUP(D408,Ingreso!$AN$10:$AT$260,VLOOKUP('cruce '!I408,Ingreso!$AL$11:$AM$260,2,0),0),0)</f>
        <v>0</v>
      </c>
      <c r="M408" s="95" t="str">
        <f>IFERROR(HLOOKUP(D408,Ingreso!$AW$10:$BC$260,VLOOKUP('cruce '!I408,Ingreso!$AL$11:$AM$260,2,0),0),0)</f>
        <v/>
      </c>
      <c r="N408" t="str">
        <f t="shared" si="33"/>
        <v>OK</v>
      </c>
    </row>
    <row r="409" spans="2:14">
      <c r="C409"/>
      <c r="D409" t="s">
        <v>1441</v>
      </c>
      <c r="E409" t="s">
        <v>1323</v>
      </c>
      <c r="F409" s="78">
        <v>0.375</v>
      </c>
      <c r="G409" s="55"/>
      <c r="H409" s="55">
        <v>0.32362268518518517</v>
      </c>
      <c r="I409" s="55" t="str">
        <f t="shared" si="30"/>
        <v>10.168.958-1</v>
      </c>
      <c r="J409" s="55">
        <f t="shared" si="31"/>
        <v>0.32362268518518517</v>
      </c>
      <c r="K409" s="93">
        <f t="shared" si="32"/>
        <v>-1.2330555555555556</v>
      </c>
      <c r="L409">
        <f>IFERROR(HLOOKUP(D409,Ingreso!$AN$10:$AT$260,VLOOKUP('cruce '!I409,Ingreso!$AL$11:$AM$260,2,0),0),0)</f>
        <v>0</v>
      </c>
      <c r="M409" s="95" t="str">
        <f>IFERROR(HLOOKUP(D409,Ingreso!$AW$10:$BC$260,VLOOKUP('cruce '!I409,Ingreso!$AL$11:$AM$260,2,0),0),0)</f>
        <v/>
      </c>
      <c r="N409" t="str">
        <f t="shared" si="33"/>
        <v>Revisar</v>
      </c>
    </row>
    <row r="410" spans="2:14">
      <c r="C410"/>
      <c r="D410" t="s">
        <v>1437</v>
      </c>
      <c r="E410" t="s">
        <v>1323</v>
      </c>
      <c r="F410" s="78">
        <v>0.375</v>
      </c>
      <c r="G410" s="55">
        <v>0.91940972222222228</v>
      </c>
      <c r="H410" s="55"/>
      <c r="I410" s="55" t="str">
        <f t="shared" si="30"/>
        <v>10.168.958-1</v>
      </c>
      <c r="J410" s="55">
        <f t="shared" si="31"/>
        <v>8.0590277777777719E-2</v>
      </c>
      <c r="K410" s="93">
        <f t="shared" si="32"/>
        <v>-7.0658333333333347</v>
      </c>
      <c r="L410">
        <f>IFERROR(HLOOKUP(D410,Ingreso!$AN$10:$AT$260,VLOOKUP('cruce '!I410,Ingreso!$AL$11:$AM$260,2,0),0),0)</f>
        <v>0</v>
      </c>
      <c r="M410" s="95" t="str">
        <f>IFERROR(HLOOKUP(D410,Ingreso!$AW$10:$BC$260,VLOOKUP('cruce '!I410,Ingreso!$AL$11:$AM$260,2,0),0),0)</f>
        <v/>
      </c>
      <c r="N410" t="str">
        <f t="shared" si="33"/>
        <v>Revisar</v>
      </c>
    </row>
    <row r="411" spans="2:14">
      <c r="C411"/>
      <c r="D411" t="s">
        <v>1438</v>
      </c>
      <c r="E411" t="s">
        <v>1323</v>
      </c>
      <c r="F411" s="78">
        <v>0.375</v>
      </c>
      <c r="G411" s="55">
        <v>0.91981481481481486</v>
      </c>
      <c r="H411" s="55">
        <v>0.31974537037037037</v>
      </c>
      <c r="I411" s="55" t="str">
        <f t="shared" si="30"/>
        <v>10.168.958-1</v>
      </c>
      <c r="J411" s="55">
        <f t="shared" si="31"/>
        <v>0.39993055555555546</v>
      </c>
      <c r="K411" s="93">
        <f t="shared" si="32"/>
        <v>0.59833333333333094</v>
      </c>
      <c r="L411">
        <f>IFERROR(HLOOKUP(D411,Ingreso!$AN$10:$AT$260,VLOOKUP('cruce '!I411,Ingreso!$AL$11:$AM$260,2,0),0),0)</f>
        <v>0</v>
      </c>
      <c r="M411" s="95" t="str">
        <f>IFERROR(HLOOKUP(D411,Ingreso!$AW$10:$BC$260,VLOOKUP('cruce '!I411,Ingreso!$AL$11:$AM$260,2,0),0),0)</f>
        <v/>
      </c>
      <c r="N411" t="str">
        <f t="shared" si="33"/>
        <v>OK</v>
      </c>
    </row>
    <row r="412" spans="2:14">
      <c r="C412"/>
      <c r="D412" t="s">
        <v>1439</v>
      </c>
      <c r="E412" t="s">
        <v>1323</v>
      </c>
      <c r="F412" s="78">
        <v>0.375</v>
      </c>
      <c r="G412" s="55">
        <v>0.91916666666666658</v>
      </c>
      <c r="H412" s="55">
        <v>0.3225115740740741</v>
      </c>
      <c r="I412" s="55" t="str">
        <f t="shared" si="30"/>
        <v>10.168.958-1</v>
      </c>
      <c r="J412" s="55">
        <f t="shared" si="31"/>
        <v>0.40334490740740747</v>
      </c>
      <c r="K412" s="93">
        <f t="shared" si="32"/>
        <v>0.68027777777777843</v>
      </c>
      <c r="L412">
        <f>IFERROR(HLOOKUP(D412,Ingreso!$AN$10:$AT$260,VLOOKUP('cruce '!I412,Ingreso!$AL$11:$AM$260,2,0),0),0)</f>
        <v>0</v>
      </c>
      <c r="M412" s="95" t="str">
        <f>IFERROR(HLOOKUP(D412,Ingreso!$AW$10:$BC$260,VLOOKUP('cruce '!I412,Ingreso!$AL$11:$AM$260,2,0),0),0)</f>
        <v/>
      </c>
      <c r="N412" t="str">
        <f t="shared" si="33"/>
        <v>OK</v>
      </c>
    </row>
    <row r="413" spans="2:14">
      <c r="B413" t="s">
        <v>124</v>
      </c>
      <c r="C413" t="s">
        <v>128</v>
      </c>
      <c r="D413" t="s">
        <v>1440</v>
      </c>
      <c r="E413" t="s">
        <v>1323</v>
      </c>
      <c r="F413" s="78">
        <v>0.375</v>
      </c>
      <c r="G413" s="55">
        <v>0.92625000000000002</v>
      </c>
      <c r="H413" s="55">
        <v>0.31218750000000001</v>
      </c>
      <c r="I413" s="55" t="str">
        <f t="shared" si="30"/>
        <v>10.173.910-4</v>
      </c>
      <c r="J413" s="55">
        <f t="shared" si="31"/>
        <v>0.38593750000000004</v>
      </c>
      <c r="K413" s="93">
        <f t="shared" si="32"/>
        <v>0.26250000000000107</v>
      </c>
      <c r="L413">
        <f>IFERROR(HLOOKUP(D413,Ingreso!$AN$10:$AT$260,VLOOKUP('cruce '!I413,Ingreso!$AL$11:$AM$260,2,0),0),0)</f>
        <v>0</v>
      </c>
      <c r="M413" s="95" t="str">
        <f>IFERROR(HLOOKUP(D413,Ingreso!$AW$10:$BC$260,VLOOKUP('cruce '!I413,Ingreso!$AL$11:$AM$260,2,0),0),0)</f>
        <v/>
      </c>
      <c r="N413" t="str">
        <f t="shared" si="33"/>
        <v>OK</v>
      </c>
    </row>
    <row r="414" spans="2:14">
      <c r="C414"/>
      <c r="D414" t="s">
        <v>1441</v>
      </c>
      <c r="E414" t="s">
        <v>1323</v>
      </c>
      <c r="F414" s="78">
        <v>0.375</v>
      </c>
      <c r="G414" s="55"/>
      <c r="H414" s="55">
        <v>0.31113425925925925</v>
      </c>
      <c r="I414" s="55" t="str">
        <f t="shared" si="30"/>
        <v>10.173.910-4</v>
      </c>
      <c r="J414" s="55">
        <f t="shared" si="31"/>
        <v>0.31113425925925925</v>
      </c>
      <c r="K414" s="93">
        <f t="shared" si="32"/>
        <v>-1.5327777777777776</v>
      </c>
      <c r="L414">
        <f>IFERROR(HLOOKUP(D414,Ingreso!$AN$10:$AT$260,VLOOKUP('cruce '!I414,Ingreso!$AL$11:$AM$260,2,0),0),0)</f>
        <v>0</v>
      </c>
      <c r="M414" s="95" t="str">
        <f>IFERROR(HLOOKUP(D414,Ingreso!$AW$10:$BC$260,VLOOKUP('cruce '!I414,Ingreso!$AL$11:$AM$260,2,0),0),0)</f>
        <v/>
      </c>
      <c r="N414" t="str">
        <f t="shared" si="33"/>
        <v>Revisar</v>
      </c>
    </row>
    <row r="415" spans="2:14">
      <c r="C415"/>
      <c r="D415" t="s">
        <v>1437</v>
      </c>
      <c r="E415" t="s">
        <v>1323</v>
      </c>
      <c r="F415" s="78">
        <v>0.375</v>
      </c>
      <c r="G415" s="55">
        <v>0.92437499999999995</v>
      </c>
      <c r="H415" s="55"/>
      <c r="I415" s="55" t="str">
        <f t="shared" si="30"/>
        <v>10.173.910-4</v>
      </c>
      <c r="J415" s="55">
        <f t="shared" si="31"/>
        <v>7.5625000000000053E-2</v>
      </c>
      <c r="K415" s="93">
        <f t="shared" si="32"/>
        <v>-7.1849999999999987</v>
      </c>
      <c r="L415">
        <f>IFERROR(HLOOKUP(D415,Ingreso!$AN$10:$AT$260,VLOOKUP('cruce '!I415,Ingreso!$AL$11:$AM$260,2,0),0),0)</f>
        <v>0</v>
      </c>
      <c r="M415" s="95" t="str">
        <f>IFERROR(HLOOKUP(D415,Ingreso!$AW$10:$BC$260,VLOOKUP('cruce '!I415,Ingreso!$AL$11:$AM$260,2,0),0),0)</f>
        <v/>
      </c>
      <c r="N415" t="str">
        <f t="shared" si="33"/>
        <v>Revisar</v>
      </c>
    </row>
    <row r="416" spans="2:14">
      <c r="C416"/>
      <c r="D416" t="s">
        <v>1438</v>
      </c>
      <c r="E416" t="s">
        <v>1323</v>
      </c>
      <c r="F416" s="78">
        <v>0.375</v>
      </c>
      <c r="G416" s="55">
        <v>0.92489583333333336</v>
      </c>
      <c r="H416" s="55">
        <v>0.30814814814814812</v>
      </c>
      <c r="I416" s="55" t="str">
        <f t="shared" si="30"/>
        <v>10.173.910-4</v>
      </c>
      <c r="J416" s="55">
        <f t="shared" si="31"/>
        <v>0.3832523148148147</v>
      </c>
      <c r="K416" s="93">
        <f t="shared" si="32"/>
        <v>0.19805555555555188</v>
      </c>
      <c r="L416">
        <f>IFERROR(HLOOKUP(D416,Ingreso!$AN$10:$AT$260,VLOOKUP('cruce '!I416,Ingreso!$AL$11:$AM$260,2,0),0),0)</f>
        <v>0</v>
      </c>
      <c r="M416" s="95" t="str">
        <f>IFERROR(HLOOKUP(D416,Ingreso!$AW$10:$BC$260,VLOOKUP('cruce '!I416,Ingreso!$AL$11:$AM$260,2,0),0),0)</f>
        <v/>
      </c>
      <c r="N416" t="str">
        <f t="shared" si="33"/>
        <v>OK</v>
      </c>
    </row>
    <row r="417" spans="2:14">
      <c r="C417"/>
      <c r="D417" t="s">
        <v>1439</v>
      </c>
      <c r="E417" t="s">
        <v>1323</v>
      </c>
      <c r="F417" s="78">
        <v>0.375</v>
      </c>
      <c r="G417" s="55">
        <v>0.92446759259259259</v>
      </c>
      <c r="H417" s="55">
        <v>0.31138888888888888</v>
      </c>
      <c r="I417" s="55" t="str">
        <f t="shared" si="30"/>
        <v>10.173.910-4</v>
      </c>
      <c r="J417" s="55">
        <f t="shared" si="31"/>
        <v>0.38692129629629635</v>
      </c>
      <c r="K417" s="93">
        <f t="shared" si="32"/>
        <v>0.28611111111111143</v>
      </c>
      <c r="L417">
        <f>IFERROR(HLOOKUP(D417,Ingreso!$AN$10:$AT$260,VLOOKUP('cruce '!I417,Ingreso!$AL$11:$AM$260,2,0),0),0)</f>
        <v>0</v>
      </c>
      <c r="M417" s="95" t="str">
        <f>IFERROR(HLOOKUP(D417,Ingreso!$AW$10:$BC$260,VLOOKUP('cruce '!I417,Ingreso!$AL$11:$AM$260,2,0),0),0)</f>
        <v/>
      </c>
      <c r="N417" t="str">
        <f t="shared" si="33"/>
        <v>OK</v>
      </c>
    </row>
    <row r="418" spans="2:14">
      <c r="B418" t="s">
        <v>484</v>
      </c>
      <c r="C418" t="s">
        <v>486</v>
      </c>
      <c r="D418" t="s">
        <v>1440</v>
      </c>
      <c r="E418" t="s">
        <v>1474</v>
      </c>
      <c r="F418" t="s">
        <v>1472</v>
      </c>
      <c r="G418" s="55">
        <v>0.29731481481481481</v>
      </c>
      <c r="H418" s="55">
        <v>0.63976851851851857</v>
      </c>
      <c r="I418" s="55" t="str">
        <f t="shared" si="30"/>
        <v>10.199.755-3</v>
      </c>
      <c r="J418" s="55">
        <f t="shared" si="31"/>
        <v>0.34245370370370376</v>
      </c>
      <c r="K418" s="93" t="e">
        <f t="shared" si="32"/>
        <v>#VALUE!</v>
      </c>
      <c r="L418">
        <f>IFERROR(HLOOKUP(D418,Ingreso!$AN$10:$AT$260,VLOOKUP('cruce '!I418,Ingreso!$AL$11:$AM$260,2,0),0),0)</f>
        <v>0</v>
      </c>
      <c r="M418" s="95" t="str">
        <f>IFERROR(HLOOKUP(D418,Ingreso!$AW$10:$BC$260,VLOOKUP('cruce '!I418,Ingreso!$AL$11:$AM$260,2,0),0),0)</f>
        <v/>
      </c>
      <c r="N418" t="e">
        <f t="shared" si="33"/>
        <v>#VALUE!</v>
      </c>
    </row>
    <row r="419" spans="2:14">
      <c r="C419"/>
      <c r="D419" t="s">
        <v>1441</v>
      </c>
      <c r="E419" t="s">
        <v>1474</v>
      </c>
      <c r="F419" t="s">
        <v>1472</v>
      </c>
      <c r="G419" s="55">
        <v>0.29549768518518521</v>
      </c>
      <c r="H419" s="55">
        <v>0.64056712962962969</v>
      </c>
      <c r="I419" s="55" t="str">
        <f t="shared" si="30"/>
        <v>10.199.755-3</v>
      </c>
      <c r="J419" s="55">
        <f t="shared" si="31"/>
        <v>0.34506944444444448</v>
      </c>
      <c r="K419" s="93" t="e">
        <f t="shared" si="32"/>
        <v>#VALUE!</v>
      </c>
      <c r="L419">
        <f>IFERROR(HLOOKUP(D419,Ingreso!$AN$10:$AT$260,VLOOKUP('cruce '!I419,Ingreso!$AL$11:$AM$260,2,0),0),0)</f>
        <v>0</v>
      </c>
      <c r="M419" s="95" t="str">
        <f>IFERROR(HLOOKUP(D419,Ingreso!$AW$10:$BC$260,VLOOKUP('cruce '!I419,Ingreso!$AL$11:$AM$260,2,0),0),0)</f>
        <v/>
      </c>
      <c r="N419" t="e">
        <f t="shared" si="33"/>
        <v>#VALUE!</v>
      </c>
    </row>
    <row r="420" spans="2:14">
      <c r="C420"/>
      <c r="D420" t="s">
        <v>1437</v>
      </c>
      <c r="E420" t="s">
        <v>1474</v>
      </c>
      <c r="F420" t="s">
        <v>1472</v>
      </c>
      <c r="G420" s="55">
        <v>0.29276620370370371</v>
      </c>
      <c r="H420" s="55">
        <v>0.63960648148148147</v>
      </c>
      <c r="I420" s="55" t="str">
        <f t="shared" si="30"/>
        <v>10.199.755-3</v>
      </c>
      <c r="J420" s="55">
        <f t="shared" si="31"/>
        <v>0.34684027777777776</v>
      </c>
      <c r="K420" s="93" t="e">
        <f t="shared" si="32"/>
        <v>#VALUE!</v>
      </c>
      <c r="L420">
        <f>IFERROR(HLOOKUP(D420,Ingreso!$AN$10:$AT$260,VLOOKUP('cruce '!I420,Ingreso!$AL$11:$AM$260,2,0),0),0)</f>
        <v>0</v>
      </c>
      <c r="M420" s="95" t="str">
        <f>IFERROR(HLOOKUP(D420,Ingreso!$AW$10:$BC$260,VLOOKUP('cruce '!I420,Ingreso!$AL$11:$AM$260,2,0),0),0)</f>
        <v/>
      </c>
      <c r="N420" t="e">
        <f t="shared" si="33"/>
        <v>#VALUE!</v>
      </c>
    </row>
    <row r="421" spans="2:14">
      <c r="C421"/>
      <c r="D421" t="s">
        <v>1438</v>
      </c>
      <c r="E421" t="s">
        <v>1474</v>
      </c>
      <c r="F421" t="s">
        <v>1472</v>
      </c>
      <c r="G421" s="55">
        <v>0.29348379629629628</v>
      </c>
      <c r="H421" s="55">
        <v>0.63998842592592597</v>
      </c>
      <c r="I421" s="55" t="str">
        <f t="shared" si="30"/>
        <v>10.199.755-3</v>
      </c>
      <c r="J421" s="55">
        <f t="shared" si="31"/>
        <v>0.34650462962962969</v>
      </c>
      <c r="K421" s="93" t="e">
        <f t="shared" si="32"/>
        <v>#VALUE!</v>
      </c>
      <c r="L421">
        <f>IFERROR(HLOOKUP(D421,Ingreso!$AN$10:$AT$260,VLOOKUP('cruce '!I421,Ingreso!$AL$11:$AM$260,2,0),0),0)</f>
        <v>0</v>
      </c>
      <c r="M421" s="95" t="str">
        <f>IFERROR(HLOOKUP(D421,Ingreso!$AW$10:$BC$260,VLOOKUP('cruce '!I421,Ingreso!$AL$11:$AM$260,2,0),0),0)</f>
        <v/>
      </c>
      <c r="N421" t="e">
        <f t="shared" si="33"/>
        <v>#VALUE!</v>
      </c>
    </row>
    <row r="422" spans="2:14">
      <c r="C422"/>
      <c r="D422" t="s">
        <v>1439</v>
      </c>
      <c r="E422" t="s">
        <v>1474</v>
      </c>
      <c r="F422" t="s">
        <v>1472</v>
      </c>
      <c r="G422" s="55">
        <v>0.29396990740740742</v>
      </c>
      <c r="H422" s="55">
        <v>0.63979166666666665</v>
      </c>
      <c r="I422" s="55" t="str">
        <f t="shared" si="30"/>
        <v>10.199.755-3</v>
      </c>
      <c r="J422" s="55">
        <f t="shared" si="31"/>
        <v>0.34582175925925923</v>
      </c>
      <c r="K422" s="93" t="e">
        <f t="shared" si="32"/>
        <v>#VALUE!</v>
      </c>
      <c r="L422">
        <f>IFERROR(HLOOKUP(D422,Ingreso!$AN$10:$AT$260,VLOOKUP('cruce '!I422,Ingreso!$AL$11:$AM$260,2,0),0),0)</f>
        <v>0</v>
      </c>
      <c r="M422" s="95" t="str">
        <f>IFERROR(HLOOKUP(D422,Ingreso!$AW$10:$BC$260,VLOOKUP('cruce '!I422,Ingreso!$AL$11:$AM$260,2,0),0),0)</f>
        <v/>
      </c>
      <c r="N422" t="e">
        <f t="shared" si="33"/>
        <v>#VALUE!</v>
      </c>
    </row>
    <row r="423" spans="2:14">
      <c r="B423" t="s">
        <v>883</v>
      </c>
      <c r="C423" t="s">
        <v>886</v>
      </c>
      <c r="D423" t="s">
        <v>1440</v>
      </c>
      <c r="E423" t="s">
        <v>1474</v>
      </c>
      <c r="F423" t="s">
        <v>1472</v>
      </c>
      <c r="G423" s="55">
        <v>0.3237962962962963</v>
      </c>
      <c r="H423" s="55">
        <v>0.7365046296296297</v>
      </c>
      <c r="I423" s="55" t="str">
        <f t="shared" si="30"/>
        <v>10.309.203-5</v>
      </c>
      <c r="J423" s="55">
        <f t="shared" si="31"/>
        <v>0.4127083333333334</v>
      </c>
      <c r="K423" s="93" t="e">
        <f t="shared" si="32"/>
        <v>#VALUE!</v>
      </c>
      <c r="L423">
        <f>IFERROR(HLOOKUP(D423,Ingreso!$AN$10:$AT$260,VLOOKUP('cruce '!I423,Ingreso!$AL$11:$AM$260,2,0),0),0)</f>
        <v>7.5</v>
      </c>
      <c r="M423" s="95">
        <f>IFERROR(HLOOKUP(D423,Ingreso!$AW$10:$BC$260,VLOOKUP('cruce '!I423,Ingreso!$AL$11:$AM$260,2,0),0),0)</f>
        <v>0.5</v>
      </c>
      <c r="N423" t="e">
        <f t="shared" si="33"/>
        <v>#VALUE!</v>
      </c>
    </row>
    <row r="424" spans="2:14">
      <c r="C424"/>
      <c r="D424" t="s">
        <v>1441</v>
      </c>
      <c r="E424" t="s">
        <v>1474</v>
      </c>
      <c r="F424" t="s">
        <v>1472</v>
      </c>
      <c r="G424" s="55">
        <v>0.31915509259259262</v>
      </c>
      <c r="H424" s="55">
        <v>0.63489583333333333</v>
      </c>
      <c r="I424" s="55" t="str">
        <f t="shared" si="30"/>
        <v>10.309.203-5</v>
      </c>
      <c r="J424" s="55">
        <f t="shared" si="31"/>
        <v>0.31574074074074071</v>
      </c>
      <c r="K424" s="93" t="e">
        <f t="shared" si="32"/>
        <v>#VALUE!</v>
      </c>
      <c r="L424">
        <f>IFERROR(HLOOKUP(D424,Ingreso!$AN$10:$AT$260,VLOOKUP('cruce '!I424,Ingreso!$AL$11:$AM$260,2,0),0),0)</f>
        <v>0</v>
      </c>
      <c r="M424" s="95" t="str">
        <f>IFERROR(HLOOKUP(D424,Ingreso!$AW$10:$BC$260,VLOOKUP('cruce '!I424,Ingreso!$AL$11:$AM$260,2,0),0),0)</f>
        <v/>
      </c>
      <c r="N424" t="e">
        <f t="shared" si="33"/>
        <v>#VALUE!</v>
      </c>
    </row>
    <row r="425" spans="2:14">
      <c r="C425"/>
      <c r="D425" t="s">
        <v>1437</v>
      </c>
      <c r="E425" t="s">
        <v>1474</v>
      </c>
      <c r="F425" t="s">
        <v>1472</v>
      </c>
      <c r="G425" s="55">
        <v>0.29445601851851849</v>
      </c>
      <c r="H425" s="55">
        <v>0.73512731481481486</v>
      </c>
      <c r="I425" s="55" t="str">
        <f t="shared" si="30"/>
        <v>10.309.203-5</v>
      </c>
      <c r="J425" s="55">
        <f t="shared" si="31"/>
        <v>0.44067129629629637</v>
      </c>
      <c r="K425" s="93" t="e">
        <f t="shared" si="32"/>
        <v>#VALUE!</v>
      </c>
      <c r="L425">
        <f>IFERROR(HLOOKUP(D425,Ingreso!$AN$10:$AT$260,VLOOKUP('cruce '!I425,Ingreso!$AL$11:$AM$260,2,0),0),0)</f>
        <v>0</v>
      </c>
      <c r="M425" s="95" t="str">
        <f>IFERROR(HLOOKUP(D425,Ingreso!$AW$10:$BC$260,VLOOKUP('cruce '!I425,Ingreso!$AL$11:$AM$260,2,0),0),0)</f>
        <v/>
      </c>
      <c r="N425" t="e">
        <f t="shared" si="33"/>
        <v>#VALUE!</v>
      </c>
    </row>
    <row r="426" spans="2:14">
      <c r="C426"/>
      <c r="D426" t="s">
        <v>1438</v>
      </c>
      <c r="E426" t="s">
        <v>1474</v>
      </c>
      <c r="F426" t="s">
        <v>1472</v>
      </c>
      <c r="G426" s="55">
        <v>0.31908564814814816</v>
      </c>
      <c r="H426" s="55">
        <v>0.73567129629629635</v>
      </c>
      <c r="I426" s="55" t="str">
        <f t="shared" si="30"/>
        <v>10.309.203-5</v>
      </c>
      <c r="J426" s="55">
        <f t="shared" si="31"/>
        <v>0.41658564814814819</v>
      </c>
      <c r="K426" s="93" t="e">
        <f t="shared" si="32"/>
        <v>#VALUE!</v>
      </c>
      <c r="L426">
        <f>IFERROR(HLOOKUP(D426,Ingreso!$AN$10:$AT$260,VLOOKUP('cruce '!I426,Ingreso!$AL$11:$AM$260,2,0),0),0)</f>
        <v>0</v>
      </c>
      <c r="M426" s="95" t="str">
        <f>IFERROR(HLOOKUP(D426,Ingreso!$AW$10:$BC$260,VLOOKUP('cruce '!I426,Ingreso!$AL$11:$AM$260,2,0),0),0)</f>
        <v/>
      </c>
      <c r="N426" t="e">
        <f t="shared" si="33"/>
        <v>#VALUE!</v>
      </c>
    </row>
    <row r="427" spans="2:14">
      <c r="C427"/>
      <c r="D427" t="s">
        <v>1439</v>
      </c>
      <c r="E427" t="s">
        <v>1474</v>
      </c>
      <c r="F427" t="s">
        <v>1472</v>
      </c>
      <c r="G427" s="55">
        <v>0.32368055555555558</v>
      </c>
      <c r="H427" s="55">
        <v>0.73531250000000004</v>
      </c>
      <c r="I427" s="55" t="str">
        <f t="shared" si="30"/>
        <v>10.309.203-5</v>
      </c>
      <c r="J427" s="55">
        <f t="shared" si="31"/>
        <v>0.41163194444444445</v>
      </c>
      <c r="K427" s="93" t="e">
        <f t="shared" si="32"/>
        <v>#VALUE!</v>
      </c>
      <c r="L427">
        <f>IFERROR(HLOOKUP(D427,Ingreso!$AN$10:$AT$260,VLOOKUP('cruce '!I427,Ingreso!$AL$11:$AM$260,2,0),0),0)</f>
        <v>0</v>
      </c>
      <c r="M427" s="95" t="str">
        <f>IFERROR(HLOOKUP(D427,Ingreso!$AW$10:$BC$260,VLOOKUP('cruce '!I427,Ingreso!$AL$11:$AM$260,2,0),0),0)</f>
        <v/>
      </c>
      <c r="N427" t="e">
        <f t="shared" si="33"/>
        <v>#VALUE!</v>
      </c>
    </row>
    <row r="428" spans="2:14">
      <c r="B428" t="s">
        <v>1087</v>
      </c>
      <c r="C428" t="s">
        <v>1090</v>
      </c>
      <c r="D428" t="s">
        <v>1440</v>
      </c>
      <c r="E428" t="s">
        <v>1323</v>
      </c>
      <c r="F428" s="78">
        <v>0.375</v>
      </c>
      <c r="G428" s="55">
        <v>0.91895833333333332</v>
      </c>
      <c r="H428" s="55">
        <v>0.32343749999999999</v>
      </c>
      <c r="I428" s="55" t="str">
        <f t="shared" si="30"/>
        <v>10.311.290-7</v>
      </c>
      <c r="J428" s="55">
        <f t="shared" si="31"/>
        <v>0.40447916666666672</v>
      </c>
      <c r="K428" s="93">
        <f t="shared" si="32"/>
        <v>0.70750000000000135</v>
      </c>
      <c r="L428">
        <f>IFERROR(HLOOKUP(D428,Ingreso!$AN$10:$AT$260,VLOOKUP('cruce '!I428,Ingreso!$AL$11:$AM$260,2,0),0),0)</f>
        <v>0</v>
      </c>
      <c r="M428" s="95">
        <f>IFERROR(HLOOKUP(D428,Ingreso!$AW$10:$BC$260,VLOOKUP('cruce '!I428,Ingreso!$AL$11:$AM$260,2,0),0),0)</f>
        <v>0</v>
      </c>
      <c r="N428" t="str">
        <f t="shared" si="33"/>
        <v>OK</v>
      </c>
    </row>
    <row r="429" spans="2:14">
      <c r="C429"/>
      <c r="D429" t="s">
        <v>1441</v>
      </c>
      <c r="E429" t="s">
        <v>1323</v>
      </c>
      <c r="F429" s="78">
        <v>0.375</v>
      </c>
      <c r="G429" s="55"/>
      <c r="H429" s="55">
        <v>0.3212962962962963</v>
      </c>
      <c r="I429" s="55" t="str">
        <f t="shared" si="30"/>
        <v>10.311.290-7</v>
      </c>
      <c r="J429" s="55">
        <f t="shared" si="31"/>
        <v>0.3212962962962963</v>
      </c>
      <c r="K429" s="93">
        <f t="shared" si="32"/>
        <v>-1.2888888888888888</v>
      </c>
      <c r="L429">
        <f>IFERROR(HLOOKUP(D429,Ingreso!$AN$10:$AT$260,VLOOKUP('cruce '!I429,Ingreso!$AL$11:$AM$260,2,0),0),0)</f>
        <v>0</v>
      </c>
      <c r="M429" s="95">
        <f>IFERROR(HLOOKUP(D429,Ingreso!$AW$10:$BC$260,VLOOKUP('cruce '!I429,Ingreso!$AL$11:$AM$260,2,0),0),0)</f>
        <v>0</v>
      </c>
      <c r="N429" t="str">
        <f t="shared" si="33"/>
        <v>Revisar</v>
      </c>
    </row>
    <row r="430" spans="2:14">
      <c r="C430"/>
      <c r="D430" t="s">
        <v>1437</v>
      </c>
      <c r="E430" t="s">
        <v>1323</v>
      </c>
      <c r="F430" s="78">
        <v>0.375</v>
      </c>
      <c r="G430" s="55">
        <v>0.91899305555555555</v>
      </c>
      <c r="H430" s="55"/>
      <c r="I430" s="55" t="str">
        <f t="shared" si="30"/>
        <v>10.311.290-7</v>
      </c>
      <c r="J430" s="55">
        <f t="shared" si="31"/>
        <v>8.1006944444444451E-2</v>
      </c>
      <c r="K430" s="93">
        <f t="shared" si="32"/>
        <v>-7.0558333333333332</v>
      </c>
      <c r="L430">
        <f>IFERROR(HLOOKUP(D430,Ingreso!$AN$10:$AT$260,VLOOKUP('cruce '!I430,Ingreso!$AL$11:$AM$260,2,0),0),0)</f>
        <v>0</v>
      </c>
      <c r="M430" s="95">
        <f>IFERROR(HLOOKUP(D430,Ingreso!$AW$10:$BC$260,VLOOKUP('cruce '!I430,Ingreso!$AL$11:$AM$260,2,0),0),0)</f>
        <v>0</v>
      </c>
      <c r="N430" t="str">
        <f t="shared" si="33"/>
        <v>Revisar</v>
      </c>
    </row>
    <row r="431" spans="2:14">
      <c r="C431"/>
      <c r="D431" t="s">
        <v>1438</v>
      </c>
      <c r="E431" t="s">
        <v>1323</v>
      </c>
      <c r="F431" s="78">
        <v>0.375</v>
      </c>
      <c r="G431" s="55">
        <v>0.9190625</v>
      </c>
      <c r="H431" s="55">
        <v>0.3220601851851852</v>
      </c>
      <c r="I431" s="55" t="str">
        <f t="shared" si="30"/>
        <v>10.311.290-7</v>
      </c>
      <c r="J431" s="55">
        <f t="shared" si="31"/>
        <v>0.40299768518518519</v>
      </c>
      <c r="K431" s="93">
        <f t="shared" si="32"/>
        <v>0.67194444444444557</v>
      </c>
      <c r="L431">
        <f>IFERROR(HLOOKUP(D431,Ingreso!$AN$10:$AT$260,VLOOKUP('cruce '!I431,Ingreso!$AL$11:$AM$260,2,0),0),0)</f>
        <v>0</v>
      </c>
      <c r="M431" s="95">
        <f>IFERROR(HLOOKUP(D431,Ingreso!$AW$10:$BC$260,VLOOKUP('cruce '!I431,Ingreso!$AL$11:$AM$260,2,0),0),0)</f>
        <v>0</v>
      </c>
      <c r="N431" t="str">
        <f t="shared" si="33"/>
        <v>OK</v>
      </c>
    </row>
    <row r="432" spans="2:14">
      <c r="C432"/>
      <c r="D432" t="s">
        <v>1439</v>
      </c>
      <c r="E432" t="s">
        <v>1323</v>
      </c>
      <c r="F432" s="78">
        <v>0.375</v>
      </c>
      <c r="G432" s="55">
        <v>0.91836805555555545</v>
      </c>
      <c r="H432" s="55">
        <v>0.32351851851851854</v>
      </c>
      <c r="I432" s="55" t="str">
        <f t="shared" si="30"/>
        <v>10.311.290-7</v>
      </c>
      <c r="J432" s="55">
        <f t="shared" si="31"/>
        <v>0.40515046296296309</v>
      </c>
      <c r="K432" s="93">
        <f t="shared" si="32"/>
        <v>0.72361111111111498</v>
      </c>
      <c r="L432">
        <f>IFERROR(HLOOKUP(D432,Ingreso!$AN$10:$AT$260,VLOOKUP('cruce '!I432,Ingreso!$AL$11:$AM$260,2,0),0),0)</f>
        <v>0</v>
      </c>
      <c r="M432" s="95">
        <f>IFERROR(HLOOKUP(D432,Ingreso!$AW$10:$BC$260,VLOOKUP('cruce '!I432,Ingreso!$AL$11:$AM$260,2,0),0),0)</f>
        <v>0</v>
      </c>
      <c r="N432" t="str">
        <f t="shared" si="33"/>
        <v>OK</v>
      </c>
    </row>
    <row r="433" spans="2:14">
      <c r="B433" t="s">
        <v>628</v>
      </c>
      <c r="C433" t="s">
        <v>631</v>
      </c>
      <c r="D433" t="s">
        <v>1440</v>
      </c>
      <c r="E433" t="s">
        <v>1474</v>
      </c>
      <c r="F433" t="s">
        <v>1472</v>
      </c>
      <c r="G433" s="55">
        <v>0.29349537037037038</v>
      </c>
      <c r="H433" s="55">
        <v>0.64025462962962965</v>
      </c>
      <c r="I433" s="55" t="str">
        <f t="shared" si="30"/>
        <v>10.407.614-9</v>
      </c>
      <c r="J433" s="55">
        <f t="shared" si="31"/>
        <v>0.34675925925925927</v>
      </c>
      <c r="K433" s="93" t="e">
        <f t="shared" si="32"/>
        <v>#VALUE!</v>
      </c>
      <c r="L433">
        <f>IFERROR(HLOOKUP(D433,Ingreso!$AN$10:$AT$260,VLOOKUP('cruce '!I433,Ingreso!$AL$11:$AM$260,2,0),0),0)</f>
        <v>0</v>
      </c>
      <c r="M433" s="95" t="str">
        <f>IFERROR(HLOOKUP(D433,Ingreso!$AW$10:$BC$260,VLOOKUP('cruce '!I433,Ingreso!$AL$11:$AM$260,2,0),0),0)</f>
        <v/>
      </c>
      <c r="N433" t="e">
        <f t="shared" si="33"/>
        <v>#VALUE!</v>
      </c>
    </row>
    <row r="434" spans="2:14">
      <c r="C434"/>
      <c r="D434" t="s">
        <v>1441</v>
      </c>
      <c r="E434" t="s">
        <v>1474</v>
      </c>
      <c r="F434" t="s">
        <v>1472</v>
      </c>
      <c r="G434" s="55">
        <v>0.29165509259259259</v>
      </c>
      <c r="H434" s="55">
        <v>0.64082175925925922</v>
      </c>
      <c r="I434" s="55" t="str">
        <f t="shared" si="30"/>
        <v>10.407.614-9</v>
      </c>
      <c r="J434" s="55">
        <f t="shared" si="31"/>
        <v>0.34916666666666663</v>
      </c>
      <c r="K434" s="93" t="e">
        <f t="shared" si="32"/>
        <v>#VALUE!</v>
      </c>
      <c r="L434">
        <f>IFERROR(HLOOKUP(D434,Ingreso!$AN$10:$AT$260,VLOOKUP('cruce '!I434,Ingreso!$AL$11:$AM$260,2,0),0),0)</f>
        <v>0</v>
      </c>
      <c r="M434" s="95" t="str">
        <f>IFERROR(HLOOKUP(D434,Ingreso!$AW$10:$BC$260,VLOOKUP('cruce '!I434,Ingreso!$AL$11:$AM$260,2,0),0),0)</f>
        <v/>
      </c>
      <c r="N434" t="e">
        <f t="shared" si="33"/>
        <v>#VALUE!</v>
      </c>
    </row>
    <row r="435" spans="2:14">
      <c r="C435"/>
      <c r="D435" t="s">
        <v>1442</v>
      </c>
      <c r="E435" t="s">
        <v>1474</v>
      </c>
      <c r="F435" t="s">
        <v>1472</v>
      </c>
      <c r="G435" s="55">
        <v>0.98298611111111101</v>
      </c>
      <c r="H435" s="55"/>
      <c r="I435" s="55" t="str">
        <f t="shared" si="30"/>
        <v>10.407.614-9</v>
      </c>
      <c r="J435" s="55">
        <f t="shared" si="31"/>
        <v>1.7013888888888995E-2</v>
      </c>
      <c r="K435" s="93" t="e">
        <f t="shared" si="32"/>
        <v>#VALUE!</v>
      </c>
      <c r="L435">
        <f>IFERROR(HLOOKUP(D435,Ingreso!$AN$10:$AT$260,VLOOKUP('cruce '!I435,Ingreso!$AL$11:$AM$260,2,0),0),0)</f>
        <v>0</v>
      </c>
      <c r="M435" s="95">
        <f>IFERROR(HLOOKUP(D435,Ingreso!$AW$10:$BC$260,VLOOKUP('cruce '!I435,Ingreso!$AL$11:$AM$260,2,0),0),0)</f>
        <v>0</v>
      </c>
      <c r="N435" t="e">
        <f t="shared" si="33"/>
        <v>#VALUE!</v>
      </c>
    </row>
    <row r="436" spans="2:14">
      <c r="C436"/>
      <c r="D436" t="s">
        <v>1437</v>
      </c>
      <c r="E436" t="s">
        <v>1474</v>
      </c>
      <c r="F436" t="s">
        <v>1472</v>
      </c>
      <c r="G436" s="55">
        <v>0.29358796296296297</v>
      </c>
      <c r="H436" s="55">
        <v>0.63880787037037035</v>
      </c>
      <c r="I436" s="55" t="str">
        <f t="shared" si="30"/>
        <v>10.407.614-9</v>
      </c>
      <c r="J436" s="55">
        <f t="shared" si="31"/>
        <v>0.34521990740740738</v>
      </c>
      <c r="K436" s="93" t="e">
        <f t="shared" si="32"/>
        <v>#VALUE!</v>
      </c>
      <c r="L436">
        <f>IFERROR(HLOOKUP(D436,Ingreso!$AN$10:$AT$260,VLOOKUP('cruce '!I436,Ingreso!$AL$11:$AM$260,2,0),0),0)</f>
        <v>0</v>
      </c>
      <c r="M436" s="95" t="str">
        <f>IFERROR(HLOOKUP(D436,Ingreso!$AW$10:$BC$260,VLOOKUP('cruce '!I436,Ingreso!$AL$11:$AM$260,2,0),0),0)</f>
        <v/>
      </c>
      <c r="N436" t="e">
        <f t="shared" si="33"/>
        <v>#VALUE!</v>
      </c>
    </row>
    <row r="437" spans="2:14">
      <c r="C437"/>
      <c r="D437" t="s">
        <v>1438</v>
      </c>
      <c r="E437" t="s">
        <v>1474</v>
      </c>
      <c r="F437" t="s">
        <v>1472</v>
      </c>
      <c r="G437" s="55">
        <v>0.30359953703703707</v>
      </c>
      <c r="H437" s="55">
        <v>0.62834490740740734</v>
      </c>
      <c r="I437" s="55" t="str">
        <f t="shared" si="30"/>
        <v>10.407.614-9</v>
      </c>
      <c r="J437" s="55">
        <f t="shared" si="31"/>
        <v>0.32474537037037027</v>
      </c>
      <c r="K437" s="93" t="e">
        <f t="shared" si="32"/>
        <v>#VALUE!</v>
      </c>
      <c r="L437">
        <f>IFERROR(HLOOKUP(D437,Ingreso!$AN$10:$AT$260,VLOOKUP('cruce '!I437,Ingreso!$AL$11:$AM$260,2,0),0),0)</f>
        <v>0</v>
      </c>
      <c r="M437" s="95" t="str">
        <f>IFERROR(HLOOKUP(D437,Ingreso!$AW$10:$BC$260,VLOOKUP('cruce '!I437,Ingreso!$AL$11:$AM$260,2,0),0),0)</f>
        <v/>
      </c>
      <c r="N437" t="e">
        <f t="shared" si="33"/>
        <v>#VALUE!</v>
      </c>
    </row>
    <row r="438" spans="2:14">
      <c r="C438"/>
      <c r="D438" t="s">
        <v>1439</v>
      </c>
      <c r="E438" t="s">
        <v>1474</v>
      </c>
      <c r="F438" t="s">
        <v>1472</v>
      </c>
      <c r="G438" s="55">
        <v>0.29152777777777777</v>
      </c>
      <c r="H438" s="55">
        <v>0.64026620370370368</v>
      </c>
      <c r="I438" s="55" t="str">
        <f t="shared" si="30"/>
        <v>10.407.614-9</v>
      </c>
      <c r="J438" s="55">
        <f t="shared" si="31"/>
        <v>0.34873842592592591</v>
      </c>
      <c r="K438" s="93" t="e">
        <f t="shared" si="32"/>
        <v>#VALUE!</v>
      </c>
      <c r="L438">
        <f>IFERROR(HLOOKUP(D438,Ingreso!$AN$10:$AT$260,VLOOKUP('cruce '!I438,Ingreso!$AL$11:$AM$260,2,0),0),0)</f>
        <v>0</v>
      </c>
      <c r="M438" s="95" t="str">
        <f>IFERROR(HLOOKUP(D438,Ingreso!$AW$10:$BC$260,VLOOKUP('cruce '!I438,Ingreso!$AL$11:$AM$260,2,0),0),0)</f>
        <v/>
      </c>
      <c r="N438" t="e">
        <f t="shared" si="33"/>
        <v>#VALUE!</v>
      </c>
    </row>
    <row r="439" spans="2:14">
      <c r="B439" t="s">
        <v>1061</v>
      </c>
      <c r="C439" t="s">
        <v>1062</v>
      </c>
      <c r="D439" t="s">
        <v>1440</v>
      </c>
      <c r="E439" t="s">
        <v>1323</v>
      </c>
      <c r="F439" s="78">
        <v>0.375</v>
      </c>
      <c r="G439" s="55">
        <v>0.91862268518518519</v>
      </c>
      <c r="H439" s="55">
        <v>0.32930555555555557</v>
      </c>
      <c r="I439" s="55" t="str">
        <f t="shared" si="30"/>
        <v>10.572.816-6</v>
      </c>
      <c r="J439" s="55">
        <f t="shared" si="31"/>
        <v>0.41068287037037032</v>
      </c>
      <c r="K439" s="93">
        <f t="shared" si="32"/>
        <v>0.85638888888888687</v>
      </c>
      <c r="L439">
        <f>IFERROR(HLOOKUP(D439,Ingreso!$AN$10:$AT$260,VLOOKUP('cruce '!I439,Ingreso!$AL$11:$AM$260,2,0),0),0)</f>
        <v>0</v>
      </c>
      <c r="M439" s="95" t="str">
        <f>IFERROR(HLOOKUP(D439,Ingreso!$AW$10:$BC$260,VLOOKUP('cruce '!I439,Ingreso!$AL$11:$AM$260,2,0),0),0)</f>
        <v/>
      </c>
      <c r="N439" t="str">
        <f t="shared" si="33"/>
        <v>OK</v>
      </c>
    </row>
    <row r="440" spans="2:14">
      <c r="C440"/>
      <c r="D440" t="s">
        <v>1441</v>
      </c>
      <c r="E440" t="s">
        <v>1323</v>
      </c>
      <c r="F440" s="78">
        <v>0.375</v>
      </c>
      <c r="G440" s="55"/>
      <c r="H440" s="55">
        <v>0.32750000000000001</v>
      </c>
      <c r="I440" s="55" t="str">
        <f t="shared" si="30"/>
        <v>10.572.816-6</v>
      </c>
      <c r="J440" s="55">
        <f t="shared" si="31"/>
        <v>0.32750000000000001</v>
      </c>
      <c r="K440" s="93">
        <f t="shared" si="32"/>
        <v>-1.1399999999999997</v>
      </c>
      <c r="L440">
        <f>IFERROR(HLOOKUP(D440,Ingreso!$AN$10:$AT$260,VLOOKUP('cruce '!I440,Ingreso!$AL$11:$AM$260,2,0),0),0)</f>
        <v>0</v>
      </c>
      <c r="M440" s="95" t="str">
        <f>IFERROR(HLOOKUP(D440,Ingreso!$AW$10:$BC$260,VLOOKUP('cruce '!I440,Ingreso!$AL$11:$AM$260,2,0),0),0)</f>
        <v/>
      </c>
      <c r="N440" t="str">
        <f t="shared" si="33"/>
        <v>Revisar</v>
      </c>
    </row>
    <row r="441" spans="2:14">
      <c r="C441"/>
      <c r="D441" t="s">
        <v>1436</v>
      </c>
      <c r="E441" t="s">
        <v>1323</v>
      </c>
      <c r="F441" s="78">
        <v>0.375</v>
      </c>
      <c r="G441" s="55">
        <v>0.99319444444444438</v>
      </c>
      <c r="H441" s="55"/>
      <c r="I441" s="55" t="str">
        <f t="shared" si="30"/>
        <v>10.572.816-6</v>
      </c>
      <c r="J441" s="55">
        <f t="shared" si="31"/>
        <v>6.8055555555556202E-3</v>
      </c>
      <c r="K441" s="93">
        <f t="shared" si="32"/>
        <v>-8.836666666666666</v>
      </c>
      <c r="L441">
        <f>IFERROR(HLOOKUP(D441,Ingreso!$AN$10:$AT$260,VLOOKUP('cruce '!I441,Ingreso!$AL$11:$AM$260,2,0),0),0)</f>
        <v>0</v>
      </c>
      <c r="M441" s="95" t="str">
        <f>IFERROR(HLOOKUP(D441,Ingreso!$AW$10:$BC$260,VLOOKUP('cruce '!I441,Ingreso!$AL$11:$AM$260,2,0),0),0)</f>
        <v/>
      </c>
      <c r="N441" t="str">
        <f t="shared" si="33"/>
        <v>Revisar</v>
      </c>
    </row>
    <row r="442" spans="2:14">
      <c r="C442"/>
      <c r="D442" t="s">
        <v>1437</v>
      </c>
      <c r="E442" t="s">
        <v>1323</v>
      </c>
      <c r="F442" s="78">
        <v>0.375</v>
      </c>
      <c r="G442" s="55">
        <v>0.91871527777777784</v>
      </c>
      <c r="H442" s="55">
        <v>0.31763888888888886</v>
      </c>
      <c r="I442" s="55" t="str">
        <f t="shared" si="30"/>
        <v>10.572.816-6</v>
      </c>
      <c r="J442" s="55">
        <f t="shared" si="31"/>
        <v>0.39892361111111097</v>
      </c>
      <c r="K442" s="93">
        <f t="shared" si="32"/>
        <v>0.57416666666666316</v>
      </c>
      <c r="L442">
        <f>IFERROR(HLOOKUP(D442,Ingreso!$AN$10:$AT$260,VLOOKUP('cruce '!I442,Ingreso!$AL$11:$AM$260,2,0),0),0)</f>
        <v>7.5</v>
      </c>
      <c r="M442" s="95">
        <f>IFERROR(HLOOKUP(D442,Ingreso!$AW$10:$BC$260,VLOOKUP('cruce '!I442,Ingreso!$AL$11:$AM$260,2,0),0),0)</f>
        <v>1</v>
      </c>
      <c r="N442" t="str">
        <f t="shared" si="33"/>
        <v>Revisar</v>
      </c>
    </row>
    <row r="443" spans="2:14">
      <c r="C443"/>
      <c r="D443" t="s">
        <v>1438</v>
      </c>
      <c r="E443" t="s">
        <v>1323</v>
      </c>
      <c r="F443" s="78">
        <v>0.375</v>
      </c>
      <c r="G443" s="55">
        <v>0.91881944444444441</v>
      </c>
      <c r="H443" s="55">
        <v>0.326087962962963</v>
      </c>
      <c r="I443" s="55" t="str">
        <f t="shared" si="30"/>
        <v>10.572.816-6</v>
      </c>
      <c r="J443" s="55">
        <f t="shared" si="31"/>
        <v>0.40726851851851853</v>
      </c>
      <c r="K443" s="93">
        <f t="shared" si="32"/>
        <v>0.77444444444444471</v>
      </c>
      <c r="L443">
        <f>IFERROR(HLOOKUP(D443,Ingreso!$AN$10:$AT$260,VLOOKUP('cruce '!I443,Ingreso!$AL$11:$AM$260,2,0),0),0)</f>
        <v>0</v>
      </c>
      <c r="M443" s="95" t="str">
        <f>IFERROR(HLOOKUP(D443,Ingreso!$AW$10:$BC$260,VLOOKUP('cruce '!I443,Ingreso!$AL$11:$AM$260,2,0),0),0)</f>
        <v/>
      </c>
      <c r="N443" t="str">
        <f t="shared" si="33"/>
        <v>OK</v>
      </c>
    </row>
    <row r="444" spans="2:14">
      <c r="C444"/>
      <c r="D444" t="s">
        <v>1439</v>
      </c>
      <c r="E444" t="s">
        <v>1323</v>
      </c>
      <c r="F444" s="78">
        <v>0.375</v>
      </c>
      <c r="G444" s="55">
        <v>0.91803240740740744</v>
      </c>
      <c r="H444" s="55">
        <v>0.32726851851851851</v>
      </c>
      <c r="I444" s="55" t="str">
        <f t="shared" si="30"/>
        <v>10.572.816-6</v>
      </c>
      <c r="J444" s="55">
        <f t="shared" si="31"/>
        <v>0.40923611111111102</v>
      </c>
      <c r="K444" s="93">
        <f t="shared" si="32"/>
        <v>0.82166666666666544</v>
      </c>
      <c r="L444">
        <f>IFERROR(HLOOKUP(D444,Ingreso!$AN$10:$AT$260,VLOOKUP('cruce '!I444,Ingreso!$AL$11:$AM$260,2,0),0),0)</f>
        <v>0</v>
      </c>
      <c r="M444" s="95" t="str">
        <f>IFERROR(HLOOKUP(D444,Ingreso!$AW$10:$BC$260,VLOOKUP('cruce '!I444,Ingreso!$AL$11:$AM$260,2,0),0),0)</f>
        <v/>
      </c>
      <c r="N444" t="str">
        <f t="shared" si="33"/>
        <v>OK</v>
      </c>
    </row>
    <row r="445" spans="2:14">
      <c r="B445" t="s">
        <v>716</v>
      </c>
      <c r="C445" t="s">
        <v>719</v>
      </c>
      <c r="D445" t="s">
        <v>1440</v>
      </c>
      <c r="E445" t="s">
        <v>1321</v>
      </c>
      <c r="F445" s="78">
        <v>0.3125</v>
      </c>
      <c r="G445" s="55">
        <v>0.60062499999999996</v>
      </c>
      <c r="H445" s="55">
        <v>0.95575231481481471</v>
      </c>
      <c r="I445" s="55" t="str">
        <f t="shared" si="30"/>
        <v>10.746.078-0</v>
      </c>
      <c r="J445" s="55">
        <f t="shared" si="31"/>
        <v>0.35512731481481474</v>
      </c>
      <c r="K445" s="93">
        <f t="shared" si="32"/>
        <v>1.0230555555555547</v>
      </c>
      <c r="L445">
        <f>IFERROR(HLOOKUP(D445,Ingreso!$AN$10:$AT$260,VLOOKUP('cruce '!I445,Ingreso!$AL$11:$AM$260,2,0),0),0)</f>
        <v>0</v>
      </c>
      <c r="M445" s="95">
        <f>IFERROR(HLOOKUP(D445,Ingreso!$AW$10:$BC$260,VLOOKUP('cruce '!I445,Ingreso!$AL$11:$AM$260,2,0),0),0)</f>
        <v>0</v>
      </c>
      <c r="N445" t="str">
        <f t="shared" si="33"/>
        <v>Revisar</v>
      </c>
    </row>
    <row r="446" spans="2:14">
      <c r="C446"/>
      <c r="D446" t="s">
        <v>1441</v>
      </c>
      <c r="E446" t="s">
        <v>1321</v>
      </c>
      <c r="F446" s="78">
        <v>0.3125</v>
      </c>
      <c r="G446" s="55">
        <v>0.59994212962962956</v>
      </c>
      <c r="H446" s="55">
        <v>0.95802083333333332</v>
      </c>
      <c r="I446" s="55" t="str">
        <f t="shared" si="30"/>
        <v>10.746.078-0</v>
      </c>
      <c r="J446" s="55">
        <f t="shared" si="31"/>
        <v>0.35807870370370376</v>
      </c>
      <c r="K446" s="93">
        <f t="shared" si="32"/>
        <v>1.0938888888888911</v>
      </c>
      <c r="L446">
        <f>IFERROR(HLOOKUP(D446,Ingreso!$AN$10:$AT$260,VLOOKUP('cruce '!I446,Ingreso!$AL$11:$AM$260,2,0),0),0)</f>
        <v>0</v>
      </c>
      <c r="M446" s="95">
        <f>IFERROR(HLOOKUP(D446,Ingreso!$AW$10:$BC$260,VLOOKUP('cruce '!I446,Ingreso!$AL$11:$AM$260,2,0),0),0)</f>
        <v>0</v>
      </c>
      <c r="N446" t="str">
        <f t="shared" si="33"/>
        <v>Revisar</v>
      </c>
    </row>
    <row r="447" spans="2:14">
      <c r="C447"/>
      <c r="D447" t="s">
        <v>1437</v>
      </c>
      <c r="E447" t="s">
        <v>1321</v>
      </c>
      <c r="F447" s="78">
        <v>0.3125</v>
      </c>
      <c r="G447" s="55">
        <v>0.59726851851851859</v>
      </c>
      <c r="H447" s="55">
        <v>0.95520833333333333</v>
      </c>
      <c r="I447" s="55" t="str">
        <f t="shared" ref="I447:I510" si="34">IF(B447="",I446,B447)</f>
        <v>10.746.078-0</v>
      </c>
      <c r="J447" s="55">
        <f t="shared" ref="J447:J510" si="35">IF(G447&gt;H447,(H447+0.5)-(G447-0.5),H447-G447)</f>
        <v>0.35793981481481474</v>
      </c>
      <c r="K447" s="93">
        <f t="shared" ref="K447:K510" si="36">(J447*24)-(F447*24)</f>
        <v>1.0905555555555537</v>
      </c>
      <c r="L447">
        <f>IFERROR(HLOOKUP(D447,Ingreso!$AN$10:$AT$260,VLOOKUP('cruce '!I447,Ingreso!$AL$11:$AM$260,2,0),0),0)</f>
        <v>0</v>
      </c>
      <c r="M447" s="95">
        <f>IFERROR(HLOOKUP(D447,Ingreso!$AW$10:$BC$260,VLOOKUP('cruce '!I447,Ingreso!$AL$11:$AM$260,2,0),0),0)</f>
        <v>0</v>
      </c>
      <c r="N447" t="str">
        <f t="shared" ref="N447:N510" si="37">IF((K447-L447)&gt;1,"Revisar",IF((K447-L447)&lt;-1,"Revisar","OK"))</f>
        <v>Revisar</v>
      </c>
    </row>
    <row r="448" spans="2:14">
      <c r="C448"/>
      <c r="D448" t="s">
        <v>1438</v>
      </c>
      <c r="E448" t="s">
        <v>1321</v>
      </c>
      <c r="F448" s="78">
        <v>0.3125</v>
      </c>
      <c r="G448" s="55">
        <v>0.59912037037037036</v>
      </c>
      <c r="H448" s="55">
        <v>0.95487268518518509</v>
      </c>
      <c r="I448" s="55" t="str">
        <f t="shared" si="34"/>
        <v>10.746.078-0</v>
      </c>
      <c r="J448" s="55">
        <f t="shared" si="35"/>
        <v>0.35575231481481473</v>
      </c>
      <c r="K448" s="93">
        <f t="shared" si="36"/>
        <v>1.0380555555555535</v>
      </c>
      <c r="L448">
        <f>IFERROR(HLOOKUP(D448,Ingreso!$AN$10:$AT$260,VLOOKUP('cruce '!I448,Ingreso!$AL$11:$AM$260,2,0),0),0)</f>
        <v>0</v>
      </c>
      <c r="M448" s="95">
        <f>IFERROR(HLOOKUP(D448,Ingreso!$AW$10:$BC$260,VLOOKUP('cruce '!I448,Ingreso!$AL$11:$AM$260,2,0),0),0)</f>
        <v>0</v>
      </c>
      <c r="N448" t="str">
        <f t="shared" si="37"/>
        <v>Revisar</v>
      </c>
    </row>
    <row r="449" spans="2:14">
      <c r="C449"/>
      <c r="D449" t="s">
        <v>1439</v>
      </c>
      <c r="E449" t="s">
        <v>1321</v>
      </c>
      <c r="F449" s="78">
        <v>0.3125</v>
      </c>
      <c r="G449" s="55">
        <v>0.59774305555555551</v>
      </c>
      <c r="H449" s="55">
        <v>0.9544097222222222</v>
      </c>
      <c r="I449" s="55" t="str">
        <f t="shared" si="34"/>
        <v>10.746.078-0</v>
      </c>
      <c r="J449" s="55">
        <f t="shared" si="35"/>
        <v>0.35666666666666669</v>
      </c>
      <c r="K449" s="93">
        <f t="shared" si="36"/>
        <v>1.0600000000000005</v>
      </c>
      <c r="L449">
        <f>IFERROR(HLOOKUP(D449,Ingreso!$AN$10:$AT$260,VLOOKUP('cruce '!I449,Ingreso!$AL$11:$AM$260,2,0),0),0)</f>
        <v>0</v>
      </c>
      <c r="M449" s="95">
        <f>IFERROR(HLOOKUP(D449,Ingreso!$AW$10:$BC$260,VLOOKUP('cruce '!I449,Ingreso!$AL$11:$AM$260,2,0),0),0)</f>
        <v>0</v>
      </c>
      <c r="N449" t="str">
        <f t="shared" si="37"/>
        <v>Revisar</v>
      </c>
    </row>
    <row r="450" spans="2:14">
      <c r="B450" t="s">
        <v>982</v>
      </c>
      <c r="C450" t="s">
        <v>984</v>
      </c>
      <c r="D450" t="s">
        <v>1440</v>
      </c>
      <c r="E450" t="s">
        <v>1323</v>
      </c>
      <c r="F450" s="78">
        <v>0.375</v>
      </c>
      <c r="G450" s="55">
        <v>0.93644675925925924</v>
      </c>
      <c r="H450" s="55">
        <v>0.31680555555555556</v>
      </c>
      <c r="I450" s="55" t="str">
        <f t="shared" si="34"/>
        <v>10.835.391-0</v>
      </c>
      <c r="J450" s="55">
        <f t="shared" si="35"/>
        <v>0.38035879629629632</v>
      </c>
      <c r="K450" s="93">
        <f t="shared" si="36"/>
        <v>0.12861111111111256</v>
      </c>
      <c r="L450">
        <f>IFERROR(HLOOKUP(D450,Ingreso!$AN$10:$AT$260,VLOOKUP('cruce '!I450,Ingreso!$AL$11:$AM$260,2,0),0),0)</f>
        <v>0</v>
      </c>
      <c r="M450" s="95" t="str">
        <f>IFERROR(HLOOKUP(D450,Ingreso!$AW$10:$BC$260,VLOOKUP('cruce '!I450,Ingreso!$AL$11:$AM$260,2,0),0),0)</f>
        <v/>
      </c>
      <c r="N450" t="str">
        <f t="shared" si="37"/>
        <v>OK</v>
      </c>
    </row>
    <row r="451" spans="2:14">
      <c r="C451"/>
      <c r="D451" t="s">
        <v>1441</v>
      </c>
      <c r="E451" t="s">
        <v>1323</v>
      </c>
      <c r="F451" s="78">
        <v>0.375</v>
      </c>
      <c r="G451" s="55"/>
      <c r="H451" s="55">
        <v>0.32545138888888886</v>
      </c>
      <c r="I451" s="55" t="str">
        <f t="shared" si="34"/>
        <v>10.835.391-0</v>
      </c>
      <c r="J451" s="55">
        <f t="shared" si="35"/>
        <v>0.32545138888888886</v>
      </c>
      <c r="K451" s="93">
        <f t="shared" si="36"/>
        <v>-1.1891666666666669</v>
      </c>
      <c r="L451">
        <f>IFERROR(HLOOKUP(D451,Ingreso!$AN$10:$AT$260,VLOOKUP('cruce '!I451,Ingreso!$AL$11:$AM$260,2,0),0),0)</f>
        <v>0</v>
      </c>
      <c r="M451" s="95" t="str">
        <f>IFERROR(HLOOKUP(D451,Ingreso!$AW$10:$BC$260,VLOOKUP('cruce '!I451,Ingreso!$AL$11:$AM$260,2,0),0),0)</f>
        <v/>
      </c>
      <c r="N451" t="str">
        <f t="shared" si="37"/>
        <v>Revisar</v>
      </c>
    </row>
    <row r="452" spans="2:14">
      <c r="C452"/>
      <c r="D452" t="s">
        <v>1437</v>
      </c>
      <c r="E452" t="s">
        <v>1323</v>
      </c>
      <c r="F452" s="78">
        <v>0.375</v>
      </c>
      <c r="G452" s="55">
        <v>0.93858796296296287</v>
      </c>
      <c r="H452" s="55"/>
      <c r="I452" s="55" t="str">
        <f t="shared" si="34"/>
        <v>10.835.391-0</v>
      </c>
      <c r="J452" s="55">
        <f t="shared" si="35"/>
        <v>6.1412037037037126E-2</v>
      </c>
      <c r="K452" s="93">
        <f t="shared" si="36"/>
        <v>-7.526111111111109</v>
      </c>
      <c r="L452">
        <f>IFERROR(HLOOKUP(D452,Ingreso!$AN$10:$AT$260,VLOOKUP('cruce '!I452,Ingreso!$AL$11:$AM$260,2,0),0),0)</f>
        <v>0</v>
      </c>
      <c r="M452" s="95" t="str">
        <f>IFERROR(HLOOKUP(D452,Ingreso!$AW$10:$BC$260,VLOOKUP('cruce '!I452,Ingreso!$AL$11:$AM$260,2,0),0),0)</f>
        <v/>
      </c>
      <c r="N452" t="str">
        <f t="shared" si="37"/>
        <v>Revisar</v>
      </c>
    </row>
    <row r="453" spans="2:14">
      <c r="C453"/>
      <c r="D453" t="s">
        <v>1438</v>
      </c>
      <c r="E453" t="s">
        <v>1323</v>
      </c>
      <c r="F453" s="78">
        <v>0.375</v>
      </c>
      <c r="G453" s="55">
        <v>0.939386574074074</v>
      </c>
      <c r="H453" s="55">
        <v>0.3074884259259259</v>
      </c>
      <c r="I453" s="55" t="str">
        <f t="shared" si="34"/>
        <v>10.835.391-0</v>
      </c>
      <c r="J453" s="55">
        <f t="shared" si="35"/>
        <v>0.36810185185185185</v>
      </c>
      <c r="K453" s="93">
        <f t="shared" si="36"/>
        <v>-0.16555555555555657</v>
      </c>
      <c r="L453">
        <f>IFERROR(HLOOKUP(D453,Ingreso!$AN$10:$AT$260,VLOOKUP('cruce '!I453,Ingreso!$AL$11:$AM$260,2,0),0),0)</f>
        <v>0</v>
      </c>
      <c r="M453" s="95" t="str">
        <f>IFERROR(HLOOKUP(D453,Ingreso!$AW$10:$BC$260,VLOOKUP('cruce '!I453,Ingreso!$AL$11:$AM$260,2,0),0),0)</f>
        <v/>
      </c>
      <c r="N453" t="str">
        <f t="shared" si="37"/>
        <v>OK</v>
      </c>
    </row>
    <row r="454" spans="2:14">
      <c r="C454"/>
      <c r="D454" t="s">
        <v>1439</v>
      </c>
      <c r="E454" t="s">
        <v>1323</v>
      </c>
      <c r="F454" s="78">
        <v>0.375</v>
      </c>
      <c r="G454" s="55">
        <v>0.96606481481481488</v>
      </c>
      <c r="H454" s="55">
        <v>0.31510416666666669</v>
      </c>
      <c r="I454" s="55" t="str">
        <f t="shared" si="34"/>
        <v>10.835.391-0</v>
      </c>
      <c r="J454" s="55">
        <f t="shared" si="35"/>
        <v>0.34903935185185186</v>
      </c>
      <c r="K454" s="93">
        <f t="shared" si="36"/>
        <v>-0.62305555555555614</v>
      </c>
      <c r="L454">
        <f>IFERROR(HLOOKUP(D454,Ingreso!$AN$10:$AT$260,VLOOKUP('cruce '!I454,Ingreso!$AL$11:$AM$260,2,0),0),0)</f>
        <v>0</v>
      </c>
      <c r="M454" s="95" t="str">
        <f>IFERROR(HLOOKUP(D454,Ingreso!$AW$10:$BC$260,VLOOKUP('cruce '!I454,Ingreso!$AL$11:$AM$260,2,0),0),0)</f>
        <v/>
      </c>
      <c r="N454" t="str">
        <f t="shared" si="37"/>
        <v>OK</v>
      </c>
    </row>
    <row r="455" spans="2:14">
      <c r="B455" t="s">
        <v>81</v>
      </c>
      <c r="C455" t="s">
        <v>85</v>
      </c>
      <c r="D455" t="s">
        <v>1440</v>
      </c>
      <c r="E455" t="s">
        <v>1323</v>
      </c>
      <c r="F455" s="78">
        <v>0.375</v>
      </c>
      <c r="G455" s="55">
        <v>0.91856481481481478</v>
      </c>
      <c r="H455" s="55">
        <v>0.32697916666666665</v>
      </c>
      <c r="I455" s="55" t="str">
        <f t="shared" si="34"/>
        <v>10.846.598-0</v>
      </c>
      <c r="J455" s="55">
        <f t="shared" si="35"/>
        <v>0.40841435185185182</v>
      </c>
      <c r="K455" s="93">
        <f t="shared" si="36"/>
        <v>0.80194444444444457</v>
      </c>
      <c r="L455">
        <f>IFERROR(HLOOKUP(D455,Ingreso!$AN$10:$AT$260,VLOOKUP('cruce '!I455,Ingreso!$AL$11:$AM$260,2,0),0),0)</f>
        <v>0</v>
      </c>
      <c r="M455" s="95">
        <f>IFERROR(HLOOKUP(D455,Ingreso!$AW$10:$BC$260,VLOOKUP('cruce '!I455,Ingreso!$AL$11:$AM$260,2,0),0),0)</f>
        <v>0</v>
      </c>
      <c r="N455" t="str">
        <f t="shared" si="37"/>
        <v>OK</v>
      </c>
    </row>
    <row r="456" spans="2:14">
      <c r="C456"/>
      <c r="D456" t="s">
        <v>1441</v>
      </c>
      <c r="E456" t="s">
        <v>1323</v>
      </c>
      <c r="F456" s="78">
        <v>0.375</v>
      </c>
      <c r="G456" s="55"/>
      <c r="H456" s="55">
        <v>0.32725694444444448</v>
      </c>
      <c r="I456" s="55" t="str">
        <f t="shared" si="34"/>
        <v>10.846.598-0</v>
      </c>
      <c r="J456" s="55">
        <f t="shared" si="35"/>
        <v>0.32725694444444448</v>
      </c>
      <c r="K456" s="93">
        <f t="shared" si="36"/>
        <v>-1.1458333333333321</v>
      </c>
      <c r="L456">
        <f>IFERROR(HLOOKUP(D456,Ingreso!$AN$10:$AT$260,VLOOKUP('cruce '!I456,Ingreso!$AL$11:$AM$260,2,0),0),0)</f>
        <v>0</v>
      </c>
      <c r="M456" s="95">
        <f>IFERROR(HLOOKUP(D456,Ingreso!$AW$10:$BC$260,VLOOKUP('cruce '!I456,Ingreso!$AL$11:$AM$260,2,0),0),0)</f>
        <v>0</v>
      </c>
      <c r="N456" t="str">
        <f t="shared" si="37"/>
        <v>Revisar</v>
      </c>
    </row>
    <row r="457" spans="2:14">
      <c r="C457"/>
      <c r="D457" t="s">
        <v>1437</v>
      </c>
      <c r="E457" t="s">
        <v>1323</v>
      </c>
      <c r="F457" s="78">
        <v>0.375</v>
      </c>
      <c r="G457" s="55">
        <v>0.9186805555555555</v>
      </c>
      <c r="H457" s="55"/>
      <c r="I457" s="55" t="str">
        <f t="shared" si="34"/>
        <v>10.846.598-0</v>
      </c>
      <c r="J457" s="55">
        <f t="shared" si="35"/>
        <v>8.13194444444445E-2</v>
      </c>
      <c r="K457" s="93">
        <f t="shared" si="36"/>
        <v>-7.048333333333332</v>
      </c>
      <c r="L457">
        <f>IFERROR(HLOOKUP(D457,Ingreso!$AN$10:$AT$260,VLOOKUP('cruce '!I457,Ingreso!$AL$11:$AM$260,2,0),0),0)</f>
        <v>0</v>
      </c>
      <c r="M457" s="95">
        <f>IFERROR(HLOOKUP(D457,Ingreso!$AW$10:$BC$260,VLOOKUP('cruce '!I457,Ingreso!$AL$11:$AM$260,2,0),0),0)</f>
        <v>0</v>
      </c>
      <c r="N457" t="str">
        <f t="shared" si="37"/>
        <v>Revisar</v>
      </c>
    </row>
    <row r="458" spans="2:14">
      <c r="C458"/>
      <c r="D458" t="s">
        <v>1438</v>
      </c>
      <c r="E458" t="s">
        <v>1323</v>
      </c>
      <c r="F458" s="78">
        <v>0.375</v>
      </c>
      <c r="G458" s="55">
        <v>0.91878472222222218</v>
      </c>
      <c r="H458" s="55">
        <v>0.32631944444444444</v>
      </c>
      <c r="I458" s="55" t="str">
        <f t="shared" si="34"/>
        <v>10.846.598-0</v>
      </c>
      <c r="J458" s="55">
        <f t="shared" si="35"/>
        <v>0.4075347222222222</v>
      </c>
      <c r="K458" s="93">
        <f t="shared" si="36"/>
        <v>0.78083333333333371</v>
      </c>
      <c r="L458">
        <f>IFERROR(HLOOKUP(D458,Ingreso!$AN$10:$AT$260,VLOOKUP('cruce '!I458,Ingreso!$AL$11:$AM$260,2,0),0),0)</f>
        <v>0</v>
      </c>
      <c r="M458" s="95">
        <f>IFERROR(HLOOKUP(D458,Ingreso!$AW$10:$BC$260,VLOOKUP('cruce '!I458,Ingreso!$AL$11:$AM$260,2,0),0),0)</f>
        <v>0</v>
      </c>
      <c r="N458" t="str">
        <f t="shared" si="37"/>
        <v>OK</v>
      </c>
    </row>
    <row r="459" spans="2:14">
      <c r="C459"/>
      <c r="D459" t="s">
        <v>1439</v>
      </c>
      <c r="E459" t="s">
        <v>1323</v>
      </c>
      <c r="F459" s="78">
        <v>0.375</v>
      </c>
      <c r="G459" s="55">
        <v>0.91799768518518521</v>
      </c>
      <c r="H459" s="55">
        <v>0.32760416666666664</v>
      </c>
      <c r="I459" s="55" t="str">
        <f t="shared" si="34"/>
        <v>10.846.598-0</v>
      </c>
      <c r="J459" s="55">
        <f t="shared" si="35"/>
        <v>0.40960648148148149</v>
      </c>
      <c r="K459" s="93">
        <f t="shared" si="36"/>
        <v>0.83055555555555571</v>
      </c>
      <c r="L459">
        <f>IFERROR(HLOOKUP(D459,Ingreso!$AN$10:$AT$260,VLOOKUP('cruce '!I459,Ingreso!$AL$11:$AM$260,2,0),0),0)</f>
        <v>0</v>
      </c>
      <c r="M459" s="95">
        <f>IFERROR(HLOOKUP(D459,Ingreso!$AW$10:$BC$260,VLOOKUP('cruce '!I459,Ingreso!$AL$11:$AM$260,2,0),0),0)</f>
        <v>0</v>
      </c>
      <c r="N459" t="str">
        <f t="shared" si="37"/>
        <v>OK</v>
      </c>
    </row>
    <row r="460" spans="2:14">
      <c r="B460" t="s">
        <v>1000</v>
      </c>
      <c r="C460" t="s">
        <v>1002</v>
      </c>
      <c r="D460" t="s">
        <v>1440</v>
      </c>
      <c r="E460" t="s">
        <v>4</v>
      </c>
      <c r="F460" s="78">
        <v>0.3125</v>
      </c>
      <c r="G460" s="55">
        <v>0.29396990740740742</v>
      </c>
      <c r="H460" s="55">
        <v>0.65883101851851855</v>
      </c>
      <c r="I460" s="55" t="str">
        <f t="shared" si="34"/>
        <v>10.849.076-4</v>
      </c>
      <c r="J460" s="55">
        <f t="shared" si="35"/>
        <v>0.36486111111111114</v>
      </c>
      <c r="K460" s="93">
        <f t="shared" si="36"/>
        <v>1.2566666666666677</v>
      </c>
      <c r="L460">
        <f>IFERROR(HLOOKUP(D460,Ingreso!$AN$10:$AT$260,VLOOKUP('cruce '!I460,Ingreso!$AL$11:$AM$260,2,0),0),0)</f>
        <v>0</v>
      </c>
      <c r="M460" s="95">
        <f>IFERROR(HLOOKUP(D460,Ingreso!$AW$10:$BC$260,VLOOKUP('cruce '!I460,Ingreso!$AL$11:$AM$260,2,0),0),0)</f>
        <v>0</v>
      </c>
      <c r="N460" t="str">
        <f t="shared" si="37"/>
        <v>Revisar</v>
      </c>
    </row>
    <row r="461" spans="2:14">
      <c r="C461"/>
      <c r="D461" t="s">
        <v>1441</v>
      </c>
      <c r="E461" t="s">
        <v>4</v>
      </c>
      <c r="F461" s="78">
        <v>0.3125</v>
      </c>
      <c r="G461" s="55"/>
      <c r="H461" s="55">
        <v>0.64806712962962965</v>
      </c>
      <c r="I461" s="55" t="str">
        <f t="shared" si="34"/>
        <v>10.849.076-4</v>
      </c>
      <c r="J461" s="55">
        <f t="shared" si="35"/>
        <v>0.64806712962962965</v>
      </c>
      <c r="K461" s="93">
        <f t="shared" si="36"/>
        <v>8.0536111111111115</v>
      </c>
      <c r="L461">
        <f>IFERROR(HLOOKUP(D461,Ingreso!$AN$10:$AT$260,VLOOKUP('cruce '!I461,Ingreso!$AL$11:$AM$260,2,0),0),0)</f>
        <v>0</v>
      </c>
      <c r="M461" s="95">
        <f>IFERROR(HLOOKUP(D461,Ingreso!$AW$10:$BC$260,VLOOKUP('cruce '!I461,Ingreso!$AL$11:$AM$260,2,0),0),0)</f>
        <v>0</v>
      </c>
      <c r="N461" t="str">
        <f t="shared" si="37"/>
        <v>Revisar</v>
      </c>
    </row>
    <row r="462" spans="2:14">
      <c r="C462"/>
      <c r="D462"/>
      <c r="E462" t="s">
        <v>1323</v>
      </c>
      <c r="F462" s="78">
        <v>0.375</v>
      </c>
      <c r="G462" s="55">
        <v>0.31494212962962964</v>
      </c>
      <c r="H462" s="55"/>
      <c r="I462" s="55" t="str">
        <f t="shared" si="34"/>
        <v>10.849.076-4</v>
      </c>
      <c r="J462" s="55">
        <f t="shared" si="35"/>
        <v>0.68505787037037036</v>
      </c>
      <c r="K462" s="93">
        <f t="shared" si="36"/>
        <v>7.4413888888888877</v>
      </c>
      <c r="L462">
        <f>IFERROR(HLOOKUP(D462,Ingreso!$AN$10:$AT$260,VLOOKUP('cruce '!I462,Ingreso!$AL$11:$AM$260,2,0),0),0)</f>
        <v>0</v>
      </c>
      <c r="M462" s="95">
        <f>IFERROR(HLOOKUP(D462,Ingreso!$AW$10:$BC$260,VLOOKUP('cruce '!I462,Ingreso!$AL$11:$AM$260,2,0),0),0)</f>
        <v>0</v>
      </c>
      <c r="N462" t="str">
        <f t="shared" si="37"/>
        <v>Revisar</v>
      </c>
    </row>
    <row r="463" spans="2:14">
      <c r="C463"/>
      <c r="D463" t="s">
        <v>1437</v>
      </c>
      <c r="E463" t="s">
        <v>4</v>
      </c>
      <c r="F463" s="78">
        <v>0.3125</v>
      </c>
      <c r="G463" s="55">
        <v>0.29289351851851853</v>
      </c>
      <c r="H463" s="55">
        <v>0.7357407407407407</v>
      </c>
      <c r="I463" s="55" t="str">
        <f t="shared" si="34"/>
        <v>10.849.076-4</v>
      </c>
      <c r="J463" s="55">
        <f t="shared" si="35"/>
        <v>0.44284722222222217</v>
      </c>
      <c r="K463" s="93">
        <f t="shared" si="36"/>
        <v>3.1283333333333321</v>
      </c>
      <c r="L463">
        <f>IFERROR(HLOOKUP(D463,Ingreso!$AN$10:$AT$260,VLOOKUP('cruce '!I463,Ingreso!$AL$11:$AM$260,2,0),0),0)</f>
        <v>0</v>
      </c>
      <c r="M463" s="95">
        <f>IFERROR(HLOOKUP(D463,Ingreso!$AW$10:$BC$260,VLOOKUP('cruce '!I463,Ingreso!$AL$11:$AM$260,2,0),0),0)</f>
        <v>0</v>
      </c>
      <c r="N463" t="str">
        <f t="shared" si="37"/>
        <v>Revisar</v>
      </c>
    </row>
    <row r="464" spans="2:14">
      <c r="C464"/>
      <c r="D464" t="s">
        <v>1439</v>
      </c>
      <c r="E464" t="s">
        <v>4</v>
      </c>
      <c r="F464" s="78">
        <v>0.3125</v>
      </c>
      <c r="G464" s="55">
        <v>0.29385416666666669</v>
      </c>
      <c r="H464" s="55">
        <v>0.6375925925925926</v>
      </c>
      <c r="I464" s="55" t="str">
        <f t="shared" si="34"/>
        <v>10.849.076-4</v>
      </c>
      <c r="J464" s="55">
        <f t="shared" si="35"/>
        <v>0.34373842592592591</v>
      </c>
      <c r="K464" s="93">
        <f t="shared" si="36"/>
        <v>0.74972222222222129</v>
      </c>
      <c r="L464">
        <f>IFERROR(HLOOKUP(D464,Ingreso!$AN$10:$AT$260,VLOOKUP('cruce '!I464,Ingreso!$AL$11:$AM$260,2,0),0),0)</f>
        <v>0</v>
      </c>
      <c r="M464" s="95">
        <f>IFERROR(HLOOKUP(D464,Ingreso!$AW$10:$BC$260,VLOOKUP('cruce '!I464,Ingreso!$AL$11:$AM$260,2,0),0),0)</f>
        <v>0</v>
      </c>
      <c r="N464" t="str">
        <f t="shared" si="37"/>
        <v>OK</v>
      </c>
    </row>
    <row r="465" spans="2:14">
      <c r="B465" t="s">
        <v>1230</v>
      </c>
      <c r="C465" t="s">
        <v>1233</v>
      </c>
      <c r="D465" t="s">
        <v>1440</v>
      </c>
      <c r="E465" t="s">
        <v>1323</v>
      </c>
      <c r="F465" s="78">
        <v>0.375</v>
      </c>
      <c r="G465" s="55">
        <v>0.80516203703703704</v>
      </c>
      <c r="H465" s="55">
        <v>0.32715277777777779</v>
      </c>
      <c r="I465" s="55" t="str">
        <f t="shared" si="34"/>
        <v>10.849.486-7</v>
      </c>
      <c r="J465" s="55">
        <f t="shared" si="35"/>
        <v>0.52199074074074081</v>
      </c>
      <c r="K465" s="93">
        <f t="shared" si="36"/>
        <v>3.5277777777777786</v>
      </c>
      <c r="L465">
        <f>IFERROR(HLOOKUP(D465,Ingreso!$AN$10:$AT$260,VLOOKUP('cruce '!I465,Ingreso!$AL$11:$AM$260,2,0),0),0)</f>
        <v>11</v>
      </c>
      <c r="M465" s="95">
        <f>IFERROR(HLOOKUP(D465,Ingreso!$AW$10:$BC$260,VLOOKUP('cruce '!I465,Ingreso!$AL$11:$AM$260,2,0),0),0)</f>
        <v>0.5</v>
      </c>
      <c r="N465" t="str">
        <f t="shared" si="37"/>
        <v>Revisar</v>
      </c>
    </row>
    <row r="466" spans="2:14">
      <c r="C466"/>
      <c r="D466" t="s">
        <v>1441</v>
      </c>
      <c r="E466" t="s">
        <v>1323</v>
      </c>
      <c r="F466" s="78">
        <v>0.375</v>
      </c>
      <c r="G466" s="55">
        <v>0.64148148148148143</v>
      </c>
      <c r="H466" s="55">
        <v>1.28125</v>
      </c>
      <c r="I466" s="55" t="str">
        <f t="shared" si="34"/>
        <v>10.849.486-7</v>
      </c>
      <c r="J466" s="55">
        <f t="shared" si="35"/>
        <v>0.63976851851851857</v>
      </c>
      <c r="K466" s="93">
        <f t="shared" si="36"/>
        <v>6.3544444444444466</v>
      </c>
      <c r="L466">
        <f>IFERROR(HLOOKUP(D466,Ingreso!$AN$10:$AT$260,VLOOKUP('cruce '!I466,Ingreso!$AL$11:$AM$260,2,0),0),0)</f>
        <v>0</v>
      </c>
      <c r="M466" s="95" t="str">
        <f>IFERROR(HLOOKUP(D466,Ingreso!$AW$10:$BC$260,VLOOKUP('cruce '!I466,Ingreso!$AL$11:$AM$260,2,0),0),0)</f>
        <v/>
      </c>
      <c r="N466" t="str">
        <f t="shared" si="37"/>
        <v>Revisar</v>
      </c>
    </row>
    <row r="467" spans="2:14">
      <c r="C467"/>
      <c r="D467" t="s">
        <v>1437</v>
      </c>
      <c r="E467" t="s">
        <v>1323</v>
      </c>
      <c r="F467" s="78">
        <v>0.375</v>
      </c>
      <c r="G467" s="55">
        <v>0.91978009259259252</v>
      </c>
      <c r="H467" s="55"/>
      <c r="I467" s="55" t="str">
        <f t="shared" si="34"/>
        <v>10.849.486-7</v>
      </c>
      <c r="J467" s="55">
        <f t="shared" si="35"/>
        <v>8.0219907407407476E-2</v>
      </c>
      <c r="K467" s="93">
        <f t="shared" si="36"/>
        <v>-7.0747222222222206</v>
      </c>
      <c r="L467">
        <f>IFERROR(HLOOKUP(D467,Ingreso!$AN$10:$AT$260,VLOOKUP('cruce '!I467,Ingreso!$AL$11:$AM$260,2,0),0),0)</f>
        <v>0</v>
      </c>
      <c r="M467" s="95" t="str">
        <f>IFERROR(HLOOKUP(D467,Ingreso!$AW$10:$BC$260,VLOOKUP('cruce '!I467,Ingreso!$AL$11:$AM$260,2,0),0),0)</f>
        <v/>
      </c>
      <c r="N467" t="str">
        <f t="shared" si="37"/>
        <v>Revisar</v>
      </c>
    </row>
    <row r="468" spans="2:14">
      <c r="C468"/>
      <c r="D468" t="s">
        <v>1438</v>
      </c>
      <c r="E468" t="s">
        <v>1323</v>
      </c>
      <c r="F468" s="78">
        <v>0.375</v>
      </c>
      <c r="G468" s="55">
        <v>0.7978587962962963</v>
      </c>
      <c r="H468" s="55">
        <v>0.32982638888888888</v>
      </c>
      <c r="I468" s="55" t="str">
        <f t="shared" si="34"/>
        <v>10.849.486-7</v>
      </c>
      <c r="J468" s="55">
        <f t="shared" si="35"/>
        <v>0.53196759259259252</v>
      </c>
      <c r="K468" s="93">
        <f t="shared" si="36"/>
        <v>3.7672222222222196</v>
      </c>
      <c r="L468">
        <f>IFERROR(HLOOKUP(D468,Ingreso!$AN$10:$AT$260,VLOOKUP('cruce '!I468,Ingreso!$AL$11:$AM$260,2,0),0),0)</f>
        <v>0</v>
      </c>
      <c r="M468" s="95" t="str">
        <f>IFERROR(HLOOKUP(D468,Ingreso!$AW$10:$BC$260,VLOOKUP('cruce '!I468,Ingreso!$AL$11:$AM$260,2,0),0),0)</f>
        <v/>
      </c>
      <c r="N468" t="str">
        <f t="shared" si="37"/>
        <v>Revisar</v>
      </c>
    </row>
    <row r="469" spans="2:14">
      <c r="C469"/>
      <c r="D469" t="s">
        <v>1439</v>
      </c>
      <c r="E469" t="s">
        <v>1323</v>
      </c>
      <c r="F469" s="78">
        <v>0.375</v>
      </c>
      <c r="G469" s="55">
        <v>0.81655092592592593</v>
      </c>
      <c r="H469" s="55">
        <v>0.32925925925925925</v>
      </c>
      <c r="I469" s="55" t="str">
        <f t="shared" si="34"/>
        <v>10.849.486-7</v>
      </c>
      <c r="J469" s="55">
        <f t="shared" si="35"/>
        <v>0.51270833333333332</v>
      </c>
      <c r="K469" s="93">
        <f t="shared" si="36"/>
        <v>3.3049999999999997</v>
      </c>
      <c r="L469">
        <f>IFERROR(HLOOKUP(D469,Ingreso!$AN$10:$AT$260,VLOOKUP('cruce '!I469,Ingreso!$AL$11:$AM$260,2,0),0),0)</f>
        <v>3</v>
      </c>
      <c r="M469" s="95">
        <f>IFERROR(HLOOKUP(D469,Ingreso!$AW$10:$BC$260,VLOOKUP('cruce '!I469,Ingreso!$AL$11:$AM$260,2,0),0),0)</f>
        <v>0.5</v>
      </c>
      <c r="N469" t="str">
        <f t="shared" si="37"/>
        <v>OK</v>
      </c>
    </row>
    <row r="470" spans="2:14">
      <c r="B470" t="s">
        <v>567</v>
      </c>
      <c r="C470" t="s">
        <v>570</v>
      </c>
      <c r="D470" t="s">
        <v>1440</v>
      </c>
      <c r="E470" t="s">
        <v>1323</v>
      </c>
      <c r="F470" s="78">
        <v>0.375</v>
      </c>
      <c r="G470" s="55">
        <v>0.92094907407407411</v>
      </c>
      <c r="H470" s="55">
        <v>0.31233796296296296</v>
      </c>
      <c r="I470" s="55" t="str">
        <f t="shared" si="34"/>
        <v>10.869.222-7</v>
      </c>
      <c r="J470" s="55">
        <f t="shared" si="35"/>
        <v>0.3913888888888889</v>
      </c>
      <c r="K470" s="93">
        <f t="shared" si="36"/>
        <v>0.39333333333333442</v>
      </c>
      <c r="L470">
        <f>IFERROR(HLOOKUP(D470,Ingreso!$AN$10:$AT$260,VLOOKUP('cruce '!I470,Ingreso!$AL$11:$AM$260,2,0),0),0)</f>
        <v>0</v>
      </c>
      <c r="M470" s="95" t="str">
        <f>IFERROR(HLOOKUP(D470,Ingreso!$AW$10:$BC$260,VLOOKUP('cruce '!I470,Ingreso!$AL$11:$AM$260,2,0),0),0)</f>
        <v/>
      </c>
      <c r="N470" t="str">
        <f t="shared" si="37"/>
        <v>OK</v>
      </c>
    </row>
    <row r="471" spans="2:14">
      <c r="C471"/>
      <c r="D471" t="s">
        <v>1441</v>
      </c>
      <c r="E471" t="s">
        <v>1323</v>
      </c>
      <c r="F471" s="78">
        <v>0.375</v>
      </c>
      <c r="G471" s="55"/>
      <c r="H471" s="55">
        <v>0.3120486111111111</v>
      </c>
      <c r="I471" s="55" t="str">
        <f t="shared" si="34"/>
        <v>10.869.222-7</v>
      </c>
      <c r="J471" s="55">
        <f t="shared" si="35"/>
        <v>0.3120486111111111</v>
      </c>
      <c r="K471" s="93">
        <f t="shared" si="36"/>
        <v>-1.5108333333333341</v>
      </c>
      <c r="L471">
        <f>IFERROR(HLOOKUP(D471,Ingreso!$AN$10:$AT$260,VLOOKUP('cruce '!I471,Ingreso!$AL$11:$AM$260,2,0),0),0)</f>
        <v>0</v>
      </c>
      <c r="M471" s="95" t="str">
        <f>IFERROR(HLOOKUP(D471,Ingreso!$AW$10:$BC$260,VLOOKUP('cruce '!I471,Ingreso!$AL$11:$AM$260,2,0),0),0)</f>
        <v/>
      </c>
      <c r="N471" t="str">
        <f t="shared" si="37"/>
        <v>Revisar</v>
      </c>
    </row>
    <row r="472" spans="2:14">
      <c r="C472"/>
      <c r="D472" t="s">
        <v>1437</v>
      </c>
      <c r="E472" t="s">
        <v>1323</v>
      </c>
      <c r="F472" s="78">
        <v>0.375</v>
      </c>
      <c r="G472" s="55">
        <v>0.91901620370370374</v>
      </c>
      <c r="H472" s="55">
        <v>0.30724537037037036</v>
      </c>
      <c r="I472" s="55" t="str">
        <f t="shared" si="34"/>
        <v>10.869.222-7</v>
      </c>
      <c r="J472" s="55">
        <f t="shared" si="35"/>
        <v>0.38822916666666663</v>
      </c>
      <c r="K472" s="93">
        <f t="shared" si="36"/>
        <v>0.31749999999999901</v>
      </c>
      <c r="L472">
        <f>IFERROR(HLOOKUP(D472,Ingreso!$AN$10:$AT$260,VLOOKUP('cruce '!I472,Ingreso!$AL$11:$AM$260,2,0),0),0)</f>
        <v>7.5</v>
      </c>
      <c r="M472" s="95">
        <f>IFERROR(HLOOKUP(D472,Ingreso!$AW$10:$BC$260,VLOOKUP('cruce '!I472,Ingreso!$AL$11:$AM$260,2,0),0),0)</f>
        <v>1</v>
      </c>
      <c r="N472" t="str">
        <f t="shared" si="37"/>
        <v>Revisar</v>
      </c>
    </row>
    <row r="473" spans="2:14">
      <c r="C473"/>
      <c r="D473" t="s">
        <v>1438</v>
      </c>
      <c r="E473" t="s">
        <v>1323</v>
      </c>
      <c r="F473" s="78">
        <v>0.375</v>
      </c>
      <c r="G473" s="55">
        <v>0.92035879629629624</v>
      </c>
      <c r="H473" s="55">
        <v>0.30829861111111112</v>
      </c>
      <c r="I473" s="55" t="str">
        <f t="shared" si="34"/>
        <v>10.869.222-7</v>
      </c>
      <c r="J473" s="55">
        <f t="shared" si="35"/>
        <v>0.38793981481481488</v>
      </c>
      <c r="K473" s="93">
        <f t="shared" si="36"/>
        <v>0.31055555555555614</v>
      </c>
      <c r="L473">
        <f>IFERROR(HLOOKUP(D473,Ingreso!$AN$10:$AT$260,VLOOKUP('cruce '!I473,Ingreso!$AL$11:$AM$260,2,0),0),0)</f>
        <v>0</v>
      </c>
      <c r="M473" s="95" t="str">
        <f>IFERROR(HLOOKUP(D473,Ingreso!$AW$10:$BC$260,VLOOKUP('cruce '!I473,Ingreso!$AL$11:$AM$260,2,0),0),0)</f>
        <v/>
      </c>
      <c r="N473" t="str">
        <f t="shared" si="37"/>
        <v>OK</v>
      </c>
    </row>
    <row r="474" spans="2:14">
      <c r="C474"/>
      <c r="D474" t="s">
        <v>1439</v>
      </c>
      <c r="E474" t="s">
        <v>1323</v>
      </c>
      <c r="F474" s="78">
        <v>0.375</v>
      </c>
      <c r="G474" s="55">
        <v>0.91891203703703705</v>
      </c>
      <c r="H474" s="55">
        <v>0.31146990740740738</v>
      </c>
      <c r="I474" s="55" t="str">
        <f t="shared" si="34"/>
        <v>10.869.222-7</v>
      </c>
      <c r="J474" s="55">
        <f t="shared" si="35"/>
        <v>0.39255787037037038</v>
      </c>
      <c r="K474" s="93">
        <f t="shared" si="36"/>
        <v>0.42138888888888815</v>
      </c>
      <c r="L474">
        <f>IFERROR(HLOOKUP(D474,Ingreso!$AN$10:$AT$260,VLOOKUP('cruce '!I474,Ingreso!$AL$11:$AM$260,2,0),0),0)</f>
        <v>0</v>
      </c>
      <c r="M474" s="95" t="str">
        <f>IFERROR(HLOOKUP(D474,Ingreso!$AW$10:$BC$260,VLOOKUP('cruce '!I474,Ingreso!$AL$11:$AM$260,2,0),0),0)</f>
        <v/>
      </c>
      <c r="N474" t="str">
        <f t="shared" si="37"/>
        <v>OK</v>
      </c>
    </row>
    <row r="475" spans="2:14">
      <c r="B475" t="s">
        <v>317</v>
      </c>
      <c r="C475" t="s">
        <v>319</v>
      </c>
      <c r="D475" t="s">
        <v>1440</v>
      </c>
      <c r="E475" t="s">
        <v>4</v>
      </c>
      <c r="F475" s="78">
        <v>0.3125</v>
      </c>
      <c r="G475" s="55"/>
      <c r="H475" s="55">
        <v>0.72009259259259262</v>
      </c>
      <c r="I475" s="55" t="str">
        <f t="shared" si="34"/>
        <v>10.874.066-3</v>
      </c>
      <c r="J475" s="55">
        <f t="shared" si="35"/>
        <v>0.72009259259259262</v>
      </c>
      <c r="K475" s="93">
        <f t="shared" si="36"/>
        <v>9.7822222222222237</v>
      </c>
      <c r="L475">
        <f>IFERROR(HLOOKUP(D475,Ingreso!$AN$10:$AT$260,VLOOKUP('cruce '!I475,Ingreso!$AL$11:$AM$260,2,0),0),0)</f>
        <v>0</v>
      </c>
      <c r="M475" s="95">
        <f>IFERROR(HLOOKUP(D475,Ingreso!$AW$10:$BC$260,VLOOKUP('cruce '!I475,Ingreso!$AL$11:$AM$260,2,0),0),0)</f>
        <v>0</v>
      </c>
      <c r="N475" t="str">
        <f t="shared" si="37"/>
        <v>Revisar</v>
      </c>
    </row>
    <row r="476" spans="2:14">
      <c r="C476"/>
      <c r="D476"/>
      <c r="E476" t="s">
        <v>1321</v>
      </c>
      <c r="F476" s="78">
        <v>0.3125</v>
      </c>
      <c r="G476" s="55">
        <v>0.60917824074074078</v>
      </c>
      <c r="H476" s="55"/>
      <c r="I476" s="55" t="str">
        <f t="shared" si="34"/>
        <v>10.874.066-3</v>
      </c>
      <c r="J476" s="55">
        <f t="shared" si="35"/>
        <v>0.39082175925925922</v>
      </c>
      <c r="K476" s="93">
        <f t="shared" si="36"/>
        <v>1.8797222222222203</v>
      </c>
      <c r="L476">
        <f>IFERROR(HLOOKUP(D476,Ingreso!$AN$10:$AT$260,VLOOKUP('cruce '!I476,Ingreso!$AL$11:$AM$260,2,0),0),0)</f>
        <v>0</v>
      </c>
      <c r="M476" s="95">
        <f>IFERROR(HLOOKUP(D476,Ingreso!$AW$10:$BC$260,VLOOKUP('cruce '!I476,Ingreso!$AL$11:$AM$260,2,0),0),0)</f>
        <v>0</v>
      </c>
      <c r="N476" t="str">
        <f t="shared" si="37"/>
        <v>Revisar</v>
      </c>
    </row>
    <row r="477" spans="2:14">
      <c r="C477"/>
      <c r="D477" t="s">
        <v>1437</v>
      </c>
      <c r="E477" t="s">
        <v>1321</v>
      </c>
      <c r="F477" s="78">
        <v>0.3125</v>
      </c>
      <c r="G477" s="55">
        <v>0.60750000000000004</v>
      </c>
      <c r="H477" s="55">
        <v>0.94918981481481479</v>
      </c>
      <c r="I477" s="55" t="str">
        <f t="shared" si="34"/>
        <v>10.874.066-3</v>
      </c>
      <c r="J477" s="55">
        <f t="shared" si="35"/>
        <v>0.34168981481481475</v>
      </c>
      <c r="K477" s="93">
        <f t="shared" si="36"/>
        <v>0.70055555555555316</v>
      </c>
      <c r="L477">
        <f>IFERROR(HLOOKUP(D477,Ingreso!$AN$10:$AT$260,VLOOKUP('cruce '!I477,Ingreso!$AL$11:$AM$260,2,0),0),0)</f>
        <v>0</v>
      </c>
      <c r="M477" s="95">
        <f>IFERROR(HLOOKUP(D477,Ingreso!$AW$10:$BC$260,VLOOKUP('cruce '!I477,Ingreso!$AL$11:$AM$260,2,0),0),0)</f>
        <v>0</v>
      </c>
      <c r="N477" t="str">
        <f t="shared" si="37"/>
        <v>OK</v>
      </c>
    </row>
    <row r="478" spans="2:14">
      <c r="C478"/>
      <c r="D478" t="s">
        <v>1438</v>
      </c>
      <c r="E478" t="s">
        <v>1321</v>
      </c>
      <c r="F478" s="78">
        <v>0.3125</v>
      </c>
      <c r="G478" s="55">
        <v>0.60995370370370372</v>
      </c>
      <c r="H478" s="55">
        <v>0.94959490740740737</v>
      </c>
      <c r="I478" s="55" t="str">
        <f t="shared" si="34"/>
        <v>10.874.066-3</v>
      </c>
      <c r="J478" s="55">
        <f t="shared" si="35"/>
        <v>0.33964120370370365</v>
      </c>
      <c r="K478" s="93">
        <f t="shared" si="36"/>
        <v>0.65138888888888857</v>
      </c>
      <c r="L478">
        <f>IFERROR(HLOOKUP(D478,Ingreso!$AN$10:$AT$260,VLOOKUP('cruce '!I478,Ingreso!$AL$11:$AM$260,2,0),0),0)</f>
        <v>0</v>
      </c>
      <c r="M478" s="95">
        <f>IFERROR(HLOOKUP(D478,Ingreso!$AW$10:$BC$260,VLOOKUP('cruce '!I478,Ingreso!$AL$11:$AM$260,2,0),0),0)</f>
        <v>0</v>
      </c>
      <c r="N478" t="str">
        <f t="shared" si="37"/>
        <v>OK</v>
      </c>
    </row>
    <row r="479" spans="2:14">
      <c r="C479"/>
      <c r="D479" t="s">
        <v>1439</v>
      </c>
      <c r="E479" t="s">
        <v>1321</v>
      </c>
      <c r="F479" s="78">
        <v>0.3125</v>
      </c>
      <c r="G479" s="55">
        <v>0.60870370370370364</v>
      </c>
      <c r="H479" s="55">
        <v>0.9513194444444445</v>
      </c>
      <c r="I479" s="55" t="str">
        <f t="shared" si="34"/>
        <v>10.874.066-3</v>
      </c>
      <c r="J479" s="55">
        <f t="shared" si="35"/>
        <v>0.34261574074074086</v>
      </c>
      <c r="K479" s="93">
        <f t="shared" si="36"/>
        <v>0.72277777777778063</v>
      </c>
      <c r="L479">
        <f>IFERROR(HLOOKUP(D479,Ingreso!$AN$10:$AT$260,VLOOKUP('cruce '!I479,Ingreso!$AL$11:$AM$260,2,0),0),0)</f>
        <v>0</v>
      </c>
      <c r="M479" s="95">
        <f>IFERROR(HLOOKUP(D479,Ingreso!$AW$10:$BC$260,VLOOKUP('cruce '!I479,Ingreso!$AL$11:$AM$260,2,0),0),0)</f>
        <v>0</v>
      </c>
      <c r="N479" t="str">
        <f t="shared" si="37"/>
        <v>OK</v>
      </c>
    </row>
    <row r="480" spans="2:14">
      <c r="B480" t="s">
        <v>764</v>
      </c>
      <c r="C480" t="s">
        <v>767</v>
      </c>
      <c r="D480" t="s">
        <v>1440</v>
      </c>
      <c r="E480" t="s">
        <v>1321</v>
      </c>
      <c r="F480" s="78">
        <v>0.3125</v>
      </c>
      <c r="G480" s="55">
        <v>0.60842592592592593</v>
      </c>
      <c r="H480" s="55">
        <v>0.9493287037037037</v>
      </c>
      <c r="I480" s="55" t="str">
        <f t="shared" si="34"/>
        <v>10.876.404-K</v>
      </c>
      <c r="J480" s="55">
        <f t="shared" si="35"/>
        <v>0.34090277777777778</v>
      </c>
      <c r="K480" s="93">
        <f t="shared" si="36"/>
        <v>0.68166666666666664</v>
      </c>
      <c r="L480">
        <f>IFERROR(HLOOKUP(D480,Ingreso!$AN$10:$AT$260,VLOOKUP('cruce '!I480,Ingreso!$AL$11:$AM$260,2,0),0),0)</f>
        <v>0</v>
      </c>
      <c r="M480" s="95">
        <f>IFERROR(HLOOKUP(D480,Ingreso!$AW$10:$BC$260,VLOOKUP('cruce '!I480,Ingreso!$AL$11:$AM$260,2,0),0),0)</f>
        <v>0</v>
      </c>
      <c r="N480" t="str">
        <f t="shared" si="37"/>
        <v>OK</v>
      </c>
    </row>
    <row r="481" spans="2:14">
      <c r="C481"/>
      <c r="D481" t="s">
        <v>1441</v>
      </c>
      <c r="E481" t="s">
        <v>1321</v>
      </c>
      <c r="F481" s="78">
        <v>0.3125</v>
      </c>
      <c r="G481" s="55">
        <v>0.61256944444444439</v>
      </c>
      <c r="H481" s="55">
        <v>0.95401620370370377</v>
      </c>
      <c r="I481" s="55" t="str">
        <f t="shared" si="34"/>
        <v>10.876.404-K</v>
      </c>
      <c r="J481" s="55">
        <f t="shared" si="35"/>
        <v>0.34144675925925938</v>
      </c>
      <c r="K481" s="93">
        <f t="shared" si="36"/>
        <v>0.69472222222222513</v>
      </c>
      <c r="L481">
        <f>IFERROR(HLOOKUP(D481,Ingreso!$AN$10:$AT$260,VLOOKUP('cruce '!I481,Ingreso!$AL$11:$AM$260,2,0),0),0)</f>
        <v>0</v>
      </c>
      <c r="M481" s="95">
        <f>IFERROR(HLOOKUP(D481,Ingreso!$AW$10:$BC$260,VLOOKUP('cruce '!I481,Ingreso!$AL$11:$AM$260,2,0),0),0)</f>
        <v>0</v>
      </c>
      <c r="N481" t="str">
        <f t="shared" si="37"/>
        <v>OK</v>
      </c>
    </row>
    <row r="482" spans="2:14">
      <c r="C482"/>
      <c r="D482" t="s">
        <v>1437</v>
      </c>
      <c r="E482" t="s">
        <v>1321</v>
      </c>
      <c r="F482" s="78">
        <v>0.3125</v>
      </c>
      <c r="G482" s="55">
        <v>0.60589120370370375</v>
      </c>
      <c r="H482" s="55">
        <v>0.95114583333333336</v>
      </c>
      <c r="I482" s="55" t="str">
        <f t="shared" si="34"/>
        <v>10.876.404-K</v>
      </c>
      <c r="J482" s="55">
        <f t="shared" si="35"/>
        <v>0.34525462962962961</v>
      </c>
      <c r="K482" s="93">
        <f t="shared" si="36"/>
        <v>0.78611111111111143</v>
      </c>
      <c r="L482">
        <f>IFERROR(HLOOKUP(D482,Ingreso!$AN$10:$AT$260,VLOOKUP('cruce '!I482,Ingreso!$AL$11:$AM$260,2,0),0),0)</f>
        <v>0</v>
      </c>
      <c r="M482" s="95">
        <f>IFERROR(HLOOKUP(D482,Ingreso!$AW$10:$BC$260,VLOOKUP('cruce '!I482,Ingreso!$AL$11:$AM$260,2,0),0),0)</f>
        <v>0</v>
      </c>
      <c r="N482" t="str">
        <f t="shared" si="37"/>
        <v>OK</v>
      </c>
    </row>
    <row r="483" spans="2:14">
      <c r="C483"/>
      <c r="D483" t="s">
        <v>1438</v>
      </c>
      <c r="E483" t="s">
        <v>1321</v>
      </c>
      <c r="F483" s="78">
        <v>0.3125</v>
      </c>
      <c r="G483" s="55">
        <v>0.6068634259259259</v>
      </c>
      <c r="H483" s="55">
        <v>0.95070601851851855</v>
      </c>
      <c r="I483" s="55" t="str">
        <f t="shared" si="34"/>
        <v>10.876.404-K</v>
      </c>
      <c r="J483" s="55">
        <f t="shared" si="35"/>
        <v>0.34384259259259264</v>
      </c>
      <c r="K483" s="93">
        <f t="shared" si="36"/>
        <v>0.75222222222222257</v>
      </c>
      <c r="L483">
        <f>IFERROR(HLOOKUP(D483,Ingreso!$AN$10:$AT$260,VLOOKUP('cruce '!I483,Ingreso!$AL$11:$AM$260,2,0),0),0)</f>
        <v>0</v>
      </c>
      <c r="M483" s="95">
        <f>IFERROR(HLOOKUP(D483,Ingreso!$AW$10:$BC$260,VLOOKUP('cruce '!I483,Ingreso!$AL$11:$AM$260,2,0),0),0)</f>
        <v>0</v>
      </c>
      <c r="N483" t="str">
        <f t="shared" si="37"/>
        <v>OK</v>
      </c>
    </row>
    <row r="484" spans="2:14">
      <c r="C484"/>
      <c r="D484" t="s">
        <v>1439</v>
      </c>
      <c r="E484" t="s">
        <v>1321</v>
      </c>
      <c r="F484" s="78">
        <v>0.3125</v>
      </c>
      <c r="G484" s="55">
        <v>0.60696759259259259</v>
      </c>
      <c r="H484" s="55">
        <v>0.95241898148148152</v>
      </c>
      <c r="I484" s="55" t="str">
        <f t="shared" si="34"/>
        <v>10.876.404-K</v>
      </c>
      <c r="J484" s="55">
        <f t="shared" si="35"/>
        <v>0.34545138888888893</v>
      </c>
      <c r="K484" s="93">
        <f t="shared" si="36"/>
        <v>0.79083333333333528</v>
      </c>
      <c r="L484">
        <f>IFERROR(HLOOKUP(D484,Ingreso!$AN$10:$AT$260,VLOOKUP('cruce '!I484,Ingreso!$AL$11:$AM$260,2,0),0),0)</f>
        <v>0</v>
      </c>
      <c r="M484" s="95">
        <f>IFERROR(HLOOKUP(D484,Ingreso!$AW$10:$BC$260,VLOOKUP('cruce '!I484,Ingreso!$AL$11:$AM$260,2,0),0),0)</f>
        <v>0</v>
      </c>
      <c r="N484" t="str">
        <f t="shared" si="37"/>
        <v>OK</v>
      </c>
    </row>
    <row r="485" spans="2:14">
      <c r="B485" t="s">
        <v>911</v>
      </c>
      <c r="C485" t="s">
        <v>914</v>
      </c>
      <c r="D485" t="s">
        <v>1440</v>
      </c>
      <c r="E485" t="s">
        <v>4</v>
      </c>
      <c r="F485" s="78">
        <v>0.3125</v>
      </c>
      <c r="G485" s="55">
        <v>0.2955787037037037</v>
      </c>
      <c r="H485" s="55">
        <v>0.63731481481481478</v>
      </c>
      <c r="I485" s="55" t="str">
        <f t="shared" si="34"/>
        <v>10.933.716-1</v>
      </c>
      <c r="J485" s="55">
        <f t="shared" si="35"/>
        <v>0.34173611111111107</v>
      </c>
      <c r="K485" s="93">
        <f t="shared" si="36"/>
        <v>0.70166666666666622</v>
      </c>
      <c r="L485">
        <f>IFERROR(HLOOKUP(D485,Ingreso!$AN$10:$AT$260,VLOOKUP('cruce '!I485,Ingreso!$AL$11:$AM$260,2,0),0),0)</f>
        <v>0</v>
      </c>
      <c r="M485" s="95">
        <f>IFERROR(HLOOKUP(D485,Ingreso!$AW$10:$BC$260,VLOOKUP('cruce '!I485,Ingreso!$AL$11:$AM$260,2,0),0),0)</f>
        <v>0</v>
      </c>
      <c r="N485" t="str">
        <f t="shared" si="37"/>
        <v>OK</v>
      </c>
    </row>
    <row r="486" spans="2:14">
      <c r="C486"/>
      <c r="D486" t="s">
        <v>1441</v>
      </c>
      <c r="E486" t="s">
        <v>4</v>
      </c>
      <c r="F486" s="78">
        <v>0.3125</v>
      </c>
      <c r="G486" s="55">
        <v>0.29417824074074073</v>
      </c>
      <c r="H486" s="55">
        <v>0.62847222222222221</v>
      </c>
      <c r="I486" s="55" t="str">
        <f t="shared" si="34"/>
        <v>10.933.716-1</v>
      </c>
      <c r="J486" s="55">
        <f t="shared" si="35"/>
        <v>0.33429398148148148</v>
      </c>
      <c r="K486" s="93">
        <f t="shared" si="36"/>
        <v>0.52305555555555472</v>
      </c>
      <c r="L486">
        <f>IFERROR(HLOOKUP(D486,Ingreso!$AN$10:$AT$260,VLOOKUP('cruce '!I486,Ingreso!$AL$11:$AM$260,2,0),0),0)</f>
        <v>0</v>
      </c>
      <c r="M486" s="95">
        <f>IFERROR(HLOOKUP(D486,Ingreso!$AW$10:$BC$260,VLOOKUP('cruce '!I486,Ingreso!$AL$11:$AM$260,2,0),0),0)</f>
        <v>0</v>
      </c>
      <c r="N486" t="str">
        <f t="shared" si="37"/>
        <v>OK</v>
      </c>
    </row>
    <row r="487" spans="2:14">
      <c r="C487"/>
      <c r="D487" t="s">
        <v>1437</v>
      </c>
      <c r="E487" t="s">
        <v>4</v>
      </c>
      <c r="F487" s="78">
        <v>0.3125</v>
      </c>
      <c r="G487" s="55">
        <v>0.29596064814814815</v>
      </c>
      <c r="H487" s="55">
        <v>0.63605324074074077</v>
      </c>
      <c r="I487" s="55" t="str">
        <f t="shared" si="34"/>
        <v>10.933.716-1</v>
      </c>
      <c r="J487" s="55">
        <f t="shared" si="35"/>
        <v>0.34009259259259261</v>
      </c>
      <c r="K487" s="93">
        <f t="shared" si="36"/>
        <v>0.66222222222222271</v>
      </c>
      <c r="L487">
        <f>IFERROR(HLOOKUP(D487,Ingreso!$AN$10:$AT$260,VLOOKUP('cruce '!I487,Ingreso!$AL$11:$AM$260,2,0),0),0)</f>
        <v>0</v>
      </c>
      <c r="M487" s="95">
        <f>IFERROR(HLOOKUP(D487,Ingreso!$AW$10:$BC$260,VLOOKUP('cruce '!I487,Ingreso!$AL$11:$AM$260,2,0),0),0)</f>
        <v>0</v>
      </c>
      <c r="N487" t="str">
        <f t="shared" si="37"/>
        <v>OK</v>
      </c>
    </row>
    <row r="488" spans="2:14">
      <c r="C488"/>
      <c r="D488" t="s">
        <v>1438</v>
      </c>
      <c r="E488" t="s">
        <v>4</v>
      </c>
      <c r="F488" s="78">
        <v>0.3125</v>
      </c>
      <c r="G488" s="55">
        <v>0.29446759259259259</v>
      </c>
      <c r="H488" s="55">
        <v>0.63416666666666666</v>
      </c>
      <c r="I488" s="55" t="str">
        <f t="shared" si="34"/>
        <v>10.933.716-1</v>
      </c>
      <c r="J488" s="55">
        <f t="shared" si="35"/>
        <v>0.33969907407407407</v>
      </c>
      <c r="K488" s="93">
        <f t="shared" si="36"/>
        <v>0.65277777777777857</v>
      </c>
      <c r="L488">
        <f>IFERROR(HLOOKUP(D488,Ingreso!$AN$10:$AT$260,VLOOKUP('cruce '!I488,Ingreso!$AL$11:$AM$260,2,0),0),0)</f>
        <v>0</v>
      </c>
      <c r="M488" s="95">
        <f>IFERROR(HLOOKUP(D488,Ingreso!$AW$10:$BC$260,VLOOKUP('cruce '!I488,Ingreso!$AL$11:$AM$260,2,0),0),0)</f>
        <v>0</v>
      </c>
      <c r="N488" t="str">
        <f t="shared" si="37"/>
        <v>OK</v>
      </c>
    </row>
    <row r="489" spans="2:14">
      <c r="C489"/>
      <c r="D489" t="s">
        <v>1439</v>
      </c>
      <c r="E489" t="s">
        <v>4</v>
      </c>
      <c r="F489" s="78">
        <v>0.3125</v>
      </c>
      <c r="G489" s="55">
        <v>0.29541666666666666</v>
      </c>
      <c r="H489" s="55">
        <v>0.63597222222222227</v>
      </c>
      <c r="I489" s="55" t="str">
        <f t="shared" si="34"/>
        <v>10.933.716-1</v>
      </c>
      <c r="J489" s="55">
        <f t="shared" si="35"/>
        <v>0.34055555555555561</v>
      </c>
      <c r="K489" s="93">
        <f t="shared" si="36"/>
        <v>0.67333333333333556</v>
      </c>
      <c r="L489">
        <f>IFERROR(HLOOKUP(D489,Ingreso!$AN$10:$AT$260,VLOOKUP('cruce '!I489,Ingreso!$AL$11:$AM$260,2,0),0),0)</f>
        <v>0</v>
      </c>
      <c r="M489" s="95">
        <f>IFERROR(HLOOKUP(D489,Ingreso!$AW$10:$BC$260,VLOOKUP('cruce '!I489,Ingreso!$AL$11:$AM$260,2,0),0),0)</f>
        <v>0</v>
      </c>
      <c r="N489" t="str">
        <f t="shared" si="37"/>
        <v>OK</v>
      </c>
    </row>
    <row r="490" spans="2:14">
      <c r="B490" t="s">
        <v>542</v>
      </c>
      <c r="C490" t="s">
        <v>544</v>
      </c>
      <c r="D490" t="s">
        <v>1440</v>
      </c>
      <c r="E490" t="s">
        <v>1474</v>
      </c>
      <c r="F490" t="s">
        <v>1472</v>
      </c>
      <c r="G490" s="55">
        <v>0.31119212962962967</v>
      </c>
      <c r="H490" s="55">
        <v>0.6328125</v>
      </c>
      <c r="I490" s="55" t="str">
        <f t="shared" si="34"/>
        <v>10.970.380-K</v>
      </c>
      <c r="J490" s="55">
        <f t="shared" si="35"/>
        <v>0.32162037037037033</v>
      </c>
      <c r="K490" s="93" t="e">
        <f t="shared" si="36"/>
        <v>#VALUE!</v>
      </c>
      <c r="L490">
        <f>IFERROR(HLOOKUP(D490,Ingreso!$AN$10:$AT$260,VLOOKUP('cruce '!I490,Ingreso!$AL$11:$AM$260,2,0),0),0)</f>
        <v>0</v>
      </c>
      <c r="M490" s="95" t="str">
        <f>IFERROR(HLOOKUP(D490,Ingreso!$AW$10:$BC$260,VLOOKUP('cruce '!I490,Ingreso!$AL$11:$AM$260,2,0),0),0)</f>
        <v/>
      </c>
      <c r="N490" t="e">
        <f t="shared" si="37"/>
        <v>#VALUE!</v>
      </c>
    </row>
    <row r="491" spans="2:14">
      <c r="C491"/>
      <c r="D491" t="s">
        <v>1441</v>
      </c>
      <c r="E491" t="s">
        <v>1474</v>
      </c>
      <c r="F491" t="s">
        <v>1472</v>
      </c>
      <c r="G491" s="55">
        <v>0.30807870370370372</v>
      </c>
      <c r="H491" s="55">
        <v>0.63015046296296295</v>
      </c>
      <c r="I491" s="55" t="str">
        <f t="shared" si="34"/>
        <v>10.970.380-K</v>
      </c>
      <c r="J491" s="55">
        <f t="shared" si="35"/>
        <v>0.32207175925925924</v>
      </c>
      <c r="K491" s="93" t="e">
        <f t="shared" si="36"/>
        <v>#VALUE!</v>
      </c>
      <c r="L491">
        <f>IFERROR(HLOOKUP(D491,Ingreso!$AN$10:$AT$260,VLOOKUP('cruce '!I491,Ingreso!$AL$11:$AM$260,2,0),0),0)</f>
        <v>0</v>
      </c>
      <c r="M491" s="95" t="str">
        <f>IFERROR(HLOOKUP(D491,Ingreso!$AW$10:$BC$260,VLOOKUP('cruce '!I491,Ingreso!$AL$11:$AM$260,2,0),0),0)</f>
        <v/>
      </c>
      <c r="N491" t="e">
        <f t="shared" si="37"/>
        <v>#VALUE!</v>
      </c>
    </row>
    <row r="492" spans="2:14">
      <c r="C492"/>
      <c r="D492" t="s">
        <v>1442</v>
      </c>
      <c r="E492" t="s">
        <v>1474</v>
      </c>
      <c r="F492" t="s">
        <v>1472</v>
      </c>
      <c r="G492" s="55">
        <v>0.99612268518518521</v>
      </c>
      <c r="H492" s="55"/>
      <c r="I492" s="55" t="str">
        <f t="shared" si="34"/>
        <v>10.970.380-K</v>
      </c>
      <c r="J492" s="55">
        <f t="shared" si="35"/>
        <v>3.8773148148147918E-3</v>
      </c>
      <c r="K492" s="93" t="e">
        <f t="shared" si="36"/>
        <v>#VALUE!</v>
      </c>
      <c r="L492">
        <f>IFERROR(HLOOKUP(D492,Ingreso!$AN$10:$AT$260,VLOOKUP('cruce '!I492,Ingreso!$AL$11:$AM$260,2,0),0),0)</f>
        <v>0</v>
      </c>
      <c r="M492" s="95">
        <f>IFERROR(HLOOKUP(D492,Ingreso!$AW$10:$BC$260,VLOOKUP('cruce '!I492,Ingreso!$AL$11:$AM$260,2,0),0),0)</f>
        <v>0</v>
      </c>
      <c r="N492" t="e">
        <f t="shared" si="37"/>
        <v>#VALUE!</v>
      </c>
    </row>
    <row r="493" spans="2:14">
      <c r="C493"/>
      <c r="D493" t="s">
        <v>1437</v>
      </c>
      <c r="E493" t="s">
        <v>1474</v>
      </c>
      <c r="F493" t="s">
        <v>1472</v>
      </c>
      <c r="G493" s="55">
        <v>0.30677083333333333</v>
      </c>
      <c r="H493" s="55">
        <v>0.63202546296296302</v>
      </c>
      <c r="I493" s="55" t="str">
        <f t="shared" si="34"/>
        <v>10.970.380-K</v>
      </c>
      <c r="J493" s="55">
        <f t="shared" si="35"/>
        <v>0.3252546296296297</v>
      </c>
      <c r="K493" s="93" t="e">
        <f t="shared" si="36"/>
        <v>#VALUE!</v>
      </c>
      <c r="L493">
        <f>IFERROR(HLOOKUP(D493,Ingreso!$AN$10:$AT$260,VLOOKUP('cruce '!I493,Ingreso!$AL$11:$AM$260,2,0),0),0)</f>
        <v>0</v>
      </c>
      <c r="M493" s="95" t="str">
        <f>IFERROR(HLOOKUP(D493,Ingreso!$AW$10:$BC$260,VLOOKUP('cruce '!I493,Ingreso!$AL$11:$AM$260,2,0),0),0)</f>
        <v/>
      </c>
      <c r="N493" t="e">
        <f t="shared" si="37"/>
        <v>#VALUE!</v>
      </c>
    </row>
    <row r="494" spans="2:14">
      <c r="C494"/>
      <c r="D494" t="s">
        <v>1438</v>
      </c>
      <c r="E494" t="s">
        <v>1474</v>
      </c>
      <c r="F494" t="s">
        <v>1472</v>
      </c>
      <c r="G494" s="55">
        <v>0.30537037037037035</v>
      </c>
      <c r="H494" s="55">
        <v>0.6303009259259259</v>
      </c>
      <c r="I494" s="55" t="str">
        <f t="shared" si="34"/>
        <v>10.970.380-K</v>
      </c>
      <c r="J494" s="55">
        <f t="shared" si="35"/>
        <v>0.32493055555555556</v>
      </c>
      <c r="K494" s="93" t="e">
        <f t="shared" si="36"/>
        <v>#VALUE!</v>
      </c>
      <c r="L494">
        <f>IFERROR(HLOOKUP(D494,Ingreso!$AN$10:$AT$260,VLOOKUP('cruce '!I494,Ingreso!$AL$11:$AM$260,2,0),0),0)</f>
        <v>0</v>
      </c>
      <c r="M494" s="95" t="str">
        <f>IFERROR(HLOOKUP(D494,Ingreso!$AW$10:$BC$260,VLOOKUP('cruce '!I494,Ingreso!$AL$11:$AM$260,2,0),0),0)</f>
        <v/>
      </c>
      <c r="N494" t="e">
        <f t="shared" si="37"/>
        <v>#VALUE!</v>
      </c>
    </row>
    <row r="495" spans="2:14">
      <c r="C495"/>
      <c r="D495" t="s">
        <v>1439</v>
      </c>
      <c r="E495" t="s">
        <v>1474</v>
      </c>
      <c r="F495" t="s">
        <v>1472</v>
      </c>
      <c r="G495" s="55">
        <v>0.30518518518518517</v>
      </c>
      <c r="H495" s="55">
        <v>0.63364583333333335</v>
      </c>
      <c r="I495" s="55" t="str">
        <f t="shared" si="34"/>
        <v>10.970.380-K</v>
      </c>
      <c r="J495" s="55">
        <f t="shared" si="35"/>
        <v>0.32846064814814818</v>
      </c>
      <c r="K495" s="93" t="e">
        <f t="shared" si="36"/>
        <v>#VALUE!</v>
      </c>
      <c r="L495">
        <f>IFERROR(HLOOKUP(D495,Ingreso!$AN$10:$AT$260,VLOOKUP('cruce '!I495,Ingreso!$AL$11:$AM$260,2,0),0),0)</f>
        <v>0</v>
      </c>
      <c r="M495" s="95" t="str">
        <f>IFERROR(HLOOKUP(D495,Ingreso!$AW$10:$BC$260,VLOOKUP('cruce '!I495,Ingreso!$AL$11:$AM$260,2,0),0),0)</f>
        <v/>
      </c>
      <c r="N495" t="e">
        <f t="shared" si="37"/>
        <v>#VALUE!</v>
      </c>
    </row>
    <row r="496" spans="2:14">
      <c r="B496" t="s">
        <v>752</v>
      </c>
      <c r="C496" t="s">
        <v>756</v>
      </c>
      <c r="D496" t="s">
        <v>1440</v>
      </c>
      <c r="E496" t="s">
        <v>4</v>
      </c>
      <c r="F496" s="78">
        <v>0.3125</v>
      </c>
      <c r="G496" s="55">
        <v>0.29024305555555557</v>
      </c>
      <c r="H496" s="55">
        <v>0.63320601851851854</v>
      </c>
      <c r="I496" s="55" t="str">
        <f t="shared" si="34"/>
        <v>11.054.986-5</v>
      </c>
      <c r="J496" s="55">
        <f t="shared" si="35"/>
        <v>0.34296296296296297</v>
      </c>
      <c r="K496" s="93">
        <f t="shared" si="36"/>
        <v>0.73111111111111171</v>
      </c>
      <c r="L496">
        <f>IFERROR(HLOOKUP(D496,Ingreso!$AN$10:$AT$260,VLOOKUP('cruce '!I496,Ingreso!$AL$11:$AM$260,2,0),0),0)</f>
        <v>0</v>
      </c>
      <c r="M496" s="95">
        <f>IFERROR(HLOOKUP(D496,Ingreso!$AW$10:$BC$260,VLOOKUP('cruce '!I496,Ingreso!$AL$11:$AM$260,2,0),0),0)</f>
        <v>0</v>
      </c>
      <c r="N496" t="str">
        <f t="shared" si="37"/>
        <v>OK</v>
      </c>
    </row>
    <row r="497" spans="2:14">
      <c r="C497"/>
      <c r="D497" t="s">
        <v>1441</v>
      </c>
      <c r="E497" t="s">
        <v>4</v>
      </c>
      <c r="F497" s="78">
        <v>0.3125</v>
      </c>
      <c r="G497" s="55">
        <v>0.29873842592592592</v>
      </c>
      <c r="H497" s="55">
        <v>0.63424768518518515</v>
      </c>
      <c r="I497" s="55" t="str">
        <f t="shared" si="34"/>
        <v>11.054.986-5</v>
      </c>
      <c r="J497" s="55">
        <f t="shared" si="35"/>
        <v>0.33550925925925923</v>
      </c>
      <c r="K497" s="93">
        <f t="shared" si="36"/>
        <v>0.5522222222222215</v>
      </c>
      <c r="L497">
        <f>IFERROR(HLOOKUP(D497,Ingreso!$AN$10:$AT$260,VLOOKUP('cruce '!I497,Ingreso!$AL$11:$AM$260,2,0),0),0)</f>
        <v>0</v>
      </c>
      <c r="M497" s="95">
        <f>IFERROR(HLOOKUP(D497,Ingreso!$AW$10:$BC$260,VLOOKUP('cruce '!I497,Ingreso!$AL$11:$AM$260,2,0),0),0)</f>
        <v>0</v>
      </c>
      <c r="N497" t="str">
        <f t="shared" si="37"/>
        <v>OK</v>
      </c>
    </row>
    <row r="498" spans="2:14">
      <c r="C498"/>
      <c r="D498" t="s">
        <v>1438</v>
      </c>
      <c r="E498" t="s">
        <v>4</v>
      </c>
      <c r="F498" s="78">
        <v>0.3125</v>
      </c>
      <c r="G498" s="55">
        <v>0.29461805555555559</v>
      </c>
      <c r="H498" s="55">
        <v>0.62995370370370374</v>
      </c>
      <c r="I498" s="55" t="str">
        <f t="shared" si="34"/>
        <v>11.054.986-5</v>
      </c>
      <c r="J498" s="55">
        <f t="shared" si="35"/>
        <v>0.33533564814814815</v>
      </c>
      <c r="K498" s="93">
        <f t="shared" si="36"/>
        <v>0.54805555555555507</v>
      </c>
      <c r="L498">
        <f>IFERROR(HLOOKUP(D498,Ingreso!$AN$10:$AT$260,VLOOKUP('cruce '!I498,Ingreso!$AL$11:$AM$260,2,0),0),0)</f>
        <v>0</v>
      </c>
      <c r="M498" s="95">
        <f>IFERROR(HLOOKUP(D498,Ingreso!$AW$10:$BC$260,VLOOKUP('cruce '!I498,Ingreso!$AL$11:$AM$260,2,0),0),0)</f>
        <v>0</v>
      </c>
      <c r="N498" t="str">
        <f t="shared" si="37"/>
        <v>OK</v>
      </c>
    </row>
    <row r="499" spans="2:14">
      <c r="C499"/>
      <c r="D499" t="s">
        <v>1439</v>
      </c>
      <c r="E499" t="s">
        <v>4</v>
      </c>
      <c r="F499" s="78">
        <v>0.3125</v>
      </c>
      <c r="G499" s="55">
        <v>0.28835648148148146</v>
      </c>
      <c r="H499" s="55">
        <v>0.63407407407407412</v>
      </c>
      <c r="I499" s="55" t="str">
        <f t="shared" si="34"/>
        <v>11.054.986-5</v>
      </c>
      <c r="J499" s="55">
        <f t="shared" si="35"/>
        <v>0.34571759259259266</v>
      </c>
      <c r="K499" s="93">
        <f t="shared" si="36"/>
        <v>0.79722222222222427</v>
      </c>
      <c r="L499">
        <f>IFERROR(HLOOKUP(D499,Ingreso!$AN$10:$AT$260,VLOOKUP('cruce '!I499,Ingreso!$AL$11:$AM$260,2,0),0),0)</f>
        <v>0</v>
      </c>
      <c r="M499" s="95">
        <f>IFERROR(HLOOKUP(D499,Ingreso!$AW$10:$BC$260,VLOOKUP('cruce '!I499,Ingreso!$AL$11:$AM$260,2,0),0),0)</f>
        <v>0</v>
      </c>
      <c r="N499" t="str">
        <f t="shared" si="37"/>
        <v>OK</v>
      </c>
    </row>
    <row r="500" spans="2:14">
      <c r="B500" t="s">
        <v>1057</v>
      </c>
      <c r="C500" t="s">
        <v>1059</v>
      </c>
      <c r="D500" t="s">
        <v>1440</v>
      </c>
      <c r="E500" t="s">
        <v>4</v>
      </c>
      <c r="F500" s="78">
        <v>0.3125</v>
      </c>
      <c r="G500" s="55">
        <v>0.29681712962962964</v>
      </c>
      <c r="H500" s="55">
        <v>0.63685185185185189</v>
      </c>
      <c r="I500" s="55" t="str">
        <f t="shared" si="34"/>
        <v>11.123.851-0</v>
      </c>
      <c r="J500" s="55">
        <f t="shared" si="35"/>
        <v>0.34003472222222225</v>
      </c>
      <c r="K500" s="93">
        <f t="shared" si="36"/>
        <v>0.66083333333333449</v>
      </c>
      <c r="L500">
        <f>IFERROR(HLOOKUP(D500,Ingreso!$AN$10:$AT$260,VLOOKUP('cruce '!I500,Ingreso!$AL$11:$AM$260,2,0),0),0)</f>
        <v>0</v>
      </c>
      <c r="M500" s="95">
        <f>IFERROR(HLOOKUP(D500,Ingreso!$AW$10:$BC$260,VLOOKUP('cruce '!I500,Ingreso!$AL$11:$AM$260,2,0),0),0)</f>
        <v>0</v>
      </c>
      <c r="N500" t="str">
        <f t="shared" si="37"/>
        <v>OK</v>
      </c>
    </row>
    <row r="501" spans="2:14">
      <c r="C501"/>
      <c r="D501" t="s">
        <v>1441</v>
      </c>
      <c r="E501" t="s">
        <v>4</v>
      </c>
      <c r="F501" s="78">
        <v>0.3125</v>
      </c>
      <c r="G501" s="55">
        <v>0.30628472222222219</v>
      </c>
      <c r="H501" s="55">
        <v>0.63440972222222225</v>
      </c>
      <c r="I501" s="55" t="str">
        <f t="shared" si="34"/>
        <v>11.123.851-0</v>
      </c>
      <c r="J501" s="55">
        <f t="shared" si="35"/>
        <v>0.32812500000000006</v>
      </c>
      <c r="K501" s="93">
        <f t="shared" si="36"/>
        <v>0.37500000000000178</v>
      </c>
      <c r="L501">
        <f>IFERROR(HLOOKUP(D501,Ingreso!$AN$10:$AT$260,VLOOKUP('cruce '!I501,Ingreso!$AL$11:$AM$260,2,0),0),0)</f>
        <v>0</v>
      </c>
      <c r="M501" s="95">
        <f>IFERROR(HLOOKUP(D501,Ingreso!$AW$10:$BC$260,VLOOKUP('cruce '!I501,Ingreso!$AL$11:$AM$260,2,0),0),0)</f>
        <v>0</v>
      </c>
      <c r="N501" t="str">
        <f t="shared" si="37"/>
        <v>OK</v>
      </c>
    </row>
    <row r="502" spans="2:14">
      <c r="C502"/>
      <c r="D502" t="s">
        <v>1437</v>
      </c>
      <c r="E502" t="s">
        <v>4</v>
      </c>
      <c r="F502" s="78">
        <v>0.3125</v>
      </c>
      <c r="G502" s="55">
        <v>0.30290509259259263</v>
      </c>
      <c r="H502" s="55">
        <v>0.6401041666666667</v>
      </c>
      <c r="I502" s="55" t="str">
        <f t="shared" si="34"/>
        <v>11.123.851-0</v>
      </c>
      <c r="J502" s="55">
        <f t="shared" si="35"/>
        <v>0.33719907407407407</v>
      </c>
      <c r="K502" s="93">
        <f t="shared" si="36"/>
        <v>0.59277777777777807</v>
      </c>
      <c r="L502">
        <f>IFERROR(HLOOKUP(D502,Ingreso!$AN$10:$AT$260,VLOOKUP('cruce '!I502,Ingreso!$AL$11:$AM$260,2,0),0),0)</f>
        <v>0</v>
      </c>
      <c r="M502" s="95">
        <f>IFERROR(HLOOKUP(D502,Ingreso!$AW$10:$BC$260,VLOOKUP('cruce '!I502,Ingreso!$AL$11:$AM$260,2,0),0),0)</f>
        <v>0</v>
      </c>
      <c r="N502" t="str">
        <f t="shared" si="37"/>
        <v>OK</v>
      </c>
    </row>
    <row r="503" spans="2:14">
      <c r="C503"/>
      <c r="D503" t="s">
        <v>1438</v>
      </c>
      <c r="E503" t="s">
        <v>4</v>
      </c>
      <c r="F503" s="78">
        <v>0.3125</v>
      </c>
      <c r="G503" s="55">
        <v>0.30770833333333331</v>
      </c>
      <c r="H503" s="55">
        <v>0.63929398148148142</v>
      </c>
      <c r="I503" s="55" t="str">
        <f t="shared" si="34"/>
        <v>11.123.851-0</v>
      </c>
      <c r="J503" s="55">
        <f t="shared" si="35"/>
        <v>0.33158564814814812</v>
      </c>
      <c r="K503" s="93">
        <f t="shared" si="36"/>
        <v>0.45805555555555522</v>
      </c>
      <c r="L503">
        <f>IFERROR(HLOOKUP(D503,Ingreso!$AN$10:$AT$260,VLOOKUP('cruce '!I503,Ingreso!$AL$11:$AM$260,2,0),0),0)</f>
        <v>0</v>
      </c>
      <c r="M503" s="95">
        <f>IFERROR(HLOOKUP(D503,Ingreso!$AW$10:$BC$260,VLOOKUP('cruce '!I503,Ingreso!$AL$11:$AM$260,2,0),0),0)</f>
        <v>0</v>
      </c>
      <c r="N503" t="str">
        <f t="shared" si="37"/>
        <v>OK</v>
      </c>
    </row>
    <row r="504" spans="2:14">
      <c r="C504"/>
      <c r="D504" t="s">
        <v>1439</v>
      </c>
      <c r="E504" t="s">
        <v>4</v>
      </c>
      <c r="F504" s="78">
        <v>0.3125</v>
      </c>
      <c r="G504" s="55">
        <v>0.29546296296296298</v>
      </c>
      <c r="H504" s="55">
        <v>0.63704861111111111</v>
      </c>
      <c r="I504" s="55" t="str">
        <f t="shared" si="34"/>
        <v>11.123.851-0</v>
      </c>
      <c r="J504" s="55">
        <f t="shared" si="35"/>
        <v>0.34158564814814812</v>
      </c>
      <c r="K504" s="93">
        <f t="shared" si="36"/>
        <v>0.69805555555555543</v>
      </c>
      <c r="L504">
        <f>IFERROR(HLOOKUP(D504,Ingreso!$AN$10:$AT$260,VLOOKUP('cruce '!I504,Ingreso!$AL$11:$AM$260,2,0),0),0)</f>
        <v>0</v>
      </c>
      <c r="M504" s="95">
        <f>IFERROR(HLOOKUP(D504,Ingreso!$AW$10:$BC$260,VLOOKUP('cruce '!I504,Ingreso!$AL$11:$AM$260,2,0),0),0)</f>
        <v>0</v>
      </c>
      <c r="N504" t="str">
        <f t="shared" si="37"/>
        <v>OK</v>
      </c>
    </row>
    <row r="505" spans="2:14">
      <c r="B505" t="s">
        <v>670</v>
      </c>
      <c r="C505" t="s">
        <v>673</v>
      </c>
      <c r="D505" t="s">
        <v>1440</v>
      </c>
      <c r="E505" t="s">
        <v>1474</v>
      </c>
      <c r="F505" t="s">
        <v>1472</v>
      </c>
      <c r="G505" s="55">
        <v>0.29422453703703705</v>
      </c>
      <c r="H505" s="55">
        <v>0.63923611111111112</v>
      </c>
      <c r="I505" s="55" t="str">
        <f t="shared" si="34"/>
        <v>11.124.307-7</v>
      </c>
      <c r="J505" s="55">
        <f t="shared" si="35"/>
        <v>0.34501157407407407</v>
      </c>
      <c r="K505" s="93" t="e">
        <f t="shared" si="36"/>
        <v>#VALUE!</v>
      </c>
      <c r="L505">
        <f>IFERROR(HLOOKUP(D505,Ingreso!$AN$10:$AT$260,VLOOKUP('cruce '!I505,Ingreso!$AL$11:$AM$260,2,0),0),0)</f>
        <v>0</v>
      </c>
      <c r="M505" s="95" t="str">
        <f>IFERROR(HLOOKUP(D505,Ingreso!$AW$10:$BC$260,VLOOKUP('cruce '!I505,Ingreso!$AL$11:$AM$260,2,0),0),0)</f>
        <v/>
      </c>
      <c r="N505" t="e">
        <f t="shared" si="37"/>
        <v>#VALUE!</v>
      </c>
    </row>
    <row r="506" spans="2:14">
      <c r="C506"/>
      <c r="D506" t="s">
        <v>1441</v>
      </c>
      <c r="E506" t="s">
        <v>1474</v>
      </c>
      <c r="F506" t="s">
        <v>1472</v>
      </c>
      <c r="G506" s="55">
        <v>0.29488425925925926</v>
      </c>
      <c r="H506" s="55">
        <v>0.63952546296296298</v>
      </c>
      <c r="I506" s="55" t="str">
        <f t="shared" si="34"/>
        <v>11.124.307-7</v>
      </c>
      <c r="J506" s="55">
        <f t="shared" si="35"/>
        <v>0.34464120370370371</v>
      </c>
      <c r="K506" s="93" t="e">
        <f t="shared" si="36"/>
        <v>#VALUE!</v>
      </c>
      <c r="L506">
        <f>IFERROR(HLOOKUP(D506,Ingreso!$AN$10:$AT$260,VLOOKUP('cruce '!I506,Ingreso!$AL$11:$AM$260,2,0),0),0)</f>
        <v>0</v>
      </c>
      <c r="M506" s="95" t="str">
        <f>IFERROR(HLOOKUP(D506,Ingreso!$AW$10:$BC$260,VLOOKUP('cruce '!I506,Ingreso!$AL$11:$AM$260,2,0),0),0)</f>
        <v/>
      </c>
      <c r="N506" t="e">
        <f t="shared" si="37"/>
        <v>#VALUE!</v>
      </c>
    </row>
    <row r="507" spans="2:14">
      <c r="C507"/>
      <c r="D507" t="s">
        <v>1437</v>
      </c>
      <c r="E507" t="s">
        <v>1474</v>
      </c>
      <c r="F507" t="s">
        <v>1472</v>
      </c>
      <c r="G507" s="55">
        <v>0.28890046296296296</v>
      </c>
      <c r="H507" s="55">
        <v>0.64091435185185186</v>
      </c>
      <c r="I507" s="55" t="str">
        <f t="shared" si="34"/>
        <v>11.124.307-7</v>
      </c>
      <c r="J507" s="55">
        <f t="shared" si="35"/>
        <v>0.3520138888888889</v>
      </c>
      <c r="K507" s="93" t="e">
        <f t="shared" si="36"/>
        <v>#VALUE!</v>
      </c>
      <c r="L507">
        <f>IFERROR(HLOOKUP(D507,Ingreso!$AN$10:$AT$260,VLOOKUP('cruce '!I507,Ingreso!$AL$11:$AM$260,2,0),0),0)</f>
        <v>0</v>
      </c>
      <c r="M507" s="95" t="str">
        <f>IFERROR(HLOOKUP(D507,Ingreso!$AW$10:$BC$260,VLOOKUP('cruce '!I507,Ingreso!$AL$11:$AM$260,2,0),0),0)</f>
        <v/>
      </c>
      <c r="N507" t="e">
        <f t="shared" si="37"/>
        <v>#VALUE!</v>
      </c>
    </row>
    <row r="508" spans="2:14">
      <c r="C508"/>
      <c r="D508" t="s">
        <v>1438</v>
      </c>
      <c r="E508" t="s">
        <v>1474</v>
      </c>
      <c r="F508" t="s">
        <v>1472</v>
      </c>
      <c r="G508" s="55">
        <v>0.29042824074074075</v>
      </c>
      <c r="H508" s="55">
        <v>0.63567129629629626</v>
      </c>
      <c r="I508" s="55" t="str">
        <f t="shared" si="34"/>
        <v>11.124.307-7</v>
      </c>
      <c r="J508" s="55">
        <f t="shared" si="35"/>
        <v>0.34524305555555551</v>
      </c>
      <c r="K508" s="93" t="e">
        <f t="shared" si="36"/>
        <v>#VALUE!</v>
      </c>
      <c r="L508">
        <f>IFERROR(HLOOKUP(D508,Ingreso!$AN$10:$AT$260,VLOOKUP('cruce '!I508,Ingreso!$AL$11:$AM$260,2,0),0),0)</f>
        <v>0</v>
      </c>
      <c r="M508" s="95" t="str">
        <f>IFERROR(HLOOKUP(D508,Ingreso!$AW$10:$BC$260,VLOOKUP('cruce '!I508,Ingreso!$AL$11:$AM$260,2,0),0),0)</f>
        <v/>
      </c>
      <c r="N508" t="e">
        <f t="shared" si="37"/>
        <v>#VALUE!</v>
      </c>
    </row>
    <row r="509" spans="2:14">
      <c r="C509"/>
      <c r="D509" t="s">
        <v>1439</v>
      </c>
      <c r="E509" t="s">
        <v>1474</v>
      </c>
      <c r="F509" t="s">
        <v>1472</v>
      </c>
      <c r="G509" s="55">
        <v>0.28864583333333332</v>
      </c>
      <c r="H509" s="55">
        <v>0.6395601851851852</v>
      </c>
      <c r="I509" s="55" t="str">
        <f t="shared" si="34"/>
        <v>11.124.307-7</v>
      </c>
      <c r="J509" s="55">
        <f t="shared" si="35"/>
        <v>0.35091435185185188</v>
      </c>
      <c r="K509" s="93" t="e">
        <f t="shared" si="36"/>
        <v>#VALUE!</v>
      </c>
      <c r="L509">
        <f>IFERROR(HLOOKUP(D509,Ingreso!$AN$10:$AT$260,VLOOKUP('cruce '!I509,Ingreso!$AL$11:$AM$260,2,0),0),0)</f>
        <v>0</v>
      </c>
      <c r="M509" s="95" t="str">
        <f>IFERROR(HLOOKUP(D509,Ingreso!$AW$10:$BC$260,VLOOKUP('cruce '!I509,Ingreso!$AL$11:$AM$260,2,0),0),0)</f>
        <v/>
      </c>
      <c r="N509" t="e">
        <f t="shared" si="37"/>
        <v>#VALUE!</v>
      </c>
    </row>
    <row r="510" spans="2:14">
      <c r="B510" t="s">
        <v>356</v>
      </c>
      <c r="C510" t="s">
        <v>360</v>
      </c>
      <c r="D510" t="s">
        <v>1440</v>
      </c>
      <c r="E510" t="s">
        <v>1474</v>
      </c>
      <c r="F510" t="s">
        <v>1472</v>
      </c>
      <c r="G510" s="55">
        <v>0.29039351851851852</v>
      </c>
      <c r="H510" s="55">
        <v>0.77141203703703709</v>
      </c>
      <c r="I510" s="55" t="str">
        <f t="shared" si="34"/>
        <v>11.267.594-9</v>
      </c>
      <c r="J510" s="55">
        <f t="shared" si="35"/>
        <v>0.48101851851851857</v>
      </c>
      <c r="K510" s="93" t="e">
        <f t="shared" si="36"/>
        <v>#VALUE!</v>
      </c>
      <c r="L510">
        <f>IFERROR(HLOOKUP(D510,Ingreso!$AN$10:$AT$260,VLOOKUP('cruce '!I510,Ingreso!$AL$11:$AM$260,2,0),0),0)</f>
        <v>0</v>
      </c>
      <c r="M510" s="95" t="str">
        <f>IFERROR(HLOOKUP(D510,Ingreso!$AW$10:$BC$260,VLOOKUP('cruce '!I510,Ingreso!$AL$11:$AM$260,2,0),0),0)</f>
        <v/>
      </c>
      <c r="N510" t="e">
        <f t="shared" si="37"/>
        <v>#VALUE!</v>
      </c>
    </row>
    <row r="511" spans="2:14">
      <c r="C511"/>
      <c r="D511" t="s">
        <v>1437</v>
      </c>
      <c r="E511" t="s">
        <v>1474</v>
      </c>
      <c r="F511" t="s">
        <v>1472</v>
      </c>
      <c r="G511" s="55">
        <v>0.29106481481481478</v>
      </c>
      <c r="H511" s="55">
        <v>0.81244212962962958</v>
      </c>
      <c r="I511" s="55" t="str">
        <f t="shared" ref="I511:I574" si="38">IF(B511="",I510,B511)</f>
        <v>11.267.594-9</v>
      </c>
      <c r="J511" s="55">
        <f t="shared" ref="J511:J574" si="39">IF(G511&gt;H511,(H511+0.5)-(G511-0.5),H511-G511)</f>
        <v>0.52137731481481486</v>
      </c>
      <c r="K511" s="93" t="e">
        <f t="shared" ref="K511:K574" si="40">(J511*24)-(F511*24)</f>
        <v>#VALUE!</v>
      </c>
      <c r="L511">
        <f>IFERROR(HLOOKUP(D511,Ingreso!$AN$10:$AT$260,VLOOKUP('cruce '!I511,Ingreso!$AL$11:$AM$260,2,0),0),0)</f>
        <v>2</v>
      </c>
      <c r="M511" s="95">
        <f>IFERROR(HLOOKUP(D511,Ingreso!$AW$10:$BC$260,VLOOKUP('cruce '!I511,Ingreso!$AL$11:$AM$260,2,0),0),0)</f>
        <v>0.5</v>
      </c>
      <c r="N511" t="e">
        <f t="shared" ref="N511:N574" si="41">IF((K511-L511)&gt;1,"Revisar",IF((K511-L511)&lt;-1,"Revisar","OK"))</f>
        <v>#VALUE!</v>
      </c>
    </row>
    <row r="512" spans="2:14">
      <c r="C512"/>
      <c r="D512" t="s">
        <v>1438</v>
      </c>
      <c r="E512" t="s">
        <v>1474</v>
      </c>
      <c r="F512" t="s">
        <v>1472</v>
      </c>
      <c r="G512" s="55">
        <v>0.2900578703703704</v>
      </c>
      <c r="H512" s="55">
        <v>0.73548611111111117</v>
      </c>
      <c r="I512" s="55" t="str">
        <f t="shared" si="38"/>
        <v>11.267.594-9</v>
      </c>
      <c r="J512" s="55">
        <f t="shared" si="39"/>
        <v>0.44542824074074078</v>
      </c>
      <c r="K512" s="93" t="e">
        <f t="shared" si="40"/>
        <v>#VALUE!</v>
      </c>
      <c r="L512">
        <f>IFERROR(HLOOKUP(D512,Ingreso!$AN$10:$AT$260,VLOOKUP('cruce '!I512,Ingreso!$AL$11:$AM$260,2,0),0),0)</f>
        <v>0</v>
      </c>
      <c r="M512" s="95" t="str">
        <f>IFERROR(HLOOKUP(D512,Ingreso!$AW$10:$BC$260,VLOOKUP('cruce '!I512,Ingreso!$AL$11:$AM$260,2,0),0),0)</f>
        <v/>
      </c>
      <c r="N512" t="e">
        <f t="shared" si="41"/>
        <v>#VALUE!</v>
      </c>
    </row>
    <row r="513" spans="2:14">
      <c r="C513"/>
      <c r="D513" t="s">
        <v>1439</v>
      </c>
      <c r="E513" t="s">
        <v>1474</v>
      </c>
      <c r="F513" t="s">
        <v>1472</v>
      </c>
      <c r="G513" s="55">
        <v>0.29413194444444446</v>
      </c>
      <c r="H513" s="55">
        <v>0.79341435185185183</v>
      </c>
      <c r="I513" s="55" t="str">
        <f t="shared" si="38"/>
        <v>11.267.594-9</v>
      </c>
      <c r="J513" s="55">
        <f t="shared" si="39"/>
        <v>0.49928240740740737</v>
      </c>
      <c r="K513" s="93" t="e">
        <f t="shared" si="40"/>
        <v>#VALUE!</v>
      </c>
      <c r="L513">
        <f>IFERROR(HLOOKUP(D513,Ingreso!$AN$10:$AT$260,VLOOKUP('cruce '!I513,Ingreso!$AL$11:$AM$260,2,0),0),0)</f>
        <v>2</v>
      </c>
      <c r="M513" s="95">
        <f>IFERROR(HLOOKUP(D513,Ingreso!$AW$10:$BC$260,VLOOKUP('cruce '!I513,Ingreso!$AL$11:$AM$260,2,0),0),0)</f>
        <v>0.5</v>
      </c>
      <c r="N513" t="e">
        <f t="shared" si="41"/>
        <v>#VALUE!</v>
      </c>
    </row>
    <row r="514" spans="2:14">
      <c r="B514" t="s">
        <v>1342</v>
      </c>
      <c r="C514" t="s">
        <v>1344</v>
      </c>
      <c r="D514" t="s">
        <v>1440</v>
      </c>
      <c r="E514" t="s">
        <v>1321</v>
      </c>
      <c r="F514" s="78">
        <v>0.3125</v>
      </c>
      <c r="G514" s="55">
        <v>0.61604166666666671</v>
      </c>
      <c r="H514" s="55">
        <v>0.9409143518518519</v>
      </c>
      <c r="I514" s="55" t="str">
        <f t="shared" si="38"/>
        <v>11.267.622-8</v>
      </c>
      <c r="J514" s="55">
        <f t="shared" si="39"/>
        <v>0.32487268518518519</v>
      </c>
      <c r="K514" s="93">
        <f t="shared" si="40"/>
        <v>0.29694444444444468</v>
      </c>
      <c r="L514">
        <f>IFERROR(HLOOKUP(D514,Ingreso!$AN$10:$AT$260,VLOOKUP('cruce '!I514,Ingreso!$AL$11:$AM$260,2,0),0),0)</f>
        <v>0</v>
      </c>
      <c r="M514" s="95" t="str">
        <f>IFERROR(HLOOKUP(D514,Ingreso!$AW$10:$BC$260,VLOOKUP('cruce '!I514,Ingreso!$AL$11:$AM$260,2,0),0),0)</f>
        <v/>
      </c>
      <c r="N514" t="str">
        <f t="shared" si="41"/>
        <v>OK</v>
      </c>
    </row>
    <row r="515" spans="2:14">
      <c r="C515"/>
      <c r="D515" t="s">
        <v>1441</v>
      </c>
      <c r="E515" t="s">
        <v>1321</v>
      </c>
      <c r="F515" s="78">
        <v>0.3125</v>
      </c>
      <c r="G515" s="55">
        <v>0.61327546296296298</v>
      </c>
      <c r="H515" s="55">
        <v>0.93738425925925928</v>
      </c>
      <c r="I515" s="55" t="str">
        <f t="shared" si="38"/>
        <v>11.267.622-8</v>
      </c>
      <c r="J515" s="55">
        <f t="shared" si="39"/>
        <v>0.3241087962962963</v>
      </c>
      <c r="K515" s="93">
        <f t="shared" si="40"/>
        <v>0.27861111111111114</v>
      </c>
      <c r="L515">
        <f>IFERROR(HLOOKUP(D515,Ingreso!$AN$10:$AT$260,VLOOKUP('cruce '!I515,Ingreso!$AL$11:$AM$260,2,0),0),0)</f>
        <v>0</v>
      </c>
      <c r="M515" s="95" t="str">
        <f>IFERROR(HLOOKUP(D515,Ingreso!$AW$10:$BC$260,VLOOKUP('cruce '!I515,Ingreso!$AL$11:$AM$260,2,0),0),0)</f>
        <v/>
      </c>
      <c r="N515" t="str">
        <f t="shared" si="41"/>
        <v>OK</v>
      </c>
    </row>
    <row r="516" spans="2:14">
      <c r="C516"/>
      <c r="D516" t="s">
        <v>1437</v>
      </c>
      <c r="E516" t="s">
        <v>1321</v>
      </c>
      <c r="F516" s="78">
        <v>0.3125</v>
      </c>
      <c r="G516" s="55">
        <v>0.62012731481481487</v>
      </c>
      <c r="H516" s="55">
        <v>0.93422453703703701</v>
      </c>
      <c r="I516" s="55" t="str">
        <f t="shared" si="38"/>
        <v>11.267.622-8</v>
      </c>
      <c r="J516" s="55">
        <f t="shared" si="39"/>
        <v>0.31409722222222214</v>
      </c>
      <c r="K516" s="93">
        <f t="shared" si="40"/>
        <v>3.8333333333331332E-2</v>
      </c>
      <c r="L516">
        <f>IFERROR(HLOOKUP(D516,Ingreso!$AN$10:$AT$260,VLOOKUP('cruce '!I516,Ingreso!$AL$11:$AM$260,2,0),0),0)</f>
        <v>0</v>
      </c>
      <c r="M516" s="95" t="str">
        <f>IFERROR(HLOOKUP(D516,Ingreso!$AW$10:$BC$260,VLOOKUP('cruce '!I516,Ingreso!$AL$11:$AM$260,2,0),0),0)</f>
        <v/>
      </c>
      <c r="N516" t="str">
        <f t="shared" si="41"/>
        <v>OK</v>
      </c>
    </row>
    <row r="517" spans="2:14">
      <c r="C517"/>
      <c r="D517" t="s">
        <v>1439</v>
      </c>
      <c r="E517" t="s">
        <v>1321</v>
      </c>
      <c r="F517" s="78">
        <v>0.3125</v>
      </c>
      <c r="G517" s="55">
        <v>0.61343749999999997</v>
      </c>
      <c r="H517" s="55">
        <v>0.94113425925925931</v>
      </c>
      <c r="I517" s="55" t="str">
        <f t="shared" si="38"/>
        <v>11.267.622-8</v>
      </c>
      <c r="J517" s="55">
        <f t="shared" si="39"/>
        <v>0.32769675925925934</v>
      </c>
      <c r="K517" s="93">
        <f t="shared" si="40"/>
        <v>0.36472222222222417</v>
      </c>
      <c r="L517">
        <f>IFERROR(HLOOKUP(D517,Ingreso!$AN$10:$AT$260,VLOOKUP('cruce '!I517,Ingreso!$AL$11:$AM$260,2,0),0),0)</f>
        <v>0</v>
      </c>
      <c r="M517" s="95" t="str">
        <f>IFERROR(HLOOKUP(D517,Ingreso!$AW$10:$BC$260,VLOOKUP('cruce '!I517,Ingreso!$AL$11:$AM$260,2,0),0),0)</f>
        <v/>
      </c>
      <c r="N517" t="str">
        <f t="shared" si="41"/>
        <v>OK</v>
      </c>
    </row>
    <row r="518" spans="2:14">
      <c r="B518" t="s">
        <v>277</v>
      </c>
      <c r="C518" t="s">
        <v>280</v>
      </c>
      <c r="D518" t="s">
        <v>1440</v>
      </c>
      <c r="E518" t="s">
        <v>1321</v>
      </c>
      <c r="F518" s="78">
        <v>0.3125</v>
      </c>
      <c r="G518" s="55">
        <v>0.60893518518518519</v>
      </c>
      <c r="H518" s="55">
        <v>0.95391203703703698</v>
      </c>
      <c r="I518" s="55" t="str">
        <f t="shared" si="38"/>
        <v>11.268.136-1</v>
      </c>
      <c r="J518" s="55">
        <f t="shared" si="39"/>
        <v>0.34497685185185178</v>
      </c>
      <c r="K518" s="93">
        <f t="shared" si="40"/>
        <v>0.77944444444444372</v>
      </c>
      <c r="L518">
        <f>IFERROR(HLOOKUP(D518,Ingreso!$AN$10:$AT$260,VLOOKUP('cruce '!I518,Ingreso!$AL$11:$AM$260,2,0),0),0)</f>
        <v>0</v>
      </c>
      <c r="M518" s="95">
        <f>IFERROR(HLOOKUP(D518,Ingreso!$AW$10:$BC$260,VLOOKUP('cruce '!I518,Ingreso!$AL$11:$AM$260,2,0),0),0)</f>
        <v>0</v>
      </c>
      <c r="N518" t="str">
        <f t="shared" si="41"/>
        <v>OK</v>
      </c>
    </row>
    <row r="519" spans="2:14">
      <c r="C519"/>
      <c r="D519" t="s">
        <v>1441</v>
      </c>
      <c r="E519" t="s">
        <v>1321</v>
      </c>
      <c r="F519" s="78">
        <v>0.3125</v>
      </c>
      <c r="G519" s="55">
        <v>0.60930555555555554</v>
      </c>
      <c r="H519" s="55">
        <v>0.94797453703703705</v>
      </c>
      <c r="I519" s="55" t="str">
        <f t="shared" si="38"/>
        <v>11.268.136-1</v>
      </c>
      <c r="J519" s="55">
        <f t="shared" si="39"/>
        <v>0.3386689814814815</v>
      </c>
      <c r="K519" s="93">
        <f t="shared" si="40"/>
        <v>0.62805555555555515</v>
      </c>
      <c r="L519">
        <f>IFERROR(HLOOKUP(D519,Ingreso!$AN$10:$AT$260,VLOOKUP('cruce '!I519,Ingreso!$AL$11:$AM$260,2,0),0),0)</f>
        <v>0</v>
      </c>
      <c r="M519" s="95">
        <f>IFERROR(HLOOKUP(D519,Ingreso!$AW$10:$BC$260,VLOOKUP('cruce '!I519,Ingreso!$AL$11:$AM$260,2,0),0),0)</f>
        <v>0</v>
      </c>
      <c r="N519" t="str">
        <f t="shared" si="41"/>
        <v>OK</v>
      </c>
    </row>
    <row r="520" spans="2:14">
      <c r="C520"/>
      <c r="D520" t="s">
        <v>1437</v>
      </c>
      <c r="E520" t="s">
        <v>1321</v>
      </c>
      <c r="F520" s="78">
        <v>0.3125</v>
      </c>
      <c r="G520" s="55">
        <v>0.60651620370370374</v>
      </c>
      <c r="H520" s="55">
        <v>0.94586805555555553</v>
      </c>
      <c r="I520" s="55" t="str">
        <f t="shared" si="38"/>
        <v>11.268.136-1</v>
      </c>
      <c r="J520" s="55">
        <f t="shared" si="39"/>
        <v>0.33935185185185179</v>
      </c>
      <c r="K520" s="93">
        <f t="shared" si="40"/>
        <v>0.64444444444444215</v>
      </c>
      <c r="L520">
        <f>IFERROR(HLOOKUP(D520,Ingreso!$AN$10:$AT$260,VLOOKUP('cruce '!I520,Ingreso!$AL$11:$AM$260,2,0),0),0)</f>
        <v>0</v>
      </c>
      <c r="M520" s="95">
        <f>IFERROR(HLOOKUP(D520,Ingreso!$AW$10:$BC$260,VLOOKUP('cruce '!I520,Ingreso!$AL$11:$AM$260,2,0),0),0)</f>
        <v>0</v>
      </c>
      <c r="N520" t="str">
        <f t="shared" si="41"/>
        <v>OK</v>
      </c>
    </row>
    <row r="521" spans="2:14">
      <c r="C521"/>
      <c r="D521" t="s">
        <v>1438</v>
      </c>
      <c r="E521" t="s">
        <v>1321</v>
      </c>
      <c r="F521" s="78">
        <v>0.3125</v>
      </c>
      <c r="G521" s="55">
        <v>0.60966435185185186</v>
      </c>
      <c r="H521" s="55">
        <v>0.94906250000000003</v>
      </c>
      <c r="I521" s="55" t="str">
        <f t="shared" si="38"/>
        <v>11.268.136-1</v>
      </c>
      <c r="J521" s="55">
        <f t="shared" si="39"/>
        <v>0.33939814814814817</v>
      </c>
      <c r="K521" s="93">
        <f t="shared" si="40"/>
        <v>0.64555555555555699</v>
      </c>
      <c r="L521">
        <f>IFERROR(HLOOKUP(D521,Ingreso!$AN$10:$AT$260,VLOOKUP('cruce '!I521,Ingreso!$AL$11:$AM$260,2,0),0),0)</f>
        <v>0</v>
      </c>
      <c r="M521" s="95">
        <f>IFERROR(HLOOKUP(D521,Ingreso!$AW$10:$BC$260,VLOOKUP('cruce '!I521,Ingreso!$AL$11:$AM$260,2,0),0),0)</f>
        <v>0</v>
      </c>
      <c r="N521" t="str">
        <f t="shared" si="41"/>
        <v>OK</v>
      </c>
    </row>
    <row r="522" spans="2:14">
      <c r="C522"/>
      <c r="D522" t="s">
        <v>1439</v>
      </c>
      <c r="E522" t="s">
        <v>1321</v>
      </c>
      <c r="F522" s="78">
        <v>0.3125</v>
      </c>
      <c r="G522" s="55">
        <v>0.60802083333333334</v>
      </c>
      <c r="H522" s="55">
        <v>0.94821759259259253</v>
      </c>
      <c r="I522" s="55" t="str">
        <f t="shared" si="38"/>
        <v>11.268.136-1</v>
      </c>
      <c r="J522" s="55">
        <f t="shared" si="39"/>
        <v>0.34019675925925918</v>
      </c>
      <c r="K522" s="93">
        <f t="shared" si="40"/>
        <v>0.66472222222222044</v>
      </c>
      <c r="L522">
        <f>IFERROR(HLOOKUP(D522,Ingreso!$AN$10:$AT$260,VLOOKUP('cruce '!I522,Ingreso!$AL$11:$AM$260,2,0),0),0)</f>
        <v>0</v>
      </c>
      <c r="M522" s="95">
        <f>IFERROR(HLOOKUP(D522,Ingreso!$AW$10:$BC$260,VLOOKUP('cruce '!I522,Ingreso!$AL$11:$AM$260,2,0),0),0)</f>
        <v>0</v>
      </c>
      <c r="N522" t="str">
        <f t="shared" si="41"/>
        <v>OK</v>
      </c>
    </row>
    <row r="523" spans="2:14">
      <c r="B523" t="s">
        <v>572</v>
      </c>
      <c r="C523" t="s">
        <v>576</v>
      </c>
      <c r="D523" t="s">
        <v>1440</v>
      </c>
      <c r="E523" t="s">
        <v>1321</v>
      </c>
      <c r="F523" s="78">
        <v>0.3125</v>
      </c>
      <c r="G523" s="55">
        <v>0.56554398148148144</v>
      </c>
      <c r="H523" s="55">
        <v>0.94045138888888891</v>
      </c>
      <c r="I523" s="55" t="str">
        <f t="shared" si="38"/>
        <v>11.306.351-3</v>
      </c>
      <c r="J523" s="55">
        <f t="shared" si="39"/>
        <v>0.37490740740740747</v>
      </c>
      <c r="K523" s="93">
        <f t="shared" si="40"/>
        <v>1.4977777777777792</v>
      </c>
      <c r="L523">
        <f>IFERROR(HLOOKUP(D523,Ingreso!$AN$10:$AT$260,VLOOKUP('cruce '!I523,Ingreso!$AL$11:$AM$260,2,0),0),0)</f>
        <v>0</v>
      </c>
      <c r="M523" s="95" t="str">
        <f>IFERROR(HLOOKUP(D523,Ingreso!$AW$10:$BC$260,VLOOKUP('cruce '!I523,Ingreso!$AL$11:$AM$260,2,0),0),0)</f>
        <v/>
      </c>
      <c r="N523" t="str">
        <f t="shared" si="41"/>
        <v>Revisar</v>
      </c>
    </row>
    <row r="524" spans="2:14">
      <c r="C524"/>
      <c r="D524" t="s">
        <v>1441</v>
      </c>
      <c r="E524" t="s">
        <v>1321</v>
      </c>
      <c r="F524" s="78">
        <v>0.3125</v>
      </c>
      <c r="G524" s="55">
        <v>0.5761574074074074</v>
      </c>
      <c r="H524" s="55">
        <v>0.86179398148148145</v>
      </c>
      <c r="I524" s="55" t="str">
        <f t="shared" si="38"/>
        <v>11.306.351-3</v>
      </c>
      <c r="J524" s="55">
        <f t="shared" si="39"/>
        <v>0.28563657407407406</v>
      </c>
      <c r="K524" s="93">
        <f t="shared" si="40"/>
        <v>-0.64472222222222264</v>
      </c>
      <c r="L524">
        <f>IFERROR(HLOOKUP(D524,Ingreso!$AN$10:$AT$260,VLOOKUP('cruce '!I524,Ingreso!$AL$11:$AM$260,2,0),0),0)</f>
        <v>0</v>
      </c>
      <c r="M524" s="95" t="str">
        <f>IFERROR(HLOOKUP(D524,Ingreso!$AW$10:$BC$260,VLOOKUP('cruce '!I524,Ingreso!$AL$11:$AM$260,2,0),0),0)</f>
        <v/>
      </c>
      <c r="N524" t="str">
        <f t="shared" si="41"/>
        <v>OK</v>
      </c>
    </row>
    <row r="525" spans="2:14">
      <c r="C525"/>
      <c r="D525" t="s">
        <v>1437</v>
      </c>
      <c r="E525" t="s">
        <v>1321</v>
      </c>
      <c r="F525" s="78">
        <v>0.3125</v>
      </c>
      <c r="G525" s="55">
        <v>0.58234953703703707</v>
      </c>
      <c r="H525" s="55">
        <v>0.9518402777777778</v>
      </c>
      <c r="I525" s="55" t="str">
        <f t="shared" si="38"/>
        <v>11.306.351-3</v>
      </c>
      <c r="J525" s="55">
        <f t="shared" si="39"/>
        <v>0.36949074074074073</v>
      </c>
      <c r="K525" s="93">
        <f t="shared" si="40"/>
        <v>1.3677777777777784</v>
      </c>
      <c r="L525">
        <f>IFERROR(HLOOKUP(D525,Ingreso!$AN$10:$AT$260,VLOOKUP('cruce '!I525,Ingreso!$AL$11:$AM$260,2,0),0),0)</f>
        <v>0</v>
      </c>
      <c r="M525" s="95" t="str">
        <f>IFERROR(HLOOKUP(D525,Ingreso!$AW$10:$BC$260,VLOOKUP('cruce '!I525,Ingreso!$AL$11:$AM$260,2,0),0),0)</f>
        <v/>
      </c>
      <c r="N525" t="str">
        <f t="shared" si="41"/>
        <v>Revisar</v>
      </c>
    </row>
    <row r="526" spans="2:14">
      <c r="C526"/>
      <c r="D526" t="s">
        <v>1438</v>
      </c>
      <c r="E526" t="s">
        <v>1321</v>
      </c>
      <c r="F526" s="78">
        <v>0.3125</v>
      </c>
      <c r="G526" s="55">
        <v>0.57900462962962962</v>
      </c>
      <c r="H526" s="55">
        <v>0.94336805555555558</v>
      </c>
      <c r="I526" s="55" t="str">
        <f t="shared" si="38"/>
        <v>11.306.351-3</v>
      </c>
      <c r="J526" s="55">
        <f t="shared" si="39"/>
        <v>0.36436342592592597</v>
      </c>
      <c r="K526" s="93">
        <f t="shared" si="40"/>
        <v>1.2447222222222223</v>
      </c>
      <c r="L526">
        <f>IFERROR(HLOOKUP(D526,Ingreso!$AN$10:$AT$260,VLOOKUP('cruce '!I526,Ingreso!$AL$11:$AM$260,2,0),0),0)</f>
        <v>0</v>
      </c>
      <c r="M526" s="95" t="str">
        <f>IFERROR(HLOOKUP(D526,Ingreso!$AW$10:$BC$260,VLOOKUP('cruce '!I526,Ingreso!$AL$11:$AM$260,2,0),0),0)</f>
        <v/>
      </c>
      <c r="N526" t="str">
        <f t="shared" si="41"/>
        <v>Revisar</v>
      </c>
    </row>
    <row r="527" spans="2:14">
      <c r="C527"/>
      <c r="D527" t="s">
        <v>1439</v>
      </c>
      <c r="E527" t="s">
        <v>1321</v>
      </c>
      <c r="F527" s="78">
        <v>0.3125</v>
      </c>
      <c r="G527" s="55">
        <v>0.56880787037037039</v>
      </c>
      <c r="H527" s="55">
        <v>0.94412037037037033</v>
      </c>
      <c r="I527" s="55" t="str">
        <f t="shared" si="38"/>
        <v>11.306.351-3</v>
      </c>
      <c r="J527" s="55">
        <f t="shared" si="39"/>
        <v>0.37531249999999994</v>
      </c>
      <c r="K527" s="93">
        <f t="shared" si="40"/>
        <v>1.5074999999999985</v>
      </c>
      <c r="L527">
        <f>IFERROR(HLOOKUP(D527,Ingreso!$AN$10:$AT$260,VLOOKUP('cruce '!I527,Ingreso!$AL$11:$AM$260,2,0),0),0)</f>
        <v>0</v>
      </c>
      <c r="M527" s="95" t="str">
        <f>IFERROR(HLOOKUP(D527,Ingreso!$AW$10:$BC$260,VLOOKUP('cruce '!I527,Ingreso!$AL$11:$AM$260,2,0),0),0)</f>
        <v/>
      </c>
      <c r="N527" t="str">
        <f t="shared" si="41"/>
        <v>Revisar</v>
      </c>
    </row>
    <row r="528" spans="2:14">
      <c r="B528" t="s">
        <v>131</v>
      </c>
      <c r="C528" t="s">
        <v>134</v>
      </c>
      <c r="D528" t="s">
        <v>1440</v>
      </c>
      <c r="E528" t="s">
        <v>1474</v>
      </c>
      <c r="F528" t="s">
        <v>1472</v>
      </c>
      <c r="G528" s="55">
        <v>0.31535879629629632</v>
      </c>
      <c r="H528" s="55">
        <v>0.62872685185185184</v>
      </c>
      <c r="I528" s="55" t="str">
        <f t="shared" si="38"/>
        <v>11.325.204-9</v>
      </c>
      <c r="J528" s="55">
        <f t="shared" si="39"/>
        <v>0.31336805555555552</v>
      </c>
      <c r="K528" s="93" t="e">
        <f t="shared" si="40"/>
        <v>#VALUE!</v>
      </c>
      <c r="L528">
        <f>IFERROR(HLOOKUP(D528,Ingreso!$AN$10:$AT$260,VLOOKUP('cruce '!I528,Ingreso!$AL$11:$AM$260,2,0),0),0)</f>
        <v>0</v>
      </c>
      <c r="M528" s="95" t="str">
        <f>IFERROR(HLOOKUP(D528,Ingreso!$AW$10:$BC$260,VLOOKUP('cruce '!I528,Ingreso!$AL$11:$AM$260,2,0),0),0)</f>
        <v/>
      </c>
      <c r="N528" t="e">
        <f t="shared" si="41"/>
        <v>#VALUE!</v>
      </c>
    </row>
    <row r="529" spans="2:14">
      <c r="C529"/>
      <c r="D529" t="s">
        <v>1441</v>
      </c>
      <c r="E529" t="s">
        <v>1474</v>
      </c>
      <c r="F529" t="s">
        <v>1472</v>
      </c>
      <c r="G529" s="55">
        <v>0.31457175925925923</v>
      </c>
      <c r="H529" s="55">
        <v>0.63278935185185181</v>
      </c>
      <c r="I529" s="55" t="str">
        <f t="shared" si="38"/>
        <v>11.325.204-9</v>
      </c>
      <c r="J529" s="55">
        <f t="shared" si="39"/>
        <v>0.31821759259259258</v>
      </c>
      <c r="K529" s="93" t="e">
        <f t="shared" si="40"/>
        <v>#VALUE!</v>
      </c>
      <c r="L529">
        <f>IFERROR(HLOOKUP(D529,Ingreso!$AN$10:$AT$260,VLOOKUP('cruce '!I529,Ingreso!$AL$11:$AM$260,2,0),0),0)</f>
        <v>0</v>
      </c>
      <c r="M529" s="95" t="str">
        <f>IFERROR(HLOOKUP(D529,Ingreso!$AW$10:$BC$260,VLOOKUP('cruce '!I529,Ingreso!$AL$11:$AM$260,2,0),0),0)</f>
        <v/>
      </c>
      <c r="N529" t="e">
        <f t="shared" si="41"/>
        <v>#VALUE!</v>
      </c>
    </row>
    <row r="530" spans="2:14">
      <c r="C530"/>
      <c r="D530" t="s">
        <v>1437</v>
      </c>
      <c r="E530" t="s">
        <v>1474</v>
      </c>
      <c r="F530" t="s">
        <v>1472</v>
      </c>
      <c r="G530" s="55">
        <v>0.31560185185185186</v>
      </c>
      <c r="H530" s="55">
        <v>0.62660879629629629</v>
      </c>
      <c r="I530" s="55" t="str">
        <f t="shared" si="38"/>
        <v>11.325.204-9</v>
      </c>
      <c r="J530" s="55">
        <f t="shared" si="39"/>
        <v>0.31100694444444443</v>
      </c>
      <c r="K530" s="93" t="e">
        <f t="shared" si="40"/>
        <v>#VALUE!</v>
      </c>
      <c r="L530">
        <f>IFERROR(HLOOKUP(D530,Ingreso!$AN$10:$AT$260,VLOOKUP('cruce '!I530,Ingreso!$AL$11:$AM$260,2,0),0),0)</f>
        <v>0</v>
      </c>
      <c r="M530" s="95" t="str">
        <f>IFERROR(HLOOKUP(D530,Ingreso!$AW$10:$BC$260,VLOOKUP('cruce '!I530,Ingreso!$AL$11:$AM$260,2,0),0),0)</f>
        <v/>
      </c>
      <c r="N530" t="e">
        <f t="shared" si="41"/>
        <v>#VALUE!</v>
      </c>
    </row>
    <row r="531" spans="2:14">
      <c r="C531"/>
      <c r="D531" t="s">
        <v>1438</v>
      </c>
      <c r="E531" t="s">
        <v>1474</v>
      </c>
      <c r="F531" t="s">
        <v>1472</v>
      </c>
      <c r="G531" s="55">
        <v>0.32109953703703703</v>
      </c>
      <c r="H531" s="55">
        <v>0.62894675925925925</v>
      </c>
      <c r="I531" s="55" t="str">
        <f t="shared" si="38"/>
        <v>11.325.204-9</v>
      </c>
      <c r="J531" s="55">
        <f t="shared" si="39"/>
        <v>0.30784722222222222</v>
      </c>
      <c r="K531" s="93" t="e">
        <f t="shared" si="40"/>
        <v>#VALUE!</v>
      </c>
      <c r="L531">
        <f>IFERROR(HLOOKUP(D531,Ingreso!$AN$10:$AT$260,VLOOKUP('cruce '!I531,Ingreso!$AL$11:$AM$260,2,0),0),0)</f>
        <v>0</v>
      </c>
      <c r="M531" s="95" t="str">
        <f>IFERROR(HLOOKUP(D531,Ingreso!$AW$10:$BC$260,VLOOKUP('cruce '!I531,Ingreso!$AL$11:$AM$260,2,0),0),0)</f>
        <v/>
      </c>
      <c r="N531" t="e">
        <f t="shared" si="41"/>
        <v>#VALUE!</v>
      </c>
    </row>
    <row r="532" spans="2:14">
      <c r="C532"/>
      <c r="D532" t="s">
        <v>1439</v>
      </c>
      <c r="E532" t="s">
        <v>1474</v>
      </c>
      <c r="F532" t="s">
        <v>1472</v>
      </c>
      <c r="G532" s="55">
        <v>0.32244212962962965</v>
      </c>
      <c r="H532" s="55">
        <v>0.63543981481481482</v>
      </c>
      <c r="I532" s="55" t="str">
        <f t="shared" si="38"/>
        <v>11.325.204-9</v>
      </c>
      <c r="J532" s="55">
        <f t="shared" si="39"/>
        <v>0.31299768518518517</v>
      </c>
      <c r="K532" s="93" t="e">
        <f t="shared" si="40"/>
        <v>#VALUE!</v>
      </c>
      <c r="L532">
        <f>IFERROR(HLOOKUP(D532,Ingreso!$AN$10:$AT$260,VLOOKUP('cruce '!I532,Ingreso!$AL$11:$AM$260,2,0),0),0)</f>
        <v>0</v>
      </c>
      <c r="M532" s="95" t="str">
        <f>IFERROR(HLOOKUP(D532,Ingreso!$AW$10:$BC$260,VLOOKUP('cruce '!I532,Ingreso!$AL$11:$AM$260,2,0),0),0)</f>
        <v/>
      </c>
      <c r="N532" t="e">
        <f t="shared" si="41"/>
        <v>#VALUE!</v>
      </c>
    </row>
    <row r="533" spans="2:14">
      <c r="B533" t="s">
        <v>282</v>
      </c>
      <c r="C533" t="s">
        <v>286</v>
      </c>
      <c r="D533" t="s">
        <v>1440</v>
      </c>
      <c r="E533" t="s">
        <v>1321</v>
      </c>
      <c r="F533" s="78">
        <v>0.3125</v>
      </c>
      <c r="G533" s="55">
        <v>0.62315972222222216</v>
      </c>
      <c r="H533" s="55">
        <v>0.94803240740740735</v>
      </c>
      <c r="I533" s="55" t="str">
        <f t="shared" si="38"/>
        <v>11.347.053-4</v>
      </c>
      <c r="J533" s="55">
        <f t="shared" si="39"/>
        <v>0.32487268518518519</v>
      </c>
      <c r="K533" s="93">
        <f t="shared" si="40"/>
        <v>0.29694444444444468</v>
      </c>
      <c r="L533">
        <f>IFERROR(HLOOKUP(D533,Ingreso!$AN$10:$AT$260,VLOOKUP('cruce '!I533,Ingreso!$AL$11:$AM$260,2,0),0),0)</f>
        <v>0</v>
      </c>
      <c r="M533" s="95" t="str">
        <f>IFERROR(HLOOKUP(D533,Ingreso!$AW$10:$BC$260,VLOOKUP('cruce '!I533,Ingreso!$AL$11:$AM$260,2,0),0),0)</f>
        <v/>
      </c>
      <c r="N533" t="str">
        <f t="shared" si="41"/>
        <v>OK</v>
      </c>
    </row>
    <row r="534" spans="2:14">
      <c r="C534"/>
      <c r="D534" t="s">
        <v>1441</v>
      </c>
      <c r="E534" t="s">
        <v>1321</v>
      </c>
      <c r="F534" s="78">
        <v>0.3125</v>
      </c>
      <c r="G534" s="55">
        <v>0.64552083333333332</v>
      </c>
      <c r="H534" s="55">
        <v>0.9344675925925926</v>
      </c>
      <c r="I534" s="55" t="str">
        <f t="shared" si="38"/>
        <v>11.347.053-4</v>
      </c>
      <c r="J534" s="55">
        <f t="shared" si="39"/>
        <v>0.28894675925925928</v>
      </c>
      <c r="K534" s="93">
        <f t="shared" si="40"/>
        <v>-0.56527777777777732</v>
      </c>
      <c r="L534">
        <f>IFERROR(HLOOKUP(D534,Ingreso!$AN$10:$AT$260,VLOOKUP('cruce '!I534,Ingreso!$AL$11:$AM$260,2,0),0),0)</f>
        <v>0</v>
      </c>
      <c r="M534" s="95" t="str">
        <f>IFERROR(HLOOKUP(D534,Ingreso!$AW$10:$BC$260,VLOOKUP('cruce '!I534,Ingreso!$AL$11:$AM$260,2,0),0),0)</f>
        <v/>
      </c>
      <c r="N534" t="str">
        <f t="shared" si="41"/>
        <v>OK</v>
      </c>
    </row>
    <row r="535" spans="2:14">
      <c r="C535"/>
      <c r="D535" t="s">
        <v>1437</v>
      </c>
      <c r="E535" t="s">
        <v>1321</v>
      </c>
      <c r="F535" s="78">
        <v>0.3125</v>
      </c>
      <c r="G535" s="55">
        <v>0.62094907407407407</v>
      </c>
      <c r="H535" s="55">
        <v>0.94645833333333329</v>
      </c>
      <c r="I535" s="55" t="str">
        <f t="shared" si="38"/>
        <v>11.347.053-4</v>
      </c>
      <c r="J535" s="55">
        <f t="shared" si="39"/>
        <v>0.32550925925925922</v>
      </c>
      <c r="K535" s="93">
        <f t="shared" si="40"/>
        <v>0.31222222222222129</v>
      </c>
      <c r="L535">
        <f>IFERROR(HLOOKUP(D535,Ingreso!$AN$10:$AT$260,VLOOKUP('cruce '!I535,Ingreso!$AL$11:$AM$260,2,0),0),0)</f>
        <v>0</v>
      </c>
      <c r="M535" s="95" t="str">
        <f>IFERROR(HLOOKUP(D535,Ingreso!$AW$10:$BC$260,VLOOKUP('cruce '!I535,Ingreso!$AL$11:$AM$260,2,0),0),0)</f>
        <v/>
      </c>
      <c r="N535" t="str">
        <f t="shared" si="41"/>
        <v>OK</v>
      </c>
    </row>
    <row r="536" spans="2:14">
      <c r="C536"/>
      <c r="D536" t="s">
        <v>1438</v>
      </c>
      <c r="E536" t="s">
        <v>1321</v>
      </c>
      <c r="F536" s="78">
        <v>0.3125</v>
      </c>
      <c r="G536" s="55">
        <v>0.62503472222222223</v>
      </c>
      <c r="H536" s="55">
        <v>0.94506944444444441</v>
      </c>
      <c r="I536" s="55" t="str">
        <f t="shared" si="38"/>
        <v>11.347.053-4</v>
      </c>
      <c r="J536" s="55">
        <f t="shared" si="39"/>
        <v>0.32003472222222218</v>
      </c>
      <c r="K536" s="93">
        <f t="shared" si="40"/>
        <v>0.18083333333333229</v>
      </c>
      <c r="L536">
        <f>IFERROR(HLOOKUP(D536,Ingreso!$AN$10:$AT$260,VLOOKUP('cruce '!I536,Ingreso!$AL$11:$AM$260,2,0),0),0)</f>
        <v>0</v>
      </c>
      <c r="M536" s="95" t="str">
        <f>IFERROR(HLOOKUP(D536,Ingreso!$AW$10:$BC$260,VLOOKUP('cruce '!I536,Ingreso!$AL$11:$AM$260,2,0),0),0)</f>
        <v/>
      </c>
      <c r="N536" t="str">
        <f t="shared" si="41"/>
        <v>OK</v>
      </c>
    </row>
    <row r="537" spans="2:14">
      <c r="C537"/>
      <c r="D537" t="s">
        <v>1439</v>
      </c>
      <c r="E537" t="s">
        <v>1321</v>
      </c>
      <c r="F537" s="78">
        <v>0.3125</v>
      </c>
      <c r="G537" s="55">
        <v>0.62085648148148154</v>
      </c>
      <c r="H537" s="55">
        <v>0.94400462962962972</v>
      </c>
      <c r="I537" s="55" t="str">
        <f t="shared" si="38"/>
        <v>11.347.053-4</v>
      </c>
      <c r="J537" s="55">
        <f t="shared" si="39"/>
        <v>0.32314814814814818</v>
      </c>
      <c r="K537" s="93">
        <f t="shared" si="40"/>
        <v>0.25555555555555642</v>
      </c>
      <c r="L537">
        <f>IFERROR(HLOOKUP(D537,Ingreso!$AN$10:$AT$260,VLOOKUP('cruce '!I537,Ingreso!$AL$11:$AM$260,2,0),0),0)</f>
        <v>0</v>
      </c>
      <c r="M537" s="95" t="str">
        <f>IFERROR(HLOOKUP(D537,Ingreso!$AW$10:$BC$260,VLOOKUP('cruce '!I537,Ingreso!$AL$11:$AM$260,2,0),0),0)</f>
        <v/>
      </c>
      <c r="N537" t="str">
        <f t="shared" si="41"/>
        <v>OK</v>
      </c>
    </row>
    <row r="538" spans="2:14">
      <c r="B538" t="s">
        <v>584</v>
      </c>
      <c r="C538" t="s">
        <v>587</v>
      </c>
      <c r="D538" t="s">
        <v>1440</v>
      </c>
      <c r="E538" t="s">
        <v>1474</v>
      </c>
      <c r="F538" t="s">
        <v>1472</v>
      </c>
      <c r="G538" s="55">
        <v>0.29354166666666665</v>
      </c>
      <c r="H538" s="55">
        <v>0.63410879629629624</v>
      </c>
      <c r="I538" s="55" t="str">
        <f t="shared" si="38"/>
        <v>11.370.436-5</v>
      </c>
      <c r="J538" s="55">
        <f t="shared" si="39"/>
        <v>0.34056712962962959</v>
      </c>
      <c r="K538" s="93" t="e">
        <f t="shared" si="40"/>
        <v>#VALUE!</v>
      </c>
      <c r="L538">
        <f>IFERROR(HLOOKUP(D538,Ingreso!$AN$10:$AT$260,VLOOKUP('cruce '!I538,Ingreso!$AL$11:$AM$260,2,0),0),0)</f>
        <v>0</v>
      </c>
      <c r="M538" s="95" t="str">
        <f>IFERROR(HLOOKUP(D538,Ingreso!$AW$10:$BC$260,VLOOKUP('cruce '!I538,Ingreso!$AL$11:$AM$260,2,0),0),0)</f>
        <v/>
      </c>
      <c r="N538" t="e">
        <f t="shared" si="41"/>
        <v>#VALUE!</v>
      </c>
    </row>
    <row r="539" spans="2:14">
      <c r="C539"/>
      <c r="D539" t="s">
        <v>1441</v>
      </c>
      <c r="E539" t="s">
        <v>1474</v>
      </c>
      <c r="F539" t="s">
        <v>1472</v>
      </c>
      <c r="G539" s="55">
        <v>0.29332175925925924</v>
      </c>
      <c r="H539" s="55">
        <v>0.63436342592592598</v>
      </c>
      <c r="I539" s="55" t="str">
        <f t="shared" si="38"/>
        <v>11.370.436-5</v>
      </c>
      <c r="J539" s="55">
        <f t="shared" si="39"/>
        <v>0.34104166666666674</v>
      </c>
      <c r="K539" s="93" t="e">
        <f t="shared" si="40"/>
        <v>#VALUE!</v>
      </c>
      <c r="L539">
        <f>IFERROR(HLOOKUP(D539,Ingreso!$AN$10:$AT$260,VLOOKUP('cruce '!I539,Ingreso!$AL$11:$AM$260,2,0),0),0)</f>
        <v>0</v>
      </c>
      <c r="M539" s="95" t="str">
        <f>IFERROR(HLOOKUP(D539,Ingreso!$AW$10:$BC$260,VLOOKUP('cruce '!I539,Ingreso!$AL$11:$AM$260,2,0),0),0)</f>
        <v/>
      </c>
      <c r="N539" t="e">
        <f t="shared" si="41"/>
        <v>#VALUE!</v>
      </c>
    </row>
    <row r="540" spans="2:14">
      <c r="C540"/>
      <c r="D540" t="s">
        <v>1437</v>
      </c>
      <c r="E540" t="s">
        <v>1474</v>
      </c>
      <c r="F540" t="s">
        <v>1472</v>
      </c>
      <c r="G540" s="55">
        <v>0.2948958333333333</v>
      </c>
      <c r="H540" s="55">
        <v>0.63359953703703698</v>
      </c>
      <c r="I540" s="55" t="str">
        <f t="shared" si="38"/>
        <v>11.370.436-5</v>
      </c>
      <c r="J540" s="55">
        <f t="shared" si="39"/>
        <v>0.33870370370370367</v>
      </c>
      <c r="K540" s="93" t="e">
        <f t="shared" si="40"/>
        <v>#VALUE!</v>
      </c>
      <c r="L540">
        <f>IFERROR(HLOOKUP(D540,Ingreso!$AN$10:$AT$260,VLOOKUP('cruce '!I540,Ingreso!$AL$11:$AM$260,2,0),0),0)</f>
        <v>0</v>
      </c>
      <c r="M540" s="95" t="str">
        <f>IFERROR(HLOOKUP(D540,Ingreso!$AW$10:$BC$260,VLOOKUP('cruce '!I540,Ingreso!$AL$11:$AM$260,2,0),0),0)</f>
        <v/>
      </c>
      <c r="N540" t="e">
        <f t="shared" si="41"/>
        <v>#VALUE!</v>
      </c>
    </row>
    <row r="541" spans="2:14">
      <c r="C541"/>
      <c r="D541" t="s">
        <v>1438</v>
      </c>
      <c r="E541" t="s">
        <v>1474</v>
      </c>
      <c r="F541" t="s">
        <v>1472</v>
      </c>
      <c r="G541" s="55">
        <v>0.29302083333333334</v>
      </c>
      <c r="H541" s="55">
        <v>0.63615740740740734</v>
      </c>
      <c r="I541" s="55" t="str">
        <f t="shared" si="38"/>
        <v>11.370.436-5</v>
      </c>
      <c r="J541" s="55">
        <f t="shared" si="39"/>
        <v>0.343136574074074</v>
      </c>
      <c r="K541" s="93" t="e">
        <f t="shared" si="40"/>
        <v>#VALUE!</v>
      </c>
      <c r="L541">
        <f>IFERROR(HLOOKUP(D541,Ingreso!$AN$10:$AT$260,VLOOKUP('cruce '!I541,Ingreso!$AL$11:$AM$260,2,0),0),0)</f>
        <v>0</v>
      </c>
      <c r="M541" s="95" t="str">
        <f>IFERROR(HLOOKUP(D541,Ingreso!$AW$10:$BC$260,VLOOKUP('cruce '!I541,Ingreso!$AL$11:$AM$260,2,0),0),0)</f>
        <v/>
      </c>
      <c r="N541" t="e">
        <f t="shared" si="41"/>
        <v>#VALUE!</v>
      </c>
    </row>
    <row r="542" spans="2:14">
      <c r="C542"/>
      <c r="D542" t="s">
        <v>1439</v>
      </c>
      <c r="E542" t="s">
        <v>1474</v>
      </c>
      <c r="F542" t="s">
        <v>1472</v>
      </c>
      <c r="G542" s="55">
        <v>0.29175925925925927</v>
      </c>
      <c r="H542" s="55">
        <v>0.6401041666666667</v>
      </c>
      <c r="I542" s="55" t="str">
        <f t="shared" si="38"/>
        <v>11.370.436-5</v>
      </c>
      <c r="J542" s="55">
        <f t="shared" si="39"/>
        <v>0.34834490740740742</v>
      </c>
      <c r="K542" s="93" t="e">
        <f t="shared" si="40"/>
        <v>#VALUE!</v>
      </c>
      <c r="L542">
        <f>IFERROR(HLOOKUP(D542,Ingreso!$AN$10:$AT$260,VLOOKUP('cruce '!I542,Ingreso!$AL$11:$AM$260,2,0),0),0)</f>
        <v>0</v>
      </c>
      <c r="M542" s="95" t="str">
        <f>IFERROR(HLOOKUP(D542,Ingreso!$AW$10:$BC$260,VLOOKUP('cruce '!I542,Ingreso!$AL$11:$AM$260,2,0),0),0)</f>
        <v/>
      </c>
      <c r="N542" t="e">
        <f t="shared" si="41"/>
        <v>#VALUE!</v>
      </c>
    </row>
    <row r="543" spans="2:14">
      <c r="B543" t="s">
        <v>322</v>
      </c>
      <c r="C543" t="s">
        <v>324</v>
      </c>
      <c r="D543" t="s">
        <v>1440</v>
      </c>
      <c r="E543" t="s">
        <v>4</v>
      </c>
      <c r="F543" s="78">
        <v>0.3125</v>
      </c>
      <c r="G543" s="55">
        <v>0.29343750000000002</v>
      </c>
      <c r="H543" s="55">
        <v>0.6508680555555556</v>
      </c>
      <c r="I543" s="55" t="str">
        <f t="shared" si="38"/>
        <v>11.394.356-4</v>
      </c>
      <c r="J543" s="55">
        <f t="shared" si="39"/>
        <v>0.35743055555555558</v>
      </c>
      <c r="K543" s="93">
        <f t="shared" si="40"/>
        <v>1.0783333333333331</v>
      </c>
      <c r="L543">
        <f>IFERROR(HLOOKUP(D543,Ingreso!$AN$10:$AT$260,VLOOKUP('cruce '!I543,Ingreso!$AL$11:$AM$260,2,0),0),0)</f>
        <v>0</v>
      </c>
      <c r="M543" s="95">
        <f>IFERROR(HLOOKUP(D543,Ingreso!$AW$10:$BC$260,VLOOKUP('cruce '!I543,Ingreso!$AL$11:$AM$260,2,0),0),0)</f>
        <v>0</v>
      </c>
      <c r="N543" t="str">
        <f t="shared" si="41"/>
        <v>Revisar</v>
      </c>
    </row>
    <row r="544" spans="2:14">
      <c r="C544"/>
      <c r="D544" t="s">
        <v>1441</v>
      </c>
      <c r="E544" t="s">
        <v>4</v>
      </c>
      <c r="F544" s="78">
        <v>0.3125</v>
      </c>
      <c r="G544" s="55">
        <v>0.29182870370370367</v>
      </c>
      <c r="H544" s="55">
        <v>0.6371296296296296</v>
      </c>
      <c r="I544" s="55" t="str">
        <f t="shared" si="38"/>
        <v>11.394.356-4</v>
      </c>
      <c r="J544" s="55">
        <f t="shared" si="39"/>
        <v>0.34530092592592593</v>
      </c>
      <c r="K544" s="93">
        <f t="shared" si="40"/>
        <v>0.78722222222222271</v>
      </c>
      <c r="L544">
        <f>IFERROR(HLOOKUP(D544,Ingreso!$AN$10:$AT$260,VLOOKUP('cruce '!I544,Ingreso!$AL$11:$AM$260,2,0),0),0)</f>
        <v>0</v>
      </c>
      <c r="M544" s="95">
        <f>IFERROR(HLOOKUP(D544,Ingreso!$AW$10:$BC$260,VLOOKUP('cruce '!I544,Ingreso!$AL$11:$AM$260,2,0),0),0)</f>
        <v>0</v>
      </c>
      <c r="N544" t="str">
        <f t="shared" si="41"/>
        <v>OK</v>
      </c>
    </row>
    <row r="545" spans="2:14">
      <c r="C545"/>
      <c r="D545" t="s">
        <v>1437</v>
      </c>
      <c r="E545" t="s">
        <v>4</v>
      </c>
      <c r="F545" s="78">
        <v>0.3125</v>
      </c>
      <c r="G545" s="55">
        <v>0.3066550925925926</v>
      </c>
      <c r="H545" s="55">
        <v>0.63534722222222217</v>
      </c>
      <c r="I545" s="55" t="str">
        <f t="shared" si="38"/>
        <v>11.394.356-4</v>
      </c>
      <c r="J545" s="55">
        <f t="shared" si="39"/>
        <v>0.32869212962962957</v>
      </c>
      <c r="K545" s="93">
        <f t="shared" si="40"/>
        <v>0.38861111111110969</v>
      </c>
      <c r="L545">
        <f>IFERROR(HLOOKUP(D545,Ingreso!$AN$10:$AT$260,VLOOKUP('cruce '!I545,Ingreso!$AL$11:$AM$260,2,0),0),0)</f>
        <v>0</v>
      </c>
      <c r="M545" s="95">
        <f>IFERROR(HLOOKUP(D545,Ingreso!$AW$10:$BC$260,VLOOKUP('cruce '!I545,Ingreso!$AL$11:$AM$260,2,0),0),0)</f>
        <v>0</v>
      </c>
      <c r="N545" t="str">
        <f t="shared" si="41"/>
        <v>OK</v>
      </c>
    </row>
    <row r="546" spans="2:14">
      <c r="C546"/>
      <c r="D546" t="s">
        <v>1438</v>
      </c>
      <c r="E546" t="s">
        <v>4</v>
      </c>
      <c r="F546" s="78">
        <v>0.3125</v>
      </c>
      <c r="G546" s="55">
        <v>0.29175925925925927</v>
      </c>
      <c r="H546" s="55">
        <v>0.63721064814814821</v>
      </c>
      <c r="I546" s="55" t="str">
        <f t="shared" si="38"/>
        <v>11.394.356-4</v>
      </c>
      <c r="J546" s="55">
        <f t="shared" si="39"/>
        <v>0.34545138888888893</v>
      </c>
      <c r="K546" s="93">
        <f t="shared" si="40"/>
        <v>0.79083333333333528</v>
      </c>
      <c r="L546">
        <f>IFERROR(HLOOKUP(D546,Ingreso!$AN$10:$AT$260,VLOOKUP('cruce '!I546,Ingreso!$AL$11:$AM$260,2,0),0),0)</f>
        <v>0</v>
      </c>
      <c r="M546" s="95">
        <f>IFERROR(HLOOKUP(D546,Ingreso!$AW$10:$BC$260,VLOOKUP('cruce '!I546,Ingreso!$AL$11:$AM$260,2,0),0),0)</f>
        <v>0</v>
      </c>
      <c r="N546" t="str">
        <f t="shared" si="41"/>
        <v>OK</v>
      </c>
    </row>
    <row r="547" spans="2:14">
      <c r="C547"/>
      <c r="D547" t="s">
        <v>1439</v>
      </c>
      <c r="E547" t="s">
        <v>4</v>
      </c>
      <c r="F547" s="78">
        <v>0.3125</v>
      </c>
      <c r="G547" s="55">
        <v>0.29157407407407404</v>
      </c>
      <c r="H547" s="55">
        <v>0.64021990740740742</v>
      </c>
      <c r="I547" s="55" t="str">
        <f t="shared" si="38"/>
        <v>11.394.356-4</v>
      </c>
      <c r="J547" s="55">
        <f t="shared" si="39"/>
        <v>0.34864583333333338</v>
      </c>
      <c r="K547" s="93">
        <f t="shared" si="40"/>
        <v>0.86750000000000149</v>
      </c>
      <c r="L547">
        <f>IFERROR(HLOOKUP(D547,Ingreso!$AN$10:$AT$260,VLOOKUP('cruce '!I547,Ingreso!$AL$11:$AM$260,2,0),0),0)</f>
        <v>0</v>
      </c>
      <c r="M547" s="95">
        <f>IFERROR(HLOOKUP(D547,Ingreso!$AW$10:$BC$260,VLOOKUP('cruce '!I547,Ingreso!$AL$11:$AM$260,2,0),0),0)</f>
        <v>0</v>
      </c>
      <c r="N547" t="str">
        <f t="shared" si="41"/>
        <v>OK</v>
      </c>
    </row>
    <row r="548" spans="2:14">
      <c r="B548" t="s">
        <v>273</v>
      </c>
      <c r="C548" t="s">
        <v>275</v>
      </c>
      <c r="D548" t="s">
        <v>1440</v>
      </c>
      <c r="E548" t="s">
        <v>4</v>
      </c>
      <c r="F548" s="78">
        <v>0.3125</v>
      </c>
      <c r="G548" s="55">
        <v>0.29118055555555555</v>
      </c>
      <c r="H548" s="55">
        <v>0.64123842592592595</v>
      </c>
      <c r="I548" s="55" t="str">
        <f t="shared" si="38"/>
        <v>11.523.492-7</v>
      </c>
      <c r="J548" s="55">
        <f t="shared" si="39"/>
        <v>0.35005787037037039</v>
      </c>
      <c r="K548" s="93">
        <f t="shared" si="40"/>
        <v>0.90138888888888857</v>
      </c>
      <c r="L548">
        <f>IFERROR(HLOOKUP(D548,Ingreso!$AN$10:$AT$260,VLOOKUP('cruce '!I548,Ingreso!$AL$11:$AM$260,2,0),0),0)</f>
        <v>0</v>
      </c>
      <c r="M548" s="95">
        <f>IFERROR(HLOOKUP(D548,Ingreso!$AW$10:$BC$260,VLOOKUP('cruce '!I548,Ingreso!$AL$11:$AM$260,2,0),0),0)</f>
        <v>0</v>
      </c>
      <c r="N548" t="str">
        <f t="shared" si="41"/>
        <v>OK</v>
      </c>
    </row>
    <row r="549" spans="2:14">
      <c r="C549"/>
      <c r="D549" t="s">
        <v>1441</v>
      </c>
      <c r="E549" t="s">
        <v>4</v>
      </c>
      <c r="F549" s="78">
        <v>0.3125</v>
      </c>
      <c r="G549" s="55">
        <v>0.28987268518518516</v>
      </c>
      <c r="H549" s="55">
        <v>0.63990740740740737</v>
      </c>
      <c r="I549" s="55" t="str">
        <f t="shared" si="38"/>
        <v>11.523.492-7</v>
      </c>
      <c r="J549" s="55">
        <f t="shared" si="39"/>
        <v>0.35003472222222221</v>
      </c>
      <c r="K549" s="93">
        <f t="shared" si="40"/>
        <v>0.90083333333333293</v>
      </c>
      <c r="L549">
        <f>IFERROR(HLOOKUP(D549,Ingreso!$AN$10:$AT$260,VLOOKUP('cruce '!I549,Ingreso!$AL$11:$AM$260,2,0),0),0)</f>
        <v>0</v>
      </c>
      <c r="M549" s="95">
        <f>IFERROR(HLOOKUP(D549,Ingreso!$AW$10:$BC$260,VLOOKUP('cruce '!I549,Ingreso!$AL$11:$AM$260,2,0),0),0)</f>
        <v>0</v>
      </c>
      <c r="N549" t="str">
        <f t="shared" si="41"/>
        <v>OK</v>
      </c>
    </row>
    <row r="550" spans="2:14">
      <c r="C550"/>
      <c r="D550" t="s">
        <v>1437</v>
      </c>
      <c r="E550" t="s">
        <v>4</v>
      </c>
      <c r="F550" s="78">
        <v>0.3125</v>
      </c>
      <c r="G550" s="55">
        <v>0.28974537037037035</v>
      </c>
      <c r="H550" s="55">
        <v>0.63755787037037037</v>
      </c>
      <c r="I550" s="55" t="str">
        <f t="shared" si="38"/>
        <v>11.523.492-7</v>
      </c>
      <c r="J550" s="55">
        <f t="shared" si="39"/>
        <v>0.34781250000000002</v>
      </c>
      <c r="K550" s="93">
        <f t="shared" si="40"/>
        <v>0.84750000000000014</v>
      </c>
      <c r="L550">
        <f>IFERROR(HLOOKUP(D550,Ingreso!$AN$10:$AT$260,VLOOKUP('cruce '!I550,Ingreso!$AL$11:$AM$260,2,0),0),0)</f>
        <v>0</v>
      </c>
      <c r="M550" s="95">
        <f>IFERROR(HLOOKUP(D550,Ingreso!$AW$10:$BC$260,VLOOKUP('cruce '!I550,Ingreso!$AL$11:$AM$260,2,0),0),0)</f>
        <v>0</v>
      </c>
      <c r="N550" t="str">
        <f t="shared" si="41"/>
        <v>OK</v>
      </c>
    </row>
    <row r="551" spans="2:14">
      <c r="C551"/>
      <c r="D551" t="s">
        <v>1438</v>
      </c>
      <c r="E551" t="s">
        <v>4</v>
      </c>
      <c r="F551" s="78">
        <v>0.3125</v>
      </c>
      <c r="G551" s="55">
        <v>0.28865740740740742</v>
      </c>
      <c r="H551" s="55">
        <v>0.63842592592592595</v>
      </c>
      <c r="I551" s="55" t="str">
        <f t="shared" si="38"/>
        <v>11.523.492-7</v>
      </c>
      <c r="J551" s="55">
        <f t="shared" si="39"/>
        <v>0.34976851851851853</v>
      </c>
      <c r="K551" s="93">
        <f t="shared" si="40"/>
        <v>0.89444444444444571</v>
      </c>
      <c r="L551">
        <f>IFERROR(HLOOKUP(D551,Ingreso!$AN$10:$AT$260,VLOOKUP('cruce '!I551,Ingreso!$AL$11:$AM$260,2,0),0),0)</f>
        <v>0</v>
      </c>
      <c r="M551" s="95">
        <f>IFERROR(HLOOKUP(D551,Ingreso!$AW$10:$BC$260,VLOOKUP('cruce '!I551,Ingreso!$AL$11:$AM$260,2,0),0),0)</f>
        <v>0</v>
      </c>
      <c r="N551" t="str">
        <f t="shared" si="41"/>
        <v>OK</v>
      </c>
    </row>
    <row r="552" spans="2:14">
      <c r="C552"/>
      <c r="D552" t="s">
        <v>1439</v>
      </c>
      <c r="E552" t="s">
        <v>4</v>
      </c>
      <c r="F552" s="78">
        <v>0.3125</v>
      </c>
      <c r="G552" s="55">
        <v>0.2916435185185185</v>
      </c>
      <c r="H552" s="55">
        <v>0.63738425925925923</v>
      </c>
      <c r="I552" s="55" t="str">
        <f t="shared" si="38"/>
        <v>11.523.492-7</v>
      </c>
      <c r="J552" s="55">
        <f t="shared" si="39"/>
        <v>0.34574074074074074</v>
      </c>
      <c r="K552" s="93">
        <f t="shared" si="40"/>
        <v>0.79777777777777814</v>
      </c>
      <c r="L552">
        <f>IFERROR(HLOOKUP(D552,Ingreso!$AN$10:$AT$260,VLOOKUP('cruce '!I552,Ingreso!$AL$11:$AM$260,2,0),0),0)</f>
        <v>0</v>
      </c>
      <c r="M552" s="95">
        <f>IFERROR(HLOOKUP(D552,Ingreso!$AW$10:$BC$260,VLOOKUP('cruce '!I552,Ingreso!$AL$11:$AM$260,2,0),0),0)</f>
        <v>0</v>
      </c>
      <c r="N552" t="str">
        <f t="shared" si="41"/>
        <v>OK</v>
      </c>
    </row>
    <row r="553" spans="2:14">
      <c r="B553" t="s">
        <v>696</v>
      </c>
      <c r="C553" t="s">
        <v>697</v>
      </c>
      <c r="D553" t="s">
        <v>1440</v>
      </c>
      <c r="E553" t="s">
        <v>1474</v>
      </c>
      <c r="F553" t="s">
        <v>1472</v>
      </c>
      <c r="G553" s="55">
        <v>0.30574074074074076</v>
      </c>
      <c r="H553" s="55">
        <v>0.77135416666666667</v>
      </c>
      <c r="I553" s="55" t="str">
        <f t="shared" si="38"/>
        <v>11.523.497-8</v>
      </c>
      <c r="J553" s="55">
        <f t="shared" si="39"/>
        <v>0.46561342592592592</v>
      </c>
      <c r="K553" s="93" t="e">
        <f t="shared" si="40"/>
        <v>#VALUE!</v>
      </c>
      <c r="L553">
        <f>IFERROR(HLOOKUP(D553,Ingreso!$AN$10:$AT$260,VLOOKUP('cruce '!I553,Ingreso!$AL$11:$AM$260,2,0),0),0)</f>
        <v>7.5</v>
      </c>
      <c r="M553" s="95">
        <f>IFERROR(HLOOKUP(D553,Ingreso!$AW$10:$BC$260,VLOOKUP('cruce '!I553,Ingreso!$AL$11:$AM$260,2,0),0),0)</f>
        <v>0.5</v>
      </c>
      <c r="N553" t="e">
        <f t="shared" si="41"/>
        <v>#VALUE!</v>
      </c>
    </row>
    <row r="554" spans="2:14">
      <c r="C554"/>
      <c r="D554" t="s">
        <v>1441</v>
      </c>
      <c r="E554" t="s">
        <v>1474</v>
      </c>
      <c r="F554" t="s">
        <v>1472</v>
      </c>
      <c r="G554" s="55">
        <v>0.33931712962962962</v>
      </c>
      <c r="H554" s="55">
        <v>0.61693287037037037</v>
      </c>
      <c r="I554" s="55" t="str">
        <f t="shared" si="38"/>
        <v>11.523.497-8</v>
      </c>
      <c r="J554" s="55">
        <f t="shared" si="39"/>
        <v>0.27761574074074075</v>
      </c>
      <c r="K554" s="93" t="e">
        <f t="shared" si="40"/>
        <v>#VALUE!</v>
      </c>
      <c r="L554">
        <f>IFERROR(HLOOKUP(D554,Ingreso!$AN$10:$AT$260,VLOOKUP('cruce '!I554,Ingreso!$AL$11:$AM$260,2,0),0),0)</f>
        <v>0</v>
      </c>
      <c r="M554" s="95" t="str">
        <f>IFERROR(HLOOKUP(D554,Ingreso!$AW$10:$BC$260,VLOOKUP('cruce '!I554,Ingreso!$AL$11:$AM$260,2,0),0),0)</f>
        <v/>
      </c>
      <c r="N554" t="e">
        <f t="shared" si="41"/>
        <v>#VALUE!</v>
      </c>
    </row>
    <row r="555" spans="2:14">
      <c r="C555"/>
      <c r="D555" t="s">
        <v>1437</v>
      </c>
      <c r="E555" t="s">
        <v>1474</v>
      </c>
      <c r="F555" t="s">
        <v>1472</v>
      </c>
      <c r="G555" s="55">
        <v>0.30560185185185185</v>
      </c>
      <c r="H555" s="55">
        <v>0.81253472222222223</v>
      </c>
      <c r="I555" s="55" t="str">
        <f t="shared" si="38"/>
        <v>11.523.497-8</v>
      </c>
      <c r="J555" s="55">
        <f t="shared" si="39"/>
        <v>0.50693287037037038</v>
      </c>
      <c r="K555" s="93" t="e">
        <f t="shared" si="40"/>
        <v>#VALUE!</v>
      </c>
      <c r="L555">
        <f>IFERROR(HLOOKUP(D555,Ingreso!$AN$10:$AT$260,VLOOKUP('cruce '!I555,Ingreso!$AL$11:$AM$260,2,0),0),0)</f>
        <v>1</v>
      </c>
      <c r="M555" s="95">
        <f>IFERROR(HLOOKUP(D555,Ingreso!$AW$10:$BC$260,VLOOKUP('cruce '!I555,Ingreso!$AL$11:$AM$260,2,0),0),0)</f>
        <v>0.5</v>
      </c>
      <c r="N555" t="e">
        <f t="shared" si="41"/>
        <v>#VALUE!</v>
      </c>
    </row>
    <row r="556" spans="2:14">
      <c r="C556"/>
      <c r="D556" t="s">
        <v>1438</v>
      </c>
      <c r="E556" t="s">
        <v>1474</v>
      </c>
      <c r="F556" t="s">
        <v>1472</v>
      </c>
      <c r="G556" s="55">
        <v>0.30603009259259256</v>
      </c>
      <c r="H556" s="55">
        <v>0.78898148148148151</v>
      </c>
      <c r="I556" s="55" t="str">
        <f t="shared" si="38"/>
        <v>11.523.497-8</v>
      </c>
      <c r="J556" s="55">
        <f t="shared" si="39"/>
        <v>0.48295138888888894</v>
      </c>
      <c r="K556" s="93" t="e">
        <f t="shared" si="40"/>
        <v>#VALUE!</v>
      </c>
      <c r="L556">
        <f>IFERROR(HLOOKUP(D556,Ingreso!$AN$10:$AT$260,VLOOKUP('cruce '!I556,Ingreso!$AL$11:$AM$260,2,0),0),0)</f>
        <v>0</v>
      </c>
      <c r="M556" s="95" t="str">
        <f>IFERROR(HLOOKUP(D556,Ingreso!$AW$10:$BC$260,VLOOKUP('cruce '!I556,Ingreso!$AL$11:$AM$260,2,0),0),0)</f>
        <v/>
      </c>
      <c r="N556" t="e">
        <f t="shared" si="41"/>
        <v>#VALUE!</v>
      </c>
    </row>
    <row r="557" spans="2:14">
      <c r="C557"/>
      <c r="D557" t="s">
        <v>1439</v>
      </c>
      <c r="E557" t="s">
        <v>1474</v>
      </c>
      <c r="F557" t="s">
        <v>1472</v>
      </c>
      <c r="G557" s="55">
        <v>0.30334490740740744</v>
      </c>
      <c r="H557" s="55">
        <v>0.76253472222222218</v>
      </c>
      <c r="I557" s="55" t="str">
        <f t="shared" si="38"/>
        <v>11.523.497-8</v>
      </c>
      <c r="J557" s="55">
        <f t="shared" si="39"/>
        <v>0.45918981481481475</v>
      </c>
      <c r="K557" s="93" t="e">
        <f t="shared" si="40"/>
        <v>#VALUE!</v>
      </c>
      <c r="L557">
        <f>IFERROR(HLOOKUP(D557,Ingreso!$AN$10:$AT$260,VLOOKUP('cruce '!I557,Ingreso!$AL$11:$AM$260,2,0),0),0)</f>
        <v>1</v>
      </c>
      <c r="M557" s="95">
        <f>IFERROR(HLOOKUP(D557,Ingreso!$AW$10:$BC$260,VLOOKUP('cruce '!I557,Ingreso!$AL$11:$AM$260,2,0),0),0)</f>
        <v>0.5</v>
      </c>
      <c r="N557" t="e">
        <f t="shared" si="41"/>
        <v>#VALUE!</v>
      </c>
    </row>
    <row r="558" spans="2:14">
      <c r="B558" t="s">
        <v>501</v>
      </c>
      <c r="C558" t="s">
        <v>505</v>
      </c>
      <c r="D558" t="s">
        <v>1440</v>
      </c>
      <c r="E558" t="s">
        <v>1474</v>
      </c>
      <c r="F558" t="s">
        <v>1472</v>
      </c>
      <c r="G558" s="55">
        <v>0.29706018518518518</v>
      </c>
      <c r="H558" s="55">
        <v>0.63822916666666674</v>
      </c>
      <c r="I558" s="55" t="str">
        <f t="shared" si="38"/>
        <v>11.656.057-7</v>
      </c>
      <c r="J558" s="55">
        <f t="shared" si="39"/>
        <v>0.34116898148148156</v>
      </c>
      <c r="K558" s="93" t="e">
        <f t="shared" si="40"/>
        <v>#VALUE!</v>
      </c>
      <c r="L558">
        <f>IFERROR(HLOOKUP(D558,Ingreso!$AN$10:$AT$260,VLOOKUP('cruce '!I558,Ingreso!$AL$11:$AM$260,2,0),0),0)</f>
        <v>0</v>
      </c>
      <c r="M558" s="95" t="str">
        <f>IFERROR(HLOOKUP(D558,Ingreso!$AW$10:$BC$260,VLOOKUP('cruce '!I558,Ingreso!$AL$11:$AM$260,2,0),0),0)</f>
        <v/>
      </c>
      <c r="N558" t="e">
        <f t="shared" si="41"/>
        <v>#VALUE!</v>
      </c>
    </row>
    <row r="559" spans="2:14">
      <c r="C559"/>
      <c r="D559" t="s">
        <v>1441</v>
      </c>
      <c r="E559" t="s">
        <v>1474</v>
      </c>
      <c r="F559" t="s">
        <v>1472</v>
      </c>
      <c r="G559" s="55">
        <v>0.29509259259259263</v>
      </c>
      <c r="H559" s="55">
        <v>0.63792824074074073</v>
      </c>
      <c r="I559" s="55" t="str">
        <f t="shared" si="38"/>
        <v>11.656.057-7</v>
      </c>
      <c r="J559" s="55">
        <f t="shared" si="39"/>
        <v>0.3428356481481481</v>
      </c>
      <c r="K559" s="93" t="e">
        <f t="shared" si="40"/>
        <v>#VALUE!</v>
      </c>
      <c r="L559">
        <f>IFERROR(HLOOKUP(D559,Ingreso!$AN$10:$AT$260,VLOOKUP('cruce '!I559,Ingreso!$AL$11:$AM$260,2,0),0),0)</f>
        <v>0</v>
      </c>
      <c r="M559" s="95" t="str">
        <f>IFERROR(HLOOKUP(D559,Ingreso!$AW$10:$BC$260,VLOOKUP('cruce '!I559,Ingreso!$AL$11:$AM$260,2,0),0),0)</f>
        <v/>
      </c>
      <c r="N559" t="e">
        <f t="shared" si="41"/>
        <v>#VALUE!</v>
      </c>
    </row>
    <row r="560" spans="2:14">
      <c r="C560"/>
      <c r="D560" t="s">
        <v>1438</v>
      </c>
      <c r="E560" t="s">
        <v>1474</v>
      </c>
      <c r="F560" t="s">
        <v>1472</v>
      </c>
      <c r="G560" s="55">
        <v>0.29531250000000003</v>
      </c>
      <c r="H560" s="55">
        <v>0.63782407407407404</v>
      </c>
      <c r="I560" s="55" t="str">
        <f t="shared" si="38"/>
        <v>11.656.057-7</v>
      </c>
      <c r="J560" s="55">
        <f t="shared" si="39"/>
        <v>0.34251157407407401</v>
      </c>
      <c r="K560" s="93" t="e">
        <f t="shared" si="40"/>
        <v>#VALUE!</v>
      </c>
      <c r="L560">
        <f>IFERROR(HLOOKUP(D560,Ingreso!$AN$10:$AT$260,VLOOKUP('cruce '!I560,Ingreso!$AL$11:$AM$260,2,0),0),0)</f>
        <v>0</v>
      </c>
      <c r="M560" s="95" t="str">
        <f>IFERROR(HLOOKUP(D560,Ingreso!$AW$10:$BC$260,VLOOKUP('cruce '!I560,Ingreso!$AL$11:$AM$260,2,0),0),0)</f>
        <v/>
      </c>
      <c r="N560" t="e">
        <f t="shared" si="41"/>
        <v>#VALUE!</v>
      </c>
    </row>
    <row r="561" spans="2:14">
      <c r="C561"/>
      <c r="D561" t="s">
        <v>1439</v>
      </c>
      <c r="E561" t="s">
        <v>1474</v>
      </c>
      <c r="F561" t="s">
        <v>1472</v>
      </c>
      <c r="G561" s="55">
        <v>0.30322916666666666</v>
      </c>
      <c r="H561" s="55">
        <v>0.64091435185185186</v>
      </c>
      <c r="I561" s="55" t="str">
        <f t="shared" si="38"/>
        <v>11.656.057-7</v>
      </c>
      <c r="J561" s="55">
        <f t="shared" si="39"/>
        <v>0.3376851851851852</v>
      </c>
      <c r="K561" s="93" t="e">
        <f t="shared" si="40"/>
        <v>#VALUE!</v>
      </c>
      <c r="L561">
        <f>IFERROR(HLOOKUP(D561,Ingreso!$AN$10:$AT$260,VLOOKUP('cruce '!I561,Ingreso!$AL$11:$AM$260,2,0),0),0)</f>
        <v>0</v>
      </c>
      <c r="M561" s="95" t="str">
        <f>IFERROR(HLOOKUP(D561,Ingreso!$AW$10:$BC$260,VLOOKUP('cruce '!I561,Ingreso!$AL$11:$AM$260,2,0),0),0)</f>
        <v/>
      </c>
      <c r="N561" t="e">
        <f t="shared" si="41"/>
        <v>#VALUE!</v>
      </c>
    </row>
    <row r="562" spans="2:14">
      <c r="B562" t="s">
        <v>942</v>
      </c>
      <c r="C562" t="s">
        <v>944</v>
      </c>
      <c r="D562" t="s">
        <v>1440</v>
      </c>
      <c r="E562" t="s">
        <v>1323</v>
      </c>
      <c r="F562" s="78">
        <v>0.375</v>
      </c>
      <c r="G562" s="55">
        <v>0.92638888888888893</v>
      </c>
      <c r="H562" s="55">
        <v>0.31318287037037035</v>
      </c>
      <c r="I562" s="55" t="str">
        <f t="shared" si="38"/>
        <v>11.657.838-7</v>
      </c>
      <c r="J562" s="55">
        <f t="shared" si="39"/>
        <v>0.38679398148148136</v>
      </c>
      <c r="K562" s="93">
        <f t="shared" si="40"/>
        <v>0.28305555555555273</v>
      </c>
      <c r="L562">
        <f>IFERROR(HLOOKUP(D562,Ingreso!$AN$10:$AT$260,VLOOKUP('cruce '!I562,Ingreso!$AL$11:$AM$260,2,0),0),0)</f>
        <v>0</v>
      </c>
      <c r="M562" s="95" t="str">
        <f>IFERROR(HLOOKUP(D562,Ingreso!$AW$10:$BC$260,VLOOKUP('cruce '!I562,Ingreso!$AL$11:$AM$260,2,0),0),0)</f>
        <v/>
      </c>
      <c r="N562" t="str">
        <f t="shared" si="41"/>
        <v>OK</v>
      </c>
    </row>
    <row r="563" spans="2:14">
      <c r="C563"/>
      <c r="D563" t="s">
        <v>1441</v>
      </c>
      <c r="E563" t="s">
        <v>1323</v>
      </c>
      <c r="F563" s="78">
        <v>0.375</v>
      </c>
      <c r="G563" s="55"/>
      <c r="H563" s="55">
        <v>0.31258101851851855</v>
      </c>
      <c r="I563" s="55" t="str">
        <f t="shared" si="38"/>
        <v>11.657.838-7</v>
      </c>
      <c r="J563" s="55">
        <f t="shared" si="39"/>
        <v>0.31258101851851855</v>
      </c>
      <c r="K563" s="93">
        <f t="shared" si="40"/>
        <v>-1.4980555555555544</v>
      </c>
      <c r="L563">
        <f>IFERROR(HLOOKUP(D563,Ingreso!$AN$10:$AT$260,VLOOKUP('cruce '!I563,Ingreso!$AL$11:$AM$260,2,0),0),0)</f>
        <v>0</v>
      </c>
      <c r="M563" s="95" t="str">
        <f>IFERROR(HLOOKUP(D563,Ingreso!$AW$10:$BC$260,VLOOKUP('cruce '!I563,Ingreso!$AL$11:$AM$260,2,0),0),0)</f>
        <v/>
      </c>
      <c r="N563" t="str">
        <f t="shared" si="41"/>
        <v>Revisar</v>
      </c>
    </row>
    <row r="564" spans="2:14">
      <c r="C564"/>
      <c r="D564" t="s">
        <v>1437</v>
      </c>
      <c r="E564" t="s">
        <v>1323</v>
      </c>
      <c r="F564" s="78">
        <v>0.375</v>
      </c>
      <c r="G564" s="55">
        <v>0.92334490740740749</v>
      </c>
      <c r="H564" s="55"/>
      <c r="I564" s="55" t="str">
        <f t="shared" si="38"/>
        <v>11.657.838-7</v>
      </c>
      <c r="J564" s="55">
        <f t="shared" si="39"/>
        <v>7.6655092592592511E-2</v>
      </c>
      <c r="K564" s="93">
        <f t="shared" si="40"/>
        <v>-7.1602777777777797</v>
      </c>
      <c r="L564">
        <f>IFERROR(HLOOKUP(D564,Ingreso!$AN$10:$AT$260,VLOOKUP('cruce '!I564,Ingreso!$AL$11:$AM$260,2,0),0),0)</f>
        <v>0</v>
      </c>
      <c r="M564" s="95" t="str">
        <f>IFERROR(HLOOKUP(D564,Ingreso!$AW$10:$BC$260,VLOOKUP('cruce '!I564,Ingreso!$AL$11:$AM$260,2,0),0),0)</f>
        <v/>
      </c>
      <c r="N564" t="str">
        <f t="shared" si="41"/>
        <v>Revisar</v>
      </c>
    </row>
    <row r="565" spans="2:14">
      <c r="C565"/>
      <c r="D565" t="s">
        <v>1438</v>
      </c>
      <c r="E565" t="s">
        <v>1323</v>
      </c>
      <c r="F565" s="78">
        <v>0.375</v>
      </c>
      <c r="G565" s="55">
        <v>0.93174768518518514</v>
      </c>
      <c r="H565" s="55">
        <v>0.31274305555555554</v>
      </c>
      <c r="I565" s="55" t="str">
        <f t="shared" si="38"/>
        <v>11.657.838-7</v>
      </c>
      <c r="J565" s="55">
        <f t="shared" si="39"/>
        <v>0.38099537037037035</v>
      </c>
      <c r="K565" s="93">
        <f t="shared" si="40"/>
        <v>0.14388888888888829</v>
      </c>
      <c r="L565">
        <f>IFERROR(HLOOKUP(D565,Ingreso!$AN$10:$AT$260,VLOOKUP('cruce '!I565,Ingreso!$AL$11:$AM$260,2,0),0),0)</f>
        <v>0</v>
      </c>
      <c r="M565" s="95" t="str">
        <f>IFERROR(HLOOKUP(D565,Ingreso!$AW$10:$BC$260,VLOOKUP('cruce '!I565,Ingreso!$AL$11:$AM$260,2,0),0),0)</f>
        <v/>
      </c>
      <c r="N565" t="str">
        <f t="shared" si="41"/>
        <v>OK</v>
      </c>
    </row>
    <row r="566" spans="2:14">
      <c r="C566"/>
      <c r="D566" t="s">
        <v>1439</v>
      </c>
      <c r="E566" t="s">
        <v>1323</v>
      </c>
      <c r="F566" s="78">
        <v>0.375</v>
      </c>
      <c r="G566" s="55">
        <v>0.92799768518518511</v>
      </c>
      <c r="H566" s="55">
        <v>0.3147800925925926</v>
      </c>
      <c r="I566" s="55" t="str">
        <f t="shared" si="38"/>
        <v>11.657.838-7</v>
      </c>
      <c r="J566" s="55">
        <f t="shared" si="39"/>
        <v>0.38678240740740744</v>
      </c>
      <c r="K566" s="93">
        <f t="shared" si="40"/>
        <v>0.28277777777777757</v>
      </c>
      <c r="L566">
        <f>IFERROR(HLOOKUP(D566,Ingreso!$AN$10:$AT$260,VLOOKUP('cruce '!I566,Ingreso!$AL$11:$AM$260,2,0),0),0)</f>
        <v>0</v>
      </c>
      <c r="M566" s="95" t="str">
        <f>IFERROR(HLOOKUP(D566,Ingreso!$AW$10:$BC$260,VLOOKUP('cruce '!I566,Ingreso!$AL$11:$AM$260,2,0),0),0)</f>
        <v/>
      </c>
      <c r="N566" t="str">
        <f t="shared" si="41"/>
        <v>OK</v>
      </c>
    </row>
    <row r="567" spans="2:14">
      <c r="B567" t="s">
        <v>666</v>
      </c>
      <c r="C567" t="s">
        <v>668</v>
      </c>
      <c r="D567" t="s">
        <v>1440</v>
      </c>
      <c r="E567" t="s">
        <v>1474</v>
      </c>
      <c r="F567" t="s">
        <v>1472</v>
      </c>
      <c r="G567" s="55">
        <v>0.30597222222222226</v>
      </c>
      <c r="H567" s="55">
        <v>0.67402777777777778</v>
      </c>
      <c r="I567" s="55" t="str">
        <f t="shared" si="38"/>
        <v>11.659.510-9</v>
      </c>
      <c r="J567" s="55">
        <f t="shared" si="39"/>
        <v>0.36805555555555552</v>
      </c>
      <c r="K567" s="93" t="e">
        <f t="shared" si="40"/>
        <v>#VALUE!</v>
      </c>
      <c r="L567">
        <f>IFERROR(HLOOKUP(D567,Ingreso!$AN$10:$AT$260,VLOOKUP('cruce '!I567,Ingreso!$AL$11:$AM$260,2,0),0),0)</f>
        <v>0</v>
      </c>
      <c r="M567" s="95" t="str">
        <f>IFERROR(HLOOKUP(D567,Ingreso!$AW$10:$BC$260,VLOOKUP('cruce '!I567,Ingreso!$AL$11:$AM$260,2,0),0),0)</f>
        <v/>
      </c>
      <c r="N567" t="e">
        <f t="shared" si="41"/>
        <v>#VALUE!</v>
      </c>
    </row>
    <row r="568" spans="2:14">
      <c r="C568"/>
      <c r="D568" t="s">
        <v>1441</v>
      </c>
      <c r="E568" t="s">
        <v>1474</v>
      </c>
      <c r="F568" t="s">
        <v>1472</v>
      </c>
      <c r="G568" s="55">
        <v>0.30663194444444447</v>
      </c>
      <c r="H568" s="55">
        <v>0.6367708333333334</v>
      </c>
      <c r="I568" s="55" t="str">
        <f t="shared" si="38"/>
        <v>11.659.510-9</v>
      </c>
      <c r="J568" s="55">
        <f t="shared" si="39"/>
        <v>0.33013888888888893</v>
      </c>
      <c r="K568" s="93" t="e">
        <f t="shared" si="40"/>
        <v>#VALUE!</v>
      </c>
      <c r="L568">
        <f>IFERROR(HLOOKUP(D568,Ingreso!$AN$10:$AT$260,VLOOKUP('cruce '!I568,Ingreso!$AL$11:$AM$260,2,0),0),0)</f>
        <v>0</v>
      </c>
      <c r="M568" s="95" t="str">
        <f>IFERROR(HLOOKUP(D568,Ingreso!$AW$10:$BC$260,VLOOKUP('cruce '!I568,Ingreso!$AL$11:$AM$260,2,0),0),0)</f>
        <v/>
      </c>
      <c r="N568" t="e">
        <f t="shared" si="41"/>
        <v>#VALUE!</v>
      </c>
    </row>
    <row r="569" spans="2:14">
      <c r="C569"/>
      <c r="D569" t="s">
        <v>1437</v>
      </c>
      <c r="E569" t="s">
        <v>1474</v>
      </c>
      <c r="F569" t="s">
        <v>1472</v>
      </c>
      <c r="G569" s="55">
        <v>0.30583333333333335</v>
      </c>
      <c r="H569" s="55">
        <v>0.63719907407407406</v>
      </c>
      <c r="I569" s="55" t="str">
        <f t="shared" si="38"/>
        <v>11.659.510-9</v>
      </c>
      <c r="J569" s="55">
        <f t="shared" si="39"/>
        <v>0.33136574074074071</v>
      </c>
      <c r="K569" s="93" t="e">
        <f t="shared" si="40"/>
        <v>#VALUE!</v>
      </c>
      <c r="L569">
        <f>IFERROR(HLOOKUP(D569,Ingreso!$AN$10:$AT$260,VLOOKUP('cruce '!I569,Ingreso!$AL$11:$AM$260,2,0),0),0)</f>
        <v>0</v>
      </c>
      <c r="M569" s="95" t="str">
        <f>IFERROR(HLOOKUP(D569,Ingreso!$AW$10:$BC$260,VLOOKUP('cruce '!I569,Ingreso!$AL$11:$AM$260,2,0),0),0)</f>
        <v/>
      </c>
      <c r="N569" t="e">
        <f t="shared" si="41"/>
        <v>#VALUE!</v>
      </c>
    </row>
    <row r="570" spans="2:14">
      <c r="C570"/>
      <c r="D570" t="s">
        <v>1438</v>
      </c>
      <c r="E570" t="s">
        <v>1474</v>
      </c>
      <c r="F570" t="s">
        <v>1472</v>
      </c>
      <c r="G570" s="55">
        <v>0.3066666666666667</v>
      </c>
      <c r="H570" s="55">
        <v>0.70918981481481491</v>
      </c>
      <c r="I570" s="55" t="str">
        <f t="shared" si="38"/>
        <v>11.659.510-9</v>
      </c>
      <c r="J570" s="55">
        <f t="shared" si="39"/>
        <v>0.40252314814814821</v>
      </c>
      <c r="K570" s="93" t="e">
        <f t="shared" si="40"/>
        <v>#VALUE!</v>
      </c>
      <c r="L570">
        <f>IFERROR(HLOOKUP(D570,Ingreso!$AN$10:$AT$260,VLOOKUP('cruce '!I570,Ingreso!$AL$11:$AM$260,2,0),0),0)</f>
        <v>2</v>
      </c>
      <c r="M570" s="95">
        <f>IFERROR(HLOOKUP(D570,Ingreso!$AW$10:$BC$260,VLOOKUP('cruce '!I570,Ingreso!$AL$11:$AM$260,2,0),0),0)</f>
        <v>0.5</v>
      </c>
      <c r="N570" t="e">
        <f t="shared" si="41"/>
        <v>#VALUE!</v>
      </c>
    </row>
    <row r="571" spans="2:14">
      <c r="C571"/>
      <c r="D571" t="s">
        <v>1439</v>
      </c>
      <c r="E571" t="s">
        <v>1474</v>
      </c>
      <c r="F571" t="s">
        <v>1472</v>
      </c>
      <c r="G571" s="55">
        <v>0.30746527777777777</v>
      </c>
      <c r="H571" s="55">
        <v>0.672337962962963</v>
      </c>
      <c r="I571" s="55" t="str">
        <f t="shared" si="38"/>
        <v>11.659.510-9</v>
      </c>
      <c r="J571" s="55">
        <f t="shared" si="39"/>
        <v>0.36487268518518523</v>
      </c>
      <c r="K571" s="93" t="e">
        <f t="shared" si="40"/>
        <v>#VALUE!</v>
      </c>
      <c r="L571">
        <f>IFERROR(HLOOKUP(D571,Ingreso!$AN$10:$AT$260,VLOOKUP('cruce '!I571,Ingreso!$AL$11:$AM$260,2,0),0),0)</f>
        <v>1</v>
      </c>
      <c r="M571" s="95">
        <f>IFERROR(HLOOKUP(D571,Ingreso!$AW$10:$BC$260,VLOOKUP('cruce '!I571,Ingreso!$AL$11:$AM$260,2,0),0),0)</f>
        <v>0.5</v>
      </c>
      <c r="N571" t="e">
        <f t="shared" si="41"/>
        <v>#VALUE!</v>
      </c>
    </row>
    <row r="572" spans="2:14">
      <c r="B572" t="s">
        <v>266</v>
      </c>
      <c r="C572" t="s">
        <v>270</v>
      </c>
      <c r="D572" t="s">
        <v>1440</v>
      </c>
      <c r="E572" t="s">
        <v>1474</v>
      </c>
      <c r="F572" t="s">
        <v>1472</v>
      </c>
      <c r="G572" s="55">
        <v>0.9205902777777778</v>
      </c>
      <c r="H572" s="55">
        <v>0.33076388888888891</v>
      </c>
      <c r="I572" s="55" t="str">
        <f t="shared" si="38"/>
        <v>11.660.411-6</v>
      </c>
      <c r="J572" s="55">
        <f t="shared" si="39"/>
        <v>0.41017361111111106</v>
      </c>
      <c r="K572" s="93" t="e">
        <f t="shared" si="40"/>
        <v>#VALUE!</v>
      </c>
      <c r="L572">
        <f>IFERROR(HLOOKUP(D572,Ingreso!$AN$10:$AT$260,VLOOKUP('cruce '!I572,Ingreso!$AL$11:$AM$260,2,0),0),0)</f>
        <v>0</v>
      </c>
      <c r="M572" s="95" t="str">
        <f>IFERROR(HLOOKUP(D572,Ingreso!$AW$10:$BC$260,VLOOKUP('cruce '!I572,Ingreso!$AL$11:$AM$260,2,0),0),0)</f>
        <v/>
      </c>
      <c r="N572" t="e">
        <f t="shared" si="41"/>
        <v>#VALUE!</v>
      </c>
    </row>
    <row r="573" spans="2:14">
      <c r="C573"/>
      <c r="D573" t="s">
        <v>1441</v>
      </c>
      <c r="E573" t="s">
        <v>1474</v>
      </c>
      <c r="F573" t="s">
        <v>1472</v>
      </c>
      <c r="G573" s="55"/>
      <c r="H573" s="55">
        <v>0.3316087962962963</v>
      </c>
      <c r="I573" s="55" t="str">
        <f t="shared" si="38"/>
        <v>11.660.411-6</v>
      </c>
      <c r="J573" s="55">
        <f t="shared" si="39"/>
        <v>0.3316087962962963</v>
      </c>
      <c r="K573" s="93" t="e">
        <f t="shared" si="40"/>
        <v>#VALUE!</v>
      </c>
      <c r="L573">
        <f>IFERROR(HLOOKUP(D573,Ingreso!$AN$10:$AT$260,VLOOKUP('cruce '!I573,Ingreso!$AL$11:$AM$260,2,0),0),0)</f>
        <v>0</v>
      </c>
      <c r="M573" s="95" t="str">
        <f>IFERROR(HLOOKUP(D573,Ingreso!$AW$10:$BC$260,VLOOKUP('cruce '!I573,Ingreso!$AL$11:$AM$260,2,0),0),0)</f>
        <v/>
      </c>
      <c r="N573" t="e">
        <f t="shared" si="41"/>
        <v>#VALUE!</v>
      </c>
    </row>
    <row r="574" spans="2:14">
      <c r="C574"/>
      <c r="D574" t="s">
        <v>1437</v>
      </c>
      <c r="E574" t="s">
        <v>1474</v>
      </c>
      <c r="F574" t="s">
        <v>1472</v>
      </c>
      <c r="G574" s="55">
        <v>0.91863425925925923</v>
      </c>
      <c r="H574" s="55"/>
      <c r="I574" s="55" t="str">
        <f t="shared" si="38"/>
        <v>11.660.411-6</v>
      </c>
      <c r="J574" s="55">
        <f t="shared" si="39"/>
        <v>8.1365740740740766E-2</v>
      </c>
      <c r="K574" s="93" t="e">
        <f t="shared" si="40"/>
        <v>#VALUE!</v>
      </c>
      <c r="L574">
        <f>IFERROR(HLOOKUP(D574,Ingreso!$AN$10:$AT$260,VLOOKUP('cruce '!I574,Ingreso!$AL$11:$AM$260,2,0),0),0)</f>
        <v>0</v>
      </c>
      <c r="M574" s="95" t="str">
        <f>IFERROR(HLOOKUP(D574,Ingreso!$AW$10:$BC$260,VLOOKUP('cruce '!I574,Ingreso!$AL$11:$AM$260,2,0),0),0)</f>
        <v/>
      </c>
      <c r="N574" t="e">
        <f t="shared" si="41"/>
        <v>#VALUE!</v>
      </c>
    </row>
    <row r="575" spans="2:14">
      <c r="C575"/>
      <c r="D575" t="s">
        <v>1438</v>
      </c>
      <c r="E575" t="s">
        <v>1474</v>
      </c>
      <c r="F575" t="s">
        <v>1472</v>
      </c>
      <c r="G575" s="55">
        <v>0.92045138888888889</v>
      </c>
      <c r="H575" s="55">
        <v>0.32668981481481479</v>
      </c>
      <c r="I575" s="55" t="str">
        <f t="shared" ref="I575:I638" si="42">IF(B575="",I574,B575)</f>
        <v>11.660.411-6</v>
      </c>
      <c r="J575" s="55">
        <f t="shared" ref="J575:J638" si="43">IF(G575&gt;H575,(H575+0.5)-(G575-0.5),H575-G575)</f>
        <v>0.40623842592592585</v>
      </c>
      <c r="K575" s="93" t="e">
        <f t="shared" ref="K575:K638" si="44">(J575*24)-(F575*24)</f>
        <v>#VALUE!</v>
      </c>
      <c r="L575">
        <f>IFERROR(HLOOKUP(D575,Ingreso!$AN$10:$AT$260,VLOOKUP('cruce '!I575,Ingreso!$AL$11:$AM$260,2,0),0),0)</f>
        <v>0</v>
      </c>
      <c r="M575" s="95" t="str">
        <f>IFERROR(HLOOKUP(D575,Ingreso!$AW$10:$BC$260,VLOOKUP('cruce '!I575,Ingreso!$AL$11:$AM$260,2,0),0),0)</f>
        <v/>
      </c>
      <c r="N575" t="e">
        <f t="shared" ref="N575:N638" si="45">IF((K575-L575)&gt;1,"Revisar",IF((K575-L575)&lt;-1,"Revisar","OK"))</f>
        <v>#VALUE!</v>
      </c>
    </row>
    <row r="576" spans="2:14">
      <c r="C576"/>
      <c r="D576" t="s">
        <v>1439</v>
      </c>
      <c r="E576" t="s">
        <v>1474</v>
      </c>
      <c r="F576" t="s">
        <v>1472</v>
      </c>
      <c r="G576" s="55">
        <v>0.96577546296296291</v>
      </c>
      <c r="H576" s="55">
        <v>0.32704861111111111</v>
      </c>
      <c r="I576" s="55" t="str">
        <f t="shared" si="42"/>
        <v>11.660.411-6</v>
      </c>
      <c r="J576" s="55">
        <f t="shared" si="43"/>
        <v>0.36127314814814815</v>
      </c>
      <c r="K576" s="93" t="e">
        <f t="shared" si="44"/>
        <v>#VALUE!</v>
      </c>
      <c r="L576">
        <f>IFERROR(HLOOKUP(D576,Ingreso!$AN$10:$AT$260,VLOOKUP('cruce '!I576,Ingreso!$AL$11:$AM$260,2,0),0),0)</f>
        <v>0</v>
      </c>
      <c r="M576" s="95" t="str">
        <f>IFERROR(HLOOKUP(D576,Ingreso!$AW$10:$BC$260,VLOOKUP('cruce '!I576,Ingreso!$AL$11:$AM$260,2,0),0),0)</f>
        <v/>
      </c>
      <c r="N576" t="e">
        <f t="shared" si="45"/>
        <v>#VALUE!</v>
      </c>
    </row>
    <row r="577" spans="2:14">
      <c r="B577" t="s">
        <v>1031</v>
      </c>
      <c r="C577" t="s">
        <v>1034</v>
      </c>
      <c r="D577" t="s">
        <v>1440</v>
      </c>
      <c r="E577" t="s">
        <v>4</v>
      </c>
      <c r="F577" s="78">
        <v>0.3125</v>
      </c>
      <c r="G577" s="55">
        <v>0.29145833333333332</v>
      </c>
      <c r="H577" s="55">
        <v>0.63896990740740744</v>
      </c>
      <c r="I577" s="55" t="str">
        <f t="shared" si="42"/>
        <v>11.840.491-2</v>
      </c>
      <c r="J577" s="55">
        <f t="shared" si="43"/>
        <v>0.34751157407407413</v>
      </c>
      <c r="K577" s="93">
        <f t="shared" si="44"/>
        <v>0.84027777777777857</v>
      </c>
      <c r="L577">
        <f>IFERROR(HLOOKUP(D577,Ingreso!$AN$10:$AT$260,VLOOKUP('cruce '!I577,Ingreso!$AL$11:$AM$260,2,0),0),0)</f>
        <v>0</v>
      </c>
      <c r="M577" s="95">
        <f>IFERROR(HLOOKUP(D577,Ingreso!$AW$10:$BC$260,VLOOKUP('cruce '!I577,Ingreso!$AL$11:$AM$260,2,0),0),0)</f>
        <v>0</v>
      </c>
      <c r="N577" t="str">
        <f t="shared" si="45"/>
        <v>OK</v>
      </c>
    </row>
    <row r="578" spans="2:14">
      <c r="C578"/>
      <c r="D578" t="s">
        <v>1441</v>
      </c>
      <c r="E578" t="s">
        <v>1321</v>
      </c>
      <c r="F578" s="78">
        <v>0.3125</v>
      </c>
      <c r="G578" s="55"/>
      <c r="H578" s="55">
        <v>0.62212962962962959</v>
      </c>
      <c r="I578" s="55" t="str">
        <f t="shared" si="42"/>
        <v>11.840.491-2</v>
      </c>
      <c r="J578" s="55">
        <f t="shared" si="43"/>
        <v>0.62212962962962959</v>
      </c>
      <c r="K578" s="93">
        <f t="shared" si="44"/>
        <v>7.431111111111111</v>
      </c>
      <c r="L578">
        <f>IFERROR(HLOOKUP(D578,Ingreso!$AN$10:$AT$260,VLOOKUP('cruce '!I578,Ingreso!$AL$11:$AM$260,2,0),0),0)</f>
        <v>0</v>
      </c>
      <c r="M578" s="95">
        <f>IFERROR(HLOOKUP(D578,Ingreso!$AW$10:$BC$260,VLOOKUP('cruce '!I578,Ingreso!$AL$11:$AM$260,2,0),0),0)</f>
        <v>0</v>
      </c>
      <c r="N578" t="str">
        <f t="shared" si="45"/>
        <v>Revisar</v>
      </c>
    </row>
    <row r="579" spans="2:14">
      <c r="C579"/>
      <c r="D579"/>
      <c r="E579" t="s">
        <v>1473</v>
      </c>
      <c r="F579" t="s">
        <v>1472</v>
      </c>
      <c r="G579" s="55">
        <v>0.4715509259259259</v>
      </c>
      <c r="H579" s="55"/>
      <c r="I579" s="55" t="str">
        <f t="shared" si="42"/>
        <v>11.840.491-2</v>
      </c>
      <c r="J579" s="55">
        <f t="shared" si="43"/>
        <v>0.52844907407407415</v>
      </c>
      <c r="K579" s="93" t="e">
        <f t="shared" si="44"/>
        <v>#VALUE!</v>
      </c>
      <c r="L579">
        <f>IFERROR(HLOOKUP(D579,Ingreso!$AN$10:$AT$260,VLOOKUP('cruce '!I579,Ingreso!$AL$11:$AM$260,2,0),0),0)</f>
        <v>0</v>
      </c>
      <c r="M579" s="95">
        <f>IFERROR(HLOOKUP(D579,Ingreso!$AW$10:$BC$260,VLOOKUP('cruce '!I579,Ingreso!$AL$11:$AM$260,2,0),0),0)</f>
        <v>0</v>
      </c>
      <c r="N579" t="e">
        <f t="shared" si="45"/>
        <v>#VALUE!</v>
      </c>
    </row>
    <row r="580" spans="2:14">
      <c r="C580"/>
      <c r="D580" t="s">
        <v>1438</v>
      </c>
      <c r="E580" t="s">
        <v>4</v>
      </c>
      <c r="F580" s="78">
        <v>0.3125</v>
      </c>
      <c r="G580" s="55">
        <v>0.30780092592592595</v>
      </c>
      <c r="H580" s="55">
        <v>0.62820601851851854</v>
      </c>
      <c r="I580" s="55" t="str">
        <f t="shared" si="42"/>
        <v>11.840.491-2</v>
      </c>
      <c r="J580" s="55">
        <f t="shared" si="43"/>
        <v>0.32040509259259259</v>
      </c>
      <c r="K580" s="93">
        <f t="shared" si="44"/>
        <v>0.18972222222222257</v>
      </c>
      <c r="L580">
        <f>IFERROR(HLOOKUP(D580,Ingreso!$AN$10:$AT$260,VLOOKUP('cruce '!I580,Ingreso!$AL$11:$AM$260,2,0),0),0)</f>
        <v>0</v>
      </c>
      <c r="M580" s="95">
        <f>IFERROR(HLOOKUP(D580,Ingreso!$AW$10:$BC$260,VLOOKUP('cruce '!I580,Ingreso!$AL$11:$AM$260,2,0),0),0)</f>
        <v>0</v>
      </c>
      <c r="N580" t="str">
        <f t="shared" si="45"/>
        <v>OK</v>
      </c>
    </row>
    <row r="581" spans="2:14">
      <c r="C581"/>
      <c r="D581" t="s">
        <v>1439</v>
      </c>
      <c r="E581" t="s">
        <v>4</v>
      </c>
      <c r="F581" s="78">
        <v>0.3125</v>
      </c>
      <c r="G581" s="55">
        <v>0.29180555555555554</v>
      </c>
      <c r="H581" s="55"/>
      <c r="I581" s="55" t="str">
        <f t="shared" si="42"/>
        <v>11.840.491-2</v>
      </c>
      <c r="J581" s="55">
        <f t="shared" si="43"/>
        <v>0.70819444444444446</v>
      </c>
      <c r="K581" s="93">
        <f t="shared" si="44"/>
        <v>9.4966666666666661</v>
      </c>
      <c r="L581">
        <f>IFERROR(HLOOKUP(D581,Ingreso!$AN$10:$AT$260,VLOOKUP('cruce '!I581,Ingreso!$AL$11:$AM$260,2,0),0),0)</f>
        <v>0</v>
      </c>
      <c r="M581" s="95">
        <f>IFERROR(HLOOKUP(D581,Ingreso!$AW$10:$BC$260,VLOOKUP('cruce '!I581,Ingreso!$AL$11:$AM$260,2,0),0),0)</f>
        <v>0</v>
      </c>
      <c r="N581" t="str">
        <f t="shared" si="45"/>
        <v>Revisar</v>
      </c>
    </row>
    <row r="582" spans="2:14">
      <c r="C582"/>
      <c r="D582"/>
      <c r="E582" t="s">
        <v>1473</v>
      </c>
      <c r="F582" t="s">
        <v>1472</v>
      </c>
      <c r="G582" s="55"/>
      <c r="H582" s="55">
        <v>0.6251620370370371</v>
      </c>
      <c r="I582" s="55" t="str">
        <f t="shared" si="42"/>
        <v>11.840.491-2</v>
      </c>
      <c r="J582" s="55">
        <f t="shared" si="43"/>
        <v>0.6251620370370371</v>
      </c>
      <c r="K582" s="93" t="e">
        <f t="shared" si="44"/>
        <v>#VALUE!</v>
      </c>
      <c r="L582">
        <f>IFERROR(HLOOKUP(D582,Ingreso!$AN$10:$AT$260,VLOOKUP('cruce '!I582,Ingreso!$AL$11:$AM$260,2,0),0),0)</f>
        <v>0</v>
      </c>
      <c r="M582" s="95">
        <f>IFERROR(HLOOKUP(D582,Ingreso!$AW$10:$BC$260,VLOOKUP('cruce '!I582,Ingreso!$AL$11:$AM$260,2,0),0),0)</f>
        <v>0</v>
      </c>
      <c r="N582" t="e">
        <f t="shared" si="45"/>
        <v>#VALUE!</v>
      </c>
    </row>
    <row r="583" spans="2:14">
      <c r="B583" t="s">
        <v>367</v>
      </c>
      <c r="C583" t="s">
        <v>370</v>
      </c>
      <c r="D583" t="s">
        <v>1440</v>
      </c>
      <c r="E583" t="s">
        <v>1321</v>
      </c>
      <c r="F583" s="78">
        <v>0.3125</v>
      </c>
      <c r="G583" s="55">
        <v>0.60932870370370373</v>
      </c>
      <c r="H583" s="55">
        <v>0.94863425925925926</v>
      </c>
      <c r="I583" s="55" t="str">
        <f t="shared" si="42"/>
        <v>11.914.799-9</v>
      </c>
      <c r="J583" s="55">
        <f t="shared" si="43"/>
        <v>0.33930555555555553</v>
      </c>
      <c r="K583" s="93">
        <f t="shared" si="44"/>
        <v>0.64333333333333265</v>
      </c>
      <c r="L583">
        <f>IFERROR(HLOOKUP(D583,Ingreso!$AN$10:$AT$260,VLOOKUP('cruce '!I583,Ingreso!$AL$11:$AM$260,2,0),0),0)</f>
        <v>0</v>
      </c>
      <c r="M583" s="95">
        <f>IFERROR(HLOOKUP(D583,Ingreso!$AW$10:$BC$260,VLOOKUP('cruce '!I583,Ingreso!$AL$11:$AM$260,2,0),0),0)</f>
        <v>0</v>
      </c>
      <c r="N583" t="str">
        <f t="shared" si="45"/>
        <v>OK</v>
      </c>
    </row>
    <row r="584" spans="2:14">
      <c r="C584"/>
      <c r="D584" t="s">
        <v>1441</v>
      </c>
      <c r="E584" t="s">
        <v>4</v>
      </c>
      <c r="F584" s="78">
        <v>0.3125</v>
      </c>
      <c r="G584" s="55">
        <v>0.29373842592592592</v>
      </c>
      <c r="H584" s="55">
        <v>0.63818287037037036</v>
      </c>
      <c r="I584" s="55" t="str">
        <f t="shared" si="42"/>
        <v>11.914.799-9</v>
      </c>
      <c r="J584" s="55">
        <f t="shared" si="43"/>
        <v>0.34444444444444444</v>
      </c>
      <c r="K584" s="93">
        <f t="shared" si="44"/>
        <v>0.76666666666666572</v>
      </c>
      <c r="L584">
        <f>IFERROR(HLOOKUP(D584,Ingreso!$AN$10:$AT$260,VLOOKUP('cruce '!I584,Ingreso!$AL$11:$AM$260,2,0),0),0)</f>
        <v>0</v>
      </c>
      <c r="M584" s="95">
        <f>IFERROR(HLOOKUP(D584,Ingreso!$AW$10:$BC$260,VLOOKUP('cruce '!I584,Ingreso!$AL$11:$AM$260,2,0),0),0)</f>
        <v>0</v>
      </c>
      <c r="N584" t="str">
        <f t="shared" si="45"/>
        <v>OK</v>
      </c>
    </row>
    <row r="585" spans="2:14">
      <c r="C585"/>
      <c r="D585" t="s">
        <v>1437</v>
      </c>
      <c r="E585" t="s">
        <v>1321</v>
      </c>
      <c r="F585" s="78">
        <v>0.3125</v>
      </c>
      <c r="G585" s="55">
        <v>0.60637731481481483</v>
      </c>
      <c r="H585" s="55">
        <v>0.94810185185185192</v>
      </c>
      <c r="I585" s="55" t="str">
        <f t="shared" si="42"/>
        <v>11.914.799-9</v>
      </c>
      <c r="J585" s="55">
        <f t="shared" si="43"/>
        <v>0.34172453703703709</v>
      </c>
      <c r="K585" s="93">
        <f t="shared" si="44"/>
        <v>0.70138888888888928</v>
      </c>
      <c r="L585">
        <f>IFERROR(HLOOKUP(D585,Ingreso!$AN$10:$AT$260,VLOOKUP('cruce '!I585,Ingreso!$AL$11:$AM$260,2,0),0),0)</f>
        <v>0</v>
      </c>
      <c r="M585" s="95">
        <f>IFERROR(HLOOKUP(D585,Ingreso!$AW$10:$BC$260,VLOOKUP('cruce '!I585,Ingreso!$AL$11:$AM$260,2,0),0),0)</f>
        <v>0</v>
      </c>
      <c r="N585" t="str">
        <f t="shared" si="45"/>
        <v>OK</v>
      </c>
    </row>
    <row r="586" spans="2:14">
      <c r="C586"/>
      <c r="D586" t="s">
        <v>1438</v>
      </c>
      <c r="E586" t="s">
        <v>1321</v>
      </c>
      <c r="F586" s="78">
        <v>0.3125</v>
      </c>
      <c r="G586" s="55">
        <v>0.60718749999999999</v>
      </c>
      <c r="H586" s="55">
        <v>0.94811342592592596</v>
      </c>
      <c r="I586" s="55" t="str">
        <f t="shared" si="42"/>
        <v>11.914.799-9</v>
      </c>
      <c r="J586" s="55">
        <f t="shared" si="43"/>
        <v>0.34092592592592597</v>
      </c>
      <c r="K586" s="93">
        <f t="shared" si="44"/>
        <v>0.68222222222222229</v>
      </c>
      <c r="L586">
        <f>IFERROR(HLOOKUP(D586,Ingreso!$AN$10:$AT$260,VLOOKUP('cruce '!I586,Ingreso!$AL$11:$AM$260,2,0),0),0)</f>
        <v>0</v>
      </c>
      <c r="M586" s="95">
        <f>IFERROR(HLOOKUP(D586,Ingreso!$AW$10:$BC$260,VLOOKUP('cruce '!I586,Ingreso!$AL$11:$AM$260,2,0),0),0)</f>
        <v>0</v>
      </c>
      <c r="N586" t="str">
        <f t="shared" si="45"/>
        <v>OK</v>
      </c>
    </row>
    <row r="587" spans="2:14">
      <c r="C587"/>
      <c r="D587" t="s">
        <v>1439</v>
      </c>
      <c r="E587" t="s">
        <v>1321</v>
      </c>
      <c r="F587" s="78">
        <v>0.3125</v>
      </c>
      <c r="G587" s="55">
        <v>0.60709490740740735</v>
      </c>
      <c r="H587" s="55">
        <v>0.94811342592592596</v>
      </c>
      <c r="I587" s="55" t="str">
        <f t="shared" si="42"/>
        <v>11.914.799-9</v>
      </c>
      <c r="J587" s="55">
        <f t="shared" si="43"/>
        <v>0.34101851851851861</v>
      </c>
      <c r="K587" s="93">
        <f t="shared" si="44"/>
        <v>0.68444444444444663</v>
      </c>
      <c r="L587">
        <f>IFERROR(HLOOKUP(D587,Ingreso!$AN$10:$AT$260,VLOOKUP('cruce '!I587,Ingreso!$AL$11:$AM$260,2,0),0),0)</f>
        <v>0</v>
      </c>
      <c r="M587" s="95">
        <f>IFERROR(HLOOKUP(D587,Ingreso!$AW$10:$BC$260,VLOOKUP('cruce '!I587,Ingreso!$AL$11:$AM$260,2,0),0),0)</f>
        <v>0</v>
      </c>
      <c r="N587" t="str">
        <f t="shared" si="45"/>
        <v>OK</v>
      </c>
    </row>
    <row r="588" spans="2:14">
      <c r="B588" t="s">
        <v>648</v>
      </c>
      <c r="C588" t="s">
        <v>650</v>
      </c>
      <c r="D588" t="s">
        <v>1440</v>
      </c>
      <c r="E588" t="s">
        <v>4</v>
      </c>
      <c r="F588" s="78">
        <v>0.3125</v>
      </c>
      <c r="G588" s="55"/>
      <c r="H588" s="55">
        <v>0.74834490740740733</v>
      </c>
      <c r="I588" s="55" t="str">
        <f t="shared" si="42"/>
        <v>11.994.656-5</v>
      </c>
      <c r="J588" s="55">
        <f t="shared" si="43"/>
        <v>0.74834490740740733</v>
      </c>
      <c r="K588" s="93">
        <f t="shared" si="44"/>
        <v>10.460277777777776</v>
      </c>
      <c r="L588">
        <f>IFERROR(HLOOKUP(D588,Ingreso!$AN$10:$AT$260,VLOOKUP('cruce '!I588,Ingreso!$AL$11:$AM$260,2,0),0),0)</f>
        <v>0</v>
      </c>
      <c r="M588" s="95">
        <f>IFERROR(HLOOKUP(D588,Ingreso!$AW$10:$BC$260,VLOOKUP('cruce '!I588,Ingreso!$AL$11:$AM$260,2,0),0),0)</f>
        <v>0</v>
      </c>
      <c r="N588" t="str">
        <f t="shared" si="45"/>
        <v>Revisar</v>
      </c>
    </row>
    <row r="589" spans="2:14">
      <c r="C589"/>
      <c r="D589"/>
      <c r="E589" t="s">
        <v>1473</v>
      </c>
      <c r="F589" t="s">
        <v>1472</v>
      </c>
      <c r="G589" s="55">
        <v>0.35515046296296293</v>
      </c>
      <c r="H589" s="55"/>
      <c r="I589" s="55" t="str">
        <f t="shared" si="42"/>
        <v>11.994.656-5</v>
      </c>
      <c r="J589" s="55">
        <f t="shared" si="43"/>
        <v>0.64484953703703707</v>
      </c>
      <c r="K589" s="93" t="e">
        <f t="shared" si="44"/>
        <v>#VALUE!</v>
      </c>
      <c r="L589">
        <f>IFERROR(HLOOKUP(D589,Ingreso!$AN$10:$AT$260,VLOOKUP('cruce '!I589,Ingreso!$AL$11:$AM$260,2,0),0),0)</f>
        <v>0</v>
      </c>
      <c r="M589" s="95">
        <f>IFERROR(HLOOKUP(D589,Ingreso!$AW$10:$BC$260,VLOOKUP('cruce '!I589,Ingreso!$AL$11:$AM$260,2,0),0),0)</f>
        <v>0</v>
      </c>
      <c r="N589" t="e">
        <f t="shared" si="45"/>
        <v>#VALUE!</v>
      </c>
    </row>
    <row r="590" spans="2:14">
      <c r="C590"/>
      <c r="D590" t="s">
        <v>1437</v>
      </c>
      <c r="E590" t="s">
        <v>4</v>
      </c>
      <c r="F590" s="78">
        <v>0.3125</v>
      </c>
      <c r="G590" s="55"/>
      <c r="H590" s="55">
        <v>0.77690972222222221</v>
      </c>
      <c r="I590" s="55" t="str">
        <f t="shared" si="42"/>
        <v>11.994.656-5</v>
      </c>
      <c r="J590" s="55">
        <f t="shared" si="43"/>
        <v>0.77690972222222221</v>
      </c>
      <c r="K590" s="93">
        <f t="shared" si="44"/>
        <v>11.145833333333332</v>
      </c>
      <c r="L590">
        <f>IFERROR(HLOOKUP(D590,Ingreso!$AN$10:$AT$260,VLOOKUP('cruce '!I590,Ingreso!$AL$11:$AM$260,2,0),0),0)</f>
        <v>0</v>
      </c>
      <c r="M590" s="95">
        <f>IFERROR(HLOOKUP(D590,Ingreso!$AW$10:$BC$260,VLOOKUP('cruce '!I590,Ingreso!$AL$11:$AM$260,2,0),0),0)</f>
        <v>0</v>
      </c>
      <c r="N590" t="str">
        <f t="shared" si="45"/>
        <v>Revisar</v>
      </c>
    </row>
    <row r="591" spans="2:14">
      <c r="C591"/>
      <c r="D591"/>
      <c r="E591" t="s">
        <v>1323</v>
      </c>
      <c r="F591" s="78">
        <v>0.375</v>
      </c>
      <c r="G591" s="55">
        <v>0.35180555555555554</v>
      </c>
      <c r="H591" s="55"/>
      <c r="I591" s="55" t="str">
        <f t="shared" si="42"/>
        <v>11.994.656-5</v>
      </c>
      <c r="J591" s="55">
        <f t="shared" si="43"/>
        <v>0.64819444444444452</v>
      </c>
      <c r="K591" s="93">
        <f t="shared" si="44"/>
        <v>6.5566666666666684</v>
      </c>
      <c r="L591">
        <f>IFERROR(HLOOKUP(D591,Ingreso!$AN$10:$AT$260,VLOOKUP('cruce '!I591,Ingreso!$AL$11:$AM$260,2,0),0),0)</f>
        <v>0</v>
      </c>
      <c r="M591" s="95">
        <f>IFERROR(HLOOKUP(D591,Ingreso!$AW$10:$BC$260,VLOOKUP('cruce '!I591,Ingreso!$AL$11:$AM$260,2,0),0),0)</f>
        <v>0</v>
      </c>
      <c r="N591" t="str">
        <f t="shared" si="45"/>
        <v>Revisar</v>
      </c>
    </row>
    <row r="592" spans="2:14">
      <c r="C592"/>
      <c r="D592" t="s">
        <v>1438</v>
      </c>
      <c r="E592" t="s">
        <v>4</v>
      </c>
      <c r="F592" s="78">
        <v>0.3125</v>
      </c>
      <c r="G592" s="55"/>
      <c r="H592" s="55">
        <v>0.79871527777777773</v>
      </c>
      <c r="I592" s="55" t="str">
        <f t="shared" si="42"/>
        <v>11.994.656-5</v>
      </c>
      <c r="J592" s="55">
        <f t="shared" si="43"/>
        <v>0.79871527777777773</v>
      </c>
      <c r="K592" s="93">
        <f t="shared" si="44"/>
        <v>11.669166666666666</v>
      </c>
      <c r="L592">
        <f>IFERROR(HLOOKUP(D592,Ingreso!$AN$10:$AT$260,VLOOKUP('cruce '!I592,Ingreso!$AL$11:$AM$260,2,0),0),0)</f>
        <v>0</v>
      </c>
      <c r="M592" s="95">
        <f>IFERROR(HLOOKUP(D592,Ingreso!$AW$10:$BC$260,VLOOKUP('cruce '!I592,Ingreso!$AL$11:$AM$260,2,0),0),0)</f>
        <v>0</v>
      </c>
      <c r="N592" t="str">
        <f t="shared" si="45"/>
        <v>Revisar</v>
      </c>
    </row>
    <row r="593" spans="2:14">
      <c r="C593"/>
      <c r="D593"/>
      <c r="E593" t="s">
        <v>1323</v>
      </c>
      <c r="F593" s="78">
        <v>0.375</v>
      </c>
      <c r="G593" s="55">
        <v>0.3479976851851852</v>
      </c>
      <c r="H593" s="55"/>
      <c r="I593" s="55" t="str">
        <f t="shared" si="42"/>
        <v>11.994.656-5</v>
      </c>
      <c r="J593" s="55">
        <f t="shared" si="43"/>
        <v>0.65200231481481485</v>
      </c>
      <c r="K593" s="93">
        <f t="shared" si="44"/>
        <v>6.6480555555555565</v>
      </c>
      <c r="L593">
        <f>IFERROR(HLOOKUP(D593,Ingreso!$AN$10:$AT$260,VLOOKUP('cruce '!I593,Ingreso!$AL$11:$AM$260,2,0),0),0)</f>
        <v>0</v>
      </c>
      <c r="M593" s="95">
        <f>IFERROR(HLOOKUP(D593,Ingreso!$AW$10:$BC$260,VLOOKUP('cruce '!I593,Ingreso!$AL$11:$AM$260,2,0),0),0)</f>
        <v>0</v>
      </c>
      <c r="N593" t="str">
        <f t="shared" si="45"/>
        <v>Revisar</v>
      </c>
    </row>
    <row r="594" spans="2:14">
      <c r="C594"/>
      <c r="D594" t="s">
        <v>1439</v>
      </c>
      <c r="E594" t="s">
        <v>4</v>
      </c>
      <c r="F594" s="78">
        <v>0.3125</v>
      </c>
      <c r="G594" s="55"/>
      <c r="H594" s="55">
        <v>0.76300925925925922</v>
      </c>
      <c r="I594" s="55" t="str">
        <f t="shared" si="42"/>
        <v>11.994.656-5</v>
      </c>
      <c r="J594" s="55">
        <f t="shared" si="43"/>
        <v>0.76300925925925922</v>
      </c>
      <c r="K594" s="93">
        <f t="shared" si="44"/>
        <v>10.812222222222221</v>
      </c>
      <c r="L594">
        <f>IFERROR(HLOOKUP(D594,Ingreso!$AN$10:$AT$260,VLOOKUP('cruce '!I594,Ingreso!$AL$11:$AM$260,2,0),0),0)</f>
        <v>0</v>
      </c>
      <c r="M594" s="95">
        <f>IFERROR(HLOOKUP(D594,Ingreso!$AW$10:$BC$260,VLOOKUP('cruce '!I594,Ingreso!$AL$11:$AM$260,2,0),0),0)</f>
        <v>0</v>
      </c>
      <c r="N594" t="str">
        <f t="shared" si="45"/>
        <v>Revisar</v>
      </c>
    </row>
    <row r="595" spans="2:14">
      <c r="C595"/>
      <c r="D595"/>
      <c r="E595" t="s">
        <v>1323</v>
      </c>
      <c r="F595" s="78">
        <v>0.375</v>
      </c>
      <c r="G595" s="55">
        <v>0.33729166666666671</v>
      </c>
      <c r="H595" s="55"/>
      <c r="I595" s="55" t="str">
        <f t="shared" si="42"/>
        <v>11.994.656-5</v>
      </c>
      <c r="J595" s="55">
        <f t="shared" si="43"/>
        <v>0.66270833333333323</v>
      </c>
      <c r="K595" s="93">
        <f t="shared" si="44"/>
        <v>6.9049999999999976</v>
      </c>
      <c r="L595">
        <f>IFERROR(HLOOKUP(D595,Ingreso!$AN$10:$AT$260,VLOOKUP('cruce '!I595,Ingreso!$AL$11:$AM$260,2,0),0),0)</f>
        <v>0</v>
      </c>
      <c r="M595" s="95">
        <f>IFERROR(HLOOKUP(D595,Ingreso!$AW$10:$BC$260,VLOOKUP('cruce '!I595,Ingreso!$AL$11:$AM$260,2,0),0),0)</f>
        <v>0</v>
      </c>
      <c r="N595" t="str">
        <f t="shared" si="45"/>
        <v>Revisar</v>
      </c>
    </row>
    <row r="596" spans="2:14">
      <c r="B596" t="s">
        <v>800</v>
      </c>
      <c r="C596" t="s">
        <v>803</v>
      </c>
      <c r="D596" t="s">
        <v>1440</v>
      </c>
      <c r="E596" t="s">
        <v>1474</v>
      </c>
      <c r="F596" t="s">
        <v>1472</v>
      </c>
      <c r="G596" s="55">
        <v>0.37210648148148145</v>
      </c>
      <c r="H596" s="55"/>
      <c r="I596" s="55" t="str">
        <f t="shared" si="42"/>
        <v>12.020.450-5</v>
      </c>
      <c r="J596" s="55">
        <f t="shared" si="43"/>
        <v>0.6278935185185186</v>
      </c>
      <c r="K596" s="93" t="e">
        <f t="shared" si="44"/>
        <v>#VALUE!</v>
      </c>
      <c r="L596">
        <f>IFERROR(HLOOKUP(D596,Ingreso!$AN$10:$AT$260,VLOOKUP('cruce '!I596,Ingreso!$AL$11:$AM$260,2,0),0),0)</f>
        <v>0</v>
      </c>
      <c r="M596" s="95" t="str">
        <f>IFERROR(HLOOKUP(D596,Ingreso!$AW$10:$BC$260,VLOOKUP('cruce '!I596,Ingreso!$AL$11:$AM$260,2,0),0),0)</f>
        <v/>
      </c>
      <c r="N596" t="e">
        <f t="shared" si="45"/>
        <v>#VALUE!</v>
      </c>
    </row>
    <row r="597" spans="2:14">
      <c r="C597"/>
      <c r="D597" t="s">
        <v>1437</v>
      </c>
      <c r="E597" t="s">
        <v>1474</v>
      </c>
      <c r="F597" t="s">
        <v>1472</v>
      </c>
      <c r="G597" s="55">
        <v>0.36712962962962964</v>
      </c>
      <c r="H597" s="55">
        <v>0.7718518518518519</v>
      </c>
      <c r="I597" s="55" t="str">
        <f t="shared" si="42"/>
        <v>12.020.450-5</v>
      </c>
      <c r="J597" s="55">
        <f t="shared" si="43"/>
        <v>0.40472222222222226</v>
      </c>
      <c r="K597" s="93" t="e">
        <f t="shared" si="44"/>
        <v>#VALUE!</v>
      </c>
      <c r="L597">
        <f>IFERROR(HLOOKUP(D597,Ingreso!$AN$10:$AT$260,VLOOKUP('cruce '!I597,Ingreso!$AL$11:$AM$260,2,0),0),0)</f>
        <v>1</v>
      </c>
      <c r="M597" s="95">
        <f>IFERROR(HLOOKUP(D597,Ingreso!$AW$10:$BC$260,VLOOKUP('cruce '!I597,Ingreso!$AL$11:$AM$260,2,0),0),0)</f>
        <v>0.5</v>
      </c>
      <c r="N597" t="e">
        <f t="shared" si="45"/>
        <v>#VALUE!</v>
      </c>
    </row>
    <row r="598" spans="2:14">
      <c r="C598"/>
      <c r="D598" t="s">
        <v>1438</v>
      </c>
      <c r="E598" t="s">
        <v>1474</v>
      </c>
      <c r="F598" t="s">
        <v>1472</v>
      </c>
      <c r="G598" s="55">
        <v>0.3649074074074074</v>
      </c>
      <c r="H598" s="55"/>
      <c r="I598" s="55" t="str">
        <f t="shared" si="42"/>
        <v>12.020.450-5</v>
      </c>
      <c r="J598" s="55">
        <f t="shared" si="43"/>
        <v>0.63509259259259254</v>
      </c>
      <c r="K598" s="93" t="e">
        <f t="shared" si="44"/>
        <v>#VALUE!</v>
      </c>
      <c r="L598">
        <f>IFERROR(HLOOKUP(D598,Ingreso!$AN$10:$AT$260,VLOOKUP('cruce '!I598,Ingreso!$AL$11:$AM$260,2,0),0),0)</f>
        <v>0</v>
      </c>
      <c r="M598" s="95" t="str">
        <f>IFERROR(HLOOKUP(D598,Ingreso!$AW$10:$BC$260,VLOOKUP('cruce '!I598,Ingreso!$AL$11:$AM$260,2,0),0),0)</f>
        <v/>
      </c>
      <c r="N598" t="e">
        <f t="shared" si="45"/>
        <v>#VALUE!</v>
      </c>
    </row>
    <row r="599" spans="2:14">
      <c r="C599"/>
      <c r="D599" t="s">
        <v>1439</v>
      </c>
      <c r="E599" t="s">
        <v>1474</v>
      </c>
      <c r="F599" t="s">
        <v>1472</v>
      </c>
      <c r="G599" s="55">
        <v>0.36469907407407409</v>
      </c>
      <c r="H599" s="55">
        <v>0.76667824074074076</v>
      </c>
      <c r="I599" s="55" t="str">
        <f t="shared" si="42"/>
        <v>12.020.450-5</v>
      </c>
      <c r="J599" s="55">
        <f t="shared" si="43"/>
        <v>0.40197916666666667</v>
      </c>
      <c r="K599" s="93" t="e">
        <f t="shared" si="44"/>
        <v>#VALUE!</v>
      </c>
      <c r="L599">
        <f>IFERROR(HLOOKUP(D599,Ingreso!$AN$10:$AT$260,VLOOKUP('cruce '!I599,Ingreso!$AL$11:$AM$260,2,0),0),0)</f>
        <v>1</v>
      </c>
      <c r="M599" s="95">
        <f>IFERROR(HLOOKUP(D599,Ingreso!$AW$10:$BC$260,VLOOKUP('cruce '!I599,Ingreso!$AL$11:$AM$260,2,0),0),0)</f>
        <v>0.5</v>
      </c>
      <c r="N599" t="e">
        <f t="shared" si="45"/>
        <v>#VALUE!</v>
      </c>
    </row>
    <row r="600" spans="2:14">
      <c r="B600" t="s">
        <v>1138</v>
      </c>
      <c r="C600" t="s">
        <v>1140</v>
      </c>
      <c r="D600" t="s">
        <v>1440</v>
      </c>
      <c r="E600" t="s">
        <v>4</v>
      </c>
      <c r="F600" s="78">
        <v>0.3125</v>
      </c>
      <c r="G600" s="55">
        <v>0.30506944444444445</v>
      </c>
      <c r="H600" s="55">
        <v>0.64</v>
      </c>
      <c r="I600" s="55" t="str">
        <f t="shared" si="42"/>
        <v>12.093.149-0</v>
      </c>
      <c r="J600" s="55">
        <f t="shared" si="43"/>
        <v>0.33493055555555556</v>
      </c>
      <c r="K600" s="93">
        <f t="shared" si="44"/>
        <v>0.538333333333334</v>
      </c>
      <c r="L600">
        <f>IFERROR(HLOOKUP(D600,Ingreso!$AN$10:$AT$260,VLOOKUP('cruce '!I600,Ingreso!$AL$11:$AM$260,2,0),0),0)</f>
        <v>0</v>
      </c>
      <c r="M600" s="95">
        <f>IFERROR(HLOOKUP(D600,Ingreso!$AW$10:$BC$260,VLOOKUP('cruce '!I600,Ingreso!$AL$11:$AM$260,2,0),0),0)</f>
        <v>0</v>
      </c>
      <c r="N600" t="str">
        <f t="shared" si="45"/>
        <v>OK</v>
      </c>
    </row>
    <row r="601" spans="2:14">
      <c r="C601"/>
      <c r="D601" t="s">
        <v>1441</v>
      </c>
      <c r="E601" t="s">
        <v>4</v>
      </c>
      <c r="F601" s="78">
        <v>0.3125</v>
      </c>
      <c r="G601" s="55">
        <v>0.30784722222222222</v>
      </c>
      <c r="H601" s="55">
        <v>0.64922453703703698</v>
      </c>
      <c r="I601" s="55" t="str">
        <f t="shared" si="42"/>
        <v>12.093.149-0</v>
      </c>
      <c r="J601" s="55">
        <f t="shared" si="43"/>
        <v>0.34137731481481476</v>
      </c>
      <c r="K601" s="93">
        <f t="shared" si="44"/>
        <v>0.69305555555555465</v>
      </c>
      <c r="L601">
        <f>IFERROR(HLOOKUP(D601,Ingreso!$AN$10:$AT$260,VLOOKUP('cruce '!I601,Ingreso!$AL$11:$AM$260,2,0),0),0)</f>
        <v>0</v>
      </c>
      <c r="M601" s="95">
        <f>IFERROR(HLOOKUP(D601,Ingreso!$AW$10:$BC$260,VLOOKUP('cruce '!I601,Ingreso!$AL$11:$AM$260,2,0),0),0)</f>
        <v>0</v>
      </c>
      <c r="N601" t="str">
        <f t="shared" si="45"/>
        <v>OK</v>
      </c>
    </row>
    <row r="602" spans="2:14">
      <c r="C602"/>
      <c r="D602" t="s">
        <v>1437</v>
      </c>
      <c r="E602" t="s">
        <v>4</v>
      </c>
      <c r="F602" s="78">
        <v>0.3125</v>
      </c>
      <c r="G602" s="55">
        <v>0.30174768518518519</v>
      </c>
      <c r="H602" s="55">
        <v>0.63503472222222224</v>
      </c>
      <c r="I602" s="55" t="str">
        <f t="shared" si="42"/>
        <v>12.093.149-0</v>
      </c>
      <c r="J602" s="55">
        <f t="shared" si="43"/>
        <v>0.33328703703703705</v>
      </c>
      <c r="K602" s="93">
        <f t="shared" si="44"/>
        <v>0.49888888888888872</v>
      </c>
      <c r="L602">
        <f>IFERROR(HLOOKUP(D602,Ingreso!$AN$10:$AT$260,VLOOKUP('cruce '!I602,Ingreso!$AL$11:$AM$260,2,0),0),0)</f>
        <v>0</v>
      </c>
      <c r="M602" s="95">
        <f>IFERROR(HLOOKUP(D602,Ingreso!$AW$10:$BC$260,VLOOKUP('cruce '!I602,Ingreso!$AL$11:$AM$260,2,0),0),0)</f>
        <v>0</v>
      </c>
      <c r="N602" t="str">
        <f t="shared" si="45"/>
        <v>OK</v>
      </c>
    </row>
    <row r="603" spans="2:14">
      <c r="C603"/>
      <c r="D603" t="s">
        <v>1438</v>
      </c>
      <c r="E603" t="s">
        <v>4</v>
      </c>
      <c r="F603" s="78">
        <v>0.3125</v>
      </c>
      <c r="G603" s="55">
        <v>0.30283564814814817</v>
      </c>
      <c r="H603" s="55">
        <v>0.63381944444444438</v>
      </c>
      <c r="I603" s="55" t="str">
        <f t="shared" si="42"/>
        <v>12.093.149-0</v>
      </c>
      <c r="J603" s="55">
        <f t="shared" si="43"/>
        <v>0.33098379629629621</v>
      </c>
      <c r="K603" s="93">
        <f t="shared" si="44"/>
        <v>0.44361111111110851</v>
      </c>
      <c r="L603">
        <f>IFERROR(HLOOKUP(D603,Ingreso!$AN$10:$AT$260,VLOOKUP('cruce '!I603,Ingreso!$AL$11:$AM$260,2,0),0),0)</f>
        <v>0</v>
      </c>
      <c r="M603" s="95">
        <f>IFERROR(HLOOKUP(D603,Ingreso!$AW$10:$BC$260,VLOOKUP('cruce '!I603,Ingreso!$AL$11:$AM$260,2,0),0),0)</f>
        <v>0</v>
      </c>
      <c r="N603" t="str">
        <f t="shared" si="45"/>
        <v>OK</v>
      </c>
    </row>
    <row r="604" spans="2:14">
      <c r="C604"/>
      <c r="D604" t="s">
        <v>1439</v>
      </c>
      <c r="E604" t="s">
        <v>4</v>
      </c>
      <c r="F604" s="78">
        <v>0.3125</v>
      </c>
      <c r="G604" s="55">
        <v>0.30363425925925924</v>
      </c>
      <c r="H604" s="55">
        <v>0.63997685185185182</v>
      </c>
      <c r="I604" s="55" t="str">
        <f t="shared" si="42"/>
        <v>12.093.149-0</v>
      </c>
      <c r="J604" s="55">
        <f t="shared" si="43"/>
        <v>0.33634259259259258</v>
      </c>
      <c r="K604" s="93">
        <f t="shared" si="44"/>
        <v>0.57222222222222285</v>
      </c>
      <c r="L604">
        <f>IFERROR(HLOOKUP(D604,Ingreso!$AN$10:$AT$260,VLOOKUP('cruce '!I604,Ingreso!$AL$11:$AM$260,2,0),0),0)</f>
        <v>0</v>
      </c>
      <c r="M604" s="95">
        <f>IFERROR(HLOOKUP(D604,Ingreso!$AW$10:$BC$260,VLOOKUP('cruce '!I604,Ingreso!$AL$11:$AM$260,2,0),0),0)</f>
        <v>0</v>
      </c>
      <c r="N604" t="str">
        <f t="shared" si="45"/>
        <v>OK</v>
      </c>
    </row>
    <row r="605" spans="2:14">
      <c r="B605" t="s">
        <v>89</v>
      </c>
      <c r="C605" t="s">
        <v>93</v>
      </c>
      <c r="D605" t="s">
        <v>1440</v>
      </c>
      <c r="E605" t="s">
        <v>1474</v>
      </c>
      <c r="F605" t="s">
        <v>1472</v>
      </c>
      <c r="G605" s="55"/>
      <c r="H605" s="55">
        <v>1.0778240740740741</v>
      </c>
      <c r="I605" s="55" t="str">
        <f t="shared" si="42"/>
        <v>12.093.228-4</v>
      </c>
      <c r="J605" s="55">
        <f t="shared" si="43"/>
        <v>1.0778240740740741</v>
      </c>
      <c r="K605" s="93" t="e">
        <f t="shared" si="44"/>
        <v>#VALUE!</v>
      </c>
      <c r="L605">
        <f>IFERROR(HLOOKUP(D605,Ingreso!$AN$10:$AT$260,VLOOKUP('cruce '!I605,Ingreso!$AL$11:$AM$260,2,0),0),0)</f>
        <v>0</v>
      </c>
      <c r="M605" s="95" t="str">
        <f>IFERROR(HLOOKUP(D605,Ingreso!$AW$10:$BC$260,VLOOKUP('cruce '!I605,Ingreso!$AL$11:$AM$260,2,0),0),0)</f>
        <v/>
      </c>
      <c r="N605" t="e">
        <f t="shared" si="45"/>
        <v>#VALUE!</v>
      </c>
    </row>
    <row r="606" spans="2:14">
      <c r="C606"/>
      <c r="D606" t="s">
        <v>1437</v>
      </c>
      <c r="E606" t="s">
        <v>1474</v>
      </c>
      <c r="F606" t="s">
        <v>1472</v>
      </c>
      <c r="G606" s="55">
        <v>0.29368055555555556</v>
      </c>
      <c r="H606" s="55">
        <v>0.79006944444444438</v>
      </c>
      <c r="I606" s="55" t="str">
        <f t="shared" si="42"/>
        <v>12.093.228-4</v>
      </c>
      <c r="J606" s="55">
        <f t="shared" si="43"/>
        <v>0.49638888888888882</v>
      </c>
      <c r="K606" s="93" t="e">
        <f t="shared" si="44"/>
        <v>#VALUE!</v>
      </c>
      <c r="L606">
        <f>IFERROR(HLOOKUP(D606,Ingreso!$AN$10:$AT$260,VLOOKUP('cruce '!I606,Ingreso!$AL$11:$AM$260,2,0),0),0)</f>
        <v>2</v>
      </c>
      <c r="M606" s="95">
        <f>IFERROR(HLOOKUP(D606,Ingreso!$AW$10:$BC$260,VLOOKUP('cruce '!I606,Ingreso!$AL$11:$AM$260,2,0),0),0)</f>
        <v>0.5</v>
      </c>
      <c r="N606" t="e">
        <f t="shared" si="45"/>
        <v>#VALUE!</v>
      </c>
    </row>
    <row r="607" spans="2:14">
      <c r="C607"/>
      <c r="D607" t="s">
        <v>1438</v>
      </c>
      <c r="E607" t="s">
        <v>1474</v>
      </c>
      <c r="F607" t="s">
        <v>1472</v>
      </c>
      <c r="G607" s="55">
        <v>0.30908564814814815</v>
      </c>
      <c r="H607" s="55">
        <v>0.789525462962963</v>
      </c>
      <c r="I607" s="55" t="str">
        <f t="shared" si="42"/>
        <v>12.093.228-4</v>
      </c>
      <c r="J607" s="55">
        <f t="shared" si="43"/>
        <v>0.48043981481481485</v>
      </c>
      <c r="K607" s="93" t="e">
        <f t="shared" si="44"/>
        <v>#VALUE!</v>
      </c>
      <c r="L607">
        <f>IFERROR(HLOOKUP(D607,Ingreso!$AN$10:$AT$260,VLOOKUP('cruce '!I607,Ingreso!$AL$11:$AM$260,2,0),0),0)</f>
        <v>2</v>
      </c>
      <c r="M607" s="95">
        <f>IFERROR(HLOOKUP(D607,Ingreso!$AW$10:$BC$260,VLOOKUP('cruce '!I607,Ingreso!$AL$11:$AM$260,2,0),0),0)</f>
        <v>0.5</v>
      </c>
      <c r="N607" t="e">
        <f t="shared" si="45"/>
        <v>#VALUE!</v>
      </c>
    </row>
    <row r="608" spans="2:14">
      <c r="C608"/>
      <c r="D608" t="s">
        <v>1439</v>
      </c>
      <c r="E608" t="s">
        <v>1474</v>
      </c>
      <c r="F608" t="s">
        <v>1472</v>
      </c>
      <c r="G608" s="55">
        <v>0.29138888888888886</v>
      </c>
      <c r="H608" s="55">
        <v>0.7327662037037036</v>
      </c>
      <c r="I608" s="55" t="str">
        <f t="shared" si="42"/>
        <v>12.093.228-4</v>
      </c>
      <c r="J608" s="55">
        <f t="shared" si="43"/>
        <v>0.44137731481481474</v>
      </c>
      <c r="K608" s="93" t="e">
        <f t="shared" si="44"/>
        <v>#VALUE!</v>
      </c>
      <c r="L608">
        <f>IFERROR(HLOOKUP(D608,Ingreso!$AN$10:$AT$260,VLOOKUP('cruce '!I608,Ingreso!$AL$11:$AM$260,2,0),0),0)</f>
        <v>2</v>
      </c>
      <c r="M608" s="95">
        <f>IFERROR(HLOOKUP(D608,Ingreso!$AW$10:$BC$260,VLOOKUP('cruce '!I608,Ingreso!$AL$11:$AM$260,2,0),0),0)</f>
        <v>0.5</v>
      </c>
      <c r="N608" t="e">
        <f t="shared" si="45"/>
        <v>#VALUE!</v>
      </c>
    </row>
    <row r="609" spans="2:14">
      <c r="B609" t="s">
        <v>1260</v>
      </c>
      <c r="C609" t="s">
        <v>1262</v>
      </c>
      <c r="D609" t="s">
        <v>1440</v>
      </c>
      <c r="E609" t="s">
        <v>1323</v>
      </c>
      <c r="F609" s="78">
        <v>0.375</v>
      </c>
      <c r="G609" s="55">
        <v>0.91270833333333334</v>
      </c>
      <c r="H609" s="55"/>
      <c r="I609" s="55" t="str">
        <f t="shared" si="42"/>
        <v>12.210.109-0</v>
      </c>
      <c r="J609" s="55">
        <f t="shared" si="43"/>
        <v>8.7291666666666656E-2</v>
      </c>
      <c r="K609" s="93">
        <f t="shared" si="44"/>
        <v>-6.9050000000000002</v>
      </c>
      <c r="L609">
        <f>IFERROR(HLOOKUP(D609,Ingreso!$AN$10:$AT$260,VLOOKUP('cruce '!I609,Ingreso!$AL$11:$AM$260,2,0),0),0)</f>
        <v>0</v>
      </c>
      <c r="M609" s="95">
        <f>IFERROR(HLOOKUP(D609,Ingreso!$AW$10:$BC$260,VLOOKUP('cruce '!I609,Ingreso!$AL$11:$AM$260,2,0),0),0)</f>
        <v>0</v>
      </c>
      <c r="N609" t="str">
        <f t="shared" si="45"/>
        <v>Revisar</v>
      </c>
    </row>
    <row r="610" spans="2:14">
      <c r="C610"/>
      <c r="D610" t="s">
        <v>1441</v>
      </c>
      <c r="E610" t="s">
        <v>1323</v>
      </c>
      <c r="F610" s="78">
        <v>0.375</v>
      </c>
      <c r="G610" s="55"/>
      <c r="H610" s="55">
        <v>0.32849537037037035</v>
      </c>
      <c r="I610" s="55" t="str">
        <f t="shared" si="42"/>
        <v>12.210.109-0</v>
      </c>
      <c r="J610" s="55">
        <f t="shared" si="43"/>
        <v>0.32849537037037035</v>
      </c>
      <c r="K610" s="93">
        <f t="shared" si="44"/>
        <v>-1.1161111111111115</v>
      </c>
      <c r="L610">
        <f>IFERROR(HLOOKUP(D610,Ingreso!$AN$10:$AT$260,VLOOKUP('cruce '!I610,Ingreso!$AL$11:$AM$260,2,0),0),0)</f>
        <v>0</v>
      </c>
      <c r="M610" s="95">
        <f>IFERROR(HLOOKUP(D610,Ingreso!$AW$10:$BC$260,VLOOKUP('cruce '!I610,Ingreso!$AL$11:$AM$260,2,0),0),0)</f>
        <v>0</v>
      </c>
      <c r="N610" t="str">
        <f t="shared" si="45"/>
        <v>Revisar</v>
      </c>
    </row>
    <row r="611" spans="2:14">
      <c r="C611"/>
      <c r="D611" t="s">
        <v>1437</v>
      </c>
      <c r="E611" t="s">
        <v>1321</v>
      </c>
      <c r="F611" s="78">
        <v>0.3125</v>
      </c>
      <c r="G611" s="55">
        <v>0.60913194444444441</v>
      </c>
      <c r="H611" s="55">
        <v>0.94840277777777782</v>
      </c>
      <c r="I611" s="55" t="str">
        <f t="shared" si="42"/>
        <v>12.210.109-0</v>
      </c>
      <c r="J611" s="55">
        <f t="shared" si="43"/>
        <v>0.33927083333333341</v>
      </c>
      <c r="K611" s="93">
        <f t="shared" si="44"/>
        <v>0.64250000000000185</v>
      </c>
      <c r="L611">
        <f>IFERROR(HLOOKUP(D611,Ingreso!$AN$10:$AT$260,VLOOKUP('cruce '!I611,Ingreso!$AL$11:$AM$260,2,0),0),0)</f>
        <v>0</v>
      </c>
      <c r="M611" s="95">
        <f>IFERROR(HLOOKUP(D611,Ingreso!$AW$10:$BC$260,VLOOKUP('cruce '!I611,Ingreso!$AL$11:$AM$260,2,0),0),0)</f>
        <v>0</v>
      </c>
      <c r="N611" t="str">
        <f t="shared" si="45"/>
        <v>OK</v>
      </c>
    </row>
    <row r="612" spans="2:14">
      <c r="C612"/>
      <c r="D612" t="s">
        <v>1438</v>
      </c>
      <c r="E612" t="s">
        <v>1321</v>
      </c>
      <c r="F612" s="78">
        <v>0.3125</v>
      </c>
      <c r="G612" s="55">
        <v>0.60866898148148152</v>
      </c>
      <c r="H612" s="55">
        <v>0.94949074074074069</v>
      </c>
      <c r="I612" s="55" t="str">
        <f t="shared" si="42"/>
        <v>12.210.109-0</v>
      </c>
      <c r="J612" s="55">
        <f t="shared" si="43"/>
        <v>0.34082175925925917</v>
      </c>
      <c r="K612" s="93">
        <f t="shared" si="44"/>
        <v>0.67972222222222101</v>
      </c>
      <c r="L612">
        <f>IFERROR(HLOOKUP(D612,Ingreso!$AN$10:$AT$260,VLOOKUP('cruce '!I612,Ingreso!$AL$11:$AM$260,2,0),0),0)</f>
        <v>0</v>
      </c>
      <c r="M612" s="95">
        <f>IFERROR(HLOOKUP(D612,Ingreso!$AW$10:$BC$260,VLOOKUP('cruce '!I612,Ingreso!$AL$11:$AM$260,2,0),0),0)</f>
        <v>0</v>
      </c>
      <c r="N612" t="str">
        <f t="shared" si="45"/>
        <v>OK</v>
      </c>
    </row>
    <row r="613" spans="2:14">
      <c r="C613"/>
      <c r="D613" t="s">
        <v>1439</v>
      </c>
      <c r="E613" t="s">
        <v>1321</v>
      </c>
      <c r="F613" s="78">
        <v>0.3125</v>
      </c>
      <c r="G613" s="55">
        <v>0.60850694444444442</v>
      </c>
      <c r="H613" s="55">
        <v>0.94847222222222216</v>
      </c>
      <c r="I613" s="55" t="str">
        <f t="shared" si="42"/>
        <v>12.210.109-0</v>
      </c>
      <c r="J613" s="55">
        <f t="shared" si="43"/>
        <v>0.33996527777777774</v>
      </c>
      <c r="K613" s="93">
        <f t="shared" si="44"/>
        <v>0.65916666666666579</v>
      </c>
      <c r="L613">
        <f>IFERROR(HLOOKUP(D613,Ingreso!$AN$10:$AT$260,VLOOKUP('cruce '!I613,Ingreso!$AL$11:$AM$260,2,0),0),0)</f>
        <v>0</v>
      </c>
      <c r="M613" s="95">
        <f>IFERROR(HLOOKUP(D613,Ingreso!$AW$10:$BC$260,VLOOKUP('cruce '!I613,Ingreso!$AL$11:$AM$260,2,0),0),0)</f>
        <v>0</v>
      </c>
      <c r="N613" t="str">
        <f t="shared" si="45"/>
        <v>OK</v>
      </c>
    </row>
    <row r="614" spans="2:14">
      <c r="B614" t="s">
        <v>212</v>
      </c>
      <c r="C614" t="s">
        <v>216</v>
      </c>
      <c r="D614" t="s">
        <v>1440</v>
      </c>
      <c r="E614" t="s">
        <v>4</v>
      </c>
      <c r="F614" s="78">
        <v>0.3125</v>
      </c>
      <c r="G614" s="55">
        <v>0.29511574074074071</v>
      </c>
      <c r="H614" s="55">
        <v>0.64094907407407409</v>
      </c>
      <c r="I614" s="55" t="str">
        <f t="shared" si="42"/>
        <v>12.410.690-7</v>
      </c>
      <c r="J614" s="55">
        <f t="shared" si="43"/>
        <v>0.34583333333333338</v>
      </c>
      <c r="K614" s="93">
        <f t="shared" si="44"/>
        <v>0.80000000000000071</v>
      </c>
      <c r="L614">
        <f>IFERROR(HLOOKUP(D614,Ingreso!$AN$10:$AT$260,VLOOKUP('cruce '!I614,Ingreso!$AL$11:$AM$260,2,0),0),0)</f>
        <v>0</v>
      </c>
      <c r="M614" s="95" t="str">
        <f>IFERROR(HLOOKUP(D614,Ingreso!$AW$10:$BC$260,VLOOKUP('cruce '!I614,Ingreso!$AL$11:$AM$260,2,0),0),0)</f>
        <v/>
      </c>
      <c r="N614" t="str">
        <f t="shared" si="45"/>
        <v>OK</v>
      </c>
    </row>
    <row r="615" spans="2:14">
      <c r="C615"/>
      <c r="D615" t="s">
        <v>1441</v>
      </c>
      <c r="E615" t="s">
        <v>4</v>
      </c>
      <c r="F615" s="78">
        <v>0.3125</v>
      </c>
      <c r="G615" s="55">
        <v>0.61109953703703701</v>
      </c>
      <c r="H615" s="55">
        <v>0.9587268518518518</v>
      </c>
      <c r="I615" s="55" t="str">
        <f t="shared" si="42"/>
        <v>12.410.690-7</v>
      </c>
      <c r="J615" s="55">
        <f t="shared" si="43"/>
        <v>0.34762731481481479</v>
      </c>
      <c r="K615" s="93">
        <f t="shared" si="44"/>
        <v>0.843055555555555</v>
      </c>
      <c r="L615">
        <f>IFERROR(HLOOKUP(D615,Ingreso!$AN$10:$AT$260,VLOOKUP('cruce '!I615,Ingreso!$AL$11:$AM$260,2,0),0),0)</f>
        <v>0</v>
      </c>
      <c r="M615" s="95" t="str">
        <f>IFERROR(HLOOKUP(D615,Ingreso!$AW$10:$BC$260,VLOOKUP('cruce '!I615,Ingreso!$AL$11:$AM$260,2,0),0),0)</f>
        <v/>
      </c>
      <c r="N615" t="str">
        <f t="shared" si="45"/>
        <v>OK</v>
      </c>
    </row>
    <row r="616" spans="2:14">
      <c r="C616"/>
      <c r="D616" t="s">
        <v>1437</v>
      </c>
      <c r="E616" t="s">
        <v>4</v>
      </c>
      <c r="F616" s="78">
        <v>0.3125</v>
      </c>
      <c r="G616" s="55">
        <v>0.29570601851851852</v>
      </c>
      <c r="H616" s="55">
        <v>0.63922453703703697</v>
      </c>
      <c r="I616" s="55" t="str">
        <f t="shared" si="42"/>
        <v>12.410.690-7</v>
      </c>
      <c r="J616" s="55">
        <f t="shared" si="43"/>
        <v>0.34351851851851845</v>
      </c>
      <c r="K616" s="93">
        <f t="shared" si="44"/>
        <v>0.74444444444444358</v>
      </c>
      <c r="L616">
        <f>IFERROR(HLOOKUP(D616,Ingreso!$AN$10:$AT$260,VLOOKUP('cruce '!I616,Ingreso!$AL$11:$AM$260,2,0),0),0)</f>
        <v>0</v>
      </c>
      <c r="M616" s="95" t="str">
        <f>IFERROR(HLOOKUP(D616,Ingreso!$AW$10:$BC$260,VLOOKUP('cruce '!I616,Ingreso!$AL$11:$AM$260,2,0),0),0)</f>
        <v/>
      </c>
      <c r="N616" t="str">
        <f t="shared" si="45"/>
        <v>OK</v>
      </c>
    </row>
    <row r="617" spans="2:14">
      <c r="C617"/>
      <c r="D617" t="s">
        <v>1438</v>
      </c>
      <c r="E617" t="s">
        <v>4</v>
      </c>
      <c r="F617" s="78">
        <v>0.3125</v>
      </c>
      <c r="G617" s="55">
        <v>0.29600694444444448</v>
      </c>
      <c r="H617" s="55">
        <v>0.63937500000000003</v>
      </c>
      <c r="I617" s="55" t="str">
        <f t="shared" si="42"/>
        <v>12.410.690-7</v>
      </c>
      <c r="J617" s="55">
        <f t="shared" si="43"/>
        <v>0.34336805555555555</v>
      </c>
      <c r="K617" s="93">
        <f t="shared" si="44"/>
        <v>0.74083333333333279</v>
      </c>
      <c r="L617">
        <f>IFERROR(HLOOKUP(D617,Ingreso!$AN$10:$AT$260,VLOOKUP('cruce '!I617,Ingreso!$AL$11:$AM$260,2,0),0),0)</f>
        <v>0</v>
      </c>
      <c r="M617" s="95" t="str">
        <f>IFERROR(HLOOKUP(D617,Ingreso!$AW$10:$BC$260,VLOOKUP('cruce '!I617,Ingreso!$AL$11:$AM$260,2,0),0),0)</f>
        <v/>
      </c>
      <c r="N617" t="str">
        <f t="shared" si="45"/>
        <v>OK</v>
      </c>
    </row>
    <row r="618" spans="2:14">
      <c r="C618"/>
      <c r="D618" t="s">
        <v>1439</v>
      </c>
      <c r="E618" t="s">
        <v>4</v>
      </c>
      <c r="F618" s="78">
        <v>0.3125</v>
      </c>
      <c r="G618" s="55">
        <v>0.30849537037037039</v>
      </c>
      <c r="H618" s="55">
        <v>0.73059027777777785</v>
      </c>
      <c r="I618" s="55" t="str">
        <f t="shared" si="42"/>
        <v>12.410.690-7</v>
      </c>
      <c r="J618" s="55">
        <f t="shared" si="43"/>
        <v>0.42209490740740746</v>
      </c>
      <c r="K618" s="93">
        <f t="shared" si="44"/>
        <v>2.6302777777777795</v>
      </c>
      <c r="L618">
        <f>IFERROR(HLOOKUP(D618,Ingreso!$AN$10:$AT$260,VLOOKUP('cruce '!I618,Ingreso!$AL$11:$AM$260,2,0),0),0)</f>
        <v>2</v>
      </c>
      <c r="M618" s="95">
        <f>IFERROR(HLOOKUP(D618,Ingreso!$AW$10:$BC$260,VLOOKUP('cruce '!I618,Ingreso!$AL$11:$AM$260,2,0),0),0)</f>
        <v>0.5</v>
      </c>
      <c r="N618" t="str">
        <f t="shared" si="45"/>
        <v>OK</v>
      </c>
    </row>
    <row r="619" spans="2:14">
      <c r="B619" t="s">
        <v>973</v>
      </c>
      <c r="C619" t="s">
        <v>976</v>
      </c>
      <c r="D619" t="s">
        <v>1440</v>
      </c>
      <c r="E619" t="s">
        <v>1474</v>
      </c>
      <c r="F619" t="s">
        <v>1472</v>
      </c>
      <c r="G619" s="55">
        <v>0.34942129629629631</v>
      </c>
      <c r="H619" s="55">
        <v>0.82105324074074071</v>
      </c>
      <c r="I619" s="55" t="str">
        <f t="shared" si="42"/>
        <v>12.500.119-K</v>
      </c>
      <c r="J619" s="55">
        <f t="shared" si="43"/>
        <v>0.4716319444444444</v>
      </c>
      <c r="K619" s="93" t="e">
        <f t="shared" si="44"/>
        <v>#VALUE!</v>
      </c>
      <c r="L619">
        <f>IFERROR(HLOOKUP(D619,Ingreso!$AN$10:$AT$260,VLOOKUP('cruce '!I619,Ingreso!$AL$11:$AM$260,2,0),0),0)</f>
        <v>0</v>
      </c>
      <c r="M619" s="95" t="str">
        <f>IFERROR(HLOOKUP(D619,Ingreso!$AW$10:$BC$260,VLOOKUP('cruce '!I619,Ingreso!$AL$11:$AM$260,2,0),0),0)</f>
        <v/>
      </c>
      <c r="N619" t="e">
        <f t="shared" si="45"/>
        <v>#VALUE!</v>
      </c>
    </row>
    <row r="620" spans="2:14">
      <c r="C620"/>
      <c r="D620" t="s">
        <v>1437</v>
      </c>
      <c r="E620" t="s">
        <v>1474</v>
      </c>
      <c r="F620" t="s">
        <v>1472</v>
      </c>
      <c r="G620" s="55">
        <v>0.34107638888888886</v>
      </c>
      <c r="H620" s="55">
        <v>0.80200231481481488</v>
      </c>
      <c r="I620" s="55" t="str">
        <f t="shared" si="42"/>
        <v>12.500.119-K</v>
      </c>
      <c r="J620" s="55">
        <f t="shared" si="43"/>
        <v>0.46092592592592602</v>
      </c>
      <c r="K620" s="93" t="e">
        <f t="shared" si="44"/>
        <v>#VALUE!</v>
      </c>
      <c r="L620">
        <f>IFERROR(HLOOKUP(D620,Ingreso!$AN$10:$AT$260,VLOOKUP('cruce '!I620,Ingreso!$AL$11:$AM$260,2,0),0),0)</f>
        <v>1</v>
      </c>
      <c r="M620" s="95">
        <f>IFERROR(HLOOKUP(D620,Ingreso!$AW$10:$BC$260,VLOOKUP('cruce '!I620,Ingreso!$AL$11:$AM$260,2,0),0),0)</f>
        <v>0.5</v>
      </c>
      <c r="N620" t="e">
        <f t="shared" si="45"/>
        <v>#VALUE!</v>
      </c>
    </row>
    <row r="621" spans="2:14">
      <c r="C621"/>
      <c r="D621" t="s">
        <v>1438</v>
      </c>
      <c r="E621" t="s">
        <v>1474</v>
      </c>
      <c r="F621" t="s">
        <v>1472</v>
      </c>
      <c r="G621" s="55">
        <v>0.35164351851851849</v>
      </c>
      <c r="H621" s="55">
        <v>0.73372685185185194</v>
      </c>
      <c r="I621" s="55" t="str">
        <f t="shared" si="42"/>
        <v>12.500.119-K</v>
      </c>
      <c r="J621" s="55">
        <f t="shared" si="43"/>
        <v>0.38208333333333344</v>
      </c>
      <c r="K621" s="93" t="e">
        <f t="shared" si="44"/>
        <v>#VALUE!</v>
      </c>
      <c r="L621">
        <f>IFERROR(HLOOKUP(D621,Ingreso!$AN$10:$AT$260,VLOOKUP('cruce '!I621,Ingreso!$AL$11:$AM$260,2,0),0),0)</f>
        <v>1</v>
      </c>
      <c r="M621" s="95">
        <f>IFERROR(HLOOKUP(D621,Ingreso!$AW$10:$BC$260,VLOOKUP('cruce '!I621,Ingreso!$AL$11:$AM$260,2,0),0),0)</f>
        <v>0.5</v>
      </c>
      <c r="N621" t="e">
        <f t="shared" si="45"/>
        <v>#VALUE!</v>
      </c>
    </row>
    <row r="622" spans="2:14">
      <c r="C622"/>
      <c r="D622" t="s">
        <v>1439</v>
      </c>
      <c r="E622" t="s">
        <v>1474</v>
      </c>
      <c r="F622" t="s">
        <v>1472</v>
      </c>
      <c r="G622" s="55">
        <v>0.34900462962962964</v>
      </c>
      <c r="H622" s="55">
        <v>0.83127314814814823</v>
      </c>
      <c r="I622" s="55" t="str">
        <f t="shared" si="42"/>
        <v>12.500.119-K</v>
      </c>
      <c r="J622" s="55">
        <f t="shared" si="43"/>
        <v>0.4822685185185186</v>
      </c>
      <c r="K622" s="93" t="e">
        <f t="shared" si="44"/>
        <v>#VALUE!</v>
      </c>
      <c r="L622">
        <f>IFERROR(HLOOKUP(D622,Ingreso!$AN$10:$AT$260,VLOOKUP('cruce '!I622,Ingreso!$AL$11:$AM$260,2,0),0),0)</f>
        <v>1</v>
      </c>
      <c r="M622" s="95">
        <f>IFERROR(HLOOKUP(D622,Ingreso!$AW$10:$BC$260,VLOOKUP('cruce '!I622,Ingreso!$AL$11:$AM$260,2,0),0),0)</f>
        <v>0.5</v>
      </c>
      <c r="N622" t="e">
        <f t="shared" si="45"/>
        <v>#VALUE!</v>
      </c>
    </row>
    <row r="623" spans="2:14">
      <c r="B623" t="s">
        <v>113</v>
      </c>
      <c r="C623" t="s">
        <v>117</v>
      </c>
      <c r="D623" t="s">
        <v>1440</v>
      </c>
      <c r="E623" t="s">
        <v>1321</v>
      </c>
      <c r="F623" s="78">
        <v>0.3125</v>
      </c>
      <c r="G623" s="55">
        <v>0.60760416666666661</v>
      </c>
      <c r="H623" s="55">
        <v>0.9509143518518518</v>
      </c>
      <c r="I623" s="55" t="str">
        <f t="shared" si="42"/>
        <v>12.501.307-4</v>
      </c>
      <c r="J623" s="55">
        <f t="shared" si="43"/>
        <v>0.34331018518518519</v>
      </c>
      <c r="K623" s="93">
        <f t="shared" si="44"/>
        <v>0.73944444444444457</v>
      </c>
      <c r="L623">
        <f>IFERROR(HLOOKUP(D623,Ingreso!$AN$10:$AT$260,VLOOKUP('cruce '!I623,Ingreso!$AL$11:$AM$260,2,0),0),0)</f>
        <v>0</v>
      </c>
      <c r="M623" s="95">
        <f>IFERROR(HLOOKUP(D623,Ingreso!$AW$10:$BC$260,VLOOKUP('cruce '!I623,Ingreso!$AL$11:$AM$260,2,0),0),0)</f>
        <v>0</v>
      </c>
      <c r="N623" t="str">
        <f t="shared" si="45"/>
        <v>OK</v>
      </c>
    </row>
    <row r="624" spans="2:14">
      <c r="C624"/>
      <c r="D624" t="s">
        <v>1437</v>
      </c>
      <c r="E624" t="s">
        <v>1321</v>
      </c>
      <c r="F624" s="78">
        <v>0.3125</v>
      </c>
      <c r="G624" s="55">
        <v>0.60662037037037042</v>
      </c>
      <c r="H624" s="55">
        <v>0.95005787037037026</v>
      </c>
      <c r="I624" s="55" t="str">
        <f t="shared" si="42"/>
        <v>12.501.307-4</v>
      </c>
      <c r="J624" s="55">
        <f t="shared" si="43"/>
        <v>0.34343749999999984</v>
      </c>
      <c r="K624" s="93">
        <f t="shared" si="44"/>
        <v>0.74249999999999616</v>
      </c>
      <c r="L624">
        <f>IFERROR(HLOOKUP(D624,Ingreso!$AN$10:$AT$260,VLOOKUP('cruce '!I624,Ingreso!$AL$11:$AM$260,2,0),0),0)</f>
        <v>0</v>
      </c>
      <c r="M624" s="95">
        <f>IFERROR(HLOOKUP(D624,Ingreso!$AW$10:$BC$260,VLOOKUP('cruce '!I624,Ingreso!$AL$11:$AM$260,2,0),0),0)</f>
        <v>0</v>
      </c>
      <c r="N624" t="str">
        <f t="shared" si="45"/>
        <v>OK</v>
      </c>
    </row>
    <row r="625" spans="2:14">
      <c r="C625"/>
      <c r="D625" t="s">
        <v>1438</v>
      </c>
      <c r="E625" t="s">
        <v>1321</v>
      </c>
      <c r="F625" s="78">
        <v>0.3125</v>
      </c>
      <c r="G625" s="55">
        <v>0.60901620370370368</v>
      </c>
      <c r="H625" s="55">
        <v>0.95056712962962964</v>
      </c>
      <c r="I625" s="55" t="str">
        <f t="shared" si="42"/>
        <v>12.501.307-4</v>
      </c>
      <c r="J625" s="55">
        <f t="shared" si="43"/>
        <v>0.34155092592592595</v>
      </c>
      <c r="K625" s="93">
        <f t="shared" si="44"/>
        <v>0.69722222222222285</v>
      </c>
      <c r="L625">
        <f>IFERROR(HLOOKUP(D625,Ingreso!$AN$10:$AT$260,VLOOKUP('cruce '!I625,Ingreso!$AL$11:$AM$260,2,0),0),0)</f>
        <v>0</v>
      </c>
      <c r="M625" s="95">
        <f>IFERROR(HLOOKUP(D625,Ingreso!$AW$10:$BC$260,VLOOKUP('cruce '!I625,Ingreso!$AL$11:$AM$260,2,0),0),0)</f>
        <v>0</v>
      </c>
      <c r="N625" t="str">
        <f t="shared" si="45"/>
        <v>OK</v>
      </c>
    </row>
    <row r="626" spans="2:14">
      <c r="C626"/>
      <c r="D626" t="s">
        <v>1439</v>
      </c>
      <c r="E626" t="s">
        <v>1321</v>
      </c>
      <c r="F626" s="78">
        <v>0.3125</v>
      </c>
      <c r="G626" s="55">
        <v>0.6083101851851852</v>
      </c>
      <c r="H626" s="55">
        <v>0.95232638888888888</v>
      </c>
      <c r="I626" s="55" t="str">
        <f t="shared" si="42"/>
        <v>12.501.307-4</v>
      </c>
      <c r="J626" s="55">
        <f t="shared" si="43"/>
        <v>0.34401620370370367</v>
      </c>
      <c r="K626" s="93">
        <f t="shared" si="44"/>
        <v>0.756388888888889</v>
      </c>
      <c r="L626">
        <f>IFERROR(HLOOKUP(D626,Ingreso!$AN$10:$AT$260,VLOOKUP('cruce '!I626,Ingreso!$AL$11:$AM$260,2,0),0),0)</f>
        <v>0</v>
      </c>
      <c r="M626" s="95">
        <f>IFERROR(HLOOKUP(D626,Ingreso!$AW$10:$BC$260,VLOOKUP('cruce '!I626,Ingreso!$AL$11:$AM$260,2,0),0),0)</f>
        <v>0</v>
      </c>
      <c r="N626" t="str">
        <f t="shared" si="45"/>
        <v>OK</v>
      </c>
    </row>
    <row r="627" spans="2:14">
      <c r="B627" t="s">
        <v>526</v>
      </c>
      <c r="C627" t="s">
        <v>530</v>
      </c>
      <c r="D627" t="s">
        <v>1440</v>
      </c>
      <c r="E627" t="s">
        <v>4</v>
      </c>
      <c r="F627" s="78">
        <v>0.3125</v>
      </c>
      <c r="G627" s="55"/>
      <c r="H627" s="55">
        <v>0.63945601851851852</v>
      </c>
      <c r="I627" s="55" t="str">
        <f t="shared" si="42"/>
        <v>12.504.270-8</v>
      </c>
      <c r="J627" s="55">
        <f t="shared" si="43"/>
        <v>0.63945601851851852</v>
      </c>
      <c r="K627" s="93">
        <f t="shared" si="44"/>
        <v>7.8469444444444445</v>
      </c>
      <c r="L627">
        <f>IFERROR(HLOOKUP(D627,Ingreso!$AN$10:$AT$260,VLOOKUP('cruce '!I627,Ingreso!$AL$11:$AM$260,2,0),0),0)</f>
        <v>0</v>
      </c>
      <c r="M627" s="95">
        <f>IFERROR(HLOOKUP(D627,Ingreso!$AW$10:$BC$260,VLOOKUP('cruce '!I627,Ingreso!$AL$11:$AM$260,2,0),0),0)</f>
        <v>0</v>
      </c>
      <c r="N627" t="str">
        <f t="shared" si="45"/>
        <v>Revisar</v>
      </c>
    </row>
    <row r="628" spans="2:14">
      <c r="C628"/>
      <c r="D628"/>
      <c r="E628" t="s">
        <v>1323</v>
      </c>
      <c r="F628" s="78">
        <v>0.375</v>
      </c>
      <c r="G628" s="55">
        <v>0.33949074074074076</v>
      </c>
      <c r="H628" s="55"/>
      <c r="I628" s="55" t="str">
        <f t="shared" si="42"/>
        <v>12.504.270-8</v>
      </c>
      <c r="J628" s="55">
        <f t="shared" si="43"/>
        <v>0.66050925925925918</v>
      </c>
      <c r="K628" s="93">
        <f t="shared" si="44"/>
        <v>6.8522222222222204</v>
      </c>
      <c r="L628">
        <f>IFERROR(HLOOKUP(D628,Ingreso!$AN$10:$AT$260,VLOOKUP('cruce '!I628,Ingreso!$AL$11:$AM$260,2,0),0),0)</f>
        <v>0</v>
      </c>
      <c r="M628" s="95">
        <f>IFERROR(HLOOKUP(D628,Ingreso!$AW$10:$BC$260,VLOOKUP('cruce '!I628,Ingreso!$AL$11:$AM$260,2,0),0),0)</f>
        <v>0</v>
      </c>
      <c r="N628" t="str">
        <f t="shared" si="45"/>
        <v>Revisar</v>
      </c>
    </row>
    <row r="629" spans="2:14">
      <c r="C629"/>
      <c r="D629" t="s">
        <v>1441</v>
      </c>
      <c r="E629" t="s">
        <v>4</v>
      </c>
      <c r="F629" s="78">
        <v>0.3125</v>
      </c>
      <c r="G629" s="55">
        <v>0.29472222222222222</v>
      </c>
      <c r="H629" s="55">
        <v>0.63430555555555557</v>
      </c>
      <c r="I629" s="55" t="str">
        <f t="shared" si="42"/>
        <v>12.504.270-8</v>
      </c>
      <c r="J629" s="55">
        <f t="shared" si="43"/>
        <v>0.33958333333333335</v>
      </c>
      <c r="K629" s="93">
        <f t="shared" si="44"/>
        <v>0.65000000000000036</v>
      </c>
      <c r="L629">
        <f>IFERROR(HLOOKUP(D629,Ingreso!$AN$10:$AT$260,VLOOKUP('cruce '!I629,Ingreso!$AL$11:$AM$260,2,0),0),0)</f>
        <v>0</v>
      </c>
      <c r="M629" s="95">
        <f>IFERROR(HLOOKUP(D629,Ingreso!$AW$10:$BC$260,VLOOKUP('cruce '!I629,Ingreso!$AL$11:$AM$260,2,0),0),0)</f>
        <v>0</v>
      </c>
      <c r="N629" t="str">
        <f t="shared" si="45"/>
        <v>OK</v>
      </c>
    </row>
    <row r="630" spans="2:14">
      <c r="C630"/>
      <c r="D630" t="s">
        <v>1437</v>
      </c>
      <c r="E630" t="s">
        <v>4</v>
      </c>
      <c r="F630" s="78">
        <v>0.3125</v>
      </c>
      <c r="G630" s="55">
        <v>0.29439814814814813</v>
      </c>
      <c r="H630" s="55">
        <v>0.63586805555555559</v>
      </c>
      <c r="I630" s="55" t="str">
        <f t="shared" si="42"/>
        <v>12.504.270-8</v>
      </c>
      <c r="J630" s="55">
        <f t="shared" si="43"/>
        <v>0.34146990740740746</v>
      </c>
      <c r="K630" s="93">
        <f t="shared" si="44"/>
        <v>0.69527777777777899</v>
      </c>
      <c r="L630">
        <f>IFERROR(HLOOKUP(D630,Ingreso!$AN$10:$AT$260,VLOOKUP('cruce '!I630,Ingreso!$AL$11:$AM$260,2,0),0),0)</f>
        <v>0</v>
      </c>
      <c r="M630" s="95">
        <f>IFERROR(HLOOKUP(D630,Ingreso!$AW$10:$BC$260,VLOOKUP('cruce '!I630,Ingreso!$AL$11:$AM$260,2,0),0),0)</f>
        <v>0</v>
      </c>
      <c r="N630" t="str">
        <f t="shared" si="45"/>
        <v>OK</v>
      </c>
    </row>
    <row r="631" spans="2:14">
      <c r="C631"/>
      <c r="D631" t="s">
        <v>1438</v>
      </c>
      <c r="E631" t="s">
        <v>4</v>
      </c>
      <c r="F631" s="78">
        <v>0.3125</v>
      </c>
      <c r="G631" s="55">
        <v>0.30077546296296298</v>
      </c>
      <c r="H631" s="55">
        <v>0.63326388888888896</v>
      </c>
      <c r="I631" s="55" t="str">
        <f t="shared" si="42"/>
        <v>12.504.270-8</v>
      </c>
      <c r="J631" s="55">
        <f t="shared" si="43"/>
        <v>0.33248842592592598</v>
      </c>
      <c r="K631" s="93">
        <f t="shared" si="44"/>
        <v>0.47972222222222349</v>
      </c>
      <c r="L631">
        <f>IFERROR(HLOOKUP(D631,Ingreso!$AN$10:$AT$260,VLOOKUP('cruce '!I631,Ingreso!$AL$11:$AM$260,2,0),0),0)</f>
        <v>0</v>
      </c>
      <c r="M631" s="95">
        <f>IFERROR(HLOOKUP(D631,Ingreso!$AW$10:$BC$260,VLOOKUP('cruce '!I631,Ingreso!$AL$11:$AM$260,2,0),0),0)</f>
        <v>0</v>
      </c>
      <c r="N631" t="str">
        <f t="shared" si="45"/>
        <v>OK</v>
      </c>
    </row>
    <row r="632" spans="2:14">
      <c r="B632" t="s">
        <v>31</v>
      </c>
      <c r="C632" t="s">
        <v>35</v>
      </c>
      <c r="D632" t="s">
        <v>1440</v>
      </c>
      <c r="E632" t="s">
        <v>1321</v>
      </c>
      <c r="F632" s="78">
        <v>0.3125</v>
      </c>
      <c r="G632" s="55">
        <v>0.60712962962962969</v>
      </c>
      <c r="H632" s="55">
        <v>0.94460648148148152</v>
      </c>
      <c r="I632" s="55" t="str">
        <f t="shared" si="42"/>
        <v>12.677.439-7</v>
      </c>
      <c r="J632" s="55">
        <f t="shared" si="43"/>
        <v>0.33747685185185183</v>
      </c>
      <c r="K632" s="93">
        <f t="shared" si="44"/>
        <v>0.599444444444444</v>
      </c>
      <c r="L632">
        <f>IFERROR(HLOOKUP(D632,Ingreso!$AN$10:$AT$260,VLOOKUP('cruce '!I632,Ingreso!$AL$11:$AM$260,2,0),0),0)</f>
        <v>0</v>
      </c>
      <c r="M632" s="95" t="str">
        <f>IFERROR(HLOOKUP(D632,Ingreso!$AW$10:$BC$260,VLOOKUP('cruce '!I632,Ingreso!$AL$11:$AM$260,2,0),0),0)</f>
        <v/>
      </c>
      <c r="N632" t="str">
        <f t="shared" si="45"/>
        <v>OK</v>
      </c>
    </row>
    <row r="633" spans="2:14">
      <c r="C633"/>
      <c r="D633" t="s">
        <v>1441</v>
      </c>
      <c r="E633" t="s">
        <v>1321</v>
      </c>
      <c r="F633" s="78">
        <v>0.3125</v>
      </c>
      <c r="G633" s="55">
        <v>0.61090277777777779</v>
      </c>
      <c r="H633" s="55">
        <v>0.94482638888888892</v>
      </c>
      <c r="I633" s="55" t="str">
        <f t="shared" si="42"/>
        <v>12.677.439-7</v>
      </c>
      <c r="J633" s="55">
        <f t="shared" si="43"/>
        <v>0.33392361111111113</v>
      </c>
      <c r="K633" s="93">
        <f t="shared" si="44"/>
        <v>0.51416666666666799</v>
      </c>
      <c r="L633">
        <f>IFERROR(HLOOKUP(D633,Ingreso!$AN$10:$AT$260,VLOOKUP('cruce '!I633,Ingreso!$AL$11:$AM$260,2,0),0),0)</f>
        <v>0</v>
      </c>
      <c r="M633" s="95" t="str">
        <f>IFERROR(HLOOKUP(D633,Ingreso!$AW$10:$BC$260,VLOOKUP('cruce '!I633,Ingreso!$AL$11:$AM$260,2,0),0),0)</f>
        <v/>
      </c>
      <c r="N633" t="str">
        <f t="shared" si="45"/>
        <v>OK</v>
      </c>
    </row>
    <row r="634" spans="2:14">
      <c r="C634"/>
      <c r="D634" t="s">
        <v>1437</v>
      </c>
      <c r="E634" t="s">
        <v>1321</v>
      </c>
      <c r="F634" s="78">
        <v>0.3125</v>
      </c>
      <c r="G634" s="55">
        <v>0.60873842592592597</v>
      </c>
      <c r="H634" s="55">
        <v>0.94395833333333334</v>
      </c>
      <c r="I634" s="55" t="str">
        <f t="shared" si="42"/>
        <v>12.677.439-7</v>
      </c>
      <c r="J634" s="55">
        <f t="shared" si="43"/>
        <v>0.33521990740740737</v>
      </c>
      <c r="K634" s="93">
        <f t="shared" si="44"/>
        <v>0.54527777777777686</v>
      </c>
      <c r="L634">
        <f>IFERROR(HLOOKUP(D634,Ingreso!$AN$10:$AT$260,VLOOKUP('cruce '!I634,Ingreso!$AL$11:$AM$260,2,0),0),0)</f>
        <v>0</v>
      </c>
      <c r="M634" s="95" t="str">
        <f>IFERROR(HLOOKUP(D634,Ingreso!$AW$10:$BC$260,VLOOKUP('cruce '!I634,Ingreso!$AL$11:$AM$260,2,0),0),0)</f>
        <v/>
      </c>
      <c r="N634" t="str">
        <f t="shared" si="45"/>
        <v>OK</v>
      </c>
    </row>
    <row r="635" spans="2:14">
      <c r="C635"/>
      <c r="D635" t="s">
        <v>1438</v>
      </c>
      <c r="E635" t="s">
        <v>1321</v>
      </c>
      <c r="F635" s="78">
        <v>0.3125</v>
      </c>
      <c r="G635" s="55">
        <v>0.60815972222222225</v>
      </c>
      <c r="H635" s="55">
        <v>0.94251157407407404</v>
      </c>
      <c r="I635" s="55" t="str">
        <f t="shared" si="42"/>
        <v>12.677.439-7</v>
      </c>
      <c r="J635" s="55">
        <f t="shared" si="43"/>
        <v>0.33435185185185179</v>
      </c>
      <c r="K635" s="93">
        <f t="shared" si="44"/>
        <v>0.52444444444444294</v>
      </c>
      <c r="L635">
        <f>IFERROR(HLOOKUP(D635,Ingreso!$AN$10:$AT$260,VLOOKUP('cruce '!I635,Ingreso!$AL$11:$AM$260,2,0),0),0)</f>
        <v>0</v>
      </c>
      <c r="M635" s="95" t="str">
        <f>IFERROR(HLOOKUP(D635,Ingreso!$AW$10:$BC$260,VLOOKUP('cruce '!I635,Ingreso!$AL$11:$AM$260,2,0),0),0)</f>
        <v/>
      </c>
      <c r="N635" t="str">
        <f t="shared" si="45"/>
        <v>OK</v>
      </c>
    </row>
    <row r="636" spans="2:14">
      <c r="C636"/>
      <c r="D636" t="s">
        <v>1439</v>
      </c>
      <c r="E636" t="s">
        <v>1321</v>
      </c>
      <c r="F636" s="78">
        <v>0.3125</v>
      </c>
      <c r="G636" s="55">
        <v>0.61208333333333331</v>
      </c>
      <c r="H636" s="55">
        <v>0.94158564814814805</v>
      </c>
      <c r="I636" s="55" t="str">
        <f t="shared" si="42"/>
        <v>12.677.439-7</v>
      </c>
      <c r="J636" s="55">
        <f t="shared" si="43"/>
        <v>0.32950231481481473</v>
      </c>
      <c r="K636" s="93">
        <f t="shared" si="44"/>
        <v>0.40805555555555362</v>
      </c>
      <c r="L636">
        <f>IFERROR(HLOOKUP(D636,Ingreso!$AN$10:$AT$260,VLOOKUP('cruce '!I636,Ingreso!$AL$11:$AM$260,2,0),0),0)</f>
        <v>0</v>
      </c>
      <c r="M636" s="95" t="str">
        <f>IFERROR(HLOOKUP(D636,Ingreso!$AW$10:$BC$260,VLOOKUP('cruce '!I636,Ingreso!$AL$11:$AM$260,2,0),0),0)</f>
        <v/>
      </c>
      <c r="N636" t="str">
        <f t="shared" si="45"/>
        <v>OK</v>
      </c>
    </row>
    <row r="637" spans="2:14">
      <c r="B637" t="s">
        <v>638</v>
      </c>
      <c r="C637" t="s">
        <v>641</v>
      </c>
      <c r="D637" t="s">
        <v>1440</v>
      </c>
      <c r="E637" t="s">
        <v>4</v>
      </c>
      <c r="F637" s="78">
        <v>0.3125</v>
      </c>
      <c r="G637" s="55">
        <v>0.80901620370370375</v>
      </c>
      <c r="H637" s="55"/>
      <c r="I637" s="55" t="str">
        <f t="shared" si="42"/>
        <v>12.690.098-8</v>
      </c>
      <c r="J637" s="55">
        <f t="shared" si="43"/>
        <v>0.19098379629629625</v>
      </c>
      <c r="K637" s="93">
        <f t="shared" si="44"/>
        <v>-2.91638888888889</v>
      </c>
      <c r="L637">
        <f>IFERROR(HLOOKUP(D637,Ingreso!$AN$10:$AT$260,VLOOKUP('cruce '!I637,Ingreso!$AL$11:$AM$260,2,0),0),0)</f>
        <v>0</v>
      </c>
      <c r="M637" s="95">
        <f>IFERROR(HLOOKUP(D637,Ingreso!$AW$10:$BC$260,VLOOKUP('cruce '!I637,Ingreso!$AL$11:$AM$260,2,0),0),0)</f>
        <v>0</v>
      </c>
      <c r="N637" t="str">
        <f t="shared" si="45"/>
        <v>Revisar</v>
      </c>
    </row>
    <row r="638" spans="2:14">
      <c r="C638"/>
      <c r="D638"/>
      <c r="E638" t="s">
        <v>1323</v>
      </c>
      <c r="F638" s="78">
        <v>0.375</v>
      </c>
      <c r="G638" s="55"/>
      <c r="H638" s="55">
        <v>0.32817129629629632</v>
      </c>
      <c r="I638" s="55" t="str">
        <f t="shared" si="42"/>
        <v>12.690.098-8</v>
      </c>
      <c r="J638" s="55">
        <f t="shared" si="43"/>
        <v>0.32817129629629632</v>
      </c>
      <c r="K638" s="93">
        <f t="shared" si="44"/>
        <v>-1.1238888888888887</v>
      </c>
      <c r="L638">
        <f>IFERROR(HLOOKUP(D638,Ingreso!$AN$10:$AT$260,VLOOKUP('cruce '!I638,Ingreso!$AL$11:$AM$260,2,0),0),0)</f>
        <v>0</v>
      </c>
      <c r="M638" s="95">
        <f>IFERROR(HLOOKUP(D638,Ingreso!$AW$10:$BC$260,VLOOKUP('cruce '!I638,Ingreso!$AL$11:$AM$260,2,0),0),0)</f>
        <v>0</v>
      </c>
      <c r="N638" t="str">
        <f t="shared" si="45"/>
        <v>Revisar</v>
      </c>
    </row>
    <row r="639" spans="2:14">
      <c r="C639"/>
      <c r="D639" t="s">
        <v>1441</v>
      </c>
      <c r="E639" t="s">
        <v>1323</v>
      </c>
      <c r="F639" s="78">
        <v>0.375</v>
      </c>
      <c r="G639" s="55"/>
      <c r="H639" s="55">
        <v>0.32950231481481479</v>
      </c>
      <c r="I639" s="55" t="str">
        <f t="shared" ref="I639:I702" si="46">IF(B639="",I638,B639)</f>
        <v>12.690.098-8</v>
      </c>
      <c r="J639" s="55">
        <f t="shared" ref="J639:J702" si="47">IF(G639&gt;H639,(H639+0.5)-(G639-0.5),H639-G639)</f>
        <v>0.32950231481481479</v>
      </c>
      <c r="K639" s="93">
        <f t="shared" ref="K639:K702" si="48">(J639*24)-(F639*24)</f>
        <v>-1.0919444444444455</v>
      </c>
      <c r="L639">
        <f>IFERROR(HLOOKUP(D639,Ingreso!$AN$10:$AT$260,VLOOKUP('cruce '!I639,Ingreso!$AL$11:$AM$260,2,0),0),0)</f>
        <v>0</v>
      </c>
      <c r="M639" s="95">
        <f>IFERROR(HLOOKUP(D639,Ingreso!$AW$10:$BC$260,VLOOKUP('cruce '!I639,Ingreso!$AL$11:$AM$260,2,0),0),0)</f>
        <v>0</v>
      </c>
      <c r="N639" t="str">
        <f t="shared" ref="N639:N702" si="49">IF((K639-L639)&gt;1,"Revisar",IF((K639-L639)&lt;-1,"Revisar","OK"))</f>
        <v>Revisar</v>
      </c>
    </row>
    <row r="640" spans="2:14">
      <c r="C640"/>
      <c r="D640" t="s">
        <v>1437</v>
      </c>
      <c r="E640" t="s">
        <v>1321</v>
      </c>
      <c r="F640" s="78">
        <v>0.3125</v>
      </c>
      <c r="G640" s="55"/>
      <c r="H640" s="55">
        <v>0.9515162037037036</v>
      </c>
      <c r="I640" s="55" t="str">
        <f t="shared" si="46"/>
        <v>12.690.098-8</v>
      </c>
      <c r="J640" s="55">
        <f t="shared" si="47"/>
        <v>0.9515162037037036</v>
      </c>
      <c r="K640" s="93">
        <f t="shared" si="48"/>
        <v>15.336388888888887</v>
      </c>
      <c r="L640">
        <f>IFERROR(HLOOKUP(D640,Ingreso!$AN$10:$AT$260,VLOOKUP('cruce '!I640,Ingreso!$AL$11:$AM$260,2,0),0),0)</f>
        <v>0</v>
      </c>
      <c r="M640" s="95">
        <f>IFERROR(HLOOKUP(D640,Ingreso!$AW$10:$BC$260,VLOOKUP('cruce '!I640,Ingreso!$AL$11:$AM$260,2,0),0),0)</f>
        <v>0</v>
      </c>
      <c r="N640" t="str">
        <f t="shared" si="49"/>
        <v>Revisar</v>
      </c>
    </row>
    <row r="641" spans="2:14">
      <c r="C641"/>
      <c r="D641"/>
      <c r="E641" t="s">
        <v>1473</v>
      </c>
      <c r="F641" t="s">
        <v>1472</v>
      </c>
      <c r="G641" s="55">
        <v>0.5305671296296296</v>
      </c>
      <c r="H641" s="55"/>
      <c r="I641" s="55" t="str">
        <f t="shared" si="46"/>
        <v>12.690.098-8</v>
      </c>
      <c r="J641" s="55">
        <f t="shared" si="47"/>
        <v>0.4694328703703704</v>
      </c>
      <c r="K641" s="93" t="e">
        <f t="shared" si="48"/>
        <v>#VALUE!</v>
      </c>
      <c r="L641">
        <f>IFERROR(HLOOKUP(D641,Ingreso!$AN$10:$AT$260,VLOOKUP('cruce '!I641,Ingreso!$AL$11:$AM$260,2,0),0),0)</f>
        <v>0</v>
      </c>
      <c r="M641" s="95">
        <f>IFERROR(HLOOKUP(D641,Ingreso!$AW$10:$BC$260,VLOOKUP('cruce '!I641,Ingreso!$AL$11:$AM$260,2,0),0),0)</f>
        <v>0</v>
      </c>
      <c r="N641" t="e">
        <f t="shared" si="49"/>
        <v>#VALUE!</v>
      </c>
    </row>
    <row r="642" spans="2:14">
      <c r="C642"/>
      <c r="D642" t="s">
        <v>1438</v>
      </c>
      <c r="E642" t="s">
        <v>1321</v>
      </c>
      <c r="F642" s="78">
        <v>0.3125</v>
      </c>
      <c r="G642" s="55"/>
      <c r="H642" s="55">
        <v>0.95157407407407402</v>
      </c>
      <c r="I642" s="55" t="str">
        <f t="shared" si="46"/>
        <v>12.690.098-8</v>
      </c>
      <c r="J642" s="55">
        <f t="shared" si="47"/>
        <v>0.95157407407407402</v>
      </c>
      <c r="K642" s="93">
        <f t="shared" si="48"/>
        <v>15.337777777777777</v>
      </c>
      <c r="L642">
        <f>IFERROR(HLOOKUP(D642,Ingreso!$AN$10:$AT$260,VLOOKUP('cruce '!I642,Ingreso!$AL$11:$AM$260,2,0),0),0)</f>
        <v>0</v>
      </c>
      <c r="M642" s="95">
        <f>IFERROR(HLOOKUP(D642,Ingreso!$AW$10:$BC$260,VLOOKUP('cruce '!I642,Ingreso!$AL$11:$AM$260,2,0),0),0)</f>
        <v>0</v>
      </c>
      <c r="N642" t="str">
        <f t="shared" si="49"/>
        <v>Revisar</v>
      </c>
    </row>
    <row r="643" spans="2:14">
      <c r="C643"/>
      <c r="D643"/>
      <c r="E643" t="s">
        <v>1473</v>
      </c>
      <c r="F643" t="s">
        <v>1472</v>
      </c>
      <c r="G643" s="55">
        <v>0.53281250000000002</v>
      </c>
      <c r="H643" s="55"/>
      <c r="I643" s="55" t="str">
        <f t="shared" si="46"/>
        <v>12.690.098-8</v>
      </c>
      <c r="J643" s="55">
        <f t="shared" si="47"/>
        <v>0.46718749999999998</v>
      </c>
      <c r="K643" s="93" t="e">
        <f t="shared" si="48"/>
        <v>#VALUE!</v>
      </c>
      <c r="L643">
        <f>IFERROR(HLOOKUP(D643,Ingreso!$AN$10:$AT$260,VLOOKUP('cruce '!I643,Ingreso!$AL$11:$AM$260,2,0),0),0)</f>
        <v>0</v>
      </c>
      <c r="M643" s="95">
        <f>IFERROR(HLOOKUP(D643,Ingreso!$AW$10:$BC$260,VLOOKUP('cruce '!I643,Ingreso!$AL$11:$AM$260,2,0),0),0)</f>
        <v>0</v>
      </c>
      <c r="N643" t="e">
        <f t="shared" si="49"/>
        <v>#VALUE!</v>
      </c>
    </row>
    <row r="644" spans="2:14">
      <c r="C644"/>
      <c r="D644" t="s">
        <v>1439</v>
      </c>
      <c r="E644" t="s">
        <v>4</v>
      </c>
      <c r="F644" s="78">
        <v>0.3125</v>
      </c>
      <c r="G644" s="55">
        <v>0.79703703703703699</v>
      </c>
      <c r="H644" s="55"/>
      <c r="I644" s="55" t="str">
        <f t="shared" si="46"/>
        <v>12.690.098-8</v>
      </c>
      <c r="J644" s="55">
        <f t="shared" si="47"/>
        <v>0.20296296296296301</v>
      </c>
      <c r="K644" s="93">
        <f t="shared" si="48"/>
        <v>-2.6288888888888877</v>
      </c>
      <c r="L644">
        <f>IFERROR(HLOOKUP(D644,Ingreso!$AN$10:$AT$260,VLOOKUP('cruce '!I644,Ingreso!$AL$11:$AM$260,2,0),0),0)</f>
        <v>0</v>
      </c>
      <c r="M644" s="95">
        <f>IFERROR(HLOOKUP(D644,Ingreso!$AW$10:$BC$260,VLOOKUP('cruce '!I644,Ingreso!$AL$11:$AM$260,2,0),0),0)</f>
        <v>0</v>
      </c>
      <c r="N644" t="str">
        <f t="shared" si="49"/>
        <v>Revisar</v>
      </c>
    </row>
    <row r="645" spans="2:14">
      <c r="B645" t="s">
        <v>578</v>
      </c>
      <c r="C645" t="s">
        <v>582</v>
      </c>
      <c r="D645" t="s">
        <v>1440</v>
      </c>
      <c r="E645" t="s">
        <v>1323</v>
      </c>
      <c r="F645" s="78">
        <v>0.375</v>
      </c>
      <c r="G645" s="55">
        <v>0.92031249999999998</v>
      </c>
      <c r="H645" s="55">
        <v>0.32842592592592595</v>
      </c>
      <c r="I645" s="55" t="str">
        <f t="shared" si="46"/>
        <v>12.740.284-1</v>
      </c>
      <c r="J645" s="55">
        <f t="shared" si="47"/>
        <v>0.40811342592592592</v>
      </c>
      <c r="K645" s="93">
        <f t="shared" si="48"/>
        <v>0.794722222222223</v>
      </c>
      <c r="L645">
        <f>IFERROR(HLOOKUP(D645,Ingreso!$AN$10:$AT$260,VLOOKUP('cruce '!I645,Ingreso!$AL$11:$AM$260,2,0),0),0)</f>
        <v>0</v>
      </c>
      <c r="M645" s="95">
        <f>IFERROR(HLOOKUP(D645,Ingreso!$AW$10:$BC$260,VLOOKUP('cruce '!I645,Ingreso!$AL$11:$AM$260,2,0),0),0)</f>
        <v>0</v>
      </c>
      <c r="N645" t="str">
        <f t="shared" si="49"/>
        <v>OK</v>
      </c>
    </row>
    <row r="646" spans="2:14">
      <c r="C646"/>
      <c r="D646" t="s">
        <v>1441</v>
      </c>
      <c r="E646" t="s">
        <v>1323</v>
      </c>
      <c r="F646" s="78">
        <v>0.375</v>
      </c>
      <c r="G646" s="55"/>
      <c r="H646" s="55">
        <v>0.33206018518518515</v>
      </c>
      <c r="I646" s="55" t="str">
        <f t="shared" si="46"/>
        <v>12.740.284-1</v>
      </c>
      <c r="J646" s="55">
        <f t="shared" si="47"/>
        <v>0.33206018518518515</v>
      </c>
      <c r="K646" s="93">
        <f t="shared" si="48"/>
        <v>-1.0305555555555568</v>
      </c>
      <c r="L646">
        <f>IFERROR(HLOOKUP(D646,Ingreso!$AN$10:$AT$260,VLOOKUP('cruce '!I646,Ingreso!$AL$11:$AM$260,2,0),0),0)</f>
        <v>0</v>
      </c>
      <c r="M646" s="95">
        <f>IFERROR(HLOOKUP(D646,Ingreso!$AW$10:$BC$260,VLOOKUP('cruce '!I646,Ingreso!$AL$11:$AM$260,2,0),0),0)</f>
        <v>0</v>
      </c>
      <c r="N646" t="str">
        <f t="shared" si="49"/>
        <v>Revisar</v>
      </c>
    </row>
    <row r="647" spans="2:14">
      <c r="C647"/>
      <c r="D647" t="s">
        <v>1437</v>
      </c>
      <c r="E647" t="s">
        <v>1323</v>
      </c>
      <c r="F647" s="78">
        <v>0.375</v>
      </c>
      <c r="G647" s="55">
        <v>0.91858796296296286</v>
      </c>
      <c r="H647" s="55"/>
      <c r="I647" s="55" t="str">
        <f t="shared" si="46"/>
        <v>12.740.284-1</v>
      </c>
      <c r="J647" s="55">
        <f t="shared" si="47"/>
        <v>8.1412037037037144E-2</v>
      </c>
      <c r="K647" s="93">
        <f t="shared" si="48"/>
        <v>-7.0461111111111085</v>
      </c>
      <c r="L647">
        <f>IFERROR(HLOOKUP(D647,Ingreso!$AN$10:$AT$260,VLOOKUP('cruce '!I647,Ingreso!$AL$11:$AM$260,2,0),0),0)</f>
        <v>0</v>
      </c>
      <c r="M647" s="95">
        <f>IFERROR(HLOOKUP(D647,Ingreso!$AW$10:$BC$260,VLOOKUP('cruce '!I647,Ingreso!$AL$11:$AM$260,2,0),0),0)</f>
        <v>0</v>
      </c>
      <c r="N647" t="str">
        <f t="shared" si="49"/>
        <v>Revisar</v>
      </c>
    </row>
    <row r="648" spans="2:14">
      <c r="C648"/>
      <c r="D648" t="s">
        <v>1438</v>
      </c>
      <c r="E648" t="s">
        <v>1323</v>
      </c>
      <c r="F648" s="78">
        <v>0.375</v>
      </c>
      <c r="G648" s="55"/>
      <c r="H648" s="55">
        <v>0.32616898148148149</v>
      </c>
      <c r="I648" s="55" t="str">
        <f t="shared" si="46"/>
        <v>12.740.284-1</v>
      </c>
      <c r="J648" s="55">
        <f t="shared" si="47"/>
        <v>0.32616898148148149</v>
      </c>
      <c r="K648" s="93">
        <f t="shared" si="48"/>
        <v>-1.1719444444444438</v>
      </c>
      <c r="L648">
        <f>IFERROR(HLOOKUP(D648,Ingreso!$AN$10:$AT$260,VLOOKUP('cruce '!I648,Ingreso!$AL$11:$AM$260,2,0),0),0)</f>
        <v>0</v>
      </c>
      <c r="M648" s="95">
        <f>IFERROR(HLOOKUP(D648,Ingreso!$AW$10:$BC$260,VLOOKUP('cruce '!I648,Ingreso!$AL$11:$AM$260,2,0),0),0)</f>
        <v>0</v>
      </c>
      <c r="N648" t="str">
        <f t="shared" si="49"/>
        <v>Revisar</v>
      </c>
    </row>
    <row r="649" spans="2:14">
      <c r="C649"/>
      <c r="D649" t="s">
        <v>1439</v>
      </c>
      <c r="E649" t="s">
        <v>1323</v>
      </c>
      <c r="F649" s="78">
        <v>0.375</v>
      </c>
      <c r="G649" s="55">
        <v>0.91809027777777785</v>
      </c>
      <c r="H649" s="55"/>
      <c r="I649" s="55" t="str">
        <f t="shared" si="46"/>
        <v>12.740.284-1</v>
      </c>
      <c r="J649" s="55">
        <f t="shared" si="47"/>
        <v>8.1909722222222148E-2</v>
      </c>
      <c r="K649" s="93">
        <f t="shared" si="48"/>
        <v>-7.0341666666666685</v>
      </c>
      <c r="L649">
        <f>IFERROR(HLOOKUP(D649,Ingreso!$AN$10:$AT$260,VLOOKUP('cruce '!I649,Ingreso!$AL$11:$AM$260,2,0),0),0)</f>
        <v>0</v>
      </c>
      <c r="M649" s="95">
        <f>IFERROR(HLOOKUP(D649,Ingreso!$AW$10:$BC$260,VLOOKUP('cruce '!I649,Ingreso!$AL$11:$AM$260,2,0),0),0)</f>
        <v>0</v>
      </c>
      <c r="N649" t="str">
        <f t="shared" si="49"/>
        <v>Revisar</v>
      </c>
    </row>
    <row r="650" spans="2:14">
      <c r="B650" t="s">
        <v>692</v>
      </c>
      <c r="C650" t="s">
        <v>694</v>
      </c>
      <c r="D650" t="s">
        <v>1440</v>
      </c>
      <c r="E650" t="s">
        <v>1474</v>
      </c>
      <c r="F650" t="s">
        <v>1472</v>
      </c>
      <c r="G650" s="55">
        <v>0.35667824074074073</v>
      </c>
      <c r="H650" s="55"/>
      <c r="I650" s="55" t="str">
        <f t="shared" si="46"/>
        <v>12.828.475-3</v>
      </c>
      <c r="J650" s="55">
        <f t="shared" si="47"/>
        <v>0.64332175925925927</v>
      </c>
      <c r="K650" s="93" t="e">
        <f t="shared" si="48"/>
        <v>#VALUE!</v>
      </c>
      <c r="L650">
        <f>IFERROR(HLOOKUP(D650,Ingreso!$AN$10:$AT$260,VLOOKUP('cruce '!I650,Ingreso!$AL$11:$AM$260,2,0),0),0)</f>
        <v>6</v>
      </c>
      <c r="M650" s="95">
        <f>IFERROR(HLOOKUP(D650,Ingreso!$AW$10:$BC$260,VLOOKUP('cruce '!I650,Ingreso!$AL$11:$AM$260,2,0),0),0)</f>
        <v>0.5</v>
      </c>
      <c r="N650" t="e">
        <f t="shared" si="49"/>
        <v>#VALUE!</v>
      </c>
    </row>
    <row r="651" spans="2:14">
      <c r="C651"/>
      <c r="D651" t="s">
        <v>1441</v>
      </c>
      <c r="E651" t="s">
        <v>1474</v>
      </c>
      <c r="F651" t="s">
        <v>1472</v>
      </c>
      <c r="G651" s="55">
        <v>0.37611111111111112</v>
      </c>
      <c r="H651" s="55">
        <v>0.62266203703703704</v>
      </c>
      <c r="I651" s="55" t="str">
        <f t="shared" si="46"/>
        <v>12.828.475-3</v>
      </c>
      <c r="J651" s="55">
        <f t="shared" si="47"/>
        <v>0.24655092592592592</v>
      </c>
      <c r="K651" s="93" t="e">
        <f t="shared" si="48"/>
        <v>#VALUE!</v>
      </c>
      <c r="L651">
        <f>IFERROR(HLOOKUP(D651,Ingreso!$AN$10:$AT$260,VLOOKUP('cruce '!I651,Ingreso!$AL$11:$AM$260,2,0),0),0)</f>
        <v>0</v>
      </c>
      <c r="M651" s="95" t="str">
        <f>IFERROR(HLOOKUP(D651,Ingreso!$AW$10:$BC$260,VLOOKUP('cruce '!I651,Ingreso!$AL$11:$AM$260,2,0),0),0)</f>
        <v/>
      </c>
      <c r="N651" t="e">
        <f t="shared" si="49"/>
        <v>#VALUE!</v>
      </c>
    </row>
    <row r="652" spans="2:14">
      <c r="C652"/>
      <c r="D652" t="s">
        <v>1438</v>
      </c>
      <c r="E652" t="s">
        <v>1474</v>
      </c>
      <c r="F652" t="s">
        <v>1472</v>
      </c>
      <c r="G652" s="55">
        <v>0.29017361111111112</v>
      </c>
      <c r="H652" s="55">
        <v>0.73100694444444436</v>
      </c>
      <c r="I652" s="55" t="str">
        <f t="shared" si="46"/>
        <v>12.828.475-3</v>
      </c>
      <c r="J652" s="55">
        <f t="shared" si="47"/>
        <v>0.44083333333333324</v>
      </c>
      <c r="K652" s="93" t="e">
        <f t="shared" si="48"/>
        <v>#VALUE!</v>
      </c>
      <c r="L652">
        <f>IFERROR(HLOOKUP(D652,Ingreso!$AN$10:$AT$260,VLOOKUP('cruce '!I652,Ingreso!$AL$11:$AM$260,2,0),0),0)</f>
        <v>0</v>
      </c>
      <c r="M652" s="95" t="str">
        <f>IFERROR(HLOOKUP(D652,Ingreso!$AW$10:$BC$260,VLOOKUP('cruce '!I652,Ingreso!$AL$11:$AM$260,2,0),0),0)</f>
        <v/>
      </c>
      <c r="N652" t="e">
        <f t="shared" si="49"/>
        <v>#VALUE!</v>
      </c>
    </row>
    <row r="653" spans="2:14">
      <c r="C653"/>
      <c r="D653" t="s">
        <v>1439</v>
      </c>
      <c r="E653" t="s">
        <v>1474</v>
      </c>
      <c r="F653" t="s">
        <v>1472</v>
      </c>
      <c r="G653" s="55">
        <v>0.28879629629629627</v>
      </c>
      <c r="H653" s="55">
        <v>0.72202546296296299</v>
      </c>
      <c r="I653" s="55" t="str">
        <f t="shared" si="46"/>
        <v>12.828.475-3</v>
      </c>
      <c r="J653" s="55">
        <f t="shared" si="47"/>
        <v>0.43322916666666672</v>
      </c>
      <c r="K653" s="93" t="e">
        <f t="shared" si="48"/>
        <v>#VALUE!</v>
      </c>
      <c r="L653">
        <f>IFERROR(HLOOKUP(D653,Ingreso!$AN$10:$AT$260,VLOOKUP('cruce '!I653,Ingreso!$AL$11:$AM$260,2,0),0),0)</f>
        <v>0</v>
      </c>
      <c r="M653" s="95" t="str">
        <f>IFERROR(HLOOKUP(D653,Ingreso!$AW$10:$BC$260,VLOOKUP('cruce '!I653,Ingreso!$AL$11:$AM$260,2,0),0),0)</f>
        <v/>
      </c>
      <c r="N653" t="e">
        <f t="shared" si="49"/>
        <v>#VALUE!</v>
      </c>
    </row>
    <row r="654" spans="2:14">
      <c r="B654" t="s">
        <v>1009</v>
      </c>
      <c r="C654" t="s">
        <v>1012</v>
      </c>
      <c r="D654" t="s">
        <v>1440</v>
      </c>
      <c r="E654" t="s">
        <v>1323</v>
      </c>
      <c r="F654" s="78">
        <v>0.375</v>
      </c>
      <c r="G654" s="55"/>
      <c r="H654" s="55">
        <v>0.3283564814814815</v>
      </c>
      <c r="I654" s="55" t="str">
        <f t="shared" si="46"/>
        <v>12.896.000-7</v>
      </c>
      <c r="J654" s="55">
        <f t="shared" si="47"/>
        <v>0.3283564814814815</v>
      </c>
      <c r="K654" s="93">
        <f t="shared" si="48"/>
        <v>-1.1194444444444436</v>
      </c>
      <c r="L654">
        <f>IFERROR(HLOOKUP(D654,Ingreso!$AN$10:$AT$260,VLOOKUP('cruce '!I654,Ingreso!$AL$11:$AM$260,2,0),0),0)</f>
        <v>0</v>
      </c>
      <c r="M654" s="95">
        <f>IFERROR(HLOOKUP(D654,Ingreso!$AW$10:$BC$260,VLOOKUP('cruce '!I654,Ingreso!$AL$11:$AM$260,2,0),0),0)</f>
        <v>0</v>
      </c>
      <c r="N654" t="str">
        <f t="shared" si="49"/>
        <v>Revisar</v>
      </c>
    </row>
    <row r="655" spans="2:14">
      <c r="C655"/>
      <c r="D655"/>
      <c r="E655" t="s">
        <v>1473</v>
      </c>
      <c r="F655" t="s">
        <v>1472</v>
      </c>
      <c r="G655" s="55">
        <v>0.81292824074074066</v>
      </c>
      <c r="H655" s="55"/>
      <c r="I655" s="55" t="str">
        <f t="shared" si="46"/>
        <v>12.896.000-7</v>
      </c>
      <c r="J655" s="55">
        <f t="shared" si="47"/>
        <v>0.18707175925925934</v>
      </c>
      <c r="K655" s="93" t="e">
        <f t="shared" si="48"/>
        <v>#VALUE!</v>
      </c>
      <c r="L655">
        <f>IFERROR(HLOOKUP(D655,Ingreso!$AN$10:$AT$260,VLOOKUP('cruce '!I655,Ingreso!$AL$11:$AM$260,2,0),0),0)</f>
        <v>0</v>
      </c>
      <c r="M655" s="95">
        <f>IFERROR(HLOOKUP(D655,Ingreso!$AW$10:$BC$260,VLOOKUP('cruce '!I655,Ingreso!$AL$11:$AM$260,2,0),0),0)</f>
        <v>0</v>
      </c>
      <c r="N655" t="e">
        <f t="shared" si="49"/>
        <v>#VALUE!</v>
      </c>
    </row>
    <row r="656" spans="2:14">
      <c r="C656"/>
      <c r="D656" t="s">
        <v>1441</v>
      </c>
      <c r="E656" t="s">
        <v>1323</v>
      </c>
      <c r="F656" s="78">
        <v>0.375</v>
      </c>
      <c r="G656" s="55"/>
      <c r="H656" s="55">
        <v>0.32956018518518521</v>
      </c>
      <c r="I656" s="55" t="str">
        <f t="shared" si="46"/>
        <v>12.896.000-7</v>
      </c>
      <c r="J656" s="55">
        <f t="shared" si="47"/>
        <v>0.32956018518518521</v>
      </c>
      <c r="K656" s="93">
        <f t="shared" si="48"/>
        <v>-1.0905555555555555</v>
      </c>
      <c r="L656">
        <f>IFERROR(HLOOKUP(D656,Ingreso!$AN$10:$AT$260,VLOOKUP('cruce '!I656,Ingreso!$AL$11:$AM$260,2,0),0),0)</f>
        <v>0</v>
      </c>
      <c r="M656" s="95">
        <f>IFERROR(HLOOKUP(D656,Ingreso!$AW$10:$BC$260,VLOOKUP('cruce '!I656,Ingreso!$AL$11:$AM$260,2,0),0),0)</f>
        <v>0</v>
      </c>
      <c r="N656" t="str">
        <f t="shared" si="49"/>
        <v>Revisar</v>
      </c>
    </row>
    <row r="657" spans="2:14">
      <c r="C657"/>
      <c r="D657" t="s">
        <v>1437</v>
      </c>
      <c r="E657" t="s">
        <v>4</v>
      </c>
      <c r="F657" s="78">
        <v>0.3125</v>
      </c>
      <c r="G657" s="55">
        <v>0.80635416666666659</v>
      </c>
      <c r="H657" s="55"/>
      <c r="I657" s="55" t="str">
        <f t="shared" si="46"/>
        <v>12.896.000-7</v>
      </c>
      <c r="J657" s="55">
        <f t="shared" si="47"/>
        <v>0.19364583333333341</v>
      </c>
      <c r="K657" s="93">
        <f t="shared" si="48"/>
        <v>-2.8524999999999983</v>
      </c>
      <c r="L657">
        <f>IFERROR(HLOOKUP(D657,Ingreso!$AN$10:$AT$260,VLOOKUP('cruce '!I657,Ingreso!$AL$11:$AM$260,2,0),0),0)</f>
        <v>0</v>
      </c>
      <c r="M657" s="95">
        <f>IFERROR(HLOOKUP(D657,Ingreso!$AW$10:$BC$260,VLOOKUP('cruce '!I657,Ingreso!$AL$11:$AM$260,2,0),0),0)</f>
        <v>0</v>
      </c>
      <c r="N657" t="str">
        <f t="shared" si="49"/>
        <v>Revisar</v>
      </c>
    </row>
    <row r="658" spans="2:14">
      <c r="C658"/>
      <c r="D658" t="s">
        <v>1438</v>
      </c>
      <c r="E658" t="s">
        <v>4</v>
      </c>
      <c r="F658" s="78">
        <v>0.3125</v>
      </c>
      <c r="G658" s="55">
        <v>0.8027777777777777</v>
      </c>
      <c r="H658" s="55"/>
      <c r="I658" s="55" t="str">
        <f t="shared" si="46"/>
        <v>12.896.000-7</v>
      </c>
      <c r="J658" s="55">
        <f t="shared" si="47"/>
        <v>0.1972222222222223</v>
      </c>
      <c r="K658" s="93">
        <f t="shared" si="48"/>
        <v>-2.7666666666666648</v>
      </c>
      <c r="L658">
        <f>IFERROR(HLOOKUP(D658,Ingreso!$AN$10:$AT$260,VLOOKUP('cruce '!I658,Ingreso!$AL$11:$AM$260,2,0),0),0)</f>
        <v>0</v>
      </c>
      <c r="M658" s="95">
        <f>IFERROR(HLOOKUP(D658,Ingreso!$AW$10:$BC$260,VLOOKUP('cruce '!I658,Ingreso!$AL$11:$AM$260,2,0),0),0)</f>
        <v>0</v>
      </c>
      <c r="N658" t="str">
        <f t="shared" si="49"/>
        <v>Revisar</v>
      </c>
    </row>
    <row r="659" spans="2:14">
      <c r="C659"/>
      <c r="D659"/>
      <c r="E659" t="s">
        <v>1323</v>
      </c>
      <c r="F659" s="78">
        <v>0.375</v>
      </c>
      <c r="G659" s="55"/>
      <c r="H659" s="55">
        <v>0.3266087962962963</v>
      </c>
      <c r="I659" s="55" t="str">
        <f t="shared" si="46"/>
        <v>12.896.000-7</v>
      </c>
      <c r="J659" s="55">
        <f t="shared" si="47"/>
        <v>0.3266087962962963</v>
      </c>
      <c r="K659" s="93">
        <f t="shared" si="48"/>
        <v>-1.1613888888888884</v>
      </c>
      <c r="L659">
        <f>IFERROR(HLOOKUP(D659,Ingreso!$AN$10:$AT$260,VLOOKUP('cruce '!I659,Ingreso!$AL$11:$AM$260,2,0),0),0)</f>
        <v>0</v>
      </c>
      <c r="M659" s="95">
        <f>IFERROR(HLOOKUP(D659,Ingreso!$AW$10:$BC$260,VLOOKUP('cruce '!I659,Ingreso!$AL$11:$AM$260,2,0),0),0)</f>
        <v>0</v>
      </c>
      <c r="N659" t="str">
        <f t="shared" si="49"/>
        <v>Revisar</v>
      </c>
    </row>
    <row r="660" spans="2:14">
      <c r="C660"/>
      <c r="D660" t="s">
        <v>1439</v>
      </c>
      <c r="E660" t="s">
        <v>4</v>
      </c>
      <c r="F660" s="78">
        <v>0.3125</v>
      </c>
      <c r="G660" s="55">
        <v>0.79841435185185183</v>
      </c>
      <c r="H660" s="55"/>
      <c r="I660" s="55" t="str">
        <f t="shared" si="46"/>
        <v>12.896.000-7</v>
      </c>
      <c r="J660" s="55">
        <f t="shared" si="47"/>
        <v>0.20158564814814817</v>
      </c>
      <c r="K660" s="93">
        <f t="shared" si="48"/>
        <v>-2.661944444444444</v>
      </c>
      <c r="L660">
        <f>IFERROR(HLOOKUP(D660,Ingreso!$AN$10:$AT$260,VLOOKUP('cruce '!I660,Ingreso!$AL$11:$AM$260,2,0),0),0)</f>
        <v>0</v>
      </c>
      <c r="M660" s="95">
        <f>IFERROR(HLOOKUP(D660,Ingreso!$AW$10:$BC$260,VLOOKUP('cruce '!I660,Ingreso!$AL$11:$AM$260,2,0),0),0)</f>
        <v>0</v>
      </c>
      <c r="N660" t="str">
        <f t="shared" si="49"/>
        <v>Revisar</v>
      </c>
    </row>
    <row r="661" spans="2:14">
      <c r="C661"/>
      <c r="D661"/>
      <c r="E661" t="s">
        <v>1323</v>
      </c>
      <c r="F661" s="78">
        <v>0.375</v>
      </c>
      <c r="G661" s="55"/>
      <c r="H661" s="55">
        <v>0.32581018518518517</v>
      </c>
      <c r="I661" s="55" t="str">
        <f t="shared" si="46"/>
        <v>12.896.000-7</v>
      </c>
      <c r="J661" s="55">
        <f t="shared" si="47"/>
        <v>0.32581018518518517</v>
      </c>
      <c r="K661" s="93">
        <f t="shared" si="48"/>
        <v>-1.1805555555555554</v>
      </c>
      <c r="L661">
        <f>IFERROR(HLOOKUP(D661,Ingreso!$AN$10:$AT$260,VLOOKUP('cruce '!I661,Ingreso!$AL$11:$AM$260,2,0),0),0)</f>
        <v>0</v>
      </c>
      <c r="M661" s="95">
        <f>IFERROR(HLOOKUP(D661,Ingreso!$AW$10:$BC$260,VLOOKUP('cruce '!I661,Ingreso!$AL$11:$AM$260,2,0),0),0)</f>
        <v>0</v>
      </c>
      <c r="N661" t="str">
        <f t="shared" si="49"/>
        <v>Revisar</v>
      </c>
    </row>
    <row r="662" spans="2:14">
      <c r="B662" t="s">
        <v>1014</v>
      </c>
      <c r="C662" t="s">
        <v>1016</v>
      </c>
      <c r="D662" t="s">
        <v>1440</v>
      </c>
      <c r="E662" t="s">
        <v>1321</v>
      </c>
      <c r="F662" s="78">
        <v>0.3125</v>
      </c>
      <c r="G662" s="55">
        <v>0.60908564814814814</v>
      </c>
      <c r="H662" s="55">
        <v>0.9506944444444444</v>
      </c>
      <c r="I662" s="55" t="str">
        <f t="shared" si="46"/>
        <v>12.896.866-0</v>
      </c>
      <c r="J662" s="55">
        <f t="shared" si="47"/>
        <v>0.34160879629629626</v>
      </c>
      <c r="K662" s="93">
        <f t="shared" si="48"/>
        <v>0.6986111111111093</v>
      </c>
      <c r="L662">
        <f>IFERROR(HLOOKUP(D662,Ingreso!$AN$10:$AT$260,VLOOKUP('cruce '!I662,Ingreso!$AL$11:$AM$260,2,0),0),0)</f>
        <v>0</v>
      </c>
      <c r="M662" s="95">
        <f>IFERROR(HLOOKUP(D662,Ingreso!$AW$10:$BC$260,VLOOKUP('cruce '!I662,Ingreso!$AL$11:$AM$260,2,0),0),0)</f>
        <v>0</v>
      </c>
      <c r="N662" t="str">
        <f t="shared" si="49"/>
        <v>OK</v>
      </c>
    </row>
    <row r="663" spans="2:14">
      <c r="C663"/>
      <c r="D663" t="s">
        <v>1441</v>
      </c>
      <c r="E663" t="s">
        <v>1321</v>
      </c>
      <c r="F663" s="78">
        <v>0.3125</v>
      </c>
      <c r="G663" s="55">
        <v>0.60944444444444446</v>
      </c>
      <c r="H663" s="55">
        <v>0.94937499999999997</v>
      </c>
      <c r="I663" s="55" t="str">
        <f t="shared" si="46"/>
        <v>12.896.866-0</v>
      </c>
      <c r="J663" s="55">
        <f t="shared" si="47"/>
        <v>0.33993055555555551</v>
      </c>
      <c r="K663" s="93">
        <f t="shared" si="48"/>
        <v>0.65833333333333144</v>
      </c>
      <c r="L663">
        <f>IFERROR(HLOOKUP(D663,Ingreso!$AN$10:$AT$260,VLOOKUP('cruce '!I663,Ingreso!$AL$11:$AM$260,2,0),0),0)</f>
        <v>0</v>
      </c>
      <c r="M663" s="95">
        <f>IFERROR(HLOOKUP(D663,Ingreso!$AW$10:$BC$260,VLOOKUP('cruce '!I663,Ingreso!$AL$11:$AM$260,2,0),0),0)</f>
        <v>0</v>
      </c>
      <c r="N663" t="str">
        <f t="shared" si="49"/>
        <v>OK</v>
      </c>
    </row>
    <row r="664" spans="2:14">
      <c r="C664"/>
      <c r="D664" t="s">
        <v>1437</v>
      </c>
      <c r="E664" t="s">
        <v>1321</v>
      </c>
      <c r="F664" s="78">
        <v>0.3125</v>
      </c>
      <c r="G664" s="55">
        <v>0.60688657407407409</v>
      </c>
      <c r="H664" s="55">
        <v>0.94800925925925927</v>
      </c>
      <c r="I664" s="55" t="str">
        <f t="shared" si="46"/>
        <v>12.896.866-0</v>
      </c>
      <c r="J664" s="55">
        <f t="shared" si="47"/>
        <v>0.34112268518518518</v>
      </c>
      <c r="K664" s="93">
        <f t="shared" si="48"/>
        <v>0.68694444444444436</v>
      </c>
      <c r="L664">
        <f>IFERROR(HLOOKUP(D664,Ingreso!$AN$10:$AT$260,VLOOKUP('cruce '!I664,Ingreso!$AL$11:$AM$260,2,0),0),0)</f>
        <v>0</v>
      </c>
      <c r="M664" s="95">
        <f>IFERROR(HLOOKUP(D664,Ingreso!$AW$10:$BC$260,VLOOKUP('cruce '!I664,Ingreso!$AL$11:$AM$260,2,0),0),0)</f>
        <v>0</v>
      </c>
      <c r="N664" t="str">
        <f t="shared" si="49"/>
        <v>OK</v>
      </c>
    </row>
    <row r="665" spans="2:14">
      <c r="C665"/>
      <c r="D665" t="s">
        <v>1438</v>
      </c>
      <c r="E665" t="s">
        <v>1321</v>
      </c>
      <c r="F665" s="78">
        <v>0.3125</v>
      </c>
      <c r="G665" s="55">
        <v>0.60957175925925922</v>
      </c>
      <c r="H665" s="55">
        <v>0.95126157407407408</v>
      </c>
      <c r="I665" s="55" t="str">
        <f t="shared" si="46"/>
        <v>12.896.866-0</v>
      </c>
      <c r="J665" s="55">
        <f t="shared" si="47"/>
        <v>0.34168981481481486</v>
      </c>
      <c r="K665" s="93">
        <f t="shared" si="48"/>
        <v>0.70055555555555671</v>
      </c>
      <c r="L665">
        <f>IFERROR(HLOOKUP(D665,Ingreso!$AN$10:$AT$260,VLOOKUP('cruce '!I665,Ingreso!$AL$11:$AM$260,2,0),0),0)</f>
        <v>0</v>
      </c>
      <c r="M665" s="95">
        <f>IFERROR(HLOOKUP(D665,Ingreso!$AW$10:$BC$260,VLOOKUP('cruce '!I665,Ingreso!$AL$11:$AM$260,2,0),0),0)</f>
        <v>0</v>
      </c>
      <c r="N665" t="str">
        <f t="shared" si="49"/>
        <v>OK</v>
      </c>
    </row>
    <row r="666" spans="2:14">
      <c r="C666"/>
      <c r="D666" t="s">
        <v>1439</v>
      </c>
      <c r="E666" t="s">
        <v>1321</v>
      </c>
      <c r="F666" s="78">
        <v>0.3125</v>
      </c>
      <c r="G666" s="55">
        <v>0.60846064814814815</v>
      </c>
      <c r="H666" s="55">
        <v>0.95053240740740741</v>
      </c>
      <c r="I666" s="55" t="str">
        <f t="shared" si="46"/>
        <v>12.896.866-0</v>
      </c>
      <c r="J666" s="55">
        <f t="shared" si="47"/>
        <v>0.34207175925925926</v>
      </c>
      <c r="K666" s="93">
        <f t="shared" si="48"/>
        <v>0.70972222222222214</v>
      </c>
      <c r="L666">
        <f>IFERROR(HLOOKUP(D666,Ingreso!$AN$10:$AT$260,VLOOKUP('cruce '!I666,Ingreso!$AL$11:$AM$260,2,0),0),0)</f>
        <v>0</v>
      </c>
      <c r="M666" s="95">
        <f>IFERROR(HLOOKUP(D666,Ingreso!$AW$10:$BC$260,VLOOKUP('cruce '!I666,Ingreso!$AL$11:$AM$260,2,0),0),0)</f>
        <v>0</v>
      </c>
      <c r="N666" t="str">
        <f t="shared" si="49"/>
        <v>OK</v>
      </c>
    </row>
    <row r="667" spans="2:14">
      <c r="B667" t="s">
        <v>141</v>
      </c>
      <c r="C667" t="s">
        <v>145</v>
      </c>
      <c r="D667" t="s">
        <v>1440</v>
      </c>
      <c r="E667" t="s">
        <v>1321</v>
      </c>
      <c r="F667" s="78">
        <v>0.3125</v>
      </c>
      <c r="G667" s="55">
        <v>0.61012731481481486</v>
      </c>
      <c r="H667" s="55">
        <v>0.94984953703703701</v>
      </c>
      <c r="I667" s="55" t="str">
        <f t="shared" si="46"/>
        <v>12.897.839-9</v>
      </c>
      <c r="J667" s="55">
        <f t="shared" si="47"/>
        <v>0.33972222222222215</v>
      </c>
      <c r="K667" s="93">
        <f t="shared" si="48"/>
        <v>0.65333333333333243</v>
      </c>
      <c r="L667">
        <f>IFERROR(HLOOKUP(D667,Ingreso!$AN$10:$AT$260,VLOOKUP('cruce '!I667,Ingreso!$AL$11:$AM$260,2,0),0),0)</f>
        <v>0</v>
      </c>
      <c r="M667" s="95">
        <f>IFERROR(HLOOKUP(D667,Ingreso!$AW$10:$BC$260,VLOOKUP('cruce '!I667,Ingreso!$AL$11:$AM$260,2,0),0),0)</f>
        <v>0</v>
      </c>
      <c r="N667" t="str">
        <f t="shared" si="49"/>
        <v>OK</v>
      </c>
    </row>
    <row r="668" spans="2:14">
      <c r="C668"/>
      <c r="D668" t="s">
        <v>1441</v>
      </c>
      <c r="E668" t="s">
        <v>1321</v>
      </c>
      <c r="F668" s="78">
        <v>0.3125</v>
      </c>
      <c r="G668" s="55">
        <v>0.60697916666666674</v>
      </c>
      <c r="H668" s="55">
        <v>0.95241898148148152</v>
      </c>
      <c r="I668" s="55" t="str">
        <f t="shared" si="46"/>
        <v>12.897.839-9</v>
      </c>
      <c r="J668" s="55">
        <f t="shared" si="47"/>
        <v>0.34543981481481478</v>
      </c>
      <c r="K668" s="93">
        <f t="shared" si="48"/>
        <v>0.79055555555555479</v>
      </c>
      <c r="L668">
        <f>IFERROR(HLOOKUP(D668,Ingreso!$AN$10:$AT$260,VLOOKUP('cruce '!I668,Ingreso!$AL$11:$AM$260,2,0),0),0)</f>
        <v>0</v>
      </c>
      <c r="M668" s="95">
        <f>IFERROR(HLOOKUP(D668,Ingreso!$AW$10:$BC$260,VLOOKUP('cruce '!I668,Ingreso!$AL$11:$AM$260,2,0),0),0)</f>
        <v>0</v>
      </c>
      <c r="N668" t="str">
        <f t="shared" si="49"/>
        <v>OK</v>
      </c>
    </row>
    <row r="669" spans="2:14">
      <c r="C669"/>
      <c r="D669" t="s">
        <v>1437</v>
      </c>
      <c r="E669" t="s">
        <v>1321</v>
      </c>
      <c r="F669" s="78">
        <v>0.3125</v>
      </c>
      <c r="G669" s="55">
        <v>0.60484953703703703</v>
      </c>
      <c r="H669" s="55">
        <v>0.95140046296296299</v>
      </c>
      <c r="I669" s="55" t="str">
        <f t="shared" si="46"/>
        <v>12.897.839-9</v>
      </c>
      <c r="J669" s="55">
        <f t="shared" si="47"/>
        <v>0.34655092592592596</v>
      </c>
      <c r="K669" s="93">
        <f t="shared" si="48"/>
        <v>0.81722222222222385</v>
      </c>
      <c r="L669">
        <f>IFERROR(HLOOKUP(D669,Ingreso!$AN$10:$AT$260,VLOOKUP('cruce '!I669,Ingreso!$AL$11:$AM$260,2,0),0),0)</f>
        <v>0</v>
      </c>
      <c r="M669" s="95">
        <f>IFERROR(HLOOKUP(D669,Ingreso!$AW$10:$BC$260,VLOOKUP('cruce '!I669,Ingreso!$AL$11:$AM$260,2,0),0),0)</f>
        <v>0</v>
      </c>
      <c r="N669" t="str">
        <f t="shared" si="49"/>
        <v>OK</v>
      </c>
    </row>
    <row r="670" spans="2:14">
      <c r="C670"/>
      <c r="D670" t="s">
        <v>1438</v>
      </c>
      <c r="E670" t="s">
        <v>1321</v>
      </c>
      <c r="F670" s="78">
        <v>0.3125</v>
      </c>
      <c r="G670" s="55">
        <v>0.60370370370370374</v>
      </c>
      <c r="H670" s="55">
        <v>0.95035879629629638</v>
      </c>
      <c r="I670" s="55" t="str">
        <f t="shared" si="46"/>
        <v>12.897.839-9</v>
      </c>
      <c r="J670" s="55">
        <f t="shared" si="47"/>
        <v>0.34665509259259264</v>
      </c>
      <c r="K670" s="93">
        <f t="shared" si="48"/>
        <v>0.81972222222222335</v>
      </c>
      <c r="L670">
        <f>IFERROR(HLOOKUP(D670,Ingreso!$AN$10:$AT$260,VLOOKUP('cruce '!I670,Ingreso!$AL$11:$AM$260,2,0),0),0)</f>
        <v>0</v>
      </c>
      <c r="M670" s="95">
        <f>IFERROR(HLOOKUP(D670,Ingreso!$AW$10:$BC$260,VLOOKUP('cruce '!I670,Ingreso!$AL$11:$AM$260,2,0),0),0)</f>
        <v>0</v>
      </c>
      <c r="N670" t="str">
        <f t="shared" si="49"/>
        <v>OK</v>
      </c>
    </row>
    <row r="671" spans="2:14">
      <c r="C671"/>
      <c r="D671" t="s">
        <v>1439</v>
      </c>
      <c r="E671" t="s">
        <v>1321</v>
      </c>
      <c r="F671" s="78">
        <v>0.3125</v>
      </c>
      <c r="G671" s="55">
        <v>0.60962962962962963</v>
      </c>
      <c r="H671" s="55">
        <v>0.95188657407407407</v>
      </c>
      <c r="I671" s="55" t="str">
        <f t="shared" si="46"/>
        <v>12.897.839-9</v>
      </c>
      <c r="J671" s="55">
        <f t="shared" si="47"/>
        <v>0.34225694444444443</v>
      </c>
      <c r="K671" s="93">
        <f t="shared" si="48"/>
        <v>0.71416666666666728</v>
      </c>
      <c r="L671">
        <f>IFERROR(HLOOKUP(D671,Ingreso!$AN$10:$AT$260,VLOOKUP('cruce '!I671,Ingreso!$AL$11:$AM$260,2,0),0),0)</f>
        <v>0</v>
      </c>
      <c r="M671" s="95">
        <f>IFERROR(HLOOKUP(D671,Ingreso!$AW$10:$BC$260,VLOOKUP('cruce '!I671,Ingreso!$AL$11:$AM$260,2,0),0),0)</f>
        <v>0</v>
      </c>
      <c r="N671" t="str">
        <f t="shared" si="49"/>
        <v>OK</v>
      </c>
    </row>
    <row r="672" spans="2:14">
      <c r="B672" t="s">
        <v>758</v>
      </c>
      <c r="C672" t="s">
        <v>761</v>
      </c>
      <c r="D672" t="s">
        <v>1440</v>
      </c>
      <c r="E672" t="s">
        <v>4</v>
      </c>
      <c r="F672" s="78">
        <v>0.3125</v>
      </c>
      <c r="G672" s="55">
        <v>0.31238425925925922</v>
      </c>
      <c r="H672" s="55">
        <v>0.7775347222222222</v>
      </c>
      <c r="I672" s="55" t="str">
        <f t="shared" si="46"/>
        <v>12.898.844-0</v>
      </c>
      <c r="J672" s="55">
        <f t="shared" si="47"/>
        <v>0.46515046296296297</v>
      </c>
      <c r="K672" s="93">
        <f t="shared" si="48"/>
        <v>3.6636111111111109</v>
      </c>
      <c r="L672">
        <f>IFERROR(HLOOKUP(D672,Ingreso!$AN$10:$AT$260,VLOOKUP('cruce '!I672,Ingreso!$AL$11:$AM$260,2,0),0),0)</f>
        <v>0</v>
      </c>
      <c r="M672" s="95" t="str">
        <f>IFERROR(HLOOKUP(D672,Ingreso!$AW$10:$BC$260,VLOOKUP('cruce '!I672,Ingreso!$AL$11:$AM$260,2,0),0),0)</f>
        <v/>
      </c>
      <c r="N672" t="str">
        <f t="shared" si="49"/>
        <v>Revisar</v>
      </c>
    </row>
    <row r="673" spans="2:14">
      <c r="C673"/>
      <c r="D673" t="s">
        <v>1441</v>
      </c>
      <c r="E673" t="s">
        <v>4</v>
      </c>
      <c r="F673" s="78">
        <v>0.3125</v>
      </c>
      <c r="G673" s="55">
        <v>0.62601851851851853</v>
      </c>
      <c r="H673" s="55">
        <v>0.93693287037037043</v>
      </c>
      <c r="I673" s="55" t="str">
        <f t="shared" si="46"/>
        <v>12.898.844-0</v>
      </c>
      <c r="J673" s="55">
        <f t="shared" si="47"/>
        <v>0.3109143518518519</v>
      </c>
      <c r="K673" s="93">
        <f t="shared" si="48"/>
        <v>-3.8055555555554399E-2</v>
      </c>
      <c r="L673">
        <f>IFERROR(HLOOKUP(D673,Ingreso!$AN$10:$AT$260,VLOOKUP('cruce '!I673,Ingreso!$AL$11:$AM$260,2,0),0),0)</f>
        <v>0</v>
      </c>
      <c r="M673" s="95" t="str">
        <f>IFERROR(HLOOKUP(D673,Ingreso!$AW$10:$BC$260,VLOOKUP('cruce '!I673,Ingreso!$AL$11:$AM$260,2,0),0),0)</f>
        <v/>
      </c>
      <c r="N673" t="str">
        <f t="shared" si="49"/>
        <v>OK</v>
      </c>
    </row>
    <row r="674" spans="2:14">
      <c r="C674"/>
      <c r="D674" t="s">
        <v>1436</v>
      </c>
      <c r="E674" t="s">
        <v>4</v>
      </c>
      <c r="F674" s="78">
        <v>0.3125</v>
      </c>
      <c r="G674" s="55">
        <v>0.99694444444444441</v>
      </c>
      <c r="H674" s="55"/>
      <c r="I674" s="55" t="str">
        <f t="shared" si="46"/>
        <v>12.898.844-0</v>
      </c>
      <c r="J674" s="55">
        <f t="shared" si="47"/>
        <v>3.0555555555555891E-3</v>
      </c>
      <c r="K674" s="93">
        <f t="shared" si="48"/>
        <v>-7.4266666666666659</v>
      </c>
      <c r="L674">
        <f>IFERROR(HLOOKUP(D674,Ingreso!$AN$10:$AT$260,VLOOKUP('cruce '!I674,Ingreso!$AL$11:$AM$260,2,0),0),0)</f>
        <v>7.5</v>
      </c>
      <c r="M674" s="95">
        <f>IFERROR(HLOOKUP(D674,Ingreso!$AW$10:$BC$260,VLOOKUP('cruce '!I674,Ingreso!$AL$11:$AM$260,2,0),0),0)</f>
        <v>1</v>
      </c>
      <c r="N674" t="str">
        <f t="shared" si="49"/>
        <v>Revisar</v>
      </c>
    </row>
    <row r="675" spans="2:14">
      <c r="C675"/>
      <c r="D675" t="s">
        <v>1437</v>
      </c>
      <c r="E675" t="s">
        <v>4</v>
      </c>
      <c r="F675" s="78">
        <v>0.3125</v>
      </c>
      <c r="G675" s="55"/>
      <c r="H675" s="55">
        <v>0.32591435185185186</v>
      </c>
      <c r="I675" s="55" t="str">
        <f t="shared" si="46"/>
        <v>12.898.844-0</v>
      </c>
      <c r="J675" s="55">
        <f t="shared" si="47"/>
        <v>0.32591435185185186</v>
      </c>
      <c r="K675" s="93">
        <f t="shared" si="48"/>
        <v>0.32194444444444414</v>
      </c>
      <c r="L675">
        <f>IFERROR(HLOOKUP(D675,Ingreso!$AN$10:$AT$260,VLOOKUP('cruce '!I675,Ingreso!$AL$11:$AM$260,2,0),0),0)</f>
        <v>0</v>
      </c>
      <c r="M675" s="95" t="str">
        <f>IFERROR(HLOOKUP(D675,Ingreso!$AW$10:$BC$260,VLOOKUP('cruce '!I675,Ingreso!$AL$11:$AM$260,2,0),0),0)</f>
        <v/>
      </c>
      <c r="N675" t="str">
        <f t="shared" si="49"/>
        <v>OK</v>
      </c>
    </row>
    <row r="676" spans="2:14">
      <c r="C676"/>
      <c r="D676" t="s">
        <v>1438</v>
      </c>
      <c r="E676" t="s">
        <v>4</v>
      </c>
      <c r="F676" s="78">
        <v>0.3125</v>
      </c>
      <c r="G676" s="55">
        <v>0.31321759259259258</v>
      </c>
      <c r="H676" s="55">
        <v>0.77866898148148145</v>
      </c>
      <c r="I676" s="55" t="str">
        <f t="shared" si="46"/>
        <v>12.898.844-0</v>
      </c>
      <c r="J676" s="55">
        <f t="shared" si="47"/>
        <v>0.46545138888888887</v>
      </c>
      <c r="K676" s="93">
        <f t="shared" si="48"/>
        <v>3.6708333333333325</v>
      </c>
      <c r="L676">
        <f>IFERROR(HLOOKUP(D676,Ingreso!$AN$10:$AT$260,VLOOKUP('cruce '!I676,Ingreso!$AL$11:$AM$260,2,0),0),0)</f>
        <v>3</v>
      </c>
      <c r="M676" s="95">
        <f>IFERROR(HLOOKUP(D676,Ingreso!$AW$10:$BC$260,VLOOKUP('cruce '!I676,Ingreso!$AL$11:$AM$260,2,0),0),0)</f>
        <v>0.5</v>
      </c>
      <c r="N676" t="str">
        <f t="shared" si="49"/>
        <v>OK</v>
      </c>
    </row>
    <row r="677" spans="2:14">
      <c r="C677"/>
      <c r="D677" t="s">
        <v>1439</v>
      </c>
      <c r="E677" t="s">
        <v>4</v>
      </c>
      <c r="F677" s="78">
        <v>0.3125</v>
      </c>
      <c r="G677" s="55">
        <v>0.31494212962962964</v>
      </c>
      <c r="H677" s="55">
        <v>0.71400462962962974</v>
      </c>
      <c r="I677" s="55" t="str">
        <f t="shared" si="46"/>
        <v>12.898.844-0</v>
      </c>
      <c r="J677" s="55">
        <f t="shared" si="47"/>
        <v>0.3990625000000001</v>
      </c>
      <c r="K677" s="93">
        <f t="shared" si="48"/>
        <v>2.0775000000000023</v>
      </c>
      <c r="L677">
        <f>IFERROR(HLOOKUP(D677,Ingreso!$AN$10:$AT$260,VLOOKUP('cruce '!I677,Ingreso!$AL$11:$AM$260,2,0),0),0)</f>
        <v>1</v>
      </c>
      <c r="M677" s="95">
        <f>IFERROR(HLOOKUP(D677,Ingreso!$AW$10:$BC$260,VLOOKUP('cruce '!I677,Ingreso!$AL$11:$AM$260,2,0),0),0)</f>
        <v>0.5</v>
      </c>
      <c r="N677" t="str">
        <f t="shared" si="49"/>
        <v>Revisar</v>
      </c>
    </row>
    <row r="678" spans="2:14">
      <c r="B678" t="s">
        <v>704</v>
      </c>
      <c r="C678" t="s">
        <v>708</v>
      </c>
      <c r="D678" t="s">
        <v>1440</v>
      </c>
      <c r="E678" t="s">
        <v>1323</v>
      </c>
      <c r="F678" s="78">
        <v>0.375</v>
      </c>
      <c r="G678" s="55">
        <v>0.91960648148148139</v>
      </c>
      <c r="H678" s="55"/>
      <c r="I678" s="55" t="str">
        <f t="shared" si="46"/>
        <v>12.934.132-7</v>
      </c>
      <c r="J678" s="55">
        <f t="shared" si="47"/>
        <v>8.0393518518518614E-2</v>
      </c>
      <c r="K678" s="93">
        <f t="shared" si="48"/>
        <v>-7.0705555555555533</v>
      </c>
      <c r="L678">
        <f>IFERROR(HLOOKUP(D678,Ingreso!$AN$10:$AT$260,VLOOKUP('cruce '!I678,Ingreso!$AL$11:$AM$260,2,0),0),0)</f>
        <v>0</v>
      </c>
      <c r="M678" s="95">
        <f>IFERROR(HLOOKUP(D678,Ingreso!$AW$10:$BC$260,VLOOKUP('cruce '!I678,Ingreso!$AL$11:$AM$260,2,0),0),0)</f>
        <v>0</v>
      </c>
      <c r="N678" t="str">
        <f t="shared" si="49"/>
        <v>Revisar</v>
      </c>
    </row>
    <row r="679" spans="2:14">
      <c r="C679"/>
      <c r="D679"/>
      <c r="E679" t="s">
        <v>1473</v>
      </c>
      <c r="F679" t="s">
        <v>1472</v>
      </c>
      <c r="G679" s="55"/>
      <c r="H679" s="55">
        <v>0.48033564814814816</v>
      </c>
      <c r="I679" s="55" t="str">
        <f t="shared" si="46"/>
        <v>12.934.132-7</v>
      </c>
      <c r="J679" s="55">
        <f t="shared" si="47"/>
        <v>0.48033564814814816</v>
      </c>
      <c r="K679" s="93" t="e">
        <f t="shared" si="48"/>
        <v>#VALUE!</v>
      </c>
      <c r="L679">
        <f>IFERROR(HLOOKUP(D679,Ingreso!$AN$10:$AT$260,VLOOKUP('cruce '!I679,Ingreso!$AL$11:$AM$260,2,0),0),0)</f>
        <v>0</v>
      </c>
      <c r="M679" s="95">
        <f>IFERROR(HLOOKUP(D679,Ingreso!$AW$10:$BC$260,VLOOKUP('cruce '!I679,Ingreso!$AL$11:$AM$260,2,0),0),0)</f>
        <v>0</v>
      </c>
      <c r="N679" t="e">
        <f t="shared" si="49"/>
        <v>#VALUE!</v>
      </c>
    </row>
    <row r="680" spans="2:14">
      <c r="C680"/>
      <c r="D680" t="s">
        <v>1441</v>
      </c>
      <c r="E680" t="s">
        <v>1473</v>
      </c>
      <c r="F680" t="s">
        <v>1472</v>
      </c>
      <c r="G680" s="55"/>
      <c r="H680" s="55">
        <v>0.46129629629629632</v>
      </c>
      <c r="I680" s="55" t="str">
        <f t="shared" si="46"/>
        <v>12.934.132-7</v>
      </c>
      <c r="J680" s="55">
        <f t="shared" si="47"/>
        <v>0.46129629629629632</v>
      </c>
      <c r="K680" s="93" t="e">
        <f t="shared" si="48"/>
        <v>#VALUE!</v>
      </c>
      <c r="L680">
        <f>IFERROR(HLOOKUP(D680,Ingreso!$AN$10:$AT$260,VLOOKUP('cruce '!I680,Ingreso!$AL$11:$AM$260,2,0),0),0)</f>
        <v>0</v>
      </c>
      <c r="M680" s="95">
        <f>IFERROR(HLOOKUP(D680,Ingreso!$AW$10:$BC$260,VLOOKUP('cruce '!I680,Ingreso!$AL$11:$AM$260,2,0),0),0)</f>
        <v>0</v>
      </c>
      <c r="N680" t="e">
        <f t="shared" si="49"/>
        <v>#VALUE!</v>
      </c>
    </row>
    <row r="681" spans="2:14">
      <c r="C681"/>
      <c r="D681" t="s">
        <v>1437</v>
      </c>
      <c r="E681" t="s">
        <v>1323</v>
      </c>
      <c r="F681" s="78">
        <v>0.375</v>
      </c>
      <c r="G681" s="55">
        <v>0.91915509259259265</v>
      </c>
      <c r="H681" s="55"/>
      <c r="I681" s="55" t="str">
        <f t="shared" si="46"/>
        <v>12.934.132-7</v>
      </c>
      <c r="J681" s="55">
        <f t="shared" si="47"/>
        <v>8.0844907407407351E-2</v>
      </c>
      <c r="K681" s="93">
        <f t="shared" si="48"/>
        <v>-7.0597222222222236</v>
      </c>
      <c r="L681">
        <f>IFERROR(HLOOKUP(D681,Ingreso!$AN$10:$AT$260,VLOOKUP('cruce '!I681,Ingreso!$AL$11:$AM$260,2,0),0),0)</f>
        <v>0</v>
      </c>
      <c r="M681" s="95">
        <f>IFERROR(HLOOKUP(D681,Ingreso!$AW$10:$BC$260,VLOOKUP('cruce '!I681,Ingreso!$AL$11:$AM$260,2,0),0),0)</f>
        <v>0</v>
      </c>
      <c r="N681" t="str">
        <f t="shared" si="49"/>
        <v>Revisar</v>
      </c>
    </row>
    <row r="682" spans="2:14">
      <c r="C682"/>
      <c r="D682" t="s">
        <v>1438</v>
      </c>
      <c r="E682" t="s">
        <v>1473</v>
      </c>
      <c r="F682" t="s">
        <v>1472</v>
      </c>
      <c r="G682" s="55"/>
      <c r="H682" s="55">
        <v>0.36616898148148147</v>
      </c>
      <c r="I682" s="55" t="str">
        <f t="shared" si="46"/>
        <v>12.934.132-7</v>
      </c>
      <c r="J682" s="55">
        <f t="shared" si="47"/>
        <v>0.36616898148148147</v>
      </c>
      <c r="K682" s="93" t="e">
        <f t="shared" si="48"/>
        <v>#VALUE!</v>
      </c>
      <c r="L682">
        <f>IFERROR(HLOOKUP(D682,Ingreso!$AN$10:$AT$260,VLOOKUP('cruce '!I682,Ingreso!$AL$11:$AM$260,2,0),0),0)</f>
        <v>0</v>
      </c>
      <c r="M682" s="95">
        <f>IFERROR(HLOOKUP(D682,Ingreso!$AW$10:$BC$260,VLOOKUP('cruce '!I682,Ingreso!$AL$11:$AM$260,2,0),0),0)</f>
        <v>0</v>
      </c>
      <c r="N682" t="e">
        <f t="shared" si="49"/>
        <v>#VALUE!</v>
      </c>
    </row>
    <row r="683" spans="2:14">
      <c r="C683"/>
      <c r="D683" t="s">
        <v>1439</v>
      </c>
      <c r="E683" t="s">
        <v>1323</v>
      </c>
      <c r="F683" s="78">
        <v>0.375</v>
      </c>
      <c r="G683" s="55">
        <v>0.93054398148148154</v>
      </c>
      <c r="H683" s="55"/>
      <c r="I683" s="55" t="str">
        <f t="shared" si="46"/>
        <v>12.934.132-7</v>
      </c>
      <c r="J683" s="55">
        <f t="shared" si="47"/>
        <v>6.9456018518518459E-2</v>
      </c>
      <c r="K683" s="93">
        <f t="shared" si="48"/>
        <v>-7.333055555555557</v>
      </c>
      <c r="L683">
        <f>IFERROR(HLOOKUP(D683,Ingreso!$AN$10:$AT$260,VLOOKUP('cruce '!I683,Ingreso!$AL$11:$AM$260,2,0),0),0)</f>
        <v>0</v>
      </c>
      <c r="M683" s="95">
        <f>IFERROR(HLOOKUP(D683,Ingreso!$AW$10:$BC$260,VLOOKUP('cruce '!I683,Ingreso!$AL$11:$AM$260,2,0),0),0)</f>
        <v>0</v>
      </c>
      <c r="N683" t="str">
        <f t="shared" si="49"/>
        <v>Revisar</v>
      </c>
    </row>
    <row r="684" spans="2:14">
      <c r="B684" t="s">
        <v>1112</v>
      </c>
      <c r="C684" t="s">
        <v>1113</v>
      </c>
      <c r="D684" t="s">
        <v>1440</v>
      </c>
      <c r="E684" t="s">
        <v>1323</v>
      </c>
      <c r="F684" s="78">
        <v>0.375</v>
      </c>
      <c r="G684" s="55">
        <v>0.4975</v>
      </c>
      <c r="H684" s="55">
        <v>0.94665509259259262</v>
      </c>
      <c r="I684" s="55" t="str">
        <f t="shared" si="46"/>
        <v>13.045.231-0</v>
      </c>
      <c r="J684" s="55">
        <f t="shared" si="47"/>
        <v>0.44915509259259262</v>
      </c>
      <c r="K684" s="93">
        <f t="shared" si="48"/>
        <v>1.7797222222222224</v>
      </c>
      <c r="L684">
        <f>IFERROR(HLOOKUP(D684,Ingreso!$AN$10:$AT$260,VLOOKUP('cruce '!I684,Ingreso!$AL$11:$AM$260,2,0),0),0)</f>
        <v>3</v>
      </c>
      <c r="M684" s="95">
        <f>IFERROR(HLOOKUP(D684,Ingreso!$AW$10:$BC$260,VLOOKUP('cruce '!I684,Ingreso!$AL$11:$AM$260,2,0),0),0)</f>
        <v>0.5</v>
      </c>
      <c r="N684" t="str">
        <f t="shared" si="49"/>
        <v>Revisar</v>
      </c>
    </row>
    <row r="685" spans="2:14">
      <c r="C685"/>
      <c r="D685" t="s">
        <v>1441</v>
      </c>
      <c r="E685" t="s">
        <v>1323</v>
      </c>
      <c r="F685" s="78">
        <v>0.375</v>
      </c>
      <c r="G685" s="55">
        <v>0.50449074074074074</v>
      </c>
      <c r="H685" s="55">
        <v>0.9512152777777777</v>
      </c>
      <c r="I685" s="55" t="str">
        <f t="shared" si="46"/>
        <v>13.045.231-0</v>
      </c>
      <c r="J685" s="55">
        <f t="shared" si="47"/>
        <v>0.44672453703703696</v>
      </c>
      <c r="K685" s="93">
        <f t="shared" si="48"/>
        <v>1.7213888888888871</v>
      </c>
      <c r="L685">
        <f>IFERROR(HLOOKUP(D685,Ingreso!$AN$10:$AT$260,VLOOKUP('cruce '!I685,Ingreso!$AL$11:$AM$260,2,0),0),0)</f>
        <v>0</v>
      </c>
      <c r="M685" s="95" t="str">
        <f>IFERROR(HLOOKUP(D685,Ingreso!$AW$10:$BC$260,VLOOKUP('cruce '!I685,Ingreso!$AL$11:$AM$260,2,0),0),0)</f>
        <v/>
      </c>
      <c r="N685" t="str">
        <f t="shared" si="49"/>
        <v>Revisar</v>
      </c>
    </row>
    <row r="686" spans="2:14">
      <c r="C686"/>
      <c r="D686" t="s">
        <v>1437</v>
      </c>
      <c r="E686" t="s">
        <v>1323</v>
      </c>
      <c r="F686" s="78">
        <v>0.375</v>
      </c>
      <c r="G686" s="55">
        <v>0.50442129629629628</v>
      </c>
      <c r="H686" s="55">
        <v>0.94626157407407396</v>
      </c>
      <c r="I686" s="55" t="str">
        <f t="shared" si="46"/>
        <v>13.045.231-0</v>
      </c>
      <c r="J686" s="55">
        <f t="shared" si="47"/>
        <v>0.44184027777777768</v>
      </c>
      <c r="K686" s="93">
        <f t="shared" si="48"/>
        <v>1.6041666666666643</v>
      </c>
      <c r="L686">
        <f>IFERROR(HLOOKUP(D686,Ingreso!$AN$10:$AT$260,VLOOKUP('cruce '!I686,Ingreso!$AL$11:$AM$260,2,0),0),0)</f>
        <v>3</v>
      </c>
      <c r="M686" s="95">
        <f>IFERROR(HLOOKUP(D686,Ingreso!$AW$10:$BC$260,VLOOKUP('cruce '!I686,Ingreso!$AL$11:$AM$260,2,0),0),0)</f>
        <v>0.5</v>
      </c>
      <c r="N686" t="str">
        <f t="shared" si="49"/>
        <v>Revisar</v>
      </c>
    </row>
    <row r="687" spans="2:14">
      <c r="C687"/>
      <c r="D687" t="s">
        <v>1438</v>
      </c>
      <c r="E687" t="s">
        <v>1323</v>
      </c>
      <c r="F687" s="78">
        <v>0.375</v>
      </c>
      <c r="G687" s="55">
        <v>0.50398148148148147</v>
      </c>
      <c r="H687" s="55">
        <v>0.94796296296296301</v>
      </c>
      <c r="I687" s="55" t="str">
        <f t="shared" si="46"/>
        <v>13.045.231-0</v>
      </c>
      <c r="J687" s="55">
        <f t="shared" si="47"/>
        <v>0.44398148148148153</v>
      </c>
      <c r="K687" s="93">
        <f t="shared" si="48"/>
        <v>1.6555555555555568</v>
      </c>
      <c r="L687">
        <f>IFERROR(HLOOKUP(D687,Ingreso!$AN$10:$AT$260,VLOOKUP('cruce '!I687,Ingreso!$AL$11:$AM$260,2,0),0),0)</f>
        <v>3</v>
      </c>
      <c r="M687" s="95">
        <f>IFERROR(HLOOKUP(D687,Ingreso!$AW$10:$BC$260,VLOOKUP('cruce '!I687,Ingreso!$AL$11:$AM$260,2,0),0),0)</f>
        <v>0.5</v>
      </c>
      <c r="N687" t="str">
        <f t="shared" si="49"/>
        <v>Revisar</v>
      </c>
    </row>
    <row r="688" spans="2:14">
      <c r="C688"/>
      <c r="D688" t="s">
        <v>1439</v>
      </c>
      <c r="E688" t="s">
        <v>1323</v>
      </c>
      <c r="F688" s="78">
        <v>0.375</v>
      </c>
      <c r="G688" s="55">
        <v>0.51244212962962965</v>
      </c>
      <c r="H688" s="55">
        <v>0.95084490740740746</v>
      </c>
      <c r="I688" s="55" t="str">
        <f t="shared" si="46"/>
        <v>13.045.231-0</v>
      </c>
      <c r="J688" s="55">
        <f t="shared" si="47"/>
        <v>0.43840277777777781</v>
      </c>
      <c r="K688" s="93">
        <f t="shared" si="48"/>
        <v>1.5216666666666683</v>
      </c>
      <c r="L688">
        <f>IFERROR(HLOOKUP(D688,Ingreso!$AN$10:$AT$260,VLOOKUP('cruce '!I688,Ingreso!$AL$11:$AM$260,2,0),0),0)</f>
        <v>3</v>
      </c>
      <c r="M688" s="95">
        <f>IFERROR(HLOOKUP(D688,Ingreso!$AW$10:$BC$260,VLOOKUP('cruce '!I688,Ingreso!$AL$11:$AM$260,2,0),0),0)</f>
        <v>0.5</v>
      </c>
      <c r="N688" t="str">
        <f t="shared" si="49"/>
        <v>Revisar</v>
      </c>
    </row>
    <row r="689" spans="2:14">
      <c r="B689" t="s">
        <v>599</v>
      </c>
      <c r="C689" t="s">
        <v>602</v>
      </c>
      <c r="D689" t="s">
        <v>1440</v>
      </c>
      <c r="E689" t="s">
        <v>1323</v>
      </c>
      <c r="F689" s="78">
        <v>0.375</v>
      </c>
      <c r="G689" s="55">
        <v>0.91922453703703699</v>
      </c>
      <c r="H689" s="55">
        <v>0.32502314814814814</v>
      </c>
      <c r="I689" s="55" t="str">
        <f t="shared" si="46"/>
        <v>13.077.995-6</v>
      </c>
      <c r="J689" s="55">
        <f t="shared" si="47"/>
        <v>0.40579861111111115</v>
      </c>
      <c r="K689" s="93">
        <f t="shared" si="48"/>
        <v>0.73916666666666764</v>
      </c>
      <c r="L689">
        <f>IFERROR(HLOOKUP(D689,Ingreso!$AN$10:$AT$260,VLOOKUP('cruce '!I689,Ingreso!$AL$11:$AM$260,2,0),0),0)</f>
        <v>0</v>
      </c>
      <c r="M689" s="95">
        <f>IFERROR(HLOOKUP(D689,Ingreso!$AW$10:$BC$260,VLOOKUP('cruce '!I689,Ingreso!$AL$11:$AM$260,2,0),0),0)</f>
        <v>0</v>
      </c>
      <c r="N689" t="str">
        <f t="shared" si="49"/>
        <v>OK</v>
      </c>
    </row>
    <row r="690" spans="2:14">
      <c r="C690"/>
      <c r="D690" t="s">
        <v>1441</v>
      </c>
      <c r="E690" t="s">
        <v>1323</v>
      </c>
      <c r="F690" s="78">
        <v>0.375</v>
      </c>
      <c r="G690" s="55"/>
      <c r="H690" s="55">
        <v>0.32781250000000001</v>
      </c>
      <c r="I690" s="55" t="str">
        <f t="shared" si="46"/>
        <v>13.077.995-6</v>
      </c>
      <c r="J690" s="55">
        <f t="shared" si="47"/>
        <v>0.32781250000000001</v>
      </c>
      <c r="K690" s="93">
        <f t="shared" si="48"/>
        <v>-1.1325000000000003</v>
      </c>
      <c r="L690">
        <f>IFERROR(HLOOKUP(D690,Ingreso!$AN$10:$AT$260,VLOOKUP('cruce '!I690,Ingreso!$AL$11:$AM$260,2,0),0),0)</f>
        <v>0</v>
      </c>
      <c r="M690" s="95">
        <f>IFERROR(HLOOKUP(D690,Ingreso!$AW$10:$BC$260,VLOOKUP('cruce '!I690,Ingreso!$AL$11:$AM$260,2,0),0),0)</f>
        <v>0</v>
      </c>
      <c r="N690" t="str">
        <f t="shared" si="49"/>
        <v>Revisar</v>
      </c>
    </row>
    <row r="691" spans="2:14">
      <c r="C691"/>
      <c r="D691" t="s">
        <v>1437</v>
      </c>
      <c r="E691" t="s">
        <v>1323</v>
      </c>
      <c r="F691" s="78">
        <v>0.375</v>
      </c>
      <c r="G691" s="55">
        <v>0.91912037037037031</v>
      </c>
      <c r="H691" s="55"/>
      <c r="I691" s="55" t="str">
        <f t="shared" si="46"/>
        <v>13.077.995-6</v>
      </c>
      <c r="J691" s="55">
        <f t="shared" si="47"/>
        <v>8.087962962962969E-2</v>
      </c>
      <c r="K691" s="93">
        <f t="shared" si="48"/>
        <v>-7.0588888888888874</v>
      </c>
      <c r="L691">
        <f>IFERROR(HLOOKUP(D691,Ingreso!$AN$10:$AT$260,VLOOKUP('cruce '!I691,Ingreso!$AL$11:$AM$260,2,0),0),0)</f>
        <v>0</v>
      </c>
      <c r="M691" s="95">
        <f>IFERROR(HLOOKUP(D691,Ingreso!$AW$10:$BC$260,VLOOKUP('cruce '!I691,Ingreso!$AL$11:$AM$260,2,0),0),0)</f>
        <v>0</v>
      </c>
      <c r="N691" t="str">
        <f t="shared" si="49"/>
        <v>Revisar</v>
      </c>
    </row>
    <row r="692" spans="2:14">
      <c r="C692"/>
      <c r="D692" t="s">
        <v>1438</v>
      </c>
      <c r="E692" t="s">
        <v>1323</v>
      </c>
      <c r="F692" s="78">
        <v>0.375</v>
      </c>
      <c r="G692" s="55">
        <v>0.91960648148148139</v>
      </c>
      <c r="H692" s="55">
        <v>0.32368055555555558</v>
      </c>
      <c r="I692" s="55" t="str">
        <f t="shared" si="46"/>
        <v>13.077.995-6</v>
      </c>
      <c r="J692" s="55">
        <f t="shared" si="47"/>
        <v>0.40407407407407414</v>
      </c>
      <c r="K692" s="93">
        <f t="shared" si="48"/>
        <v>0.69777777777778027</v>
      </c>
      <c r="L692">
        <f>IFERROR(HLOOKUP(D692,Ingreso!$AN$10:$AT$260,VLOOKUP('cruce '!I692,Ingreso!$AL$11:$AM$260,2,0),0),0)</f>
        <v>0</v>
      </c>
      <c r="M692" s="95">
        <f>IFERROR(HLOOKUP(D692,Ingreso!$AW$10:$BC$260,VLOOKUP('cruce '!I692,Ingreso!$AL$11:$AM$260,2,0),0),0)</f>
        <v>0</v>
      </c>
      <c r="N692" t="str">
        <f t="shared" si="49"/>
        <v>OK</v>
      </c>
    </row>
    <row r="693" spans="2:14">
      <c r="C693"/>
      <c r="D693" t="s">
        <v>1439</v>
      </c>
      <c r="E693" t="s">
        <v>1323</v>
      </c>
      <c r="F693" s="78">
        <v>0.375</v>
      </c>
      <c r="G693" s="55">
        <v>0.91872685185185177</v>
      </c>
      <c r="H693" s="55">
        <v>0.326087962962963</v>
      </c>
      <c r="I693" s="55" t="str">
        <f t="shared" si="46"/>
        <v>13.077.995-6</v>
      </c>
      <c r="J693" s="55">
        <f t="shared" si="47"/>
        <v>0.40736111111111117</v>
      </c>
      <c r="K693" s="93">
        <f t="shared" si="48"/>
        <v>0.77666666666666728</v>
      </c>
      <c r="L693">
        <f>IFERROR(HLOOKUP(D693,Ingreso!$AN$10:$AT$260,VLOOKUP('cruce '!I693,Ingreso!$AL$11:$AM$260,2,0),0),0)</f>
        <v>0</v>
      </c>
      <c r="M693" s="95">
        <f>IFERROR(HLOOKUP(D693,Ingreso!$AW$10:$BC$260,VLOOKUP('cruce '!I693,Ingreso!$AL$11:$AM$260,2,0),0),0)</f>
        <v>0</v>
      </c>
      <c r="N693" t="str">
        <f t="shared" si="49"/>
        <v>OK</v>
      </c>
    </row>
    <row r="694" spans="2:14">
      <c r="B694" t="s">
        <v>428</v>
      </c>
      <c r="C694" t="s">
        <v>431</v>
      </c>
      <c r="D694" t="s">
        <v>1440</v>
      </c>
      <c r="E694" t="s">
        <v>1321</v>
      </c>
      <c r="F694" s="78">
        <v>0.3125</v>
      </c>
      <c r="G694" s="55">
        <v>0.60836805555555562</v>
      </c>
      <c r="H694" s="55">
        <v>0.9515393518518519</v>
      </c>
      <c r="I694" s="55" t="str">
        <f t="shared" si="46"/>
        <v>13.100.464-8</v>
      </c>
      <c r="J694" s="55">
        <f t="shared" si="47"/>
        <v>0.34317129629629628</v>
      </c>
      <c r="K694" s="93">
        <f t="shared" si="48"/>
        <v>0.73611111111111072</v>
      </c>
      <c r="L694">
        <f>IFERROR(HLOOKUP(D694,Ingreso!$AN$10:$AT$260,VLOOKUP('cruce '!I694,Ingreso!$AL$11:$AM$260,2,0),0),0)</f>
        <v>0</v>
      </c>
      <c r="M694" s="95">
        <f>IFERROR(HLOOKUP(D694,Ingreso!$AW$10:$BC$260,VLOOKUP('cruce '!I694,Ingreso!$AL$11:$AM$260,2,0),0),0)</f>
        <v>0</v>
      </c>
      <c r="N694" t="str">
        <f t="shared" si="49"/>
        <v>OK</v>
      </c>
    </row>
    <row r="695" spans="2:14">
      <c r="C695"/>
      <c r="D695" t="s">
        <v>1441</v>
      </c>
      <c r="E695" t="s">
        <v>1321</v>
      </c>
      <c r="F695" s="78">
        <v>0.3125</v>
      </c>
      <c r="G695" s="55">
        <v>0.61237268518518517</v>
      </c>
      <c r="H695" s="55">
        <v>0.95349537037037047</v>
      </c>
      <c r="I695" s="55" t="str">
        <f t="shared" si="46"/>
        <v>13.100.464-8</v>
      </c>
      <c r="J695" s="55">
        <f t="shared" si="47"/>
        <v>0.34112268518518529</v>
      </c>
      <c r="K695" s="93">
        <f t="shared" si="48"/>
        <v>0.68694444444444613</v>
      </c>
      <c r="L695">
        <f>IFERROR(HLOOKUP(D695,Ingreso!$AN$10:$AT$260,VLOOKUP('cruce '!I695,Ingreso!$AL$11:$AM$260,2,0),0),0)</f>
        <v>0</v>
      </c>
      <c r="M695" s="95">
        <f>IFERROR(HLOOKUP(D695,Ingreso!$AW$10:$BC$260,VLOOKUP('cruce '!I695,Ingreso!$AL$11:$AM$260,2,0),0),0)</f>
        <v>0</v>
      </c>
      <c r="N695" t="str">
        <f t="shared" si="49"/>
        <v>OK</v>
      </c>
    </row>
    <row r="696" spans="2:14">
      <c r="C696"/>
      <c r="D696" t="s">
        <v>1437</v>
      </c>
      <c r="E696" t="s">
        <v>1321</v>
      </c>
      <c r="F696" s="78">
        <v>0.3125</v>
      </c>
      <c r="G696" s="55">
        <v>0.60561342592592593</v>
      </c>
      <c r="H696" s="55">
        <v>0.95162037037037039</v>
      </c>
      <c r="I696" s="55" t="str">
        <f t="shared" si="46"/>
        <v>13.100.464-8</v>
      </c>
      <c r="J696" s="55">
        <f t="shared" si="47"/>
        <v>0.34600694444444446</v>
      </c>
      <c r="K696" s="93">
        <f t="shared" si="48"/>
        <v>0.80416666666666714</v>
      </c>
      <c r="L696">
        <f>IFERROR(HLOOKUP(D696,Ingreso!$AN$10:$AT$260,VLOOKUP('cruce '!I696,Ingreso!$AL$11:$AM$260,2,0),0),0)</f>
        <v>0</v>
      </c>
      <c r="M696" s="95">
        <f>IFERROR(HLOOKUP(D696,Ingreso!$AW$10:$BC$260,VLOOKUP('cruce '!I696,Ingreso!$AL$11:$AM$260,2,0),0),0)</f>
        <v>0</v>
      </c>
      <c r="N696" t="str">
        <f t="shared" si="49"/>
        <v>OK</v>
      </c>
    </row>
    <row r="697" spans="2:14">
      <c r="C697"/>
      <c r="D697" t="s">
        <v>1438</v>
      </c>
      <c r="E697" t="s">
        <v>1321</v>
      </c>
      <c r="F697" s="78">
        <v>0.3125</v>
      </c>
      <c r="G697" s="55">
        <v>0.60658564814814808</v>
      </c>
      <c r="H697" s="55">
        <v>0.95150462962962967</v>
      </c>
      <c r="I697" s="55" t="str">
        <f t="shared" si="46"/>
        <v>13.100.464-8</v>
      </c>
      <c r="J697" s="55">
        <f t="shared" si="47"/>
        <v>0.34491898148148159</v>
      </c>
      <c r="K697" s="93">
        <f t="shared" si="48"/>
        <v>0.77805555555555728</v>
      </c>
      <c r="L697">
        <f>IFERROR(HLOOKUP(D697,Ingreso!$AN$10:$AT$260,VLOOKUP('cruce '!I697,Ingreso!$AL$11:$AM$260,2,0),0),0)</f>
        <v>0</v>
      </c>
      <c r="M697" s="95">
        <f>IFERROR(HLOOKUP(D697,Ingreso!$AW$10:$BC$260,VLOOKUP('cruce '!I697,Ingreso!$AL$11:$AM$260,2,0),0),0)</f>
        <v>0</v>
      </c>
      <c r="N697" t="str">
        <f t="shared" si="49"/>
        <v>OK</v>
      </c>
    </row>
    <row r="698" spans="2:14">
      <c r="C698"/>
      <c r="D698" t="s">
        <v>1439</v>
      </c>
      <c r="E698" t="s">
        <v>1321</v>
      </c>
      <c r="F698" s="78">
        <v>0.3125</v>
      </c>
      <c r="G698" s="55">
        <v>0.60751157407407408</v>
      </c>
      <c r="H698" s="55">
        <v>0.95179398148148142</v>
      </c>
      <c r="I698" s="55" t="str">
        <f t="shared" si="46"/>
        <v>13.100.464-8</v>
      </c>
      <c r="J698" s="55">
        <f t="shared" si="47"/>
        <v>0.34428240740740734</v>
      </c>
      <c r="K698" s="93">
        <f t="shared" si="48"/>
        <v>0.76277777777777622</v>
      </c>
      <c r="L698">
        <f>IFERROR(HLOOKUP(D698,Ingreso!$AN$10:$AT$260,VLOOKUP('cruce '!I698,Ingreso!$AL$11:$AM$260,2,0),0),0)</f>
        <v>0</v>
      </c>
      <c r="M698" s="95">
        <f>IFERROR(HLOOKUP(D698,Ingreso!$AW$10:$BC$260,VLOOKUP('cruce '!I698,Ingreso!$AL$11:$AM$260,2,0),0),0)</f>
        <v>0</v>
      </c>
      <c r="N698" t="str">
        <f t="shared" si="49"/>
        <v>OK</v>
      </c>
    </row>
    <row r="699" spans="2:14">
      <c r="B699" t="s">
        <v>163</v>
      </c>
      <c r="C699" t="s">
        <v>166</v>
      </c>
      <c r="D699" t="s">
        <v>1440</v>
      </c>
      <c r="E699" t="s">
        <v>1474</v>
      </c>
      <c r="F699" t="s">
        <v>1472</v>
      </c>
      <c r="G699" s="55">
        <v>0.36342592592592587</v>
      </c>
      <c r="H699" s="55">
        <v>0.77863425925925922</v>
      </c>
      <c r="I699" s="55" t="str">
        <f t="shared" si="46"/>
        <v>13.236.100-2</v>
      </c>
      <c r="J699" s="55">
        <f t="shared" si="47"/>
        <v>0.41520833333333335</v>
      </c>
      <c r="K699" s="93" t="e">
        <f t="shared" si="48"/>
        <v>#VALUE!</v>
      </c>
      <c r="L699">
        <f>IFERROR(HLOOKUP(D699,Ingreso!$AN$10:$AT$260,VLOOKUP('cruce '!I699,Ingreso!$AL$11:$AM$260,2,0),0),0)</f>
        <v>0</v>
      </c>
      <c r="M699" s="95" t="str">
        <f>IFERROR(HLOOKUP(D699,Ingreso!$AW$10:$BC$260,VLOOKUP('cruce '!I699,Ingreso!$AL$11:$AM$260,2,0),0),0)</f>
        <v/>
      </c>
      <c r="N699" t="e">
        <f t="shared" si="49"/>
        <v>#VALUE!</v>
      </c>
    </row>
    <row r="700" spans="2:14">
      <c r="C700"/>
      <c r="D700" t="s">
        <v>1437</v>
      </c>
      <c r="E700" t="s">
        <v>1474</v>
      </c>
      <c r="F700" t="s">
        <v>1472</v>
      </c>
      <c r="G700" s="55">
        <v>0.36070601851851852</v>
      </c>
      <c r="H700" s="55">
        <v>0.7638194444444445</v>
      </c>
      <c r="I700" s="55" t="str">
        <f t="shared" si="46"/>
        <v>13.236.100-2</v>
      </c>
      <c r="J700" s="55">
        <f t="shared" si="47"/>
        <v>0.40311342592592597</v>
      </c>
      <c r="K700" s="93" t="e">
        <f t="shared" si="48"/>
        <v>#VALUE!</v>
      </c>
      <c r="L700">
        <f>IFERROR(HLOOKUP(D700,Ingreso!$AN$10:$AT$260,VLOOKUP('cruce '!I700,Ingreso!$AL$11:$AM$260,2,0),0),0)</f>
        <v>0</v>
      </c>
      <c r="M700" s="95" t="str">
        <f>IFERROR(HLOOKUP(D700,Ingreso!$AW$10:$BC$260,VLOOKUP('cruce '!I700,Ingreso!$AL$11:$AM$260,2,0),0),0)</f>
        <v/>
      </c>
      <c r="N700" t="e">
        <f t="shared" si="49"/>
        <v>#VALUE!</v>
      </c>
    </row>
    <row r="701" spans="2:14">
      <c r="C701"/>
      <c r="D701" t="s">
        <v>1438</v>
      </c>
      <c r="E701" t="s">
        <v>1474</v>
      </c>
      <c r="F701" t="s">
        <v>1472</v>
      </c>
      <c r="G701" s="55">
        <v>0.53236111111111117</v>
      </c>
      <c r="H701" s="55">
        <v>0.74678240740740742</v>
      </c>
      <c r="I701" s="55" t="str">
        <f t="shared" si="46"/>
        <v>13.236.100-2</v>
      </c>
      <c r="J701" s="55">
        <f t="shared" si="47"/>
        <v>0.21442129629629625</v>
      </c>
      <c r="K701" s="93" t="e">
        <f t="shared" si="48"/>
        <v>#VALUE!</v>
      </c>
      <c r="L701">
        <f>IFERROR(HLOOKUP(D701,Ingreso!$AN$10:$AT$260,VLOOKUP('cruce '!I701,Ingreso!$AL$11:$AM$260,2,0),0),0)</f>
        <v>0</v>
      </c>
      <c r="M701" s="95" t="str">
        <f>IFERROR(HLOOKUP(D701,Ingreso!$AW$10:$BC$260,VLOOKUP('cruce '!I701,Ingreso!$AL$11:$AM$260,2,0),0),0)</f>
        <v/>
      </c>
      <c r="N701" t="e">
        <f t="shared" si="49"/>
        <v>#VALUE!</v>
      </c>
    </row>
    <row r="702" spans="2:14">
      <c r="C702"/>
      <c r="D702" t="s">
        <v>1439</v>
      </c>
      <c r="E702" t="s">
        <v>1474</v>
      </c>
      <c r="F702" t="s">
        <v>1472</v>
      </c>
      <c r="G702" s="55">
        <v>0.37059027777777781</v>
      </c>
      <c r="H702" s="55">
        <v>0.81327546296296294</v>
      </c>
      <c r="I702" s="55" t="str">
        <f t="shared" si="46"/>
        <v>13.236.100-2</v>
      </c>
      <c r="J702" s="55">
        <f t="shared" si="47"/>
        <v>0.44268518518518513</v>
      </c>
      <c r="K702" s="93" t="e">
        <f t="shared" si="48"/>
        <v>#VALUE!</v>
      </c>
      <c r="L702">
        <f>IFERROR(HLOOKUP(D702,Ingreso!$AN$10:$AT$260,VLOOKUP('cruce '!I702,Ingreso!$AL$11:$AM$260,2,0),0),0)</f>
        <v>0</v>
      </c>
      <c r="M702" s="95" t="str">
        <f>IFERROR(HLOOKUP(D702,Ingreso!$AW$10:$BC$260,VLOOKUP('cruce '!I702,Ingreso!$AL$11:$AM$260,2,0),0),0)</f>
        <v/>
      </c>
      <c r="N702" t="e">
        <f t="shared" si="49"/>
        <v>#VALUE!</v>
      </c>
    </row>
    <row r="703" spans="2:14">
      <c r="B703" t="s">
        <v>1201</v>
      </c>
      <c r="C703" t="s">
        <v>1203</v>
      </c>
      <c r="D703" t="s">
        <v>1440</v>
      </c>
      <c r="E703" t="s">
        <v>4</v>
      </c>
      <c r="F703" s="78">
        <v>0.3125</v>
      </c>
      <c r="G703" s="55">
        <v>0.29988425925925927</v>
      </c>
      <c r="H703" s="55">
        <v>0.63589120370370367</v>
      </c>
      <c r="I703" s="55" t="str">
        <f t="shared" ref="I703:I766" si="50">IF(B703="",I702,B703)</f>
        <v>13.284.475-5</v>
      </c>
      <c r="J703" s="55">
        <f t="shared" ref="J703:J766" si="51">IF(G703&gt;H703,(H703+0.5)-(G703-0.5),H703-G703)</f>
        <v>0.3360069444444444</v>
      </c>
      <c r="K703" s="93">
        <f t="shared" ref="K703:K766" si="52">(J703*24)-(F703*24)</f>
        <v>0.56416666666666515</v>
      </c>
      <c r="L703">
        <f>IFERROR(HLOOKUP(D703,Ingreso!$AN$10:$AT$260,VLOOKUP('cruce '!I703,Ingreso!$AL$11:$AM$260,2,0),0),0)</f>
        <v>0</v>
      </c>
      <c r="M703" s="95">
        <f>IFERROR(HLOOKUP(D703,Ingreso!$AW$10:$BC$260,VLOOKUP('cruce '!I703,Ingreso!$AL$11:$AM$260,2,0),0),0)</f>
        <v>0</v>
      </c>
      <c r="N703" t="str">
        <f t="shared" ref="N703:N766" si="53">IF((K703-L703)&gt;1,"Revisar",IF((K703-L703)&lt;-1,"Revisar","OK"))</f>
        <v>OK</v>
      </c>
    </row>
    <row r="704" spans="2:14">
      <c r="C704"/>
      <c r="D704" t="s">
        <v>1441</v>
      </c>
      <c r="E704" t="s">
        <v>4</v>
      </c>
      <c r="F704" s="78">
        <v>0.3125</v>
      </c>
      <c r="G704" s="55">
        <v>0.29395833333333332</v>
      </c>
      <c r="H704" s="55">
        <v>0.63468749999999996</v>
      </c>
      <c r="I704" s="55" t="str">
        <f t="shared" si="50"/>
        <v>13.284.475-5</v>
      </c>
      <c r="J704" s="55">
        <f t="shared" si="51"/>
        <v>0.34072916666666664</v>
      </c>
      <c r="K704" s="93">
        <f t="shared" si="52"/>
        <v>0.67749999999999844</v>
      </c>
      <c r="L704">
        <f>IFERROR(HLOOKUP(D704,Ingreso!$AN$10:$AT$260,VLOOKUP('cruce '!I704,Ingreso!$AL$11:$AM$260,2,0),0),0)</f>
        <v>0</v>
      </c>
      <c r="M704" s="95">
        <f>IFERROR(HLOOKUP(D704,Ingreso!$AW$10:$BC$260,VLOOKUP('cruce '!I704,Ingreso!$AL$11:$AM$260,2,0),0),0)</f>
        <v>0</v>
      </c>
      <c r="N704" t="str">
        <f t="shared" si="53"/>
        <v>OK</v>
      </c>
    </row>
    <row r="705" spans="2:14">
      <c r="C705"/>
      <c r="D705" t="s">
        <v>1442</v>
      </c>
      <c r="E705" t="s">
        <v>1473</v>
      </c>
      <c r="F705" t="s">
        <v>1472</v>
      </c>
      <c r="G705" s="55">
        <v>0.9981712962962962</v>
      </c>
      <c r="H705" s="55"/>
      <c r="I705" s="55" t="str">
        <f t="shared" si="50"/>
        <v>13.284.475-5</v>
      </c>
      <c r="J705" s="55">
        <f t="shared" si="51"/>
        <v>1.8287037037038045E-3</v>
      </c>
      <c r="K705" s="93" t="e">
        <f t="shared" si="52"/>
        <v>#VALUE!</v>
      </c>
      <c r="L705">
        <f>IFERROR(HLOOKUP(D705,Ingreso!$AN$10:$AT$260,VLOOKUP('cruce '!I705,Ingreso!$AL$11:$AM$260,2,0),0),0)</f>
        <v>0</v>
      </c>
      <c r="M705" s="95">
        <f>IFERROR(HLOOKUP(D705,Ingreso!$AW$10:$BC$260,VLOOKUP('cruce '!I705,Ingreso!$AL$11:$AM$260,2,0),0),0)</f>
        <v>0</v>
      </c>
      <c r="N705" t="e">
        <f t="shared" si="53"/>
        <v>#VALUE!</v>
      </c>
    </row>
    <row r="706" spans="2:14">
      <c r="C706"/>
      <c r="D706" t="s">
        <v>1437</v>
      </c>
      <c r="E706" t="s">
        <v>4</v>
      </c>
      <c r="F706" s="78">
        <v>0.3125</v>
      </c>
      <c r="G706" s="55">
        <v>0.29540509259259257</v>
      </c>
      <c r="H706" s="55">
        <v>0.638738425925926</v>
      </c>
      <c r="I706" s="55" t="str">
        <f t="shared" si="50"/>
        <v>13.284.475-5</v>
      </c>
      <c r="J706" s="55">
        <f t="shared" si="51"/>
        <v>0.34333333333333343</v>
      </c>
      <c r="K706" s="93">
        <f t="shared" si="52"/>
        <v>0.74000000000000199</v>
      </c>
      <c r="L706">
        <f>IFERROR(HLOOKUP(D706,Ingreso!$AN$10:$AT$260,VLOOKUP('cruce '!I706,Ingreso!$AL$11:$AM$260,2,0),0),0)</f>
        <v>0</v>
      </c>
      <c r="M706" s="95">
        <f>IFERROR(HLOOKUP(D706,Ingreso!$AW$10:$BC$260,VLOOKUP('cruce '!I706,Ingreso!$AL$11:$AM$260,2,0),0),0)</f>
        <v>0</v>
      </c>
      <c r="N706" t="str">
        <f t="shared" si="53"/>
        <v>OK</v>
      </c>
    </row>
    <row r="707" spans="2:14">
      <c r="C707"/>
      <c r="D707" t="s">
        <v>1438</v>
      </c>
      <c r="E707" t="s">
        <v>4</v>
      </c>
      <c r="F707" s="78">
        <v>0.3125</v>
      </c>
      <c r="G707" s="55">
        <v>0.30386574074074074</v>
      </c>
      <c r="H707" s="55">
        <v>0.63</v>
      </c>
      <c r="I707" s="55" t="str">
        <f t="shared" si="50"/>
        <v>13.284.475-5</v>
      </c>
      <c r="J707" s="55">
        <f t="shared" si="51"/>
        <v>0.32613425925925926</v>
      </c>
      <c r="K707" s="93">
        <f t="shared" si="52"/>
        <v>0.32722222222222186</v>
      </c>
      <c r="L707">
        <f>IFERROR(HLOOKUP(D707,Ingreso!$AN$10:$AT$260,VLOOKUP('cruce '!I707,Ingreso!$AL$11:$AM$260,2,0),0),0)</f>
        <v>0</v>
      </c>
      <c r="M707" s="95">
        <f>IFERROR(HLOOKUP(D707,Ingreso!$AW$10:$BC$260,VLOOKUP('cruce '!I707,Ingreso!$AL$11:$AM$260,2,0),0),0)</f>
        <v>0</v>
      </c>
      <c r="N707" t="str">
        <f t="shared" si="53"/>
        <v>OK</v>
      </c>
    </row>
    <row r="708" spans="2:14">
      <c r="C708"/>
      <c r="D708" t="s">
        <v>1439</v>
      </c>
      <c r="E708" t="s">
        <v>4</v>
      </c>
      <c r="F708" s="78">
        <v>0.3125</v>
      </c>
      <c r="G708" s="55">
        <v>0.31057870370370372</v>
      </c>
      <c r="H708" s="55">
        <v>0.63403935185185178</v>
      </c>
      <c r="I708" s="55" t="str">
        <f t="shared" si="50"/>
        <v>13.284.475-5</v>
      </c>
      <c r="J708" s="55">
        <f t="shared" si="51"/>
        <v>0.32346064814814807</v>
      </c>
      <c r="K708" s="93">
        <f t="shared" si="52"/>
        <v>0.26305555555555316</v>
      </c>
      <c r="L708">
        <f>IFERROR(HLOOKUP(D708,Ingreso!$AN$10:$AT$260,VLOOKUP('cruce '!I708,Ingreso!$AL$11:$AM$260,2,0),0),0)</f>
        <v>0</v>
      </c>
      <c r="M708" s="95">
        <f>IFERROR(HLOOKUP(D708,Ingreso!$AW$10:$BC$260,VLOOKUP('cruce '!I708,Ingreso!$AL$11:$AM$260,2,0),0),0)</f>
        <v>0</v>
      </c>
      <c r="N708" t="str">
        <f t="shared" si="53"/>
        <v>OK</v>
      </c>
    </row>
    <row r="709" spans="2:14">
      <c r="B709" t="s">
        <v>675</v>
      </c>
      <c r="C709" t="s">
        <v>677</v>
      </c>
      <c r="D709" t="s">
        <v>1440</v>
      </c>
      <c r="E709" t="s">
        <v>4</v>
      </c>
      <c r="F709" s="78">
        <v>0.3125</v>
      </c>
      <c r="G709" s="55">
        <v>0.30766203703703704</v>
      </c>
      <c r="H709" s="55"/>
      <c r="I709" s="55" t="str">
        <f t="shared" si="50"/>
        <v>13.284.709-6</v>
      </c>
      <c r="J709" s="55">
        <f t="shared" si="51"/>
        <v>0.69233796296296291</v>
      </c>
      <c r="K709" s="93">
        <f t="shared" si="52"/>
        <v>9.1161111111111097</v>
      </c>
      <c r="L709">
        <f>IFERROR(HLOOKUP(D709,Ingreso!$AN$10:$AT$260,VLOOKUP('cruce '!I709,Ingreso!$AL$11:$AM$260,2,0),0),0)</f>
        <v>0</v>
      </c>
      <c r="M709" s="95">
        <f>IFERROR(HLOOKUP(D709,Ingreso!$AW$10:$BC$260,VLOOKUP('cruce '!I709,Ingreso!$AL$11:$AM$260,2,0),0),0)</f>
        <v>0</v>
      </c>
      <c r="N709" t="str">
        <f t="shared" si="53"/>
        <v>Revisar</v>
      </c>
    </row>
    <row r="710" spans="2:14">
      <c r="C710"/>
      <c r="D710"/>
      <c r="E710" t="s">
        <v>1321</v>
      </c>
      <c r="F710" s="78">
        <v>0.3125</v>
      </c>
      <c r="G710" s="55"/>
      <c r="H710" s="55">
        <v>0.59736111111111112</v>
      </c>
      <c r="I710" s="55" t="str">
        <f t="shared" si="50"/>
        <v>13.284.709-6</v>
      </c>
      <c r="J710" s="55">
        <f t="shared" si="51"/>
        <v>0.59736111111111112</v>
      </c>
      <c r="K710" s="93">
        <f t="shared" si="52"/>
        <v>6.836666666666666</v>
      </c>
      <c r="L710">
        <f>IFERROR(HLOOKUP(D710,Ingreso!$AN$10:$AT$260,VLOOKUP('cruce '!I710,Ingreso!$AL$11:$AM$260,2,0),0),0)</f>
        <v>0</v>
      </c>
      <c r="M710" s="95">
        <f>IFERROR(HLOOKUP(D710,Ingreso!$AW$10:$BC$260,VLOOKUP('cruce '!I710,Ingreso!$AL$11:$AM$260,2,0),0),0)</f>
        <v>0</v>
      </c>
      <c r="N710" t="str">
        <f t="shared" si="53"/>
        <v>Revisar</v>
      </c>
    </row>
    <row r="711" spans="2:14">
      <c r="C711"/>
      <c r="D711" t="s">
        <v>1441</v>
      </c>
      <c r="E711" t="s">
        <v>4</v>
      </c>
      <c r="F711" s="78">
        <v>0.3125</v>
      </c>
      <c r="G711" s="55">
        <v>0.30531249999999999</v>
      </c>
      <c r="H711" s="55">
        <v>0.63980324074074069</v>
      </c>
      <c r="I711" s="55" t="str">
        <f t="shared" si="50"/>
        <v>13.284.709-6</v>
      </c>
      <c r="J711" s="55">
        <f t="shared" si="51"/>
        <v>0.3344907407407407</v>
      </c>
      <c r="K711" s="93">
        <f t="shared" si="52"/>
        <v>0.52777777777777679</v>
      </c>
      <c r="L711">
        <f>IFERROR(HLOOKUP(D711,Ingreso!$AN$10:$AT$260,VLOOKUP('cruce '!I711,Ingreso!$AL$11:$AM$260,2,0),0),0)</f>
        <v>0</v>
      </c>
      <c r="M711" s="95">
        <f>IFERROR(HLOOKUP(D711,Ingreso!$AW$10:$BC$260,VLOOKUP('cruce '!I711,Ingreso!$AL$11:$AM$260,2,0),0),0)</f>
        <v>0</v>
      </c>
      <c r="N711" t="str">
        <f t="shared" si="53"/>
        <v>OK</v>
      </c>
    </row>
    <row r="712" spans="2:14">
      <c r="C712"/>
      <c r="D712" t="s">
        <v>1437</v>
      </c>
      <c r="E712" t="s">
        <v>4</v>
      </c>
      <c r="F712" s="78">
        <v>0.3125</v>
      </c>
      <c r="G712" s="55">
        <v>0.30659722222222224</v>
      </c>
      <c r="H712" s="55">
        <v>0.63910879629629636</v>
      </c>
      <c r="I712" s="55" t="str">
        <f t="shared" si="50"/>
        <v>13.284.709-6</v>
      </c>
      <c r="J712" s="55">
        <f t="shared" si="51"/>
        <v>0.33251157407407411</v>
      </c>
      <c r="K712" s="93">
        <f t="shared" si="52"/>
        <v>0.48027777777777914</v>
      </c>
      <c r="L712">
        <f>IFERROR(HLOOKUP(D712,Ingreso!$AN$10:$AT$260,VLOOKUP('cruce '!I712,Ingreso!$AL$11:$AM$260,2,0),0),0)</f>
        <v>0</v>
      </c>
      <c r="M712" s="95">
        <f>IFERROR(HLOOKUP(D712,Ingreso!$AW$10:$BC$260,VLOOKUP('cruce '!I712,Ingreso!$AL$11:$AM$260,2,0),0),0)</f>
        <v>0</v>
      </c>
      <c r="N712" t="str">
        <f t="shared" si="53"/>
        <v>OK</v>
      </c>
    </row>
    <row r="713" spans="2:14">
      <c r="C713"/>
      <c r="D713" t="s">
        <v>1438</v>
      </c>
      <c r="E713" t="s">
        <v>4</v>
      </c>
      <c r="F713" s="78">
        <v>0.3125</v>
      </c>
      <c r="G713" s="55">
        <v>0.29956018518518518</v>
      </c>
      <c r="H713" s="55">
        <v>0.63959490740740743</v>
      </c>
      <c r="I713" s="55" t="str">
        <f t="shared" si="50"/>
        <v>13.284.709-6</v>
      </c>
      <c r="J713" s="55">
        <f t="shared" si="51"/>
        <v>0.34003472222222225</v>
      </c>
      <c r="K713" s="93">
        <f t="shared" si="52"/>
        <v>0.66083333333333449</v>
      </c>
      <c r="L713">
        <f>IFERROR(HLOOKUP(D713,Ingreso!$AN$10:$AT$260,VLOOKUP('cruce '!I713,Ingreso!$AL$11:$AM$260,2,0),0),0)</f>
        <v>0</v>
      </c>
      <c r="M713" s="95">
        <f>IFERROR(HLOOKUP(D713,Ingreso!$AW$10:$BC$260,VLOOKUP('cruce '!I713,Ingreso!$AL$11:$AM$260,2,0),0),0)</f>
        <v>0</v>
      </c>
      <c r="N713" t="str">
        <f t="shared" si="53"/>
        <v>OK</v>
      </c>
    </row>
    <row r="714" spans="2:14">
      <c r="C714"/>
      <c r="D714" t="s">
        <v>1439</v>
      </c>
      <c r="E714" t="s">
        <v>4</v>
      </c>
      <c r="F714" s="78">
        <v>0.3125</v>
      </c>
      <c r="G714" s="55">
        <v>0.30143518518518519</v>
      </c>
      <c r="H714" s="55">
        <v>0.64031249999999995</v>
      </c>
      <c r="I714" s="55" t="str">
        <f t="shared" si="50"/>
        <v>13.284.709-6</v>
      </c>
      <c r="J714" s="55">
        <f t="shared" si="51"/>
        <v>0.33887731481481476</v>
      </c>
      <c r="K714" s="93">
        <f t="shared" si="52"/>
        <v>0.63305555555555415</v>
      </c>
      <c r="L714">
        <f>IFERROR(HLOOKUP(D714,Ingreso!$AN$10:$AT$260,VLOOKUP('cruce '!I714,Ingreso!$AL$11:$AM$260,2,0),0),0)</f>
        <v>0</v>
      </c>
      <c r="M714" s="95">
        <f>IFERROR(HLOOKUP(D714,Ingreso!$AW$10:$BC$260,VLOOKUP('cruce '!I714,Ingreso!$AL$11:$AM$260,2,0),0),0)</f>
        <v>0</v>
      </c>
      <c r="N714" t="str">
        <f t="shared" si="53"/>
        <v>OK</v>
      </c>
    </row>
    <row r="715" spans="2:14">
      <c r="B715" t="s">
        <v>1224</v>
      </c>
      <c r="C715" t="s">
        <v>1228</v>
      </c>
      <c r="D715" t="s">
        <v>1440</v>
      </c>
      <c r="E715" t="s">
        <v>4</v>
      </c>
      <c r="F715" s="78">
        <v>0.3125</v>
      </c>
      <c r="G715" s="55">
        <v>0.29666666666666669</v>
      </c>
      <c r="H715" s="55">
        <v>0.63748842592592592</v>
      </c>
      <c r="I715" s="55" t="str">
        <f t="shared" si="50"/>
        <v>13.295.279-5</v>
      </c>
      <c r="J715" s="55">
        <f t="shared" si="51"/>
        <v>0.34082175925925923</v>
      </c>
      <c r="K715" s="93">
        <f t="shared" si="52"/>
        <v>0.67972222222222101</v>
      </c>
      <c r="L715">
        <f>IFERROR(HLOOKUP(D715,Ingreso!$AN$10:$AT$260,VLOOKUP('cruce '!I715,Ingreso!$AL$11:$AM$260,2,0),0),0)</f>
        <v>0</v>
      </c>
      <c r="M715" s="95" t="str">
        <f>IFERROR(HLOOKUP(D715,Ingreso!$AW$10:$BC$260,VLOOKUP('cruce '!I715,Ingreso!$AL$11:$AM$260,2,0),0),0)</f>
        <v/>
      </c>
      <c r="N715" t="str">
        <f t="shared" si="53"/>
        <v>OK</v>
      </c>
    </row>
    <row r="716" spans="2:14">
      <c r="C716"/>
      <c r="D716" t="s">
        <v>1441</v>
      </c>
      <c r="E716" t="s">
        <v>4</v>
      </c>
      <c r="F716" s="78">
        <v>0.3125</v>
      </c>
      <c r="G716" s="55">
        <v>0.2902777777777778</v>
      </c>
      <c r="H716" s="55">
        <v>0.64153935185185185</v>
      </c>
      <c r="I716" s="55" t="str">
        <f t="shared" si="50"/>
        <v>13.295.279-5</v>
      </c>
      <c r="J716" s="55">
        <f t="shared" si="51"/>
        <v>0.35126157407407405</v>
      </c>
      <c r="K716" s="93">
        <f t="shared" si="52"/>
        <v>0.93027777777777665</v>
      </c>
      <c r="L716">
        <f>IFERROR(HLOOKUP(D716,Ingreso!$AN$10:$AT$260,VLOOKUP('cruce '!I716,Ingreso!$AL$11:$AM$260,2,0),0),0)</f>
        <v>0</v>
      </c>
      <c r="M716" s="95" t="str">
        <f>IFERROR(HLOOKUP(D716,Ingreso!$AW$10:$BC$260,VLOOKUP('cruce '!I716,Ingreso!$AL$11:$AM$260,2,0),0),0)</f>
        <v/>
      </c>
      <c r="N716" t="str">
        <f t="shared" si="53"/>
        <v>OK</v>
      </c>
    </row>
    <row r="717" spans="2:14">
      <c r="C717"/>
      <c r="D717" t="s">
        <v>1436</v>
      </c>
      <c r="E717" t="s">
        <v>4</v>
      </c>
      <c r="F717" s="78">
        <v>0.3125</v>
      </c>
      <c r="G717" s="55">
        <v>0.97768518518518521</v>
      </c>
      <c r="H717" s="55"/>
      <c r="I717" s="55" t="str">
        <f t="shared" si="50"/>
        <v>13.295.279-5</v>
      </c>
      <c r="J717" s="55">
        <f t="shared" si="51"/>
        <v>2.2314814814814787E-2</v>
      </c>
      <c r="K717" s="93">
        <f t="shared" si="52"/>
        <v>-6.9644444444444451</v>
      </c>
      <c r="L717">
        <f>IFERROR(HLOOKUP(D717,Ingreso!$AN$10:$AT$260,VLOOKUP('cruce '!I717,Ingreso!$AL$11:$AM$260,2,0),0),0)</f>
        <v>7.5</v>
      </c>
      <c r="M717" s="95">
        <f>IFERROR(HLOOKUP(D717,Ingreso!$AW$10:$BC$260,VLOOKUP('cruce '!I717,Ingreso!$AL$11:$AM$260,2,0),0),0)</f>
        <v>1</v>
      </c>
      <c r="N717" t="str">
        <f t="shared" si="53"/>
        <v>Revisar</v>
      </c>
    </row>
    <row r="718" spans="2:14">
      <c r="C718"/>
      <c r="D718" t="s">
        <v>1437</v>
      </c>
      <c r="E718" t="s">
        <v>4</v>
      </c>
      <c r="F718" s="78">
        <v>0.3125</v>
      </c>
      <c r="G718" s="55"/>
      <c r="H718" s="55">
        <v>0.34090277777777778</v>
      </c>
      <c r="I718" s="55" t="str">
        <f t="shared" si="50"/>
        <v>13.295.279-5</v>
      </c>
      <c r="J718" s="55">
        <f t="shared" si="51"/>
        <v>0.34090277777777778</v>
      </c>
      <c r="K718" s="93">
        <f t="shared" si="52"/>
        <v>0.68166666666666664</v>
      </c>
      <c r="L718">
        <f>IFERROR(HLOOKUP(D718,Ingreso!$AN$10:$AT$260,VLOOKUP('cruce '!I718,Ingreso!$AL$11:$AM$260,2,0),0),0)</f>
        <v>0</v>
      </c>
      <c r="M718" s="95" t="str">
        <f>IFERROR(HLOOKUP(D718,Ingreso!$AW$10:$BC$260,VLOOKUP('cruce '!I718,Ingreso!$AL$11:$AM$260,2,0),0),0)</f>
        <v/>
      </c>
      <c r="N718" t="str">
        <f t="shared" si="53"/>
        <v>OK</v>
      </c>
    </row>
    <row r="719" spans="2:14">
      <c r="C719"/>
      <c r="D719" t="s">
        <v>1438</v>
      </c>
      <c r="E719" t="s">
        <v>4</v>
      </c>
      <c r="F719" s="78">
        <v>0.3125</v>
      </c>
      <c r="G719" s="55">
        <v>0.30278935185185185</v>
      </c>
      <c r="H719" s="55">
        <v>0.63987268518518514</v>
      </c>
      <c r="I719" s="55" t="str">
        <f t="shared" si="50"/>
        <v>13.295.279-5</v>
      </c>
      <c r="J719" s="55">
        <f t="shared" si="51"/>
        <v>0.33708333333333329</v>
      </c>
      <c r="K719" s="93">
        <f t="shared" si="52"/>
        <v>0.58999999999999986</v>
      </c>
      <c r="L719">
        <f>IFERROR(HLOOKUP(D719,Ingreso!$AN$10:$AT$260,VLOOKUP('cruce '!I719,Ingreso!$AL$11:$AM$260,2,0),0),0)</f>
        <v>0</v>
      </c>
      <c r="M719" s="95" t="str">
        <f>IFERROR(HLOOKUP(D719,Ingreso!$AW$10:$BC$260,VLOOKUP('cruce '!I719,Ingreso!$AL$11:$AM$260,2,0),0),0)</f>
        <v/>
      </c>
      <c r="N719" t="str">
        <f t="shared" si="53"/>
        <v>OK</v>
      </c>
    </row>
    <row r="720" spans="2:14">
      <c r="C720"/>
      <c r="D720" t="s">
        <v>1439</v>
      </c>
      <c r="E720" t="s">
        <v>4</v>
      </c>
      <c r="F720" s="78">
        <v>0.3125</v>
      </c>
      <c r="G720" s="55">
        <v>0.30359953703703707</v>
      </c>
      <c r="H720" s="55">
        <v>0.6399421296296296</v>
      </c>
      <c r="I720" s="55" t="str">
        <f t="shared" si="50"/>
        <v>13.295.279-5</v>
      </c>
      <c r="J720" s="55">
        <f t="shared" si="51"/>
        <v>0.33634259259259253</v>
      </c>
      <c r="K720" s="93">
        <f t="shared" si="52"/>
        <v>0.57222222222222108</v>
      </c>
      <c r="L720">
        <f>IFERROR(HLOOKUP(D720,Ingreso!$AN$10:$AT$260,VLOOKUP('cruce '!I720,Ingreso!$AL$11:$AM$260,2,0),0),0)</f>
        <v>0</v>
      </c>
      <c r="M720" s="95" t="str">
        <f>IFERROR(HLOOKUP(D720,Ingreso!$AW$10:$BC$260,VLOOKUP('cruce '!I720,Ingreso!$AL$11:$AM$260,2,0),0),0)</f>
        <v/>
      </c>
      <c r="N720" t="str">
        <f t="shared" si="53"/>
        <v>OK</v>
      </c>
    </row>
    <row r="721" spans="2:14">
      <c r="B721" t="s">
        <v>823</v>
      </c>
      <c r="C721" t="s">
        <v>825</v>
      </c>
      <c r="D721" t="s">
        <v>1440</v>
      </c>
      <c r="E721" t="s">
        <v>1323</v>
      </c>
      <c r="F721" s="78">
        <v>0.375</v>
      </c>
      <c r="G721" s="55">
        <v>0.91902777777777789</v>
      </c>
      <c r="H721" s="55">
        <v>0.32515046296296296</v>
      </c>
      <c r="I721" s="55" t="str">
        <f t="shared" si="50"/>
        <v>13.297.988-K</v>
      </c>
      <c r="J721" s="55">
        <f t="shared" si="51"/>
        <v>0.40612268518518502</v>
      </c>
      <c r="K721" s="93">
        <f t="shared" si="52"/>
        <v>0.7469444444444413</v>
      </c>
      <c r="L721">
        <f>IFERROR(HLOOKUP(D721,Ingreso!$AN$10:$AT$260,VLOOKUP('cruce '!I721,Ingreso!$AL$11:$AM$260,2,0),0),0)</f>
        <v>0</v>
      </c>
      <c r="M721" s="95">
        <f>IFERROR(HLOOKUP(D721,Ingreso!$AW$10:$BC$260,VLOOKUP('cruce '!I721,Ingreso!$AL$11:$AM$260,2,0),0),0)</f>
        <v>0</v>
      </c>
      <c r="N721" t="str">
        <f t="shared" si="53"/>
        <v>OK</v>
      </c>
    </row>
    <row r="722" spans="2:14">
      <c r="C722"/>
      <c r="D722" t="s">
        <v>1441</v>
      </c>
      <c r="E722" t="s">
        <v>1323</v>
      </c>
      <c r="F722" s="78">
        <v>0.375</v>
      </c>
      <c r="G722" s="55"/>
      <c r="H722" s="55">
        <v>0.31863425925925926</v>
      </c>
      <c r="I722" s="55" t="str">
        <f t="shared" si="50"/>
        <v>13.297.988-K</v>
      </c>
      <c r="J722" s="55">
        <f t="shared" si="51"/>
        <v>0.31863425925925926</v>
      </c>
      <c r="K722" s="93">
        <f t="shared" si="52"/>
        <v>-1.3527777777777779</v>
      </c>
      <c r="L722">
        <f>IFERROR(HLOOKUP(D722,Ingreso!$AN$10:$AT$260,VLOOKUP('cruce '!I722,Ingreso!$AL$11:$AM$260,2,0),0),0)</f>
        <v>0</v>
      </c>
      <c r="M722" s="95">
        <f>IFERROR(HLOOKUP(D722,Ingreso!$AW$10:$BC$260,VLOOKUP('cruce '!I722,Ingreso!$AL$11:$AM$260,2,0),0),0)</f>
        <v>0</v>
      </c>
      <c r="N722" t="str">
        <f t="shared" si="53"/>
        <v>Revisar</v>
      </c>
    </row>
    <row r="723" spans="2:14">
      <c r="C723"/>
      <c r="D723" t="s">
        <v>1437</v>
      </c>
      <c r="E723" t="s">
        <v>1323</v>
      </c>
      <c r="F723" s="78">
        <v>0.375</v>
      </c>
      <c r="G723" s="55">
        <v>0.91924768518518529</v>
      </c>
      <c r="H723" s="55"/>
      <c r="I723" s="55" t="str">
        <f t="shared" si="50"/>
        <v>13.297.988-K</v>
      </c>
      <c r="J723" s="55">
        <f t="shared" si="51"/>
        <v>8.0752314814814707E-2</v>
      </c>
      <c r="K723" s="93">
        <f t="shared" si="52"/>
        <v>-7.061944444444447</v>
      </c>
      <c r="L723">
        <f>IFERROR(HLOOKUP(D723,Ingreso!$AN$10:$AT$260,VLOOKUP('cruce '!I723,Ingreso!$AL$11:$AM$260,2,0),0),0)</f>
        <v>0</v>
      </c>
      <c r="M723" s="95">
        <f>IFERROR(HLOOKUP(D723,Ingreso!$AW$10:$BC$260,VLOOKUP('cruce '!I723,Ingreso!$AL$11:$AM$260,2,0),0),0)</f>
        <v>0</v>
      </c>
      <c r="N723" t="str">
        <f t="shared" si="53"/>
        <v>Revisar</v>
      </c>
    </row>
    <row r="724" spans="2:14">
      <c r="C724"/>
      <c r="D724" t="s">
        <v>1438</v>
      </c>
      <c r="E724" t="s">
        <v>1323</v>
      </c>
      <c r="F724" s="78">
        <v>0.375</v>
      </c>
      <c r="G724" s="55">
        <v>0.91938657407407398</v>
      </c>
      <c r="H724" s="55">
        <v>0.32402777777777775</v>
      </c>
      <c r="I724" s="55" t="str">
        <f t="shared" si="50"/>
        <v>13.297.988-K</v>
      </c>
      <c r="J724" s="55">
        <f t="shared" si="51"/>
        <v>0.40464120370370382</v>
      </c>
      <c r="K724" s="93">
        <f t="shared" si="52"/>
        <v>0.71138888888889085</v>
      </c>
      <c r="L724">
        <f>IFERROR(HLOOKUP(D724,Ingreso!$AN$10:$AT$260,VLOOKUP('cruce '!I724,Ingreso!$AL$11:$AM$260,2,0),0),0)</f>
        <v>0</v>
      </c>
      <c r="M724" s="95">
        <f>IFERROR(HLOOKUP(D724,Ingreso!$AW$10:$BC$260,VLOOKUP('cruce '!I724,Ingreso!$AL$11:$AM$260,2,0),0),0)</f>
        <v>0</v>
      </c>
      <c r="N724" t="str">
        <f t="shared" si="53"/>
        <v>OK</v>
      </c>
    </row>
    <row r="725" spans="2:14">
      <c r="C725"/>
      <c r="D725" t="s">
        <v>1439</v>
      </c>
      <c r="E725" t="s">
        <v>1323</v>
      </c>
      <c r="F725" s="78">
        <v>0.375</v>
      </c>
      <c r="G725" s="55">
        <v>0.91866898148148157</v>
      </c>
      <c r="H725" s="55">
        <v>0.32402777777777775</v>
      </c>
      <c r="I725" s="55" t="str">
        <f t="shared" si="50"/>
        <v>13.297.988-K</v>
      </c>
      <c r="J725" s="55">
        <f t="shared" si="51"/>
        <v>0.40535879629629623</v>
      </c>
      <c r="K725" s="93">
        <f t="shared" si="52"/>
        <v>0.72861111111111043</v>
      </c>
      <c r="L725">
        <f>IFERROR(HLOOKUP(D725,Ingreso!$AN$10:$AT$260,VLOOKUP('cruce '!I725,Ingreso!$AL$11:$AM$260,2,0),0),0)</f>
        <v>0</v>
      </c>
      <c r="M725" s="95">
        <f>IFERROR(HLOOKUP(D725,Ingreso!$AW$10:$BC$260,VLOOKUP('cruce '!I725,Ingreso!$AL$11:$AM$260,2,0),0),0)</f>
        <v>0</v>
      </c>
      <c r="N725" t="str">
        <f t="shared" si="53"/>
        <v>OK</v>
      </c>
    </row>
    <row r="726" spans="2:14">
      <c r="B726" t="s">
        <v>448</v>
      </c>
      <c r="C726" t="s">
        <v>451</v>
      </c>
      <c r="D726" t="s">
        <v>1440</v>
      </c>
      <c r="E726" t="s">
        <v>1474</v>
      </c>
      <c r="F726" t="s">
        <v>1472</v>
      </c>
      <c r="G726" s="55">
        <v>0.2961111111111111</v>
      </c>
      <c r="H726" s="55">
        <v>0.72728009259259263</v>
      </c>
      <c r="I726" s="55" t="str">
        <f t="shared" si="50"/>
        <v>13.486.907-0</v>
      </c>
      <c r="J726" s="55">
        <f t="shared" si="51"/>
        <v>0.43116898148148153</v>
      </c>
      <c r="K726" s="93" t="e">
        <f t="shared" si="52"/>
        <v>#VALUE!</v>
      </c>
      <c r="L726">
        <f>IFERROR(HLOOKUP(D726,Ingreso!$AN$10:$AT$260,VLOOKUP('cruce '!I726,Ingreso!$AL$11:$AM$260,2,0),0),0)</f>
        <v>0</v>
      </c>
      <c r="M726" s="95" t="str">
        <f>IFERROR(HLOOKUP(D726,Ingreso!$AW$10:$BC$260,VLOOKUP('cruce '!I726,Ingreso!$AL$11:$AM$260,2,0),0),0)</f>
        <v/>
      </c>
      <c r="N726" t="e">
        <f t="shared" si="53"/>
        <v>#VALUE!</v>
      </c>
    </row>
    <row r="727" spans="2:14">
      <c r="C727"/>
      <c r="D727" t="s">
        <v>1441</v>
      </c>
      <c r="E727" t="s">
        <v>1474</v>
      </c>
      <c r="F727" t="s">
        <v>1472</v>
      </c>
      <c r="G727" s="55">
        <v>0.29013888888888889</v>
      </c>
      <c r="H727" s="55">
        <v>0.62443287037037043</v>
      </c>
      <c r="I727" s="55" t="str">
        <f t="shared" si="50"/>
        <v>13.486.907-0</v>
      </c>
      <c r="J727" s="55">
        <f t="shared" si="51"/>
        <v>0.33429398148148154</v>
      </c>
      <c r="K727" s="93" t="e">
        <f t="shared" si="52"/>
        <v>#VALUE!</v>
      </c>
      <c r="L727">
        <f>IFERROR(HLOOKUP(D727,Ingreso!$AN$10:$AT$260,VLOOKUP('cruce '!I727,Ingreso!$AL$11:$AM$260,2,0),0),0)</f>
        <v>0</v>
      </c>
      <c r="M727" s="95" t="str">
        <f>IFERROR(HLOOKUP(D727,Ingreso!$AW$10:$BC$260,VLOOKUP('cruce '!I727,Ingreso!$AL$11:$AM$260,2,0),0),0)</f>
        <v/>
      </c>
      <c r="N727" t="e">
        <f t="shared" si="53"/>
        <v>#VALUE!</v>
      </c>
    </row>
    <row r="728" spans="2:14">
      <c r="C728"/>
      <c r="D728" t="s">
        <v>1437</v>
      </c>
      <c r="E728" t="s">
        <v>1474</v>
      </c>
      <c r="F728" t="s">
        <v>1472</v>
      </c>
      <c r="G728" s="55">
        <v>0.29148148148148151</v>
      </c>
      <c r="H728" s="55">
        <v>0.73646990740740748</v>
      </c>
      <c r="I728" s="55" t="str">
        <f t="shared" si="50"/>
        <v>13.486.907-0</v>
      </c>
      <c r="J728" s="55">
        <f t="shared" si="51"/>
        <v>0.44498842592592597</v>
      </c>
      <c r="K728" s="93" t="e">
        <f t="shared" si="52"/>
        <v>#VALUE!</v>
      </c>
      <c r="L728">
        <f>IFERROR(HLOOKUP(D728,Ingreso!$AN$10:$AT$260,VLOOKUP('cruce '!I728,Ingreso!$AL$11:$AM$260,2,0),0),0)</f>
        <v>2.5</v>
      </c>
      <c r="M728" s="95">
        <f>IFERROR(HLOOKUP(D728,Ingreso!$AW$10:$BC$260,VLOOKUP('cruce '!I728,Ingreso!$AL$11:$AM$260,2,0),0),0)</f>
        <v>0.5</v>
      </c>
      <c r="N728" t="e">
        <f t="shared" si="53"/>
        <v>#VALUE!</v>
      </c>
    </row>
    <row r="729" spans="2:14">
      <c r="C729"/>
      <c r="D729" t="s">
        <v>1438</v>
      </c>
      <c r="E729" t="s">
        <v>1474</v>
      </c>
      <c r="F729" t="s">
        <v>1472</v>
      </c>
      <c r="G729" s="55">
        <v>0.28630787037037037</v>
      </c>
      <c r="H729" s="55">
        <v>0.62663194444444448</v>
      </c>
      <c r="I729" s="55" t="str">
        <f t="shared" si="50"/>
        <v>13.486.907-0</v>
      </c>
      <c r="J729" s="55">
        <f t="shared" si="51"/>
        <v>0.34032407407407411</v>
      </c>
      <c r="K729" s="93" t="e">
        <f t="shared" si="52"/>
        <v>#VALUE!</v>
      </c>
      <c r="L729">
        <f>IFERROR(HLOOKUP(D729,Ingreso!$AN$10:$AT$260,VLOOKUP('cruce '!I729,Ingreso!$AL$11:$AM$260,2,0),0),0)</f>
        <v>0</v>
      </c>
      <c r="M729" s="95" t="str">
        <f>IFERROR(HLOOKUP(D729,Ingreso!$AW$10:$BC$260,VLOOKUP('cruce '!I729,Ingreso!$AL$11:$AM$260,2,0),0),0)</f>
        <v/>
      </c>
      <c r="N729" t="e">
        <f t="shared" si="53"/>
        <v>#VALUE!</v>
      </c>
    </row>
    <row r="730" spans="2:14">
      <c r="C730"/>
      <c r="D730" t="s">
        <v>1439</v>
      </c>
      <c r="E730" t="s">
        <v>1474</v>
      </c>
      <c r="F730" t="s">
        <v>1472</v>
      </c>
      <c r="G730" s="55">
        <v>0.28640046296296295</v>
      </c>
      <c r="H730" s="55">
        <v>0.63239583333333338</v>
      </c>
      <c r="I730" s="55" t="str">
        <f t="shared" si="50"/>
        <v>13.486.907-0</v>
      </c>
      <c r="J730" s="55">
        <f t="shared" si="51"/>
        <v>0.34599537037037043</v>
      </c>
      <c r="K730" s="93" t="e">
        <f t="shared" si="52"/>
        <v>#VALUE!</v>
      </c>
      <c r="L730">
        <f>IFERROR(HLOOKUP(D730,Ingreso!$AN$10:$AT$260,VLOOKUP('cruce '!I730,Ingreso!$AL$11:$AM$260,2,0),0),0)</f>
        <v>0</v>
      </c>
      <c r="M730" s="95" t="str">
        <f>IFERROR(HLOOKUP(D730,Ingreso!$AW$10:$BC$260,VLOOKUP('cruce '!I730,Ingreso!$AL$11:$AM$260,2,0),0),0)</f>
        <v/>
      </c>
      <c r="N730" t="e">
        <f t="shared" si="53"/>
        <v>#VALUE!</v>
      </c>
    </row>
    <row r="731" spans="2:14">
      <c r="B731" t="s">
        <v>653</v>
      </c>
      <c r="C731" t="s">
        <v>657</v>
      </c>
      <c r="D731" t="s">
        <v>1440</v>
      </c>
      <c r="E731" t="s">
        <v>1323</v>
      </c>
      <c r="F731" s="78">
        <v>0.375</v>
      </c>
      <c r="G731" s="55">
        <v>0.91850694444444436</v>
      </c>
      <c r="H731" s="55">
        <v>0.33037037037037037</v>
      </c>
      <c r="I731" s="55" t="str">
        <f t="shared" si="50"/>
        <v>13.552.988-5</v>
      </c>
      <c r="J731" s="55">
        <f t="shared" si="51"/>
        <v>0.41186342592592606</v>
      </c>
      <c r="K731" s="93">
        <f t="shared" si="52"/>
        <v>0.88472222222222641</v>
      </c>
      <c r="L731">
        <f>IFERROR(HLOOKUP(D731,Ingreso!$AN$10:$AT$260,VLOOKUP('cruce '!I731,Ingreso!$AL$11:$AM$260,2,0),0),0)</f>
        <v>0</v>
      </c>
      <c r="M731" s="95">
        <f>IFERROR(HLOOKUP(D731,Ingreso!$AW$10:$BC$260,VLOOKUP('cruce '!I731,Ingreso!$AL$11:$AM$260,2,0),0),0)</f>
        <v>0</v>
      </c>
      <c r="N731" t="str">
        <f t="shared" si="53"/>
        <v>OK</v>
      </c>
    </row>
    <row r="732" spans="2:14">
      <c r="C732"/>
      <c r="D732" t="s">
        <v>1441</v>
      </c>
      <c r="E732" t="s">
        <v>1323</v>
      </c>
      <c r="F732" s="78">
        <v>0.375</v>
      </c>
      <c r="G732" s="55"/>
      <c r="H732" s="55">
        <v>0.32961805555555557</v>
      </c>
      <c r="I732" s="55" t="str">
        <f t="shared" si="50"/>
        <v>13.552.988-5</v>
      </c>
      <c r="J732" s="55">
        <f t="shared" si="51"/>
        <v>0.32961805555555557</v>
      </c>
      <c r="K732" s="93">
        <f t="shared" si="52"/>
        <v>-1.0891666666666664</v>
      </c>
      <c r="L732">
        <f>IFERROR(HLOOKUP(D732,Ingreso!$AN$10:$AT$260,VLOOKUP('cruce '!I732,Ingreso!$AL$11:$AM$260,2,0),0),0)</f>
        <v>0</v>
      </c>
      <c r="M732" s="95">
        <f>IFERROR(HLOOKUP(D732,Ingreso!$AW$10:$BC$260,VLOOKUP('cruce '!I732,Ingreso!$AL$11:$AM$260,2,0),0),0)</f>
        <v>0</v>
      </c>
      <c r="N732" t="str">
        <f t="shared" si="53"/>
        <v>Revisar</v>
      </c>
    </row>
    <row r="733" spans="2:14">
      <c r="C733"/>
      <c r="D733" t="s">
        <v>1437</v>
      </c>
      <c r="E733" t="s">
        <v>4</v>
      </c>
      <c r="F733" s="78">
        <v>0.3125</v>
      </c>
      <c r="G733" s="55">
        <v>0.30694444444444441</v>
      </c>
      <c r="H733" s="55">
        <v>0.641087962962963</v>
      </c>
      <c r="I733" s="55" t="str">
        <f t="shared" si="50"/>
        <v>13.552.988-5</v>
      </c>
      <c r="J733" s="55">
        <f t="shared" si="51"/>
        <v>0.33414351851851859</v>
      </c>
      <c r="K733" s="93">
        <f t="shared" si="52"/>
        <v>0.51944444444444571</v>
      </c>
      <c r="L733">
        <f>IFERROR(HLOOKUP(D733,Ingreso!$AN$10:$AT$260,VLOOKUP('cruce '!I733,Ingreso!$AL$11:$AM$260,2,0),0),0)</f>
        <v>0</v>
      </c>
      <c r="M733" s="95">
        <f>IFERROR(HLOOKUP(D733,Ingreso!$AW$10:$BC$260,VLOOKUP('cruce '!I733,Ingreso!$AL$11:$AM$260,2,0),0),0)</f>
        <v>0</v>
      </c>
      <c r="N733" t="str">
        <f t="shared" si="53"/>
        <v>OK</v>
      </c>
    </row>
    <row r="734" spans="2:14">
      <c r="C734"/>
      <c r="D734" t="s">
        <v>1438</v>
      </c>
      <c r="E734" t="s">
        <v>4</v>
      </c>
      <c r="F734" s="78">
        <v>0.3125</v>
      </c>
      <c r="G734" s="55">
        <v>0.29324074074074075</v>
      </c>
      <c r="H734" s="55">
        <v>0.63966435185185189</v>
      </c>
      <c r="I734" s="55" t="str">
        <f t="shared" si="50"/>
        <v>13.552.988-5</v>
      </c>
      <c r="J734" s="55">
        <f t="shared" si="51"/>
        <v>0.34642361111111114</v>
      </c>
      <c r="K734" s="93">
        <f t="shared" si="52"/>
        <v>0.81416666666666693</v>
      </c>
      <c r="L734">
        <f>IFERROR(HLOOKUP(D734,Ingreso!$AN$10:$AT$260,VLOOKUP('cruce '!I734,Ingreso!$AL$11:$AM$260,2,0),0),0)</f>
        <v>0</v>
      </c>
      <c r="M734" s="95">
        <f>IFERROR(HLOOKUP(D734,Ingreso!$AW$10:$BC$260,VLOOKUP('cruce '!I734,Ingreso!$AL$11:$AM$260,2,0),0),0)</f>
        <v>0</v>
      </c>
      <c r="N734" t="str">
        <f t="shared" si="53"/>
        <v>OK</v>
      </c>
    </row>
    <row r="735" spans="2:14">
      <c r="C735"/>
      <c r="D735" t="s">
        <v>1439</v>
      </c>
      <c r="E735" t="s">
        <v>4</v>
      </c>
      <c r="F735" s="78">
        <v>0.3125</v>
      </c>
      <c r="G735" s="55">
        <v>0.29393518518518519</v>
      </c>
      <c r="H735" s="55"/>
      <c r="I735" s="55" t="str">
        <f t="shared" si="50"/>
        <v>13.552.988-5</v>
      </c>
      <c r="J735" s="55">
        <f t="shared" si="51"/>
        <v>0.70606481481481476</v>
      </c>
      <c r="K735" s="93">
        <f t="shared" si="52"/>
        <v>9.4455555555555542</v>
      </c>
      <c r="L735">
        <f>IFERROR(HLOOKUP(D735,Ingreso!$AN$10:$AT$260,VLOOKUP('cruce '!I735,Ingreso!$AL$11:$AM$260,2,0),0),0)</f>
        <v>0</v>
      </c>
      <c r="M735" s="95">
        <f>IFERROR(HLOOKUP(D735,Ingreso!$AW$10:$BC$260,VLOOKUP('cruce '!I735,Ingreso!$AL$11:$AM$260,2,0),0),0)</f>
        <v>0</v>
      </c>
      <c r="N735" t="str">
        <f t="shared" si="53"/>
        <v>Revisar</v>
      </c>
    </row>
    <row r="736" spans="2:14">
      <c r="C736"/>
      <c r="D736"/>
      <c r="E736" t="s">
        <v>1323</v>
      </c>
      <c r="F736" s="78">
        <v>0.375</v>
      </c>
      <c r="G736" s="55">
        <v>0.91775462962962961</v>
      </c>
      <c r="H736" s="55">
        <v>0.33760416666666665</v>
      </c>
      <c r="I736" s="55" t="str">
        <f t="shared" si="50"/>
        <v>13.552.988-5</v>
      </c>
      <c r="J736" s="55">
        <f t="shared" si="51"/>
        <v>0.41984953703703709</v>
      </c>
      <c r="K736" s="93">
        <f t="shared" si="52"/>
        <v>1.0763888888888893</v>
      </c>
      <c r="L736">
        <f>IFERROR(HLOOKUP(D736,Ingreso!$AN$10:$AT$260,VLOOKUP('cruce '!I736,Ingreso!$AL$11:$AM$260,2,0),0),0)</f>
        <v>0</v>
      </c>
      <c r="M736" s="95">
        <f>IFERROR(HLOOKUP(D736,Ingreso!$AW$10:$BC$260,VLOOKUP('cruce '!I736,Ingreso!$AL$11:$AM$260,2,0),0),0)</f>
        <v>0</v>
      </c>
      <c r="N736" t="str">
        <f t="shared" si="53"/>
        <v>Revisar</v>
      </c>
    </row>
    <row r="737" spans="2:14">
      <c r="B737" t="s">
        <v>867</v>
      </c>
      <c r="C737" t="s">
        <v>869</v>
      </c>
      <c r="D737" t="s">
        <v>1440</v>
      </c>
      <c r="E737" t="s">
        <v>4</v>
      </c>
      <c r="F737" s="78">
        <v>0.3125</v>
      </c>
      <c r="G737" s="55">
        <v>0.30761574074074077</v>
      </c>
      <c r="H737" s="55">
        <v>0.71520833333333333</v>
      </c>
      <c r="I737" s="55" t="str">
        <f t="shared" si="50"/>
        <v>13.553.033-6</v>
      </c>
      <c r="J737" s="55">
        <f t="shared" si="51"/>
        <v>0.40759259259259256</v>
      </c>
      <c r="K737" s="93">
        <f t="shared" si="52"/>
        <v>2.2822222222222219</v>
      </c>
      <c r="L737">
        <f>IFERROR(HLOOKUP(D737,Ingreso!$AN$10:$AT$260,VLOOKUP('cruce '!I737,Ingreso!$AL$11:$AM$260,2,0),0),0)</f>
        <v>0</v>
      </c>
      <c r="M737" s="95">
        <f>IFERROR(HLOOKUP(D737,Ingreso!$AW$10:$BC$260,VLOOKUP('cruce '!I737,Ingreso!$AL$11:$AM$260,2,0),0),0)</f>
        <v>0</v>
      </c>
      <c r="N737" t="str">
        <f t="shared" si="53"/>
        <v>Revisar</v>
      </c>
    </row>
    <row r="738" spans="2:14">
      <c r="C738"/>
      <c r="D738" t="s">
        <v>1441</v>
      </c>
      <c r="E738" t="s">
        <v>4</v>
      </c>
      <c r="F738" s="78">
        <v>0.3125</v>
      </c>
      <c r="G738" s="55"/>
      <c r="H738" s="55">
        <v>0.75923611111111111</v>
      </c>
      <c r="I738" s="55" t="str">
        <f t="shared" si="50"/>
        <v>13.553.033-6</v>
      </c>
      <c r="J738" s="55">
        <f t="shared" si="51"/>
        <v>0.75923611111111111</v>
      </c>
      <c r="K738" s="93">
        <f t="shared" si="52"/>
        <v>10.721666666666668</v>
      </c>
      <c r="L738">
        <f>IFERROR(HLOOKUP(D738,Ingreso!$AN$10:$AT$260,VLOOKUP('cruce '!I738,Ingreso!$AL$11:$AM$260,2,0),0),0)</f>
        <v>0</v>
      </c>
      <c r="M738" s="95">
        <f>IFERROR(HLOOKUP(D738,Ingreso!$AW$10:$BC$260,VLOOKUP('cruce '!I738,Ingreso!$AL$11:$AM$260,2,0),0),0)</f>
        <v>0</v>
      </c>
      <c r="N738" t="str">
        <f t="shared" si="53"/>
        <v>Revisar</v>
      </c>
    </row>
    <row r="739" spans="2:14">
      <c r="C739"/>
      <c r="D739"/>
      <c r="E739" t="s">
        <v>1323</v>
      </c>
      <c r="F739" s="78">
        <v>0.375</v>
      </c>
      <c r="G739" s="55">
        <v>0.32027777777777777</v>
      </c>
      <c r="H739" s="55"/>
      <c r="I739" s="55" t="str">
        <f t="shared" si="50"/>
        <v>13.553.033-6</v>
      </c>
      <c r="J739" s="55">
        <f t="shared" si="51"/>
        <v>0.67972222222222223</v>
      </c>
      <c r="K739" s="93">
        <f t="shared" si="52"/>
        <v>7.3133333333333326</v>
      </c>
      <c r="L739">
        <f>IFERROR(HLOOKUP(D739,Ingreso!$AN$10:$AT$260,VLOOKUP('cruce '!I739,Ingreso!$AL$11:$AM$260,2,0),0),0)</f>
        <v>0</v>
      </c>
      <c r="M739" s="95">
        <f>IFERROR(HLOOKUP(D739,Ingreso!$AW$10:$BC$260,VLOOKUP('cruce '!I739,Ingreso!$AL$11:$AM$260,2,0),0),0)</f>
        <v>0</v>
      </c>
      <c r="N739" t="str">
        <f t="shared" si="53"/>
        <v>Revisar</v>
      </c>
    </row>
    <row r="740" spans="2:14">
      <c r="C740"/>
      <c r="D740" t="s">
        <v>1437</v>
      </c>
      <c r="E740" t="s">
        <v>4</v>
      </c>
      <c r="F740" s="78">
        <v>0.3125</v>
      </c>
      <c r="G740" s="55">
        <v>0.30459490740740741</v>
      </c>
      <c r="H740" s="55">
        <v>0.72983796296296299</v>
      </c>
      <c r="I740" s="55" t="str">
        <f t="shared" si="50"/>
        <v>13.553.033-6</v>
      </c>
      <c r="J740" s="55">
        <f t="shared" si="51"/>
        <v>0.42524305555555558</v>
      </c>
      <c r="K740" s="93">
        <f t="shared" si="52"/>
        <v>2.7058333333333344</v>
      </c>
      <c r="L740">
        <f>IFERROR(HLOOKUP(D740,Ingreso!$AN$10:$AT$260,VLOOKUP('cruce '!I740,Ingreso!$AL$11:$AM$260,2,0),0),0)</f>
        <v>0</v>
      </c>
      <c r="M740" s="95">
        <f>IFERROR(HLOOKUP(D740,Ingreso!$AW$10:$BC$260,VLOOKUP('cruce '!I740,Ingreso!$AL$11:$AM$260,2,0),0),0)</f>
        <v>0</v>
      </c>
      <c r="N740" t="str">
        <f t="shared" si="53"/>
        <v>Revisar</v>
      </c>
    </row>
    <row r="741" spans="2:14">
      <c r="C741"/>
      <c r="D741" t="s">
        <v>1438</v>
      </c>
      <c r="E741" t="s">
        <v>4</v>
      </c>
      <c r="F741" s="78">
        <v>0.3125</v>
      </c>
      <c r="G741" s="55">
        <v>0.29928240740740741</v>
      </c>
      <c r="H741" s="55">
        <v>0.72531249999999992</v>
      </c>
      <c r="I741" s="55" t="str">
        <f t="shared" si="50"/>
        <v>13.553.033-6</v>
      </c>
      <c r="J741" s="55">
        <f t="shared" si="51"/>
        <v>0.4260300925925925</v>
      </c>
      <c r="K741" s="93">
        <f t="shared" si="52"/>
        <v>2.7247222222222192</v>
      </c>
      <c r="L741">
        <f>IFERROR(HLOOKUP(D741,Ingreso!$AN$10:$AT$260,VLOOKUP('cruce '!I741,Ingreso!$AL$11:$AM$260,2,0),0),0)</f>
        <v>0</v>
      </c>
      <c r="M741" s="95">
        <f>IFERROR(HLOOKUP(D741,Ingreso!$AW$10:$BC$260,VLOOKUP('cruce '!I741,Ingreso!$AL$11:$AM$260,2,0),0),0)</f>
        <v>0</v>
      </c>
      <c r="N741" t="str">
        <f t="shared" si="53"/>
        <v>Revisar</v>
      </c>
    </row>
    <row r="742" spans="2:14">
      <c r="C742"/>
      <c r="D742" t="s">
        <v>1439</v>
      </c>
      <c r="E742" t="s">
        <v>4</v>
      </c>
      <c r="F742" s="78">
        <v>0.3125</v>
      </c>
      <c r="G742" s="55">
        <v>0.29681712962962964</v>
      </c>
      <c r="H742" s="55"/>
      <c r="I742" s="55" t="str">
        <f t="shared" si="50"/>
        <v>13.553.033-6</v>
      </c>
      <c r="J742" s="55">
        <f t="shared" si="51"/>
        <v>0.70318287037037042</v>
      </c>
      <c r="K742" s="93">
        <f t="shared" si="52"/>
        <v>9.37638888888889</v>
      </c>
      <c r="L742">
        <f>IFERROR(HLOOKUP(D742,Ingreso!$AN$10:$AT$260,VLOOKUP('cruce '!I742,Ingreso!$AL$11:$AM$260,2,0),0),0)</f>
        <v>0</v>
      </c>
      <c r="M742" s="95">
        <f>IFERROR(HLOOKUP(D742,Ingreso!$AW$10:$BC$260,VLOOKUP('cruce '!I742,Ingreso!$AL$11:$AM$260,2,0),0),0)</f>
        <v>0</v>
      </c>
      <c r="N742" t="str">
        <f t="shared" si="53"/>
        <v>Revisar</v>
      </c>
    </row>
    <row r="743" spans="2:14">
      <c r="C743"/>
      <c r="D743"/>
      <c r="E743" t="s">
        <v>1473</v>
      </c>
      <c r="F743" t="s">
        <v>1472</v>
      </c>
      <c r="G743" s="55"/>
      <c r="H743" s="55">
        <v>0.82746527777777779</v>
      </c>
      <c r="I743" s="55" t="str">
        <f t="shared" si="50"/>
        <v>13.553.033-6</v>
      </c>
      <c r="J743" s="55">
        <f t="shared" si="51"/>
        <v>0.82746527777777779</v>
      </c>
      <c r="K743" s="93" t="e">
        <f t="shared" si="52"/>
        <v>#VALUE!</v>
      </c>
      <c r="L743">
        <f>IFERROR(HLOOKUP(D743,Ingreso!$AN$10:$AT$260,VLOOKUP('cruce '!I743,Ingreso!$AL$11:$AM$260,2,0),0),0)</f>
        <v>0</v>
      </c>
      <c r="M743" s="95">
        <f>IFERROR(HLOOKUP(D743,Ingreso!$AW$10:$BC$260,VLOOKUP('cruce '!I743,Ingreso!$AL$11:$AM$260,2,0),0),0)</f>
        <v>0</v>
      </c>
      <c r="N743" t="e">
        <f t="shared" si="53"/>
        <v>#VALUE!</v>
      </c>
    </row>
    <row r="744" spans="2:14">
      <c r="B744" t="s">
        <v>148</v>
      </c>
      <c r="C744" t="s">
        <v>152</v>
      </c>
      <c r="D744" t="s">
        <v>1440</v>
      </c>
      <c r="E744" t="s">
        <v>1323</v>
      </c>
      <c r="F744" s="78">
        <v>0.375</v>
      </c>
      <c r="G744" s="55">
        <v>0.31506944444444446</v>
      </c>
      <c r="H744" s="55">
        <v>0.63839120370370372</v>
      </c>
      <c r="I744" s="55" t="str">
        <f t="shared" si="50"/>
        <v>13.557.248-9</v>
      </c>
      <c r="J744" s="55">
        <f t="shared" si="51"/>
        <v>0.32332175925925927</v>
      </c>
      <c r="K744" s="93">
        <f t="shared" si="52"/>
        <v>-1.2402777777777771</v>
      </c>
      <c r="L744">
        <f>IFERROR(HLOOKUP(D744,Ingreso!$AN$10:$AT$260,VLOOKUP('cruce '!I744,Ingreso!$AL$11:$AM$260,2,0),0),0)</f>
        <v>0</v>
      </c>
      <c r="M744" s="95" t="str">
        <f>IFERROR(HLOOKUP(D744,Ingreso!$AW$10:$BC$260,VLOOKUP('cruce '!I744,Ingreso!$AL$11:$AM$260,2,0),0),0)</f>
        <v/>
      </c>
      <c r="N744" t="str">
        <f t="shared" si="53"/>
        <v>Revisar</v>
      </c>
    </row>
    <row r="745" spans="2:14">
      <c r="C745"/>
      <c r="D745" t="s">
        <v>1436</v>
      </c>
      <c r="E745" t="s">
        <v>1323</v>
      </c>
      <c r="F745" s="78">
        <v>0.375</v>
      </c>
      <c r="G745" s="55">
        <v>0.99699074074074068</v>
      </c>
      <c r="H745" s="55"/>
      <c r="I745" s="55" t="str">
        <f t="shared" si="50"/>
        <v>13.557.248-9</v>
      </c>
      <c r="J745" s="55">
        <f t="shared" si="51"/>
        <v>3.0092592592593226E-3</v>
      </c>
      <c r="K745" s="93">
        <f t="shared" si="52"/>
        <v>-8.9277777777777771</v>
      </c>
      <c r="L745">
        <f>IFERROR(HLOOKUP(D745,Ingreso!$AN$10:$AT$260,VLOOKUP('cruce '!I745,Ingreso!$AL$11:$AM$260,2,0),0),0)</f>
        <v>7.5</v>
      </c>
      <c r="M745" s="95">
        <f>IFERROR(HLOOKUP(D745,Ingreso!$AW$10:$BC$260,VLOOKUP('cruce '!I745,Ingreso!$AL$11:$AM$260,2,0),0),0)</f>
        <v>1</v>
      </c>
      <c r="N745" t="str">
        <f t="shared" si="53"/>
        <v>Revisar</v>
      </c>
    </row>
    <row r="746" spans="2:14">
      <c r="C746"/>
      <c r="D746" t="s">
        <v>1437</v>
      </c>
      <c r="E746" t="s">
        <v>1323</v>
      </c>
      <c r="F746" s="78">
        <v>0.375</v>
      </c>
      <c r="G746" s="55">
        <v>0.6230324074074074</v>
      </c>
      <c r="H746" s="55">
        <v>1.2404861111111112</v>
      </c>
      <c r="I746" s="55" t="str">
        <f t="shared" si="50"/>
        <v>13.557.248-9</v>
      </c>
      <c r="J746" s="55">
        <f t="shared" si="51"/>
        <v>0.61745370370370378</v>
      </c>
      <c r="K746" s="93">
        <f t="shared" si="52"/>
        <v>5.8188888888888908</v>
      </c>
      <c r="L746">
        <f>IFERROR(HLOOKUP(D746,Ingreso!$AN$10:$AT$260,VLOOKUP('cruce '!I746,Ingreso!$AL$11:$AM$260,2,0),0),0)</f>
        <v>0</v>
      </c>
      <c r="M746" s="95" t="str">
        <f>IFERROR(HLOOKUP(D746,Ingreso!$AW$10:$BC$260,VLOOKUP('cruce '!I746,Ingreso!$AL$11:$AM$260,2,0),0),0)</f>
        <v/>
      </c>
      <c r="N746" t="str">
        <f t="shared" si="53"/>
        <v>Revisar</v>
      </c>
    </row>
    <row r="747" spans="2:14">
      <c r="C747"/>
      <c r="D747" t="s">
        <v>1438</v>
      </c>
      <c r="E747" t="s">
        <v>1323</v>
      </c>
      <c r="F747" s="78">
        <v>0.375</v>
      </c>
      <c r="G747" s="55">
        <v>0.62523148148148155</v>
      </c>
      <c r="H747" s="55">
        <v>0.93633101851851841</v>
      </c>
      <c r="I747" s="55" t="str">
        <f t="shared" si="50"/>
        <v>13.557.248-9</v>
      </c>
      <c r="J747" s="55">
        <f t="shared" si="51"/>
        <v>0.31109953703703686</v>
      </c>
      <c r="K747" s="93">
        <f t="shared" si="52"/>
        <v>-1.5336111111111155</v>
      </c>
      <c r="L747">
        <f>IFERROR(HLOOKUP(D747,Ingreso!$AN$10:$AT$260,VLOOKUP('cruce '!I747,Ingreso!$AL$11:$AM$260,2,0),0),0)</f>
        <v>0</v>
      </c>
      <c r="M747" s="95" t="str">
        <f>IFERROR(HLOOKUP(D747,Ingreso!$AW$10:$BC$260,VLOOKUP('cruce '!I747,Ingreso!$AL$11:$AM$260,2,0),0),0)</f>
        <v/>
      </c>
      <c r="N747" t="str">
        <f t="shared" si="53"/>
        <v>Revisar</v>
      </c>
    </row>
    <row r="748" spans="2:14">
      <c r="C748"/>
      <c r="D748" t="s">
        <v>1439</v>
      </c>
      <c r="E748" t="s">
        <v>1323</v>
      </c>
      <c r="F748" s="78">
        <v>0.375</v>
      </c>
      <c r="G748" s="55">
        <v>0.31496527777777777</v>
      </c>
      <c r="H748" s="55">
        <v>0.63328703703703704</v>
      </c>
      <c r="I748" s="55" t="str">
        <f t="shared" si="50"/>
        <v>13.557.248-9</v>
      </c>
      <c r="J748" s="55">
        <f t="shared" si="51"/>
        <v>0.31832175925925926</v>
      </c>
      <c r="K748" s="93">
        <f t="shared" si="52"/>
        <v>-1.3602777777777781</v>
      </c>
      <c r="L748">
        <f>IFERROR(HLOOKUP(D748,Ingreso!$AN$10:$AT$260,VLOOKUP('cruce '!I748,Ingreso!$AL$11:$AM$260,2,0),0),0)</f>
        <v>0</v>
      </c>
      <c r="M748" s="95" t="str">
        <f>IFERROR(HLOOKUP(D748,Ingreso!$AW$10:$BC$260,VLOOKUP('cruce '!I748,Ingreso!$AL$11:$AM$260,2,0),0),0)</f>
        <v/>
      </c>
      <c r="N748" t="str">
        <f t="shared" si="53"/>
        <v>Revisar</v>
      </c>
    </row>
    <row r="749" spans="2:14">
      <c r="B749" t="s">
        <v>736</v>
      </c>
      <c r="C749" t="s">
        <v>740</v>
      </c>
      <c r="D749" t="s">
        <v>1440</v>
      </c>
      <c r="E749" t="s">
        <v>1321</v>
      </c>
      <c r="F749" s="78">
        <v>0.3125</v>
      </c>
      <c r="G749" s="55">
        <v>0.60766203703703703</v>
      </c>
      <c r="H749" s="55">
        <v>0.93674768518518514</v>
      </c>
      <c r="I749" s="55" t="str">
        <f t="shared" si="50"/>
        <v>13.681.026-K</v>
      </c>
      <c r="J749" s="55">
        <f t="shared" si="51"/>
        <v>0.32908564814814811</v>
      </c>
      <c r="K749" s="93">
        <f t="shared" si="52"/>
        <v>0.39805555555555472</v>
      </c>
      <c r="L749">
        <f>IFERROR(HLOOKUP(D749,Ingreso!$AN$10:$AT$260,VLOOKUP('cruce '!I749,Ingreso!$AL$11:$AM$260,2,0),0),0)</f>
        <v>0</v>
      </c>
      <c r="M749" s="95" t="str">
        <f>IFERROR(HLOOKUP(D749,Ingreso!$AW$10:$BC$260,VLOOKUP('cruce '!I749,Ingreso!$AL$11:$AM$260,2,0),0),0)</f>
        <v/>
      </c>
      <c r="N749" t="str">
        <f t="shared" si="53"/>
        <v>OK</v>
      </c>
    </row>
    <row r="750" spans="2:14">
      <c r="C750"/>
      <c r="D750" t="s">
        <v>1441</v>
      </c>
      <c r="E750" t="s">
        <v>1321</v>
      </c>
      <c r="F750" s="78">
        <v>0.3125</v>
      </c>
      <c r="G750" s="55">
        <v>0.61679398148148146</v>
      </c>
      <c r="H750" s="55">
        <v>0.89009259259259255</v>
      </c>
      <c r="I750" s="55" t="str">
        <f t="shared" si="50"/>
        <v>13.681.026-K</v>
      </c>
      <c r="J750" s="55">
        <f t="shared" si="51"/>
        <v>0.27329861111111109</v>
      </c>
      <c r="K750" s="93">
        <f t="shared" si="52"/>
        <v>-0.94083333333333385</v>
      </c>
      <c r="L750">
        <f>IFERROR(HLOOKUP(D750,Ingreso!$AN$10:$AT$260,VLOOKUP('cruce '!I750,Ingreso!$AL$11:$AM$260,2,0),0),0)</f>
        <v>0</v>
      </c>
      <c r="M750" s="95" t="str">
        <f>IFERROR(HLOOKUP(D750,Ingreso!$AW$10:$BC$260,VLOOKUP('cruce '!I750,Ingreso!$AL$11:$AM$260,2,0),0),0)</f>
        <v/>
      </c>
      <c r="N750" t="str">
        <f t="shared" si="53"/>
        <v>OK</v>
      </c>
    </row>
    <row r="751" spans="2:14">
      <c r="C751"/>
      <c r="D751" t="s">
        <v>1437</v>
      </c>
      <c r="E751" t="s">
        <v>1321</v>
      </c>
      <c r="F751" s="78">
        <v>0.3125</v>
      </c>
      <c r="G751" s="55">
        <v>0.60758101851851853</v>
      </c>
      <c r="H751" s="55">
        <v>0.9356712962962962</v>
      </c>
      <c r="I751" s="55" t="str">
        <f t="shared" si="50"/>
        <v>13.681.026-K</v>
      </c>
      <c r="J751" s="55">
        <f t="shared" si="51"/>
        <v>0.32809027777777766</v>
      </c>
      <c r="K751" s="93">
        <f t="shared" si="52"/>
        <v>0.37416666666666387</v>
      </c>
      <c r="L751">
        <f>IFERROR(HLOOKUP(D751,Ingreso!$AN$10:$AT$260,VLOOKUP('cruce '!I751,Ingreso!$AL$11:$AM$260,2,0),0),0)</f>
        <v>0</v>
      </c>
      <c r="M751" s="95" t="str">
        <f>IFERROR(HLOOKUP(D751,Ingreso!$AW$10:$BC$260,VLOOKUP('cruce '!I751,Ingreso!$AL$11:$AM$260,2,0),0),0)</f>
        <v/>
      </c>
      <c r="N751" t="str">
        <f t="shared" si="53"/>
        <v>OK</v>
      </c>
    </row>
    <row r="752" spans="2:14">
      <c r="C752"/>
      <c r="D752" t="s">
        <v>1438</v>
      </c>
      <c r="E752" t="s">
        <v>1321</v>
      </c>
      <c r="F752" s="78">
        <v>0.3125</v>
      </c>
      <c r="G752" s="55">
        <v>0.61021990740740739</v>
      </c>
      <c r="H752" s="55">
        <v>0.93685185185185194</v>
      </c>
      <c r="I752" s="55" t="str">
        <f t="shared" si="50"/>
        <v>13.681.026-K</v>
      </c>
      <c r="J752" s="55">
        <f t="shared" si="51"/>
        <v>0.32663194444444454</v>
      </c>
      <c r="K752" s="93">
        <f t="shared" si="52"/>
        <v>0.33916666666666906</v>
      </c>
      <c r="L752">
        <f>IFERROR(HLOOKUP(D752,Ingreso!$AN$10:$AT$260,VLOOKUP('cruce '!I752,Ingreso!$AL$11:$AM$260,2,0),0),0)</f>
        <v>0</v>
      </c>
      <c r="M752" s="95" t="str">
        <f>IFERROR(HLOOKUP(D752,Ingreso!$AW$10:$BC$260,VLOOKUP('cruce '!I752,Ingreso!$AL$11:$AM$260,2,0),0),0)</f>
        <v/>
      </c>
      <c r="N752" t="str">
        <f t="shared" si="53"/>
        <v>OK</v>
      </c>
    </row>
    <row r="753" spans="2:14">
      <c r="C753"/>
      <c r="D753" t="s">
        <v>1439</v>
      </c>
      <c r="E753" t="s">
        <v>1321</v>
      </c>
      <c r="F753" s="78">
        <v>0.3125</v>
      </c>
      <c r="G753" s="55">
        <v>0.62950231481481478</v>
      </c>
      <c r="H753" s="55">
        <v>0.93759259259259264</v>
      </c>
      <c r="I753" s="55" t="str">
        <f t="shared" si="50"/>
        <v>13.681.026-K</v>
      </c>
      <c r="J753" s="55">
        <f t="shared" si="51"/>
        <v>0.30809027777777787</v>
      </c>
      <c r="K753" s="93">
        <f t="shared" si="52"/>
        <v>-0.10583333333333123</v>
      </c>
      <c r="L753">
        <f>IFERROR(HLOOKUP(D753,Ingreso!$AN$10:$AT$260,VLOOKUP('cruce '!I753,Ingreso!$AL$11:$AM$260,2,0),0),0)</f>
        <v>0</v>
      </c>
      <c r="M753" s="95" t="str">
        <f>IFERROR(HLOOKUP(D753,Ingreso!$AW$10:$BC$260,VLOOKUP('cruce '!I753,Ingreso!$AL$11:$AM$260,2,0),0),0)</f>
        <v/>
      </c>
      <c r="N753" t="str">
        <f t="shared" si="53"/>
        <v>OK</v>
      </c>
    </row>
    <row r="754" spans="2:14">
      <c r="B754" t="s">
        <v>1241</v>
      </c>
      <c r="C754" t="s">
        <v>1244</v>
      </c>
      <c r="D754" t="s">
        <v>1440</v>
      </c>
      <c r="E754" t="s">
        <v>1321</v>
      </c>
      <c r="F754" s="78">
        <v>0.3125</v>
      </c>
      <c r="G754" s="55">
        <v>0.60607638888888882</v>
      </c>
      <c r="H754" s="55">
        <v>0.9494097222222222</v>
      </c>
      <c r="I754" s="55" t="str">
        <f t="shared" si="50"/>
        <v>13.688.839-0</v>
      </c>
      <c r="J754" s="55">
        <f t="shared" si="51"/>
        <v>0.34333333333333338</v>
      </c>
      <c r="K754" s="93">
        <f t="shared" si="52"/>
        <v>0.74000000000000199</v>
      </c>
      <c r="L754">
        <f>IFERROR(HLOOKUP(D754,Ingreso!$AN$10:$AT$260,VLOOKUP('cruce '!I754,Ingreso!$AL$11:$AM$260,2,0),0),0)</f>
        <v>0</v>
      </c>
      <c r="M754" s="95">
        <f>IFERROR(HLOOKUP(D754,Ingreso!$AW$10:$BC$260,VLOOKUP('cruce '!I754,Ingreso!$AL$11:$AM$260,2,0),0),0)</f>
        <v>0</v>
      </c>
      <c r="N754" t="str">
        <f t="shared" si="53"/>
        <v>OK</v>
      </c>
    </row>
    <row r="755" spans="2:14">
      <c r="C755"/>
      <c r="D755" t="s">
        <v>1441</v>
      </c>
      <c r="E755" t="s">
        <v>1321</v>
      </c>
      <c r="F755" s="78">
        <v>0.3125</v>
      </c>
      <c r="G755" s="55">
        <v>0.60802083333333334</v>
      </c>
      <c r="H755" s="55">
        <v>0.9488657407407407</v>
      </c>
      <c r="I755" s="55" t="str">
        <f t="shared" si="50"/>
        <v>13.688.839-0</v>
      </c>
      <c r="J755" s="55">
        <f t="shared" si="51"/>
        <v>0.34084490740740736</v>
      </c>
      <c r="K755" s="93">
        <f t="shared" si="52"/>
        <v>0.68027777777777665</v>
      </c>
      <c r="L755">
        <f>IFERROR(HLOOKUP(D755,Ingreso!$AN$10:$AT$260,VLOOKUP('cruce '!I755,Ingreso!$AL$11:$AM$260,2,0),0),0)</f>
        <v>0</v>
      </c>
      <c r="M755" s="95">
        <f>IFERROR(HLOOKUP(D755,Ingreso!$AW$10:$BC$260,VLOOKUP('cruce '!I755,Ingreso!$AL$11:$AM$260,2,0),0),0)</f>
        <v>0</v>
      </c>
      <c r="N755" t="str">
        <f t="shared" si="53"/>
        <v>OK</v>
      </c>
    </row>
    <row r="756" spans="2:14">
      <c r="C756"/>
      <c r="D756" t="s">
        <v>1437</v>
      </c>
      <c r="E756" t="s">
        <v>1321</v>
      </c>
      <c r="F756" s="78">
        <v>0.3125</v>
      </c>
      <c r="G756" s="55">
        <v>0.60812500000000003</v>
      </c>
      <c r="H756" s="55">
        <v>0.95126157407407408</v>
      </c>
      <c r="I756" s="55" t="str">
        <f t="shared" si="50"/>
        <v>13.688.839-0</v>
      </c>
      <c r="J756" s="55">
        <f t="shared" si="51"/>
        <v>0.34313657407407405</v>
      </c>
      <c r="K756" s="93">
        <f t="shared" si="52"/>
        <v>0.73527777777777814</v>
      </c>
      <c r="L756">
        <f>IFERROR(HLOOKUP(D756,Ingreso!$AN$10:$AT$260,VLOOKUP('cruce '!I756,Ingreso!$AL$11:$AM$260,2,0),0),0)</f>
        <v>0</v>
      </c>
      <c r="M756" s="95">
        <f>IFERROR(HLOOKUP(D756,Ingreso!$AW$10:$BC$260,VLOOKUP('cruce '!I756,Ingreso!$AL$11:$AM$260,2,0),0),0)</f>
        <v>0</v>
      </c>
      <c r="N756" t="str">
        <f t="shared" si="53"/>
        <v>OK</v>
      </c>
    </row>
    <row r="757" spans="2:14">
      <c r="C757"/>
      <c r="D757" t="s">
        <v>1438</v>
      </c>
      <c r="E757" t="s">
        <v>1321</v>
      </c>
      <c r="F757" s="78">
        <v>0.3125</v>
      </c>
      <c r="G757" s="55">
        <v>0.60444444444444445</v>
      </c>
      <c r="H757" s="55">
        <v>0.94870370370370372</v>
      </c>
      <c r="I757" s="55" t="str">
        <f t="shared" si="50"/>
        <v>13.688.839-0</v>
      </c>
      <c r="J757" s="55">
        <f t="shared" si="51"/>
        <v>0.34425925925925926</v>
      </c>
      <c r="K757" s="93">
        <f t="shared" si="52"/>
        <v>0.76222222222222236</v>
      </c>
      <c r="L757">
        <f>IFERROR(HLOOKUP(D757,Ingreso!$AN$10:$AT$260,VLOOKUP('cruce '!I757,Ingreso!$AL$11:$AM$260,2,0),0),0)</f>
        <v>0</v>
      </c>
      <c r="M757" s="95">
        <f>IFERROR(HLOOKUP(D757,Ingreso!$AW$10:$BC$260,VLOOKUP('cruce '!I757,Ingreso!$AL$11:$AM$260,2,0),0),0)</f>
        <v>0</v>
      </c>
      <c r="N757" t="str">
        <f t="shared" si="53"/>
        <v>OK</v>
      </c>
    </row>
    <row r="758" spans="2:14">
      <c r="C758"/>
      <c r="D758" t="s">
        <v>1439</v>
      </c>
      <c r="E758" t="s">
        <v>1321</v>
      </c>
      <c r="F758" s="78">
        <v>0.3125</v>
      </c>
      <c r="G758" s="55">
        <v>0.60603009259259266</v>
      </c>
      <c r="H758" s="55">
        <v>0.94687500000000002</v>
      </c>
      <c r="I758" s="55" t="str">
        <f t="shared" si="50"/>
        <v>13.688.839-0</v>
      </c>
      <c r="J758" s="55">
        <f t="shared" si="51"/>
        <v>0.34084490740740736</v>
      </c>
      <c r="K758" s="93">
        <f t="shared" si="52"/>
        <v>0.68027777777777665</v>
      </c>
      <c r="L758">
        <f>IFERROR(HLOOKUP(D758,Ingreso!$AN$10:$AT$260,VLOOKUP('cruce '!I758,Ingreso!$AL$11:$AM$260,2,0),0),0)</f>
        <v>0</v>
      </c>
      <c r="M758" s="95">
        <f>IFERROR(HLOOKUP(D758,Ingreso!$AW$10:$BC$260,VLOOKUP('cruce '!I758,Ingreso!$AL$11:$AM$260,2,0),0),0)</f>
        <v>0</v>
      </c>
      <c r="N758" t="str">
        <f t="shared" si="53"/>
        <v>OK</v>
      </c>
    </row>
    <row r="759" spans="2:14">
      <c r="B759" t="s">
        <v>633</v>
      </c>
      <c r="C759" t="s">
        <v>636</v>
      </c>
      <c r="D759" t="s">
        <v>1440</v>
      </c>
      <c r="E759" t="s">
        <v>1323</v>
      </c>
      <c r="F759" s="78">
        <v>0.375</v>
      </c>
      <c r="G759" s="55">
        <v>0.91935185185185186</v>
      </c>
      <c r="H759" s="55">
        <v>0.32822916666666663</v>
      </c>
      <c r="I759" s="55" t="str">
        <f t="shared" si="50"/>
        <v>13.700.526-3</v>
      </c>
      <c r="J759" s="55">
        <f t="shared" si="51"/>
        <v>0.40887731481481471</v>
      </c>
      <c r="K759" s="93">
        <f t="shared" si="52"/>
        <v>0.81305555555555387</v>
      </c>
      <c r="L759">
        <f>IFERROR(HLOOKUP(D759,Ingreso!$AN$10:$AT$260,VLOOKUP('cruce '!I759,Ingreso!$AL$11:$AM$260,2,0),0),0)</f>
        <v>0</v>
      </c>
      <c r="M759" s="95">
        <f>IFERROR(HLOOKUP(D759,Ingreso!$AW$10:$BC$260,VLOOKUP('cruce '!I759,Ingreso!$AL$11:$AM$260,2,0),0),0)</f>
        <v>0</v>
      </c>
      <c r="N759" t="str">
        <f t="shared" si="53"/>
        <v>OK</v>
      </c>
    </row>
    <row r="760" spans="2:14">
      <c r="C760"/>
      <c r="D760" t="s">
        <v>1441</v>
      </c>
      <c r="E760" t="s">
        <v>1323</v>
      </c>
      <c r="F760" s="78">
        <v>0.375</v>
      </c>
      <c r="G760" s="55"/>
      <c r="H760" s="55">
        <v>0.32815972222222223</v>
      </c>
      <c r="I760" s="55" t="str">
        <f t="shared" si="50"/>
        <v>13.700.526-3</v>
      </c>
      <c r="J760" s="55">
        <f t="shared" si="51"/>
        <v>0.32815972222222223</v>
      </c>
      <c r="K760" s="93">
        <f t="shared" si="52"/>
        <v>-1.1241666666666665</v>
      </c>
      <c r="L760">
        <f>IFERROR(HLOOKUP(D760,Ingreso!$AN$10:$AT$260,VLOOKUP('cruce '!I760,Ingreso!$AL$11:$AM$260,2,0),0),0)</f>
        <v>0</v>
      </c>
      <c r="M760" s="95">
        <f>IFERROR(HLOOKUP(D760,Ingreso!$AW$10:$BC$260,VLOOKUP('cruce '!I760,Ingreso!$AL$11:$AM$260,2,0),0),0)</f>
        <v>0</v>
      </c>
      <c r="N760" t="str">
        <f t="shared" si="53"/>
        <v>Revisar</v>
      </c>
    </row>
    <row r="761" spans="2:14">
      <c r="C761"/>
      <c r="D761" t="s">
        <v>1437</v>
      </c>
      <c r="E761" t="s">
        <v>1323</v>
      </c>
      <c r="F761" s="78">
        <v>0.375</v>
      </c>
      <c r="G761" s="55">
        <v>0.91950231481481481</v>
      </c>
      <c r="H761" s="55"/>
      <c r="I761" s="55" t="str">
        <f t="shared" si="50"/>
        <v>13.700.526-3</v>
      </c>
      <c r="J761" s="55">
        <f t="shared" si="51"/>
        <v>8.0497685185185186E-2</v>
      </c>
      <c r="K761" s="93">
        <f t="shared" si="52"/>
        <v>-7.0680555555555555</v>
      </c>
      <c r="L761">
        <f>IFERROR(HLOOKUP(D761,Ingreso!$AN$10:$AT$260,VLOOKUP('cruce '!I761,Ingreso!$AL$11:$AM$260,2,0),0),0)</f>
        <v>0</v>
      </c>
      <c r="M761" s="95">
        <f>IFERROR(HLOOKUP(D761,Ingreso!$AW$10:$BC$260,VLOOKUP('cruce '!I761,Ingreso!$AL$11:$AM$260,2,0),0),0)</f>
        <v>0</v>
      </c>
      <c r="N761" t="str">
        <f t="shared" si="53"/>
        <v>Revisar</v>
      </c>
    </row>
    <row r="762" spans="2:14">
      <c r="C762"/>
      <c r="D762" t="s">
        <v>1438</v>
      </c>
      <c r="E762" t="s">
        <v>1323</v>
      </c>
      <c r="F762" s="78">
        <v>0.375</v>
      </c>
      <c r="G762" s="55">
        <v>0.9197685185185186</v>
      </c>
      <c r="H762" s="55">
        <v>0.32739583333333333</v>
      </c>
      <c r="I762" s="55" t="str">
        <f t="shared" si="50"/>
        <v>13.700.526-3</v>
      </c>
      <c r="J762" s="55">
        <f t="shared" si="51"/>
        <v>0.40762731481481473</v>
      </c>
      <c r="K762" s="93">
        <f t="shared" si="52"/>
        <v>0.78305555555555273</v>
      </c>
      <c r="L762">
        <f>IFERROR(HLOOKUP(D762,Ingreso!$AN$10:$AT$260,VLOOKUP('cruce '!I762,Ingreso!$AL$11:$AM$260,2,0),0),0)</f>
        <v>0</v>
      </c>
      <c r="M762" s="95">
        <f>IFERROR(HLOOKUP(D762,Ingreso!$AW$10:$BC$260,VLOOKUP('cruce '!I762,Ingreso!$AL$11:$AM$260,2,0),0),0)</f>
        <v>0</v>
      </c>
      <c r="N762" t="str">
        <f t="shared" si="53"/>
        <v>OK</v>
      </c>
    </row>
    <row r="763" spans="2:14">
      <c r="C763"/>
      <c r="D763" t="s">
        <v>1439</v>
      </c>
      <c r="E763" t="s">
        <v>1323</v>
      </c>
      <c r="F763" s="78">
        <v>0.375</v>
      </c>
      <c r="G763" s="55">
        <v>0.91877314814814814</v>
      </c>
      <c r="H763" s="55">
        <v>0.32935185185185184</v>
      </c>
      <c r="I763" s="55" t="str">
        <f t="shared" si="50"/>
        <v>13.700.526-3</v>
      </c>
      <c r="J763" s="55">
        <f t="shared" si="51"/>
        <v>0.41057870370370375</v>
      </c>
      <c r="K763" s="93">
        <f t="shared" si="52"/>
        <v>0.85388888888888914</v>
      </c>
      <c r="L763">
        <f>IFERROR(HLOOKUP(D763,Ingreso!$AN$10:$AT$260,VLOOKUP('cruce '!I763,Ingreso!$AL$11:$AM$260,2,0),0),0)</f>
        <v>0</v>
      </c>
      <c r="M763" s="95">
        <f>IFERROR(HLOOKUP(D763,Ingreso!$AW$10:$BC$260,VLOOKUP('cruce '!I763,Ingreso!$AL$11:$AM$260,2,0),0),0)</f>
        <v>0</v>
      </c>
      <c r="N763" t="str">
        <f t="shared" si="53"/>
        <v>OK</v>
      </c>
    </row>
    <row r="764" spans="2:14">
      <c r="B764" t="s">
        <v>978</v>
      </c>
      <c r="C764" t="s">
        <v>980</v>
      </c>
      <c r="D764" t="s">
        <v>1440</v>
      </c>
      <c r="E764" t="s">
        <v>1474</v>
      </c>
      <c r="F764" t="s">
        <v>1472</v>
      </c>
      <c r="G764" s="55">
        <v>0.29417824074074073</v>
      </c>
      <c r="H764" s="55">
        <v>0.63612268518518522</v>
      </c>
      <c r="I764" s="55" t="str">
        <f t="shared" si="50"/>
        <v>13.701.209-K</v>
      </c>
      <c r="J764" s="55">
        <f t="shared" si="51"/>
        <v>0.3419444444444445</v>
      </c>
      <c r="K764" s="93" t="e">
        <f t="shared" si="52"/>
        <v>#VALUE!</v>
      </c>
      <c r="L764">
        <f>IFERROR(HLOOKUP(D764,Ingreso!$AN$10:$AT$260,VLOOKUP('cruce '!I764,Ingreso!$AL$11:$AM$260,2,0),0),0)</f>
        <v>0</v>
      </c>
      <c r="M764" s="95" t="str">
        <f>IFERROR(HLOOKUP(D764,Ingreso!$AW$10:$BC$260,VLOOKUP('cruce '!I764,Ingreso!$AL$11:$AM$260,2,0),0),0)</f>
        <v/>
      </c>
      <c r="N764" t="e">
        <f t="shared" si="53"/>
        <v>#VALUE!</v>
      </c>
    </row>
    <row r="765" spans="2:14">
      <c r="C765"/>
      <c r="D765" t="s">
        <v>1441</v>
      </c>
      <c r="E765" t="s">
        <v>1474</v>
      </c>
      <c r="F765" t="s">
        <v>1472</v>
      </c>
      <c r="G765" s="55">
        <v>0.29366898148148152</v>
      </c>
      <c r="H765" s="55">
        <v>0.63752314814814814</v>
      </c>
      <c r="I765" s="55" t="str">
        <f t="shared" si="50"/>
        <v>13.701.209-K</v>
      </c>
      <c r="J765" s="55">
        <f t="shared" si="51"/>
        <v>0.34385416666666663</v>
      </c>
      <c r="K765" s="93" t="e">
        <f t="shared" si="52"/>
        <v>#VALUE!</v>
      </c>
      <c r="L765">
        <f>IFERROR(HLOOKUP(D765,Ingreso!$AN$10:$AT$260,VLOOKUP('cruce '!I765,Ingreso!$AL$11:$AM$260,2,0),0),0)</f>
        <v>0</v>
      </c>
      <c r="M765" s="95" t="str">
        <f>IFERROR(HLOOKUP(D765,Ingreso!$AW$10:$BC$260,VLOOKUP('cruce '!I765,Ingreso!$AL$11:$AM$260,2,0),0),0)</f>
        <v/>
      </c>
      <c r="N765" t="e">
        <f t="shared" si="53"/>
        <v>#VALUE!</v>
      </c>
    </row>
    <row r="766" spans="2:14">
      <c r="C766"/>
      <c r="D766" t="s">
        <v>1437</v>
      </c>
      <c r="E766" t="s">
        <v>1474</v>
      </c>
      <c r="F766" t="s">
        <v>1472</v>
      </c>
      <c r="G766" s="55">
        <v>0.29494212962962962</v>
      </c>
      <c r="H766" s="55">
        <v>0.73318287037037033</v>
      </c>
      <c r="I766" s="55" t="str">
        <f t="shared" si="50"/>
        <v>13.701.209-K</v>
      </c>
      <c r="J766" s="55">
        <f t="shared" si="51"/>
        <v>0.43824074074074071</v>
      </c>
      <c r="K766" s="93" t="e">
        <f t="shared" si="52"/>
        <v>#VALUE!</v>
      </c>
      <c r="L766">
        <f>IFERROR(HLOOKUP(D766,Ingreso!$AN$10:$AT$260,VLOOKUP('cruce '!I766,Ingreso!$AL$11:$AM$260,2,0),0),0)</f>
        <v>2.5</v>
      </c>
      <c r="M766" s="95">
        <f>IFERROR(HLOOKUP(D766,Ingreso!$AW$10:$BC$260,VLOOKUP('cruce '!I766,Ingreso!$AL$11:$AM$260,2,0),0),0)</f>
        <v>0.5</v>
      </c>
      <c r="N766" t="e">
        <f t="shared" si="53"/>
        <v>#VALUE!</v>
      </c>
    </row>
    <row r="767" spans="2:14">
      <c r="C767"/>
      <c r="D767" t="s">
        <v>1438</v>
      </c>
      <c r="E767" t="s">
        <v>1474</v>
      </c>
      <c r="F767" t="s">
        <v>1472</v>
      </c>
      <c r="G767" s="55">
        <v>0.68837962962962962</v>
      </c>
      <c r="H767" s="55"/>
      <c r="I767" s="55" t="str">
        <f t="shared" ref="I767:I830" si="54">IF(B767="",I766,B767)</f>
        <v>13.701.209-K</v>
      </c>
      <c r="J767" s="55">
        <f t="shared" ref="J767:J830" si="55">IF(G767&gt;H767,(H767+0.5)-(G767-0.5),H767-G767)</f>
        <v>0.31162037037037038</v>
      </c>
      <c r="K767" s="93" t="e">
        <f t="shared" ref="K767:K830" si="56">(J767*24)-(F767*24)</f>
        <v>#VALUE!</v>
      </c>
      <c r="L767">
        <f>IFERROR(HLOOKUP(D767,Ingreso!$AN$10:$AT$260,VLOOKUP('cruce '!I767,Ingreso!$AL$11:$AM$260,2,0),0),0)</f>
        <v>1</v>
      </c>
      <c r="M767" s="95">
        <f>IFERROR(HLOOKUP(D767,Ingreso!$AW$10:$BC$260,VLOOKUP('cruce '!I767,Ingreso!$AL$11:$AM$260,2,0),0),0)</f>
        <v>0.5</v>
      </c>
      <c r="N767" t="e">
        <f t="shared" ref="N767:N830" si="57">IF((K767-L767)&gt;1,"Revisar",IF((K767-L767)&lt;-1,"Revisar","OK"))</f>
        <v>#VALUE!</v>
      </c>
    </row>
    <row r="768" spans="2:14">
      <c r="C768"/>
      <c r="D768" t="s">
        <v>1439</v>
      </c>
      <c r="E768" t="s">
        <v>1474</v>
      </c>
      <c r="F768" t="s">
        <v>1472</v>
      </c>
      <c r="G768" s="55">
        <v>0.29405092592592591</v>
      </c>
      <c r="H768" s="55">
        <v>0.6479166666666667</v>
      </c>
      <c r="I768" s="55" t="str">
        <f t="shared" si="54"/>
        <v>13.701.209-K</v>
      </c>
      <c r="J768" s="55">
        <f t="shared" si="55"/>
        <v>0.35386574074074079</v>
      </c>
      <c r="K768" s="93" t="e">
        <f t="shared" si="56"/>
        <v>#VALUE!</v>
      </c>
      <c r="L768">
        <f>IFERROR(HLOOKUP(D768,Ingreso!$AN$10:$AT$260,VLOOKUP('cruce '!I768,Ingreso!$AL$11:$AM$260,2,0),0),0)</f>
        <v>0</v>
      </c>
      <c r="M768" s="95" t="str">
        <f>IFERROR(HLOOKUP(D768,Ingreso!$AW$10:$BC$260,VLOOKUP('cruce '!I768,Ingreso!$AL$11:$AM$260,2,0),0),0)</f>
        <v/>
      </c>
      <c r="N768" t="e">
        <f t="shared" si="57"/>
        <v>#VALUE!</v>
      </c>
    </row>
    <row r="769" spans="2:14">
      <c r="B769" t="s">
        <v>532</v>
      </c>
      <c r="C769" t="s">
        <v>535</v>
      </c>
      <c r="D769" t="s">
        <v>1440</v>
      </c>
      <c r="E769" t="s">
        <v>4</v>
      </c>
      <c r="F769" s="78">
        <v>0.3125</v>
      </c>
      <c r="G769" s="55"/>
      <c r="H769" s="55">
        <v>0.75451388888888893</v>
      </c>
      <c r="I769" s="55" t="str">
        <f t="shared" si="54"/>
        <v>13.769.935-4</v>
      </c>
      <c r="J769" s="55">
        <f t="shared" si="55"/>
        <v>0.75451388888888893</v>
      </c>
      <c r="K769" s="93">
        <f t="shared" si="56"/>
        <v>10.608333333333334</v>
      </c>
      <c r="L769">
        <f>IFERROR(HLOOKUP(D769,Ingreso!$AN$10:$AT$260,VLOOKUP('cruce '!I769,Ingreso!$AL$11:$AM$260,2,0),0),0)</f>
        <v>0</v>
      </c>
      <c r="M769" s="95">
        <f>IFERROR(HLOOKUP(D769,Ingreso!$AW$10:$BC$260,VLOOKUP('cruce '!I769,Ingreso!$AL$11:$AM$260,2,0),0),0)</f>
        <v>0</v>
      </c>
      <c r="N769" t="str">
        <f t="shared" si="57"/>
        <v>Revisar</v>
      </c>
    </row>
    <row r="770" spans="2:14">
      <c r="C770"/>
      <c r="D770" t="s">
        <v>1437</v>
      </c>
      <c r="E770" t="s">
        <v>4</v>
      </c>
      <c r="F770" s="78">
        <v>0.3125</v>
      </c>
      <c r="G770" s="55"/>
      <c r="H770" s="55">
        <v>0.79016203703703702</v>
      </c>
      <c r="I770" s="55" t="str">
        <f t="shared" si="54"/>
        <v>13.769.935-4</v>
      </c>
      <c r="J770" s="55">
        <f t="shared" si="55"/>
        <v>0.79016203703703702</v>
      </c>
      <c r="K770" s="93">
        <f t="shared" si="56"/>
        <v>11.463888888888889</v>
      </c>
      <c r="L770">
        <f>IFERROR(HLOOKUP(D770,Ingreso!$AN$10:$AT$260,VLOOKUP('cruce '!I770,Ingreso!$AL$11:$AM$260,2,0),0),0)</f>
        <v>0</v>
      </c>
      <c r="M770" s="95">
        <f>IFERROR(HLOOKUP(D770,Ingreso!$AW$10:$BC$260,VLOOKUP('cruce '!I770,Ingreso!$AL$11:$AM$260,2,0),0),0)</f>
        <v>0</v>
      </c>
      <c r="N770" t="str">
        <f t="shared" si="57"/>
        <v>Revisar</v>
      </c>
    </row>
    <row r="771" spans="2:14">
      <c r="C771"/>
      <c r="D771"/>
      <c r="E771" t="s">
        <v>1473</v>
      </c>
      <c r="F771" t="s">
        <v>1472</v>
      </c>
      <c r="G771" s="55">
        <v>0.35696759259259259</v>
      </c>
      <c r="H771" s="55"/>
      <c r="I771" s="55" t="str">
        <f t="shared" si="54"/>
        <v>13.769.935-4</v>
      </c>
      <c r="J771" s="55">
        <f t="shared" si="55"/>
        <v>0.64303240740740741</v>
      </c>
      <c r="K771" s="93" t="e">
        <f t="shared" si="56"/>
        <v>#VALUE!</v>
      </c>
      <c r="L771">
        <f>IFERROR(HLOOKUP(D771,Ingreso!$AN$10:$AT$260,VLOOKUP('cruce '!I771,Ingreso!$AL$11:$AM$260,2,0),0),0)</f>
        <v>0</v>
      </c>
      <c r="M771" s="95">
        <f>IFERROR(HLOOKUP(D771,Ingreso!$AW$10:$BC$260,VLOOKUP('cruce '!I771,Ingreso!$AL$11:$AM$260,2,0),0),0)</f>
        <v>0</v>
      </c>
      <c r="N771" t="e">
        <f t="shared" si="57"/>
        <v>#VALUE!</v>
      </c>
    </row>
    <row r="772" spans="2:14">
      <c r="C772"/>
      <c r="D772" t="s">
        <v>1438</v>
      </c>
      <c r="E772" t="s">
        <v>4</v>
      </c>
      <c r="F772" s="78">
        <v>0.3125</v>
      </c>
      <c r="G772" s="55"/>
      <c r="H772" s="55">
        <v>0.79994212962962974</v>
      </c>
      <c r="I772" s="55" t="str">
        <f t="shared" si="54"/>
        <v>13.769.935-4</v>
      </c>
      <c r="J772" s="55">
        <f t="shared" si="55"/>
        <v>0.79994212962962974</v>
      </c>
      <c r="K772" s="93">
        <f t="shared" si="56"/>
        <v>11.698611111111113</v>
      </c>
      <c r="L772">
        <f>IFERROR(HLOOKUP(D772,Ingreso!$AN$10:$AT$260,VLOOKUP('cruce '!I772,Ingreso!$AL$11:$AM$260,2,0),0),0)</f>
        <v>0</v>
      </c>
      <c r="M772" s="95">
        <f>IFERROR(HLOOKUP(D772,Ingreso!$AW$10:$BC$260,VLOOKUP('cruce '!I772,Ingreso!$AL$11:$AM$260,2,0),0),0)</f>
        <v>0</v>
      </c>
      <c r="N772" t="str">
        <f t="shared" si="57"/>
        <v>Revisar</v>
      </c>
    </row>
    <row r="773" spans="2:14">
      <c r="C773"/>
      <c r="D773"/>
      <c r="E773" t="s">
        <v>1473</v>
      </c>
      <c r="F773" t="s">
        <v>1472</v>
      </c>
      <c r="G773" s="55">
        <v>0.36503472222222227</v>
      </c>
      <c r="H773" s="55"/>
      <c r="I773" s="55" t="str">
        <f t="shared" si="54"/>
        <v>13.769.935-4</v>
      </c>
      <c r="J773" s="55">
        <f t="shared" si="55"/>
        <v>0.63496527777777767</v>
      </c>
      <c r="K773" s="93" t="e">
        <f t="shared" si="56"/>
        <v>#VALUE!</v>
      </c>
      <c r="L773">
        <f>IFERROR(HLOOKUP(D773,Ingreso!$AN$10:$AT$260,VLOOKUP('cruce '!I773,Ingreso!$AL$11:$AM$260,2,0),0),0)</f>
        <v>0</v>
      </c>
      <c r="M773" s="95">
        <f>IFERROR(HLOOKUP(D773,Ingreso!$AW$10:$BC$260,VLOOKUP('cruce '!I773,Ingreso!$AL$11:$AM$260,2,0),0),0)</f>
        <v>0</v>
      </c>
      <c r="N773" t="e">
        <f t="shared" si="57"/>
        <v>#VALUE!</v>
      </c>
    </row>
    <row r="774" spans="2:14">
      <c r="C774"/>
      <c r="D774" t="s">
        <v>1439</v>
      </c>
      <c r="E774" t="s">
        <v>1473</v>
      </c>
      <c r="F774" t="s">
        <v>1472</v>
      </c>
      <c r="G774" s="55">
        <v>0.35438657407407409</v>
      </c>
      <c r="H774" s="55"/>
      <c r="I774" s="55" t="str">
        <f t="shared" si="54"/>
        <v>13.769.935-4</v>
      </c>
      <c r="J774" s="55">
        <f t="shared" si="55"/>
        <v>0.64561342592592585</v>
      </c>
      <c r="K774" s="93" t="e">
        <f t="shared" si="56"/>
        <v>#VALUE!</v>
      </c>
      <c r="L774">
        <f>IFERROR(HLOOKUP(D774,Ingreso!$AN$10:$AT$260,VLOOKUP('cruce '!I774,Ingreso!$AL$11:$AM$260,2,0),0),0)</f>
        <v>0</v>
      </c>
      <c r="M774" s="95">
        <f>IFERROR(HLOOKUP(D774,Ingreso!$AW$10:$BC$260,VLOOKUP('cruce '!I774,Ingreso!$AL$11:$AM$260,2,0),0),0)</f>
        <v>0</v>
      </c>
      <c r="N774" t="e">
        <f t="shared" si="57"/>
        <v>#VALUE!</v>
      </c>
    </row>
    <row r="775" spans="2:14">
      <c r="B775" t="s">
        <v>1189</v>
      </c>
      <c r="C775" t="s">
        <v>1193</v>
      </c>
      <c r="D775" t="s">
        <v>1440</v>
      </c>
      <c r="E775" t="s">
        <v>1323</v>
      </c>
      <c r="F775" s="78">
        <v>0.375</v>
      </c>
      <c r="G775" s="55">
        <v>0.92825231481481485</v>
      </c>
      <c r="H775" s="55">
        <v>0.32719907407407406</v>
      </c>
      <c r="I775" s="55" t="str">
        <f t="shared" si="54"/>
        <v>13.835.073-8</v>
      </c>
      <c r="J775" s="55">
        <f t="shared" si="55"/>
        <v>0.39894675925925915</v>
      </c>
      <c r="K775" s="93">
        <f t="shared" si="56"/>
        <v>0.57472222222222058</v>
      </c>
      <c r="L775">
        <f>IFERROR(HLOOKUP(D775,Ingreso!$AN$10:$AT$260,VLOOKUP('cruce '!I775,Ingreso!$AL$11:$AM$260,2,0),0),0)</f>
        <v>0</v>
      </c>
      <c r="M775" s="95">
        <f>IFERROR(HLOOKUP(D775,Ingreso!$AW$10:$BC$260,VLOOKUP('cruce '!I775,Ingreso!$AL$11:$AM$260,2,0),0),0)</f>
        <v>0</v>
      </c>
      <c r="N775" t="str">
        <f t="shared" si="57"/>
        <v>OK</v>
      </c>
    </row>
    <row r="776" spans="2:14">
      <c r="C776"/>
      <c r="D776" t="s">
        <v>1441</v>
      </c>
      <c r="E776" t="s">
        <v>4</v>
      </c>
      <c r="F776" s="78">
        <v>0.3125</v>
      </c>
      <c r="G776" s="55"/>
      <c r="H776" s="55">
        <v>0.26711805555555557</v>
      </c>
      <c r="I776" s="55" t="str">
        <f t="shared" si="54"/>
        <v>13.835.073-8</v>
      </c>
      <c r="J776" s="55">
        <f t="shared" si="55"/>
        <v>0.26711805555555557</v>
      </c>
      <c r="K776" s="93">
        <f t="shared" si="56"/>
        <v>-1.0891666666666664</v>
      </c>
      <c r="L776">
        <f>IFERROR(HLOOKUP(D776,Ingreso!$AN$10:$AT$260,VLOOKUP('cruce '!I776,Ingreso!$AL$11:$AM$260,2,0),0),0)</f>
        <v>0</v>
      </c>
      <c r="M776" s="95">
        <f>IFERROR(HLOOKUP(D776,Ingreso!$AW$10:$BC$260,VLOOKUP('cruce '!I776,Ingreso!$AL$11:$AM$260,2,0),0),0)</f>
        <v>0</v>
      </c>
      <c r="N776" t="str">
        <f t="shared" si="57"/>
        <v>Revisar</v>
      </c>
    </row>
    <row r="777" spans="2:14">
      <c r="C777"/>
      <c r="D777" t="s">
        <v>1437</v>
      </c>
      <c r="E777" t="s">
        <v>1323</v>
      </c>
      <c r="F777" s="78">
        <v>0.375</v>
      </c>
      <c r="G777" s="55">
        <v>0.91765046296296304</v>
      </c>
      <c r="H777" s="55"/>
      <c r="I777" s="55" t="str">
        <f t="shared" si="54"/>
        <v>13.835.073-8</v>
      </c>
      <c r="J777" s="55">
        <f t="shared" si="55"/>
        <v>8.2349537037036957E-2</v>
      </c>
      <c r="K777" s="93">
        <f t="shared" si="56"/>
        <v>-7.023611111111113</v>
      </c>
      <c r="L777">
        <f>IFERROR(HLOOKUP(D777,Ingreso!$AN$10:$AT$260,VLOOKUP('cruce '!I777,Ingreso!$AL$11:$AM$260,2,0),0),0)</f>
        <v>0</v>
      </c>
      <c r="M777" s="95">
        <f>IFERROR(HLOOKUP(D777,Ingreso!$AW$10:$BC$260,VLOOKUP('cruce '!I777,Ingreso!$AL$11:$AM$260,2,0),0),0)</f>
        <v>0</v>
      </c>
      <c r="N777" t="str">
        <f t="shared" si="57"/>
        <v>Revisar</v>
      </c>
    </row>
    <row r="778" spans="2:14">
      <c r="C778"/>
      <c r="D778" t="s">
        <v>1438</v>
      </c>
      <c r="E778" t="s">
        <v>1323</v>
      </c>
      <c r="F778" s="78">
        <v>0.375</v>
      </c>
      <c r="G778" s="55">
        <v>0.91915509259259265</v>
      </c>
      <c r="H778" s="55">
        <v>0.32765046296296296</v>
      </c>
      <c r="I778" s="55" t="str">
        <f t="shared" si="54"/>
        <v>13.835.073-8</v>
      </c>
      <c r="J778" s="55">
        <f t="shared" si="55"/>
        <v>0.40849537037037031</v>
      </c>
      <c r="K778" s="93">
        <f t="shared" si="56"/>
        <v>0.80388888888888843</v>
      </c>
      <c r="L778">
        <f>IFERROR(HLOOKUP(D778,Ingreso!$AN$10:$AT$260,VLOOKUP('cruce '!I778,Ingreso!$AL$11:$AM$260,2,0),0),0)</f>
        <v>0</v>
      </c>
      <c r="M778" s="95">
        <f>IFERROR(HLOOKUP(D778,Ingreso!$AW$10:$BC$260,VLOOKUP('cruce '!I778,Ingreso!$AL$11:$AM$260,2,0),0),0)</f>
        <v>0</v>
      </c>
      <c r="N778" t="str">
        <f t="shared" si="57"/>
        <v>OK</v>
      </c>
    </row>
    <row r="779" spans="2:14">
      <c r="C779"/>
      <c r="D779" t="s">
        <v>1439</v>
      </c>
      <c r="E779" t="s">
        <v>1323</v>
      </c>
      <c r="F779" s="78">
        <v>0.375</v>
      </c>
      <c r="G779" s="55">
        <v>0.92894675925925929</v>
      </c>
      <c r="H779" s="55">
        <v>0.32973379629629629</v>
      </c>
      <c r="I779" s="55" t="str">
        <f t="shared" si="54"/>
        <v>13.835.073-8</v>
      </c>
      <c r="J779" s="55">
        <f t="shared" si="55"/>
        <v>0.400787037037037</v>
      </c>
      <c r="K779" s="93">
        <f t="shared" si="56"/>
        <v>0.61888888888888793</v>
      </c>
      <c r="L779">
        <f>IFERROR(HLOOKUP(D779,Ingreso!$AN$10:$AT$260,VLOOKUP('cruce '!I779,Ingreso!$AL$11:$AM$260,2,0),0),0)</f>
        <v>0</v>
      </c>
      <c r="M779" s="95">
        <f>IFERROR(HLOOKUP(D779,Ingreso!$AW$10:$BC$260,VLOOKUP('cruce '!I779,Ingreso!$AL$11:$AM$260,2,0),0),0)</f>
        <v>0</v>
      </c>
      <c r="N779" t="str">
        <f t="shared" si="57"/>
        <v>OK</v>
      </c>
    </row>
    <row r="780" spans="2:14">
      <c r="B780" t="s">
        <v>593</v>
      </c>
      <c r="C780" t="s">
        <v>597</v>
      </c>
      <c r="D780" t="s">
        <v>1440</v>
      </c>
      <c r="E780" t="s">
        <v>1323</v>
      </c>
      <c r="F780" s="78">
        <v>0.375</v>
      </c>
      <c r="G780" s="55">
        <v>0.9162499999999999</v>
      </c>
      <c r="H780" s="55">
        <v>0.3258564814814815</v>
      </c>
      <c r="I780" s="55" t="str">
        <f t="shared" si="54"/>
        <v>13.835.848-8</v>
      </c>
      <c r="J780" s="55">
        <f t="shared" si="55"/>
        <v>0.4096064814814816</v>
      </c>
      <c r="K780" s="93">
        <f t="shared" si="56"/>
        <v>0.83055555555555927</v>
      </c>
      <c r="L780">
        <f>IFERROR(HLOOKUP(D780,Ingreso!$AN$10:$AT$260,VLOOKUP('cruce '!I780,Ingreso!$AL$11:$AM$260,2,0),0),0)</f>
        <v>0</v>
      </c>
      <c r="M780" s="95" t="str">
        <f>IFERROR(HLOOKUP(D780,Ingreso!$AW$10:$BC$260,VLOOKUP('cruce '!I780,Ingreso!$AL$11:$AM$260,2,0),0),0)</f>
        <v/>
      </c>
      <c r="N780" t="str">
        <f t="shared" si="57"/>
        <v>OK</v>
      </c>
    </row>
    <row r="781" spans="2:14">
      <c r="C781"/>
      <c r="D781" t="s">
        <v>1441</v>
      </c>
      <c r="E781" t="s">
        <v>1323</v>
      </c>
      <c r="F781" s="78">
        <v>0.375</v>
      </c>
      <c r="G781" s="55"/>
      <c r="H781" s="55">
        <v>0.32627314814814817</v>
      </c>
      <c r="I781" s="55" t="str">
        <f t="shared" si="54"/>
        <v>13.835.848-8</v>
      </c>
      <c r="J781" s="55">
        <f t="shared" si="55"/>
        <v>0.32627314814814817</v>
      </c>
      <c r="K781" s="93">
        <f t="shared" si="56"/>
        <v>-1.1694444444444443</v>
      </c>
      <c r="L781">
        <f>IFERROR(HLOOKUP(D781,Ingreso!$AN$10:$AT$260,VLOOKUP('cruce '!I781,Ingreso!$AL$11:$AM$260,2,0),0),0)</f>
        <v>0</v>
      </c>
      <c r="M781" s="95" t="str">
        <f>IFERROR(HLOOKUP(D781,Ingreso!$AW$10:$BC$260,VLOOKUP('cruce '!I781,Ingreso!$AL$11:$AM$260,2,0),0),0)</f>
        <v/>
      </c>
      <c r="N781" t="str">
        <f t="shared" si="57"/>
        <v>Revisar</v>
      </c>
    </row>
    <row r="782" spans="2:14">
      <c r="C782"/>
      <c r="D782" t="s">
        <v>1437</v>
      </c>
      <c r="E782" t="s">
        <v>1323</v>
      </c>
      <c r="F782" s="78">
        <v>0.375</v>
      </c>
      <c r="G782" s="55">
        <v>0.91728009259259258</v>
      </c>
      <c r="H782" s="55"/>
      <c r="I782" s="55" t="str">
        <f t="shared" si="54"/>
        <v>13.835.848-8</v>
      </c>
      <c r="J782" s="55">
        <f t="shared" si="55"/>
        <v>8.2719907407407423E-2</v>
      </c>
      <c r="K782" s="93">
        <f t="shared" si="56"/>
        <v>-7.0147222222222219</v>
      </c>
      <c r="L782">
        <f>IFERROR(HLOOKUP(D782,Ingreso!$AN$10:$AT$260,VLOOKUP('cruce '!I782,Ingreso!$AL$11:$AM$260,2,0),0),0)</f>
        <v>0</v>
      </c>
      <c r="M782" s="95" t="str">
        <f>IFERROR(HLOOKUP(D782,Ingreso!$AW$10:$BC$260,VLOOKUP('cruce '!I782,Ingreso!$AL$11:$AM$260,2,0),0),0)</f>
        <v/>
      </c>
      <c r="N782" t="str">
        <f t="shared" si="57"/>
        <v>Revisar</v>
      </c>
    </row>
    <row r="783" spans="2:14">
      <c r="C783"/>
      <c r="D783" t="s">
        <v>1438</v>
      </c>
      <c r="E783" t="s">
        <v>1323</v>
      </c>
      <c r="F783" s="78">
        <v>0.375</v>
      </c>
      <c r="G783" s="55">
        <v>0.91849537037037043</v>
      </c>
      <c r="H783" s="55">
        <v>0.32181712962962966</v>
      </c>
      <c r="I783" s="55" t="str">
        <f t="shared" si="54"/>
        <v>13.835.848-8</v>
      </c>
      <c r="J783" s="55">
        <f t="shared" si="55"/>
        <v>0.40332175925925928</v>
      </c>
      <c r="K783" s="93">
        <f t="shared" si="56"/>
        <v>0.67972222222222278</v>
      </c>
      <c r="L783">
        <f>IFERROR(HLOOKUP(D783,Ingreso!$AN$10:$AT$260,VLOOKUP('cruce '!I783,Ingreso!$AL$11:$AM$260,2,0),0),0)</f>
        <v>0</v>
      </c>
      <c r="M783" s="95" t="str">
        <f>IFERROR(HLOOKUP(D783,Ingreso!$AW$10:$BC$260,VLOOKUP('cruce '!I783,Ingreso!$AL$11:$AM$260,2,0),0),0)</f>
        <v/>
      </c>
      <c r="N783" t="str">
        <f t="shared" si="57"/>
        <v>OK</v>
      </c>
    </row>
    <row r="784" spans="2:14">
      <c r="C784"/>
      <c r="D784" t="s">
        <v>1439</v>
      </c>
      <c r="E784" t="s">
        <v>1323</v>
      </c>
      <c r="F784" s="78">
        <v>0.375</v>
      </c>
      <c r="G784" s="55">
        <v>0.923761574074074</v>
      </c>
      <c r="H784" s="55">
        <v>0.32207175925925924</v>
      </c>
      <c r="I784" s="55" t="str">
        <f t="shared" si="54"/>
        <v>13.835.848-8</v>
      </c>
      <c r="J784" s="55">
        <f t="shared" si="55"/>
        <v>0.39831018518518524</v>
      </c>
      <c r="K784" s="93">
        <f t="shared" si="56"/>
        <v>0.55944444444444485</v>
      </c>
      <c r="L784">
        <f>IFERROR(HLOOKUP(D784,Ingreso!$AN$10:$AT$260,VLOOKUP('cruce '!I784,Ingreso!$AL$11:$AM$260,2,0),0),0)</f>
        <v>0</v>
      </c>
      <c r="M784" s="95" t="str">
        <f>IFERROR(HLOOKUP(D784,Ingreso!$AW$10:$BC$260,VLOOKUP('cruce '!I784,Ingreso!$AL$11:$AM$260,2,0),0),0)</f>
        <v/>
      </c>
      <c r="N784" t="str">
        <f t="shared" si="57"/>
        <v>OK</v>
      </c>
    </row>
    <row r="785" spans="2:14">
      <c r="B785" t="s">
        <v>1219</v>
      </c>
      <c r="C785" t="s">
        <v>1222</v>
      </c>
      <c r="D785" t="s">
        <v>1440</v>
      </c>
      <c r="E785" t="s">
        <v>4</v>
      </c>
      <c r="F785" s="78">
        <v>0.3125</v>
      </c>
      <c r="G785" s="55">
        <v>0.29546296296296298</v>
      </c>
      <c r="H785" s="55">
        <v>0.64178240740740744</v>
      </c>
      <c r="I785" s="55" t="str">
        <f t="shared" si="54"/>
        <v>13.836.182-9</v>
      </c>
      <c r="J785" s="55">
        <f t="shared" si="55"/>
        <v>0.34631944444444446</v>
      </c>
      <c r="K785" s="93">
        <f t="shared" si="56"/>
        <v>0.81166666666666742</v>
      </c>
      <c r="L785">
        <f>IFERROR(HLOOKUP(D785,Ingreso!$AN$10:$AT$260,VLOOKUP('cruce '!I785,Ingreso!$AL$11:$AM$260,2,0),0),0)</f>
        <v>0</v>
      </c>
      <c r="M785" s="95">
        <f>IFERROR(HLOOKUP(D785,Ingreso!$AW$10:$BC$260,VLOOKUP('cruce '!I785,Ingreso!$AL$11:$AM$260,2,0),0),0)</f>
        <v>0</v>
      </c>
      <c r="N785" t="str">
        <f t="shared" si="57"/>
        <v>OK</v>
      </c>
    </row>
    <row r="786" spans="2:14">
      <c r="C786"/>
      <c r="D786" t="s">
        <v>1441</v>
      </c>
      <c r="E786" t="s">
        <v>4</v>
      </c>
      <c r="F786" s="78">
        <v>0.3125</v>
      </c>
      <c r="G786" s="55"/>
      <c r="H786" s="55">
        <v>0.64192129629629624</v>
      </c>
      <c r="I786" s="55" t="str">
        <f t="shared" si="54"/>
        <v>13.836.182-9</v>
      </c>
      <c r="J786" s="55">
        <f t="shared" si="55"/>
        <v>0.64192129629629624</v>
      </c>
      <c r="K786" s="93">
        <f t="shared" si="56"/>
        <v>7.9061111111111089</v>
      </c>
      <c r="L786">
        <f>IFERROR(HLOOKUP(D786,Ingreso!$AN$10:$AT$260,VLOOKUP('cruce '!I786,Ingreso!$AL$11:$AM$260,2,0),0),0)</f>
        <v>0</v>
      </c>
      <c r="M786" s="95">
        <f>IFERROR(HLOOKUP(D786,Ingreso!$AW$10:$BC$260,VLOOKUP('cruce '!I786,Ingreso!$AL$11:$AM$260,2,0),0),0)</f>
        <v>0</v>
      </c>
      <c r="N786" t="str">
        <f t="shared" si="57"/>
        <v>Revisar</v>
      </c>
    </row>
    <row r="787" spans="2:14">
      <c r="C787"/>
      <c r="D787"/>
      <c r="E787" t="s">
        <v>1323</v>
      </c>
      <c r="F787" s="78">
        <v>0.375</v>
      </c>
      <c r="G787" s="55">
        <v>0.3140162037037037</v>
      </c>
      <c r="H787" s="55"/>
      <c r="I787" s="55" t="str">
        <f t="shared" si="54"/>
        <v>13.836.182-9</v>
      </c>
      <c r="J787" s="55">
        <f t="shared" si="55"/>
        <v>0.68598379629629624</v>
      </c>
      <c r="K787" s="93">
        <f t="shared" si="56"/>
        <v>7.4636111111111099</v>
      </c>
      <c r="L787">
        <f>IFERROR(HLOOKUP(D787,Ingreso!$AN$10:$AT$260,VLOOKUP('cruce '!I787,Ingreso!$AL$11:$AM$260,2,0),0),0)</f>
        <v>0</v>
      </c>
      <c r="M787" s="95">
        <f>IFERROR(HLOOKUP(D787,Ingreso!$AW$10:$BC$260,VLOOKUP('cruce '!I787,Ingreso!$AL$11:$AM$260,2,0),0),0)</f>
        <v>0</v>
      </c>
      <c r="N787" t="str">
        <f t="shared" si="57"/>
        <v>Revisar</v>
      </c>
    </row>
    <row r="788" spans="2:14">
      <c r="C788"/>
      <c r="D788" t="s">
        <v>1437</v>
      </c>
      <c r="E788" t="s">
        <v>4</v>
      </c>
      <c r="F788" s="78">
        <v>0.3125</v>
      </c>
      <c r="G788" s="55">
        <v>0.30285879629629631</v>
      </c>
      <c r="H788" s="55">
        <v>0.63972222222222219</v>
      </c>
      <c r="I788" s="55" t="str">
        <f t="shared" si="54"/>
        <v>13.836.182-9</v>
      </c>
      <c r="J788" s="55">
        <f t="shared" si="55"/>
        <v>0.33686342592592589</v>
      </c>
      <c r="K788" s="93">
        <f t="shared" si="56"/>
        <v>0.58472222222222214</v>
      </c>
      <c r="L788">
        <f>IFERROR(HLOOKUP(D788,Ingreso!$AN$10:$AT$260,VLOOKUP('cruce '!I788,Ingreso!$AL$11:$AM$260,2,0),0),0)</f>
        <v>0</v>
      </c>
      <c r="M788" s="95">
        <f>IFERROR(HLOOKUP(D788,Ingreso!$AW$10:$BC$260,VLOOKUP('cruce '!I788,Ingreso!$AL$11:$AM$260,2,0),0),0)</f>
        <v>0</v>
      </c>
      <c r="N788" t="str">
        <f t="shared" si="57"/>
        <v>OK</v>
      </c>
    </row>
    <row r="789" spans="2:14">
      <c r="C789"/>
      <c r="D789" t="s">
        <v>1438</v>
      </c>
      <c r="E789" t="s">
        <v>4</v>
      </c>
      <c r="F789" s="78">
        <v>0.3125</v>
      </c>
      <c r="G789" s="55">
        <v>0.29577546296296298</v>
      </c>
      <c r="H789" s="55">
        <v>0.63604166666666673</v>
      </c>
      <c r="I789" s="55" t="str">
        <f t="shared" si="54"/>
        <v>13.836.182-9</v>
      </c>
      <c r="J789" s="55">
        <f t="shared" si="55"/>
        <v>0.34026620370370375</v>
      </c>
      <c r="K789" s="93">
        <f t="shared" si="56"/>
        <v>0.66638888888888914</v>
      </c>
      <c r="L789">
        <f>IFERROR(HLOOKUP(D789,Ingreso!$AN$10:$AT$260,VLOOKUP('cruce '!I789,Ingreso!$AL$11:$AM$260,2,0),0),0)</f>
        <v>0</v>
      </c>
      <c r="M789" s="95">
        <f>IFERROR(HLOOKUP(D789,Ingreso!$AW$10:$BC$260,VLOOKUP('cruce '!I789,Ingreso!$AL$11:$AM$260,2,0),0),0)</f>
        <v>0</v>
      </c>
      <c r="N789" t="str">
        <f t="shared" si="57"/>
        <v>OK</v>
      </c>
    </row>
    <row r="790" spans="2:14">
      <c r="C790"/>
      <c r="D790" t="s">
        <v>1439</v>
      </c>
      <c r="E790" t="s">
        <v>4</v>
      </c>
      <c r="F790" s="78">
        <v>0.3125</v>
      </c>
      <c r="G790" s="55">
        <v>0.30133101851851851</v>
      </c>
      <c r="H790" s="55">
        <v>0.64184027777777775</v>
      </c>
      <c r="I790" s="55" t="str">
        <f t="shared" si="54"/>
        <v>13.836.182-9</v>
      </c>
      <c r="J790" s="55">
        <f t="shared" si="55"/>
        <v>0.34050925925925923</v>
      </c>
      <c r="K790" s="93">
        <f t="shared" si="56"/>
        <v>0.67222222222222072</v>
      </c>
      <c r="L790">
        <f>IFERROR(HLOOKUP(D790,Ingreso!$AN$10:$AT$260,VLOOKUP('cruce '!I790,Ingreso!$AL$11:$AM$260,2,0),0),0)</f>
        <v>0</v>
      </c>
      <c r="M790" s="95">
        <f>IFERROR(HLOOKUP(D790,Ingreso!$AW$10:$BC$260,VLOOKUP('cruce '!I790,Ingreso!$AL$11:$AM$260,2,0),0),0)</f>
        <v>0</v>
      </c>
      <c r="N790" t="str">
        <f t="shared" si="57"/>
        <v>OK</v>
      </c>
    </row>
    <row r="791" spans="2:14">
      <c r="B791" t="s">
        <v>59</v>
      </c>
      <c r="C791" t="s">
        <v>63</v>
      </c>
      <c r="D791" t="s">
        <v>1440</v>
      </c>
      <c r="E791" t="s">
        <v>4</v>
      </c>
      <c r="F791" s="78">
        <v>0.3125</v>
      </c>
      <c r="G791" s="55">
        <v>0.29675925925925922</v>
      </c>
      <c r="H791" s="55">
        <v>0.64142361111111112</v>
      </c>
      <c r="I791" s="55" t="str">
        <f t="shared" si="54"/>
        <v>13.838.747-K</v>
      </c>
      <c r="J791" s="55">
        <f t="shared" si="55"/>
        <v>0.3446643518518519</v>
      </c>
      <c r="K791" s="93">
        <f t="shared" si="56"/>
        <v>0.77194444444444521</v>
      </c>
      <c r="L791">
        <f>IFERROR(HLOOKUP(D791,Ingreso!$AN$10:$AT$260,VLOOKUP('cruce '!I791,Ingreso!$AL$11:$AM$260,2,0),0),0)</f>
        <v>0</v>
      </c>
      <c r="M791" s="95">
        <f>IFERROR(HLOOKUP(D791,Ingreso!$AW$10:$BC$260,VLOOKUP('cruce '!I791,Ingreso!$AL$11:$AM$260,2,0),0),0)</f>
        <v>0</v>
      </c>
      <c r="N791" t="str">
        <f t="shared" si="57"/>
        <v>OK</v>
      </c>
    </row>
    <row r="792" spans="2:14">
      <c r="C792"/>
      <c r="D792" t="s">
        <v>1441</v>
      </c>
      <c r="E792" t="s">
        <v>4</v>
      </c>
      <c r="F792" s="78">
        <v>0.3125</v>
      </c>
      <c r="G792" s="55">
        <v>0.65645833333333337</v>
      </c>
      <c r="H792" s="55"/>
      <c r="I792" s="55" t="str">
        <f t="shared" si="54"/>
        <v>13.838.747-K</v>
      </c>
      <c r="J792" s="55">
        <f t="shared" si="55"/>
        <v>0.34354166666666663</v>
      </c>
      <c r="K792" s="93">
        <f t="shared" si="56"/>
        <v>0.74499999999999922</v>
      </c>
      <c r="L792">
        <f>IFERROR(HLOOKUP(D792,Ingreso!$AN$10:$AT$260,VLOOKUP('cruce '!I792,Ingreso!$AL$11:$AM$260,2,0),0),0)</f>
        <v>0</v>
      </c>
      <c r="M792" s="95">
        <f>IFERROR(HLOOKUP(D792,Ingreso!$AW$10:$BC$260,VLOOKUP('cruce '!I792,Ingreso!$AL$11:$AM$260,2,0),0),0)</f>
        <v>0</v>
      </c>
      <c r="N792" t="str">
        <f t="shared" si="57"/>
        <v>OK</v>
      </c>
    </row>
    <row r="793" spans="2:14">
      <c r="C793"/>
      <c r="D793"/>
      <c r="E793" t="s">
        <v>1321</v>
      </c>
      <c r="F793" s="78">
        <v>0.3125</v>
      </c>
      <c r="G793" s="55"/>
      <c r="H793" s="55">
        <v>0.95392361111111112</v>
      </c>
      <c r="I793" s="55" t="str">
        <f t="shared" si="54"/>
        <v>13.838.747-K</v>
      </c>
      <c r="J793" s="55">
        <f t="shared" si="55"/>
        <v>0.95392361111111112</v>
      </c>
      <c r="K793" s="93">
        <f t="shared" si="56"/>
        <v>15.394166666666667</v>
      </c>
      <c r="L793">
        <f>IFERROR(HLOOKUP(D793,Ingreso!$AN$10:$AT$260,VLOOKUP('cruce '!I793,Ingreso!$AL$11:$AM$260,2,0),0),0)</f>
        <v>0</v>
      </c>
      <c r="M793" s="95">
        <f>IFERROR(HLOOKUP(D793,Ingreso!$AW$10:$BC$260,VLOOKUP('cruce '!I793,Ingreso!$AL$11:$AM$260,2,0),0),0)</f>
        <v>0</v>
      </c>
      <c r="N793" t="str">
        <f t="shared" si="57"/>
        <v>Revisar</v>
      </c>
    </row>
    <row r="794" spans="2:14">
      <c r="C794"/>
      <c r="D794" t="s">
        <v>1437</v>
      </c>
      <c r="E794" t="s">
        <v>4</v>
      </c>
      <c r="F794" s="78">
        <v>0.3125</v>
      </c>
      <c r="G794" s="55">
        <v>0.29474537037037035</v>
      </c>
      <c r="H794" s="55">
        <v>0.63844907407407414</v>
      </c>
      <c r="I794" s="55" t="str">
        <f t="shared" si="54"/>
        <v>13.838.747-K</v>
      </c>
      <c r="J794" s="55">
        <f t="shared" si="55"/>
        <v>0.34370370370370379</v>
      </c>
      <c r="K794" s="93">
        <f t="shared" si="56"/>
        <v>0.74888888888889049</v>
      </c>
      <c r="L794">
        <f>IFERROR(HLOOKUP(D794,Ingreso!$AN$10:$AT$260,VLOOKUP('cruce '!I794,Ingreso!$AL$11:$AM$260,2,0),0),0)</f>
        <v>0</v>
      </c>
      <c r="M794" s="95">
        <f>IFERROR(HLOOKUP(D794,Ingreso!$AW$10:$BC$260,VLOOKUP('cruce '!I794,Ingreso!$AL$11:$AM$260,2,0),0),0)</f>
        <v>0</v>
      </c>
      <c r="N794" t="str">
        <f t="shared" si="57"/>
        <v>OK</v>
      </c>
    </row>
    <row r="795" spans="2:14">
      <c r="C795"/>
      <c r="D795" t="s">
        <v>1438</v>
      </c>
      <c r="E795" t="s">
        <v>4</v>
      </c>
      <c r="F795" s="78">
        <v>0.3125</v>
      </c>
      <c r="G795" s="55">
        <v>0.29584490740740738</v>
      </c>
      <c r="H795" s="55">
        <v>0.63850694444444445</v>
      </c>
      <c r="I795" s="55" t="str">
        <f t="shared" si="54"/>
        <v>13.838.747-K</v>
      </c>
      <c r="J795" s="55">
        <f t="shared" si="55"/>
        <v>0.34266203703703707</v>
      </c>
      <c r="K795" s="93">
        <f t="shared" si="56"/>
        <v>0.72388888888889014</v>
      </c>
      <c r="L795">
        <f>IFERROR(HLOOKUP(D795,Ingreso!$AN$10:$AT$260,VLOOKUP('cruce '!I795,Ingreso!$AL$11:$AM$260,2,0),0),0)</f>
        <v>0</v>
      </c>
      <c r="M795" s="95">
        <f>IFERROR(HLOOKUP(D795,Ingreso!$AW$10:$BC$260,VLOOKUP('cruce '!I795,Ingreso!$AL$11:$AM$260,2,0),0),0)</f>
        <v>0</v>
      </c>
      <c r="N795" t="str">
        <f t="shared" si="57"/>
        <v>OK</v>
      </c>
    </row>
    <row r="796" spans="2:14">
      <c r="C796"/>
      <c r="D796" t="s">
        <v>1439</v>
      </c>
      <c r="E796" t="s">
        <v>4</v>
      </c>
      <c r="F796" s="78">
        <v>0.3125</v>
      </c>
      <c r="G796" s="55">
        <v>0.29581018518518515</v>
      </c>
      <c r="H796" s="55">
        <v>0.64070601851851849</v>
      </c>
      <c r="I796" s="55" t="str">
        <f t="shared" si="54"/>
        <v>13.838.747-K</v>
      </c>
      <c r="J796" s="55">
        <f t="shared" si="55"/>
        <v>0.34489583333333335</v>
      </c>
      <c r="K796" s="93">
        <f t="shared" si="56"/>
        <v>0.77749999999999986</v>
      </c>
      <c r="L796">
        <f>IFERROR(HLOOKUP(D796,Ingreso!$AN$10:$AT$260,VLOOKUP('cruce '!I796,Ingreso!$AL$11:$AM$260,2,0),0),0)</f>
        <v>0</v>
      </c>
      <c r="M796" s="95">
        <f>IFERROR(HLOOKUP(D796,Ingreso!$AW$10:$BC$260,VLOOKUP('cruce '!I796,Ingreso!$AL$11:$AM$260,2,0),0),0)</f>
        <v>0</v>
      </c>
      <c r="N796" t="str">
        <f t="shared" si="57"/>
        <v>OK</v>
      </c>
    </row>
    <row r="797" spans="2:14">
      <c r="B797" t="s">
        <v>507</v>
      </c>
      <c r="C797" t="s">
        <v>511</v>
      </c>
      <c r="D797" t="s">
        <v>1440</v>
      </c>
      <c r="E797" t="s">
        <v>1323</v>
      </c>
      <c r="F797" s="78">
        <v>0.375</v>
      </c>
      <c r="G797" s="55"/>
      <c r="H797" s="55">
        <v>0.32185185185185183</v>
      </c>
      <c r="I797" s="55" t="str">
        <f t="shared" si="54"/>
        <v>13.897.327-1</v>
      </c>
      <c r="J797" s="55">
        <f t="shared" si="55"/>
        <v>0.32185185185185183</v>
      </c>
      <c r="K797" s="93">
        <f t="shared" si="56"/>
        <v>-1.275555555555556</v>
      </c>
      <c r="L797">
        <f>IFERROR(HLOOKUP(D797,Ingreso!$AN$10:$AT$260,VLOOKUP('cruce '!I797,Ingreso!$AL$11:$AM$260,2,0),0),0)</f>
        <v>0</v>
      </c>
      <c r="M797" s="95">
        <f>IFERROR(HLOOKUP(D797,Ingreso!$AW$10:$BC$260,VLOOKUP('cruce '!I797,Ingreso!$AL$11:$AM$260,2,0),0),0)</f>
        <v>0</v>
      </c>
      <c r="N797" t="str">
        <f t="shared" si="57"/>
        <v>Revisar</v>
      </c>
    </row>
    <row r="798" spans="2:14">
      <c r="C798"/>
      <c r="D798"/>
      <c r="E798" t="s">
        <v>1473</v>
      </c>
      <c r="F798" t="s">
        <v>1472</v>
      </c>
      <c r="G798" s="55">
        <v>0.82362268518518522</v>
      </c>
      <c r="H798" s="55"/>
      <c r="I798" s="55" t="str">
        <f t="shared" si="54"/>
        <v>13.897.327-1</v>
      </c>
      <c r="J798" s="55">
        <f t="shared" si="55"/>
        <v>0.17637731481481478</v>
      </c>
      <c r="K798" s="93" t="e">
        <f t="shared" si="56"/>
        <v>#VALUE!</v>
      </c>
      <c r="L798">
        <f>IFERROR(HLOOKUP(D798,Ingreso!$AN$10:$AT$260,VLOOKUP('cruce '!I798,Ingreso!$AL$11:$AM$260,2,0),0),0)</f>
        <v>0</v>
      </c>
      <c r="M798" s="95">
        <f>IFERROR(HLOOKUP(D798,Ingreso!$AW$10:$BC$260,VLOOKUP('cruce '!I798,Ingreso!$AL$11:$AM$260,2,0),0),0)</f>
        <v>0</v>
      </c>
      <c r="N798" t="e">
        <f t="shared" si="57"/>
        <v>#VALUE!</v>
      </c>
    </row>
    <row r="799" spans="2:14">
      <c r="C799"/>
      <c r="D799" t="s">
        <v>1441</v>
      </c>
      <c r="E799" t="s">
        <v>1323</v>
      </c>
      <c r="F799" s="78">
        <v>0.375</v>
      </c>
      <c r="G799" s="55"/>
      <c r="H799" s="55">
        <v>0.32460648148148147</v>
      </c>
      <c r="I799" s="55" t="str">
        <f t="shared" si="54"/>
        <v>13.897.327-1</v>
      </c>
      <c r="J799" s="55">
        <f t="shared" si="55"/>
        <v>0.32460648148148147</v>
      </c>
      <c r="K799" s="93">
        <f t="shared" si="56"/>
        <v>-1.2094444444444452</v>
      </c>
      <c r="L799">
        <f>IFERROR(HLOOKUP(D799,Ingreso!$AN$10:$AT$260,VLOOKUP('cruce '!I799,Ingreso!$AL$11:$AM$260,2,0),0),0)</f>
        <v>0</v>
      </c>
      <c r="M799" s="95">
        <f>IFERROR(HLOOKUP(D799,Ingreso!$AW$10:$BC$260,VLOOKUP('cruce '!I799,Ingreso!$AL$11:$AM$260,2,0),0),0)</f>
        <v>0</v>
      </c>
      <c r="N799" t="str">
        <f t="shared" si="57"/>
        <v>Revisar</v>
      </c>
    </row>
    <row r="800" spans="2:14">
      <c r="C800"/>
      <c r="D800" t="s">
        <v>1437</v>
      </c>
      <c r="E800" t="s">
        <v>1473</v>
      </c>
      <c r="F800" t="s">
        <v>1472</v>
      </c>
      <c r="G800" s="55">
        <v>0.81303240740740745</v>
      </c>
      <c r="H800" s="55"/>
      <c r="I800" s="55" t="str">
        <f t="shared" si="54"/>
        <v>13.897.327-1</v>
      </c>
      <c r="J800" s="55">
        <f t="shared" si="55"/>
        <v>0.18696759259259255</v>
      </c>
      <c r="K800" s="93" t="e">
        <f t="shared" si="56"/>
        <v>#VALUE!</v>
      </c>
      <c r="L800">
        <f>IFERROR(HLOOKUP(D800,Ingreso!$AN$10:$AT$260,VLOOKUP('cruce '!I800,Ingreso!$AL$11:$AM$260,2,0),0),0)</f>
        <v>0</v>
      </c>
      <c r="M800" s="95">
        <f>IFERROR(HLOOKUP(D800,Ingreso!$AW$10:$BC$260,VLOOKUP('cruce '!I800,Ingreso!$AL$11:$AM$260,2,0),0),0)</f>
        <v>0</v>
      </c>
      <c r="N800" t="e">
        <f t="shared" si="57"/>
        <v>#VALUE!</v>
      </c>
    </row>
    <row r="801" spans="2:14">
      <c r="C801"/>
      <c r="D801" t="s">
        <v>1438</v>
      </c>
      <c r="E801" t="s">
        <v>4</v>
      </c>
      <c r="F801" s="78">
        <v>0.3125</v>
      </c>
      <c r="G801" s="55">
        <v>0.80589120370370371</v>
      </c>
      <c r="H801" s="55"/>
      <c r="I801" s="55" t="str">
        <f t="shared" si="54"/>
        <v>13.897.327-1</v>
      </c>
      <c r="J801" s="55">
        <f t="shared" si="55"/>
        <v>0.19410879629629629</v>
      </c>
      <c r="K801" s="93">
        <f t="shared" si="56"/>
        <v>-2.841388888888889</v>
      </c>
      <c r="L801">
        <f>IFERROR(HLOOKUP(D801,Ingreso!$AN$10:$AT$260,VLOOKUP('cruce '!I801,Ingreso!$AL$11:$AM$260,2,0),0),0)</f>
        <v>0</v>
      </c>
      <c r="M801" s="95">
        <f>IFERROR(HLOOKUP(D801,Ingreso!$AW$10:$BC$260,VLOOKUP('cruce '!I801,Ingreso!$AL$11:$AM$260,2,0),0),0)</f>
        <v>0</v>
      </c>
      <c r="N801" t="str">
        <f t="shared" si="57"/>
        <v>Revisar</v>
      </c>
    </row>
    <row r="802" spans="2:14">
      <c r="C802"/>
      <c r="D802"/>
      <c r="E802" t="s">
        <v>1323</v>
      </c>
      <c r="F802" s="78">
        <v>0.375</v>
      </c>
      <c r="G802" s="55"/>
      <c r="H802" s="55">
        <v>0.31537037037037036</v>
      </c>
      <c r="I802" s="55" t="str">
        <f t="shared" si="54"/>
        <v>13.897.327-1</v>
      </c>
      <c r="J802" s="55">
        <f t="shared" si="55"/>
        <v>0.31537037037037036</v>
      </c>
      <c r="K802" s="93">
        <f t="shared" si="56"/>
        <v>-1.431111111111111</v>
      </c>
      <c r="L802">
        <f>IFERROR(HLOOKUP(D802,Ingreso!$AN$10:$AT$260,VLOOKUP('cruce '!I802,Ingreso!$AL$11:$AM$260,2,0),0),0)</f>
        <v>0</v>
      </c>
      <c r="M802" s="95">
        <f>IFERROR(HLOOKUP(D802,Ingreso!$AW$10:$BC$260,VLOOKUP('cruce '!I802,Ingreso!$AL$11:$AM$260,2,0),0),0)</f>
        <v>0</v>
      </c>
      <c r="N802" t="str">
        <f t="shared" si="57"/>
        <v>Revisar</v>
      </c>
    </row>
    <row r="803" spans="2:14">
      <c r="C803"/>
      <c r="D803" t="s">
        <v>1439</v>
      </c>
      <c r="E803" t="s">
        <v>1323</v>
      </c>
      <c r="F803" s="78">
        <v>0.375</v>
      </c>
      <c r="G803" s="55"/>
      <c r="H803" s="55">
        <v>0.31541666666666668</v>
      </c>
      <c r="I803" s="55" t="str">
        <f t="shared" si="54"/>
        <v>13.897.327-1</v>
      </c>
      <c r="J803" s="55">
        <f t="shared" si="55"/>
        <v>0.31541666666666668</v>
      </c>
      <c r="K803" s="93">
        <f t="shared" si="56"/>
        <v>-1.4299999999999997</v>
      </c>
      <c r="L803">
        <f>IFERROR(HLOOKUP(D803,Ingreso!$AN$10:$AT$260,VLOOKUP('cruce '!I803,Ingreso!$AL$11:$AM$260,2,0),0),0)</f>
        <v>0</v>
      </c>
      <c r="M803" s="95">
        <f>IFERROR(HLOOKUP(D803,Ingreso!$AW$10:$BC$260,VLOOKUP('cruce '!I803,Ingreso!$AL$11:$AM$260,2,0),0),0)</f>
        <v>0</v>
      </c>
      <c r="N803" t="str">
        <f t="shared" si="57"/>
        <v>Revisar</v>
      </c>
    </row>
    <row r="804" spans="2:14">
      <c r="C804"/>
      <c r="D804"/>
      <c r="E804" t="s">
        <v>1473</v>
      </c>
      <c r="F804" t="s">
        <v>1472</v>
      </c>
      <c r="G804" s="55">
        <v>0.81804398148148139</v>
      </c>
      <c r="H804" s="55"/>
      <c r="I804" s="55" t="str">
        <f t="shared" si="54"/>
        <v>13.897.327-1</v>
      </c>
      <c r="J804" s="55">
        <f t="shared" si="55"/>
        <v>0.18195601851851861</v>
      </c>
      <c r="K804" s="93" t="e">
        <f t="shared" si="56"/>
        <v>#VALUE!</v>
      </c>
      <c r="L804">
        <f>IFERROR(HLOOKUP(D804,Ingreso!$AN$10:$AT$260,VLOOKUP('cruce '!I804,Ingreso!$AL$11:$AM$260,2,0),0),0)</f>
        <v>0</v>
      </c>
      <c r="M804" s="95">
        <f>IFERROR(HLOOKUP(D804,Ingreso!$AW$10:$BC$260,VLOOKUP('cruce '!I804,Ingreso!$AL$11:$AM$260,2,0),0),0)</f>
        <v>0</v>
      </c>
      <c r="N804" t="e">
        <f t="shared" si="57"/>
        <v>#VALUE!</v>
      </c>
    </row>
    <row r="805" spans="2:14">
      <c r="B805" t="s">
        <v>168</v>
      </c>
      <c r="C805" t="s">
        <v>170</v>
      </c>
      <c r="D805" t="s">
        <v>1440</v>
      </c>
      <c r="E805" t="s">
        <v>1474</v>
      </c>
      <c r="F805" t="s">
        <v>1472</v>
      </c>
      <c r="G805" s="55">
        <v>0.31251157407407409</v>
      </c>
      <c r="H805" s="55">
        <v>0.62864583333333335</v>
      </c>
      <c r="I805" s="55" t="str">
        <f t="shared" si="54"/>
        <v>13.899.407-4</v>
      </c>
      <c r="J805" s="55">
        <f t="shared" si="55"/>
        <v>0.31613425925925925</v>
      </c>
      <c r="K805" s="93" t="e">
        <f t="shared" si="56"/>
        <v>#VALUE!</v>
      </c>
      <c r="L805">
        <f>IFERROR(HLOOKUP(D805,Ingreso!$AN$10:$AT$260,VLOOKUP('cruce '!I805,Ingreso!$AL$11:$AM$260,2,0),0),0)</f>
        <v>0</v>
      </c>
      <c r="M805" s="95" t="str">
        <f>IFERROR(HLOOKUP(D805,Ingreso!$AW$10:$BC$260,VLOOKUP('cruce '!I805,Ingreso!$AL$11:$AM$260,2,0),0),0)</f>
        <v/>
      </c>
      <c r="N805" t="e">
        <f t="shared" si="57"/>
        <v>#VALUE!</v>
      </c>
    </row>
    <row r="806" spans="2:14">
      <c r="C806"/>
      <c r="D806" t="s">
        <v>1441</v>
      </c>
      <c r="E806" t="s">
        <v>1474</v>
      </c>
      <c r="F806" t="s">
        <v>1472</v>
      </c>
      <c r="G806" s="55">
        <v>0.31445601851851851</v>
      </c>
      <c r="H806" s="55">
        <v>0.64098379629629632</v>
      </c>
      <c r="I806" s="55" t="str">
        <f t="shared" si="54"/>
        <v>13.899.407-4</v>
      </c>
      <c r="J806" s="55">
        <f t="shared" si="55"/>
        <v>0.32652777777777781</v>
      </c>
      <c r="K806" s="93" t="e">
        <f t="shared" si="56"/>
        <v>#VALUE!</v>
      </c>
      <c r="L806">
        <f>IFERROR(HLOOKUP(D806,Ingreso!$AN$10:$AT$260,VLOOKUP('cruce '!I806,Ingreso!$AL$11:$AM$260,2,0),0),0)</f>
        <v>0</v>
      </c>
      <c r="M806" s="95" t="str">
        <f>IFERROR(HLOOKUP(D806,Ingreso!$AW$10:$BC$260,VLOOKUP('cruce '!I806,Ingreso!$AL$11:$AM$260,2,0),0),0)</f>
        <v/>
      </c>
      <c r="N806" t="e">
        <f t="shared" si="57"/>
        <v>#VALUE!</v>
      </c>
    </row>
    <row r="807" spans="2:14">
      <c r="C807"/>
      <c r="D807" t="s">
        <v>1437</v>
      </c>
      <c r="E807" t="s">
        <v>1474</v>
      </c>
      <c r="F807" t="s">
        <v>1472</v>
      </c>
      <c r="G807" s="55">
        <v>0.31490740740740741</v>
      </c>
      <c r="H807" s="55">
        <v>0.62657407407407406</v>
      </c>
      <c r="I807" s="55" t="str">
        <f t="shared" si="54"/>
        <v>13.899.407-4</v>
      </c>
      <c r="J807" s="55">
        <f t="shared" si="55"/>
        <v>0.31166666666666665</v>
      </c>
      <c r="K807" s="93" t="e">
        <f t="shared" si="56"/>
        <v>#VALUE!</v>
      </c>
      <c r="L807">
        <f>IFERROR(HLOOKUP(D807,Ingreso!$AN$10:$AT$260,VLOOKUP('cruce '!I807,Ingreso!$AL$11:$AM$260,2,0),0),0)</f>
        <v>0</v>
      </c>
      <c r="M807" s="95" t="str">
        <f>IFERROR(HLOOKUP(D807,Ingreso!$AW$10:$BC$260,VLOOKUP('cruce '!I807,Ingreso!$AL$11:$AM$260,2,0),0),0)</f>
        <v/>
      </c>
      <c r="N807" t="e">
        <f t="shared" si="57"/>
        <v>#VALUE!</v>
      </c>
    </row>
    <row r="808" spans="2:14">
      <c r="C808"/>
      <c r="D808" t="s">
        <v>1438</v>
      </c>
      <c r="E808" t="s">
        <v>1474</v>
      </c>
      <c r="F808" t="s">
        <v>1472</v>
      </c>
      <c r="G808" s="55">
        <v>0.32333333333333331</v>
      </c>
      <c r="H808" s="55">
        <v>0.62898148148148147</v>
      </c>
      <c r="I808" s="55" t="str">
        <f t="shared" si="54"/>
        <v>13.899.407-4</v>
      </c>
      <c r="J808" s="55">
        <f t="shared" si="55"/>
        <v>0.30564814814814817</v>
      </c>
      <c r="K808" s="93" t="e">
        <f t="shared" si="56"/>
        <v>#VALUE!</v>
      </c>
      <c r="L808">
        <f>IFERROR(HLOOKUP(D808,Ingreso!$AN$10:$AT$260,VLOOKUP('cruce '!I808,Ingreso!$AL$11:$AM$260,2,0),0),0)</f>
        <v>0</v>
      </c>
      <c r="M808" s="95" t="str">
        <f>IFERROR(HLOOKUP(D808,Ingreso!$AW$10:$BC$260,VLOOKUP('cruce '!I808,Ingreso!$AL$11:$AM$260,2,0),0),0)</f>
        <v/>
      </c>
      <c r="N808" t="e">
        <f t="shared" si="57"/>
        <v>#VALUE!</v>
      </c>
    </row>
    <row r="809" spans="2:14">
      <c r="C809"/>
      <c r="D809" t="s">
        <v>1439</v>
      </c>
      <c r="E809" t="s">
        <v>1474</v>
      </c>
      <c r="F809" t="s">
        <v>1472</v>
      </c>
      <c r="G809" s="55">
        <v>0.31983796296296296</v>
      </c>
      <c r="H809" s="55">
        <v>0.63550925925925927</v>
      </c>
      <c r="I809" s="55" t="str">
        <f t="shared" si="54"/>
        <v>13.899.407-4</v>
      </c>
      <c r="J809" s="55">
        <f t="shared" si="55"/>
        <v>0.31567129629629631</v>
      </c>
      <c r="K809" s="93" t="e">
        <f t="shared" si="56"/>
        <v>#VALUE!</v>
      </c>
      <c r="L809">
        <f>IFERROR(HLOOKUP(D809,Ingreso!$AN$10:$AT$260,VLOOKUP('cruce '!I809,Ingreso!$AL$11:$AM$260,2,0),0),0)</f>
        <v>0</v>
      </c>
      <c r="M809" s="95" t="str">
        <f>IFERROR(HLOOKUP(D809,Ingreso!$AW$10:$BC$260,VLOOKUP('cruce '!I809,Ingreso!$AL$11:$AM$260,2,0),0),0)</f>
        <v/>
      </c>
      <c r="N809" t="e">
        <f t="shared" si="57"/>
        <v>#VALUE!</v>
      </c>
    </row>
    <row r="810" spans="2:14">
      <c r="B810" t="s">
        <v>605</v>
      </c>
      <c r="C810" t="s">
        <v>608</v>
      </c>
      <c r="D810" t="s">
        <v>1440</v>
      </c>
      <c r="E810" t="s">
        <v>1321</v>
      </c>
      <c r="F810" s="78">
        <v>0.3125</v>
      </c>
      <c r="G810" s="55">
        <v>0.60847222222222219</v>
      </c>
      <c r="H810" s="55">
        <v>0.95124999999999993</v>
      </c>
      <c r="I810" s="55" t="str">
        <f t="shared" si="54"/>
        <v>14.005.554-9</v>
      </c>
      <c r="J810" s="55">
        <f t="shared" si="55"/>
        <v>0.34277777777777774</v>
      </c>
      <c r="K810" s="93">
        <f t="shared" si="56"/>
        <v>0.72666666666666657</v>
      </c>
      <c r="L810">
        <f>IFERROR(HLOOKUP(D810,Ingreso!$AN$10:$AT$260,VLOOKUP('cruce '!I810,Ingreso!$AL$11:$AM$260,2,0),0),0)</f>
        <v>0</v>
      </c>
      <c r="M810" s="95">
        <f>IFERROR(HLOOKUP(D810,Ingreso!$AW$10:$BC$260,VLOOKUP('cruce '!I810,Ingreso!$AL$11:$AM$260,2,0),0),0)</f>
        <v>0</v>
      </c>
      <c r="N810" t="str">
        <f t="shared" si="57"/>
        <v>OK</v>
      </c>
    </row>
    <row r="811" spans="2:14">
      <c r="C811"/>
      <c r="D811" t="s">
        <v>1441</v>
      </c>
      <c r="E811" t="s">
        <v>4</v>
      </c>
      <c r="F811" s="78">
        <v>0.3125</v>
      </c>
      <c r="G811" s="55">
        <v>0.62983796296296302</v>
      </c>
      <c r="H811" s="55"/>
      <c r="I811" s="55" t="str">
        <f t="shared" si="54"/>
        <v>14.005.554-9</v>
      </c>
      <c r="J811" s="55">
        <f t="shared" si="55"/>
        <v>0.37016203703703698</v>
      </c>
      <c r="K811" s="93">
        <f t="shared" si="56"/>
        <v>1.3838888888888867</v>
      </c>
      <c r="L811">
        <f>IFERROR(HLOOKUP(D811,Ingreso!$AN$10:$AT$260,VLOOKUP('cruce '!I811,Ingreso!$AL$11:$AM$260,2,0),0),0)</f>
        <v>0</v>
      </c>
      <c r="M811" s="95">
        <f>IFERROR(HLOOKUP(D811,Ingreso!$AW$10:$BC$260,VLOOKUP('cruce '!I811,Ingreso!$AL$11:$AM$260,2,0),0),0)</f>
        <v>0</v>
      </c>
      <c r="N811" t="str">
        <f t="shared" si="57"/>
        <v>Revisar</v>
      </c>
    </row>
    <row r="812" spans="2:14">
      <c r="C812"/>
      <c r="D812"/>
      <c r="E812" t="s">
        <v>1321</v>
      </c>
      <c r="F812" s="78">
        <v>0.3125</v>
      </c>
      <c r="G812" s="55"/>
      <c r="H812" s="55">
        <v>0.94924768518518521</v>
      </c>
      <c r="I812" s="55" t="str">
        <f t="shared" si="54"/>
        <v>14.005.554-9</v>
      </c>
      <c r="J812" s="55">
        <f t="shared" si="55"/>
        <v>0.94924768518518521</v>
      </c>
      <c r="K812" s="93">
        <f t="shared" si="56"/>
        <v>15.281944444444445</v>
      </c>
      <c r="L812">
        <f>IFERROR(HLOOKUP(D812,Ingreso!$AN$10:$AT$260,VLOOKUP('cruce '!I812,Ingreso!$AL$11:$AM$260,2,0),0),0)</f>
        <v>0</v>
      </c>
      <c r="M812" s="95">
        <f>IFERROR(HLOOKUP(D812,Ingreso!$AW$10:$BC$260,VLOOKUP('cruce '!I812,Ingreso!$AL$11:$AM$260,2,0),0),0)</f>
        <v>0</v>
      </c>
      <c r="N812" t="str">
        <f t="shared" si="57"/>
        <v>Revisar</v>
      </c>
    </row>
    <row r="813" spans="2:14">
      <c r="C813"/>
      <c r="D813" t="s">
        <v>1437</v>
      </c>
      <c r="E813" t="s">
        <v>1321</v>
      </c>
      <c r="F813" s="78">
        <v>0.3125</v>
      </c>
      <c r="G813" s="55">
        <v>0.60599537037037032</v>
      </c>
      <c r="H813" s="55">
        <v>0.95000000000000007</v>
      </c>
      <c r="I813" s="55" t="str">
        <f t="shared" si="54"/>
        <v>14.005.554-9</v>
      </c>
      <c r="J813" s="55">
        <f t="shared" si="55"/>
        <v>0.34400462962962974</v>
      </c>
      <c r="K813" s="93">
        <f t="shared" si="56"/>
        <v>0.75611111111111384</v>
      </c>
      <c r="L813">
        <f>IFERROR(HLOOKUP(D813,Ingreso!$AN$10:$AT$260,VLOOKUP('cruce '!I813,Ingreso!$AL$11:$AM$260,2,0),0),0)</f>
        <v>0</v>
      </c>
      <c r="M813" s="95">
        <f>IFERROR(HLOOKUP(D813,Ingreso!$AW$10:$BC$260,VLOOKUP('cruce '!I813,Ingreso!$AL$11:$AM$260,2,0),0),0)</f>
        <v>0</v>
      </c>
      <c r="N813" t="str">
        <f t="shared" si="57"/>
        <v>OK</v>
      </c>
    </row>
    <row r="814" spans="2:14">
      <c r="C814"/>
      <c r="D814" t="s">
        <v>1438</v>
      </c>
      <c r="E814" t="s">
        <v>1321</v>
      </c>
      <c r="F814" s="78">
        <v>0.3125</v>
      </c>
      <c r="G814" s="55">
        <v>0.61798611111111112</v>
      </c>
      <c r="H814" s="55">
        <v>0.95119212962962962</v>
      </c>
      <c r="I814" s="55" t="str">
        <f t="shared" si="54"/>
        <v>14.005.554-9</v>
      </c>
      <c r="J814" s="55">
        <f t="shared" si="55"/>
        <v>0.3332060185185185</v>
      </c>
      <c r="K814" s="93">
        <f t="shared" si="56"/>
        <v>0.49694444444444397</v>
      </c>
      <c r="L814">
        <f>IFERROR(HLOOKUP(D814,Ingreso!$AN$10:$AT$260,VLOOKUP('cruce '!I814,Ingreso!$AL$11:$AM$260,2,0),0),0)</f>
        <v>0</v>
      </c>
      <c r="M814" s="95">
        <f>IFERROR(HLOOKUP(D814,Ingreso!$AW$10:$BC$260,VLOOKUP('cruce '!I814,Ingreso!$AL$11:$AM$260,2,0),0),0)</f>
        <v>0</v>
      </c>
      <c r="N814" t="str">
        <f t="shared" si="57"/>
        <v>OK</v>
      </c>
    </row>
    <row r="815" spans="2:14">
      <c r="C815"/>
      <c r="D815" t="s">
        <v>1439</v>
      </c>
      <c r="E815" t="s">
        <v>1321</v>
      </c>
      <c r="F815" s="78">
        <v>0.3125</v>
      </c>
      <c r="G815" s="55">
        <v>0.61378472222222225</v>
      </c>
      <c r="H815" s="55">
        <v>0.9525231481481482</v>
      </c>
      <c r="I815" s="55" t="str">
        <f t="shared" si="54"/>
        <v>14.005.554-9</v>
      </c>
      <c r="J815" s="55">
        <f t="shared" si="55"/>
        <v>0.33873842592592596</v>
      </c>
      <c r="K815" s="93">
        <f t="shared" si="56"/>
        <v>0.62972222222222385</v>
      </c>
      <c r="L815">
        <f>IFERROR(HLOOKUP(D815,Ingreso!$AN$10:$AT$260,VLOOKUP('cruce '!I815,Ingreso!$AL$11:$AM$260,2,0),0),0)</f>
        <v>0</v>
      </c>
      <c r="M815" s="95">
        <f>IFERROR(HLOOKUP(D815,Ingreso!$AW$10:$BC$260,VLOOKUP('cruce '!I815,Ingreso!$AL$11:$AM$260,2,0),0),0)</f>
        <v>0</v>
      </c>
      <c r="N815" t="str">
        <f t="shared" si="57"/>
        <v>OK</v>
      </c>
    </row>
    <row r="816" spans="2:14">
      <c r="B816" t="s">
        <v>1214</v>
      </c>
      <c r="C816" t="s">
        <v>1217</v>
      </c>
      <c r="D816" t="s">
        <v>1441</v>
      </c>
      <c r="E816" t="s">
        <v>1321</v>
      </c>
      <c r="F816" s="78">
        <v>0.3125</v>
      </c>
      <c r="G816" s="55">
        <v>0.60905092592592591</v>
      </c>
      <c r="H816" s="55">
        <v>0.95437500000000008</v>
      </c>
      <c r="I816" s="55" t="str">
        <f t="shared" si="54"/>
        <v>14.005.587-5</v>
      </c>
      <c r="J816" s="55">
        <f t="shared" si="55"/>
        <v>0.34532407407407417</v>
      </c>
      <c r="K816" s="93">
        <f t="shared" si="56"/>
        <v>0.78777777777778013</v>
      </c>
      <c r="L816">
        <f>IFERROR(HLOOKUP(D816,Ingreso!$AN$10:$AT$260,VLOOKUP('cruce '!I816,Ingreso!$AL$11:$AM$260,2,0),0),0)</f>
        <v>0</v>
      </c>
      <c r="M816" s="95">
        <f>IFERROR(HLOOKUP(D816,Ingreso!$AW$10:$BC$260,VLOOKUP('cruce '!I816,Ingreso!$AL$11:$AM$260,2,0),0),0)</f>
        <v>0</v>
      </c>
      <c r="N816" t="str">
        <f t="shared" si="57"/>
        <v>OK</v>
      </c>
    </row>
    <row r="817" spans="2:14">
      <c r="B817" t="s">
        <v>1377</v>
      </c>
      <c r="C817" t="s">
        <v>1312</v>
      </c>
      <c r="D817" t="s">
        <v>1440</v>
      </c>
      <c r="E817" t="s">
        <v>1474</v>
      </c>
      <c r="F817" t="s">
        <v>1472</v>
      </c>
      <c r="G817" s="55">
        <v>0.30236111111111114</v>
      </c>
      <c r="H817" s="55">
        <v>0.62604166666666672</v>
      </c>
      <c r="I817" s="55" t="str">
        <f t="shared" si="54"/>
        <v>14.005.685-7</v>
      </c>
      <c r="J817" s="55">
        <f t="shared" si="55"/>
        <v>0.32368055555555558</v>
      </c>
      <c r="K817" s="93" t="e">
        <f t="shared" si="56"/>
        <v>#VALUE!</v>
      </c>
      <c r="L817">
        <f>IFERROR(HLOOKUP(D817,Ingreso!$AN$10:$AT$260,VLOOKUP('cruce '!I817,Ingreso!$AL$11:$AM$260,2,0),0),0)</f>
        <v>0</v>
      </c>
      <c r="M817" s="95" t="str">
        <f>IFERROR(HLOOKUP(D817,Ingreso!$AW$10:$BC$260,VLOOKUP('cruce '!I817,Ingreso!$AL$11:$AM$260,2,0),0),0)</f>
        <v/>
      </c>
      <c r="N817" t="e">
        <f t="shared" si="57"/>
        <v>#VALUE!</v>
      </c>
    </row>
    <row r="818" spans="2:14">
      <c r="C818"/>
      <c r="D818" t="s">
        <v>1437</v>
      </c>
      <c r="E818" t="s">
        <v>1474</v>
      </c>
      <c r="F818" t="s">
        <v>1472</v>
      </c>
      <c r="G818" s="55">
        <v>0.30229166666666668</v>
      </c>
      <c r="H818" s="55">
        <v>0.6288541666666666</v>
      </c>
      <c r="I818" s="55" t="str">
        <f t="shared" si="54"/>
        <v>14.005.685-7</v>
      </c>
      <c r="J818" s="55">
        <f t="shared" si="55"/>
        <v>0.32656249999999992</v>
      </c>
      <c r="K818" s="93" t="e">
        <f t="shared" si="56"/>
        <v>#VALUE!</v>
      </c>
      <c r="L818">
        <f>IFERROR(HLOOKUP(D818,Ingreso!$AN$10:$AT$260,VLOOKUP('cruce '!I818,Ingreso!$AL$11:$AM$260,2,0),0),0)</f>
        <v>0</v>
      </c>
      <c r="M818" s="95" t="str">
        <f>IFERROR(HLOOKUP(D818,Ingreso!$AW$10:$BC$260,VLOOKUP('cruce '!I818,Ingreso!$AL$11:$AM$260,2,0),0),0)</f>
        <v/>
      </c>
      <c r="N818" t="e">
        <f t="shared" si="57"/>
        <v>#VALUE!</v>
      </c>
    </row>
    <row r="819" spans="2:14">
      <c r="C819"/>
      <c r="D819" t="s">
        <v>1438</v>
      </c>
      <c r="E819" t="s">
        <v>1474</v>
      </c>
      <c r="F819" t="s">
        <v>1472</v>
      </c>
      <c r="G819" s="55">
        <v>0.30866898148148147</v>
      </c>
      <c r="H819" s="55">
        <v>0.62988425925925928</v>
      </c>
      <c r="I819" s="55" t="str">
        <f t="shared" si="54"/>
        <v>14.005.685-7</v>
      </c>
      <c r="J819" s="55">
        <f t="shared" si="55"/>
        <v>0.32121527777777781</v>
      </c>
      <c r="K819" s="93" t="e">
        <f t="shared" si="56"/>
        <v>#VALUE!</v>
      </c>
      <c r="L819">
        <f>IFERROR(HLOOKUP(D819,Ingreso!$AN$10:$AT$260,VLOOKUP('cruce '!I819,Ingreso!$AL$11:$AM$260,2,0),0),0)</f>
        <v>0</v>
      </c>
      <c r="M819" s="95" t="str">
        <f>IFERROR(HLOOKUP(D819,Ingreso!$AW$10:$BC$260,VLOOKUP('cruce '!I819,Ingreso!$AL$11:$AM$260,2,0),0),0)</f>
        <v/>
      </c>
      <c r="N819" t="e">
        <f t="shared" si="57"/>
        <v>#VALUE!</v>
      </c>
    </row>
    <row r="820" spans="2:14">
      <c r="C820"/>
      <c r="D820" t="s">
        <v>1439</v>
      </c>
      <c r="E820" t="s">
        <v>1474</v>
      </c>
      <c r="F820" t="s">
        <v>1472</v>
      </c>
      <c r="G820" s="55">
        <v>0.3066550925925926</v>
      </c>
      <c r="H820" s="55">
        <v>0.63023148148148145</v>
      </c>
      <c r="I820" s="55" t="str">
        <f t="shared" si="54"/>
        <v>14.005.685-7</v>
      </c>
      <c r="J820" s="55">
        <f t="shared" si="55"/>
        <v>0.32357638888888884</v>
      </c>
      <c r="K820" s="93" t="e">
        <f t="shared" si="56"/>
        <v>#VALUE!</v>
      </c>
      <c r="L820">
        <f>IFERROR(HLOOKUP(D820,Ingreso!$AN$10:$AT$260,VLOOKUP('cruce '!I820,Ingreso!$AL$11:$AM$260,2,0),0),0)</f>
        <v>0</v>
      </c>
      <c r="M820" s="95" t="str">
        <f>IFERROR(HLOOKUP(D820,Ingreso!$AW$10:$BC$260,VLOOKUP('cruce '!I820,Ingreso!$AL$11:$AM$260,2,0),0),0)</f>
        <v/>
      </c>
      <c r="N820" t="e">
        <f t="shared" si="57"/>
        <v>#VALUE!</v>
      </c>
    </row>
    <row r="821" spans="2:14">
      <c r="B821" t="s">
        <v>742</v>
      </c>
      <c r="C821" t="s">
        <v>744</v>
      </c>
      <c r="D821" t="s">
        <v>1440</v>
      </c>
      <c r="E821" t="s">
        <v>1321</v>
      </c>
      <c r="F821" s="78">
        <v>0.3125</v>
      </c>
      <c r="G821" s="55">
        <v>0.67745370370370372</v>
      </c>
      <c r="H821" s="55"/>
      <c r="I821" s="55" t="str">
        <f t="shared" si="54"/>
        <v>14.017.495-5</v>
      </c>
      <c r="J821" s="55">
        <f t="shared" si="55"/>
        <v>0.32254629629629628</v>
      </c>
      <c r="K821" s="93">
        <f t="shared" si="56"/>
        <v>0.24111111111111061</v>
      </c>
      <c r="L821">
        <f>IFERROR(HLOOKUP(D821,Ingreso!$AN$10:$AT$260,VLOOKUP('cruce '!I821,Ingreso!$AL$11:$AM$260,2,0),0),0)</f>
        <v>0</v>
      </c>
      <c r="M821" s="95" t="str">
        <f>IFERROR(HLOOKUP(D821,Ingreso!$AW$10:$BC$260,VLOOKUP('cruce '!I821,Ingreso!$AL$11:$AM$260,2,0),0),0)</f>
        <v/>
      </c>
      <c r="N821" t="str">
        <f t="shared" si="57"/>
        <v>OK</v>
      </c>
    </row>
    <row r="822" spans="2:14">
      <c r="C822"/>
      <c r="D822" t="s">
        <v>1441</v>
      </c>
      <c r="E822" t="s">
        <v>1321</v>
      </c>
      <c r="F822" s="78">
        <v>0.3125</v>
      </c>
      <c r="G822" s="55">
        <v>0.62138888888888888</v>
      </c>
      <c r="H822" s="55">
        <v>0.91589120370370369</v>
      </c>
      <c r="I822" s="55" t="str">
        <f t="shared" si="54"/>
        <v>14.017.495-5</v>
      </c>
      <c r="J822" s="55">
        <f t="shared" si="55"/>
        <v>0.29450231481481481</v>
      </c>
      <c r="K822" s="93">
        <f t="shared" si="56"/>
        <v>-0.43194444444444446</v>
      </c>
      <c r="L822">
        <f>IFERROR(HLOOKUP(D822,Ingreso!$AN$10:$AT$260,VLOOKUP('cruce '!I822,Ingreso!$AL$11:$AM$260,2,0),0),0)</f>
        <v>0</v>
      </c>
      <c r="M822" s="95" t="str">
        <f>IFERROR(HLOOKUP(D822,Ingreso!$AW$10:$BC$260,VLOOKUP('cruce '!I822,Ingreso!$AL$11:$AM$260,2,0),0),0)</f>
        <v/>
      </c>
      <c r="N822" t="str">
        <f t="shared" si="57"/>
        <v>OK</v>
      </c>
    </row>
    <row r="823" spans="2:14">
      <c r="C823"/>
      <c r="D823" t="s">
        <v>1437</v>
      </c>
      <c r="E823" t="s">
        <v>1321</v>
      </c>
      <c r="F823" s="78">
        <v>0.3125</v>
      </c>
      <c r="G823" s="55">
        <v>0.62409722222222219</v>
      </c>
      <c r="H823" s="55">
        <v>0.96706018518518511</v>
      </c>
      <c r="I823" s="55" t="str">
        <f t="shared" si="54"/>
        <v>14.017.495-5</v>
      </c>
      <c r="J823" s="55">
        <f t="shared" si="55"/>
        <v>0.34296296296296291</v>
      </c>
      <c r="K823" s="93">
        <f t="shared" si="56"/>
        <v>0.73111111111110993</v>
      </c>
      <c r="L823">
        <f>IFERROR(HLOOKUP(D823,Ingreso!$AN$10:$AT$260,VLOOKUP('cruce '!I823,Ingreso!$AL$11:$AM$260,2,0),0),0)</f>
        <v>0</v>
      </c>
      <c r="M823" s="95" t="str">
        <f>IFERROR(HLOOKUP(D823,Ingreso!$AW$10:$BC$260,VLOOKUP('cruce '!I823,Ingreso!$AL$11:$AM$260,2,0),0),0)</f>
        <v/>
      </c>
      <c r="N823" t="str">
        <f t="shared" si="57"/>
        <v>OK</v>
      </c>
    </row>
    <row r="824" spans="2:14">
      <c r="C824"/>
      <c r="D824" t="s">
        <v>1438</v>
      </c>
      <c r="E824" t="s">
        <v>1321</v>
      </c>
      <c r="F824" s="78">
        <v>0.3125</v>
      </c>
      <c r="G824" s="55">
        <v>0.61585648148148142</v>
      </c>
      <c r="H824" s="55"/>
      <c r="I824" s="55" t="str">
        <f t="shared" si="54"/>
        <v>14.017.495-5</v>
      </c>
      <c r="J824" s="55">
        <f t="shared" si="55"/>
        <v>0.38414351851851858</v>
      </c>
      <c r="K824" s="93">
        <f t="shared" si="56"/>
        <v>1.719444444444445</v>
      </c>
      <c r="L824">
        <f>IFERROR(HLOOKUP(D824,Ingreso!$AN$10:$AT$260,VLOOKUP('cruce '!I824,Ingreso!$AL$11:$AM$260,2,0),0),0)</f>
        <v>2</v>
      </c>
      <c r="M824" s="95">
        <f>IFERROR(HLOOKUP(D824,Ingreso!$AW$10:$BC$260,VLOOKUP('cruce '!I824,Ingreso!$AL$11:$AM$260,2,0),0),0)</f>
        <v>0.5</v>
      </c>
      <c r="N824" t="str">
        <f t="shared" si="57"/>
        <v>OK</v>
      </c>
    </row>
    <row r="825" spans="2:14">
      <c r="C825"/>
      <c r="D825" t="s">
        <v>1439</v>
      </c>
      <c r="E825" t="s">
        <v>1321</v>
      </c>
      <c r="F825" s="78">
        <v>0.3125</v>
      </c>
      <c r="G825" s="55">
        <v>0.62158564814814821</v>
      </c>
      <c r="H825" s="55">
        <v>0.99090277777777769</v>
      </c>
      <c r="I825" s="55" t="str">
        <f t="shared" si="54"/>
        <v>14.017.495-5</v>
      </c>
      <c r="J825" s="55">
        <f t="shared" si="55"/>
        <v>0.36931712962962948</v>
      </c>
      <c r="K825" s="93">
        <f t="shared" si="56"/>
        <v>1.3636111111111084</v>
      </c>
      <c r="L825">
        <f>IFERROR(HLOOKUP(D825,Ingreso!$AN$10:$AT$260,VLOOKUP('cruce '!I825,Ingreso!$AL$11:$AM$260,2,0),0),0)</f>
        <v>1.5</v>
      </c>
      <c r="M825" s="95">
        <f>IFERROR(HLOOKUP(D825,Ingreso!$AW$10:$BC$260,VLOOKUP('cruce '!I825,Ingreso!$AL$11:$AM$260,2,0),0),0)</f>
        <v>0.5</v>
      </c>
      <c r="N825" t="str">
        <f t="shared" si="57"/>
        <v>OK</v>
      </c>
    </row>
    <row r="826" spans="2:14">
      <c r="B826" t="s">
        <v>189</v>
      </c>
      <c r="C826" t="s">
        <v>193</v>
      </c>
      <c r="D826" t="s">
        <v>1440</v>
      </c>
      <c r="E826" t="s">
        <v>1323</v>
      </c>
      <c r="F826" s="78">
        <v>0.375</v>
      </c>
      <c r="G826" s="55">
        <v>0.332974537037037</v>
      </c>
      <c r="H826" s="55"/>
      <c r="I826" s="55" t="str">
        <f t="shared" si="54"/>
        <v>14.095.347-4</v>
      </c>
      <c r="J826" s="55">
        <f t="shared" si="55"/>
        <v>0.66702546296296306</v>
      </c>
      <c r="K826" s="93">
        <f t="shared" si="56"/>
        <v>7.0086111111111151</v>
      </c>
      <c r="L826">
        <f>IFERROR(HLOOKUP(D826,Ingreso!$AN$10:$AT$260,VLOOKUP('cruce '!I826,Ingreso!$AL$11:$AM$260,2,0),0),0)</f>
        <v>0</v>
      </c>
      <c r="M826" s="95">
        <f>IFERROR(HLOOKUP(D826,Ingreso!$AW$10:$BC$260,VLOOKUP('cruce '!I826,Ingreso!$AL$11:$AM$260,2,0),0),0)</f>
        <v>0</v>
      </c>
      <c r="N826" t="str">
        <f t="shared" si="57"/>
        <v>Revisar</v>
      </c>
    </row>
    <row r="827" spans="2:14">
      <c r="C827"/>
      <c r="D827"/>
      <c r="E827" t="s">
        <v>1473</v>
      </c>
      <c r="F827" t="s">
        <v>1472</v>
      </c>
      <c r="G827" s="55"/>
      <c r="H827" s="55">
        <v>0.83870370370370362</v>
      </c>
      <c r="I827" s="55" t="str">
        <f t="shared" si="54"/>
        <v>14.095.347-4</v>
      </c>
      <c r="J827" s="55">
        <f t="shared" si="55"/>
        <v>0.83870370370370362</v>
      </c>
      <c r="K827" s="93" t="e">
        <f t="shared" si="56"/>
        <v>#VALUE!</v>
      </c>
      <c r="L827">
        <f>IFERROR(HLOOKUP(D827,Ingreso!$AN$10:$AT$260,VLOOKUP('cruce '!I827,Ingreso!$AL$11:$AM$260,2,0),0),0)</f>
        <v>0</v>
      </c>
      <c r="M827" s="95">
        <f>IFERROR(HLOOKUP(D827,Ingreso!$AW$10:$BC$260,VLOOKUP('cruce '!I827,Ingreso!$AL$11:$AM$260,2,0),0),0)</f>
        <v>0</v>
      </c>
      <c r="N827" t="e">
        <f t="shared" si="57"/>
        <v>#VALUE!</v>
      </c>
    </row>
    <row r="828" spans="2:14">
      <c r="C828"/>
      <c r="D828" t="s">
        <v>1441</v>
      </c>
      <c r="E828" t="s">
        <v>4</v>
      </c>
      <c r="F828" s="78">
        <v>0.3125</v>
      </c>
      <c r="G828" s="55"/>
      <c r="H828" s="55">
        <v>0.63879629629629631</v>
      </c>
      <c r="I828" s="55" t="str">
        <f t="shared" si="54"/>
        <v>14.095.347-4</v>
      </c>
      <c r="J828" s="55">
        <f t="shared" si="55"/>
        <v>0.63879629629629631</v>
      </c>
      <c r="K828" s="93">
        <f t="shared" si="56"/>
        <v>7.8311111111111114</v>
      </c>
      <c r="L828">
        <f>IFERROR(HLOOKUP(D828,Ingreso!$AN$10:$AT$260,VLOOKUP('cruce '!I828,Ingreso!$AL$11:$AM$260,2,0),0),0)</f>
        <v>0</v>
      </c>
      <c r="M828" s="95">
        <f>IFERROR(HLOOKUP(D828,Ingreso!$AW$10:$BC$260,VLOOKUP('cruce '!I828,Ingreso!$AL$11:$AM$260,2,0),0),0)</f>
        <v>0</v>
      </c>
      <c r="N828" t="str">
        <f t="shared" si="57"/>
        <v>Revisar</v>
      </c>
    </row>
    <row r="829" spans="2:14">
      <c r="C829"/>
      <c r="D829"/>
      <c r="E829" t="s">
        <v>1323</v>
      </c>
      <c r="F829" s="78">
        <v>0.375</v>
      </c>
      <c r="G829" s="55">
        <v>0.31487268518518519</v>
      </c>
      <c r="H829" s="55"/>
      <c r="I829" s="55" t="str">
        <f t="shared" si="54"/>
        <v>14.095.347-4</v>
      </c>
      <c r="J829" s="55">
        <f t="shared" si="55"/>
        <v>0.68512731481481481</v>
      </c>
      <c r="K829" s="93">
        <f t="shared" si="56"/>
        <v>7.4430555555555564</v>
      </c>
      <c r="L829">
        <f>IFERROR(HLOOKUP(D829,Ingreso!$AN$10:$AT$260,VLOOKUP('cruce '!I829,Ingreso!$AL$11:$AM$260,2,0),0),0)</f>
        <v>0</v>
      </c>
      <c r="M829" s="95">
        <f>IFERROR(HLOOKUP(D829,Ingreso!$AW$10:$BC$260,VLOOKUP('cruce '!I829,Ingreso!$AL$11:$AM$260,2,0),0),0)</f>
        <v>0</v>
      </c>
      <c r="N829" t="str">
        <f t="shared" si="57"/>
        <v>Revisar</v>
      </c>
    </row>
    <row r="830" spans="2:14">
      <c r="C830"/>
      <c r="D830" t="s">
        <v>1437</v>
      </c>
      <c r="E830" t="s">
        <v>1321</v>
      </c>
      <c r="F830" s="78">
        <v>0.3125</v>
      </c>
      <c r="G830" s="55">
        <v>0.60564814814814816</v>
      </c>
      <c r="H830" s="55">
        <v>0.95157407407407402</v>
      </c>
      <c r="I830" s="55" t="str">
        <f t="shared" si="54"/>
        <v>14.095.347-4</v>
      </c>
      <c r="J830" s="55">
        <f t="shared" si="55"/>
        <v>0.34592592592592586</v>
      </c>
      <c r="K830" s="93">
        <f t="shared" si="56"/>
        <v>0.80222222222221973</v>
      </c>
      <c r="L830">
        <f>IFERROR(HLOOKUP(D830,Ingreso!$AN$10:$AT$260,VLOOKUP('cruce '!I830,Ingreso!$AL$11:$AM$260,2,0),0),0)</f>
        <v>0</v>
      </c>
      <c r="M830" s="95">
        <f>IFERROR(HLOOKUP(D830,Ingreso!$AW$10:$BC$260,VLOOKUP('cruce '!I830,Ingreso!$AL$11:$AM$260,2,0),0),0)</f>
        <v>0</v>
      </c>
      <c r="N830" t="str">
        <f t="shared" si="57"/>
        <v>OK</v>
      </c>
    </row>
    <row r="831" spans="2:14">
      <c r="C831"/>
      <c r="D831" t="s">
        <v>1438</v>
      </c>
      <c r="E831" t="s">
        <v>4</v>
      </c>
      <c r="F831" s="78">
        <v>0.3125</v>
      </c>
      <c r="G831" s="55">
        <v>0.2970949074074074</v>
      </c>
      <c r="H831" s="55"/>
      <c r="I831" s="55" t="str">
        <f t="shared" ref="I831:I894" si="58">IF(B831="",I830,B831)</f>
        <v>14.095.347-4</v>
      </c>
      <c r="J831" s="55">
        <f t="shared" ref="J831:J894" si="59">IF(G831&gt;H831,(H831+0.5)-(G831-0.5),H831-G831)</f>
        <v>0.7029050925925926</v>
      </c>
      <c r="K831" s="93">
        <f t="shared" ref="K831:K894" si="60">(J831*24)-(F831*24)</f>
        <v>9.3697222222222223</v>
      </c>
      <c r="L831">
        <f>IFERROR(HLOOKUP(D831,Ingreso!$AN$10:$AT$260,VLOOKUP('cruce '!I831,Ingreso!$AL$11:$AM$260,2,0),0),0)</f>
        <v>0</v>
      </c>
      <c r="M831" s="95">
        <f>IFERROR(HLOOKUP(D831,Ingreso!$AW$10:$BC$260,VLOOKUP('cruce '!I831,Ingreso!$AL$11:$AM$260,2,0),0),0)</f>
        <v>0</v>
      </c>
      <c r="N831" t="str">
        <f t="shared" ref="N831:N894" si="61">IF((K831-L831)&gt;1,"Revisar",IF((K831-L831)&lt;-1,"Revisar","OK"))</f>
        <v>Revisar</v>
      </c>
    </row>
    <row r="832" spans="2:14">
      <c r="C832"/>
      <c r="D832"/>
      <c r="E832" t="s">
        <v>1473</v>
      </c>
      <c r="F832" t="s">
        <v>1472</v>
      </c>
      <c r="G832" s="55"/>
      <c r="H832" s="55">
        <v>0.82597222222222222</v>
      </c>
      <c r="I832" s="55" t="str">
        <f t="shared" si="58"/>
        <v>14.095.347-4</v>
      </c>
      <c r="J832" s="55">
        <f t="shared" si="59"/>
        <v>0.82597222222222222</v>
      </c>
      <c r="K832" s="93" t="e">
        <f t="shared" si="60"/>
        <v>#VALUE!</v>
      </c>
      <c r="L832">
        <f>IFERROR(HLOOKUP(D832,Ingreso!$AN$10:$AT$260,VLOOKUP('cruce '!I832,Ingreso!$AL$11:$AM$260,2,0),0),0)</f>
        <v>0</v>
      </c>
      <c r="M832" s="95">
        <f>IFERROR(HLOOKUP(D832,Ingreso!$AW$10:$BC$260,VLOOKUP('cruce '!I832,Ingreso!$AL$11:$AM$260,2,0),0),0)</f>
        <v>0</v>
      </c>
      <c r="N832" t="e">
        <f t="shared" si="61"/>
        <v>#VALUE!</v>
      </c>
    </row>
    <row r="833" spans="2:14">
      <c r="C833"/>
      <c r="D833" t="s">
        <v>1439</v>
      </c>
      <c r="E833" t="s">
        <v>4</v>
      </c>
      <c r="F833" s="78">
        <v>0.3125</v>
      </c>
      <c r="G833" s="55">
        <v>0.31054398148148149</v>
      </c>
      <c r="H833" s="55"/>
      <c r="I833" s="55" t="str">
        <f t="shared" si="58"/>
        <v>14.095.347-4</v>
      </c>
      <c r="J833" s="55">
        <f t="shared" si="59"/>
        <v>0.68945601851851857</v>
      </c>
      <c r="K833" s="93">
        <f t="shared" si="60"/>
        <v>9.0469444444444456</v>
      </c>
      <c r="L833">
        <f>IFERROR(HLOOKUP(D833,Ingreso!$AN$10:$AT$260,VLOOKUP('cruce '!I833,Ingreso!$AL$11:$AM$260,2,0),0),0)</f>
        <v>0</v>
      </c>
      <c r="M833" s="95">
        <f>IFERROR(HLOOKUP(D833,Ingreso!$AW$10:$BC$260,VLOOKUP('cruce '!I833,Ingreso!$AL$11:$AM$260,2,0),0),0)</f>
        <v>0</v>
      </c>
      <c r="N833" t="str">
        <f t="shared" si="61"/>
        <v>Revisar</v>
      </c>
    </row>
    <row r="834" spans="2:14">
      <c r="C834"/>
      <c r="D834"/>
      <c r="E834" t="s">
        <v>1473</v>
      </c>
      <c r="F834" t="s">
        <v>1472</v>
      </c>
      <c r="G834" s="55"/>
      <c r="H834" s="55">
        <v>0.83046296296296296</v>
      </c>
      <c r="I834" s="55" t="str">
        <f t="shared" si="58"/>
        <v>14.095.347-4</v>
      </c>
      <c r="J834" s="55">
        <f t="shared" si="59"/>
        <v>0.83046296296296296</v>
      </c>
      <c r="K834" s="93" t="e">
        <f t="shared" si="60"/>
        <v>#VALUE!</v>
      </c>
      <c r="L834">
        <f>IFERROR(HLOOKUP(D834,Ingreso!$AN$10:$AT$260,VLOOKUP('cruce '!I834,Ingreso!$AL$11:$AM$260,2,0),0),0)</f>
        <v>0</v>
      </c>
      <c r="M834" s="95">
        <f>IFERROR(HLOOKUP(D834,Ingreso!$AW$10:$BC$260,VLOOKUP('cruce '!I834,Ingreso!$AL$11:$AM$260,2,0),0),0)</f>
        <v>0</v>
      </c>
      <c r="N834" t="e">
        <f t="shared" si="61"/>
        <v>#VALUE!</v>
      </c>
    </row>
    <row r="835" spans="2:14">
      <c r="B835" t="s">
        <v>301</v>
      </c>
      <c r="C835" t="s">
        <v>305</v>
      </c>
      <c r="D835" t="s">
        <v>1440</v>
      </c>
      <c r="E835" t="s">
        <v>1474</v>
      </c>
      <c r="F835" t="s">
        <v>1472</v>
      </c>
      <c r="G835" s="55">
        <v>0.29694444444444446</v>
      </c>
      <c r="H835" s="55">
        <v>0.63164351851851852</v>
      </c>
      <c r="I835" s="55" t="str">
        <f t="shared" si="58"/>
        <v>14.181.387-0</v>
      </c>
      <c r="J835" s="55">
        <f t="shared" si="59"/>
        <v>0.33469907407407407</v>
      </c>
      <c r="K835" s="93" t="e">
        <f t="shared" si="60"/>
        <v>#VALUE!</v>
      </c>
      <c r="L835">
        <f>IFERROR(HLOOKUP(D835,Ingreso!$AN$10:$AT$260,VLOOKUP('cruce '!I835,Ingreso!$AL$11:$AM$260,2,0),0),0)</f>
        <v>0</v>
      </c>
      <c r="M835" s="95" t="str">
        <f>IFERROR(HLOOKUP(D835,Ingreso!$AW$10:$BC$260,VLOOKUP('cruce '!I835,Ingreso!$AL$11:$AM$260,2,0),0),0)</f>
        <v/>
      </c>
      <c r="N835" t="e">
        <f t="shared" si="61"/>
        <v>#VALUE!</v>
      </c>
    </row>
    <row r="836" spans="2:14">
      <c r="C836"/>
      <c r="D836" t="s">
        <v>1441</v>
      </c>
      <c r="E836" t="s">
        <v>1474</v>
      </c>
      <c r="F836" t="s">
        <v>1472</v>
      </c>
      <c r="G836" s="55">
        <v>0.29018518518518516</v>
      </c>
      <c r="H836" s="55">
        <v>0.63974537037037038</v>
      </c>
      <c r="I836" s="55" t="str">
        <f t="shared" si="58"/>
        <v>14.181.387-0</v>
      </c>
      <c r="J836" s="55">
        <f t="shared" si="59"/>
        <v>0.34956018518518522</v>
      </c>
      <c r="K836" s="93" t="e">
        <f t="shared" si="60"/>
        <v>#VALUE!</v>
      </c>
      <c r="L836">
        <f>IFERROR(HLOOKUP(D836,Ingreso!$AN$10:$AT$260,VLOOKUP('cruce '!I836,Ingreso!$AL$11:$AM$260,2,0),0),0)</f>
        <v>0</v>
      </c>
      <c r="M836" s="95" t="str">
        <f>IFERROR(HLOOKUP(D836,Ingreso!$AW$10:$BC$260,VLOOKUP('cruce '!I836,Ingreso!$AL$11:$AM$260,2,0),0),0)</f>
        <v/>
      </c>
      <c r="N836" t="e">
        <f t="shared" si="61"/>
        <v>#VALUE!</v>
      </c>
    </row>
    <row r="837" spans="2:14">
      <c r="C837"/>
      <c r="D837" t="s">
        <v>1437</v>
      </c>
      <c r="E837" t="s">
        <v>1474</v>
      </c>
      <c r="F837" t="s">
        <v>1472</v>
      </c>
      <c r="G837" s="55">
        <v>0.60774305555555552</v>
      </c>
      <c r="H837" s="55">
        <v>0.94103009259259263</v>
      </c>
      <c r="I837" s="55" t="str">
        <f t="shared" si="58"/>
        <v>14.181.387-0</v>
      </c>
      <c r="J837" s="55">
        <f t="shared" si="59"/>
        <v>0.3332870370370371</v>
      </c>
      <c r="K837" s="93" t="e">
        <f t="shared" si="60"/>
        <v>#VALUE!</v>
      </c>
      <c r="L837">
        <f>IFERROR(HLOOKUP(D837,Ingreso!$AN$10:$AT$260,VLOOKUP('cruce '!I837,Ingreso!$AL$11:$AM$260,2,0),0),0)</f>
        <v>0</v>
      </c>
      <c r="M837" s="95" t="str">
        <f>IFERROR(HLOOKUP(D837,Ingreso!$AW$10:$BC$260,VLOOKUP('cruce '!I837,Ingreso!$AL$11:$AM$260,2,0),0),0)</f>
        <v/>
      </c>
      <c r="N837" t="e">
        <f t="shared" si="61"/>
        <v>#VALUE!</v>
      </c>
    </row>
    <row r="838" spans="2:14">
      <c r="C838"/>
      <c r="D838" t="s">
        <v>1438</v>
      </c>
      <c r="E838" t="s">
        <v>1474</v>
      </c>
      <c r="F838" t="s">
        <v>1472</v>
      </c>
      <c r="G838" s="55">
        <v>0.29096064814814815</v>
      </c>
      <c r="H838" s="55">
        <v>0.63282407407407404</v>
      </c>
      <c r="I838" s="55" t="str">
        <f t="shared" si="58"/>
        <v>14.181.387-0</v>
      </c>
      <c r="J838" s="55">
        <f t="shared" si="59"/>
        <v>0.34186342592592589</v>
      </c>
      <c r="K838" s="93" t="e">
        <f t="shared" si="60"/>
        <v>#VALUE!</v>
      </c>
      <c r="L838">
        <f>IFERROR(HLOOKUP(D838,Ingreso!$AN$10:$AT$260,VLOOKUP('cruce '!I838,Ingreso!$AL$11:$AM$260,2,0),0),0)</f>
        <v>0</v>
      </c>
      <c r="M838" s="95" t="str">
        <f>IFERROR(HLOOKUP(D838,Ingreso!$AW$10:$BC$260,VLOOKUP('cruce '!I838,Ingreso!$AL$11:$AM$260,2,0),0),0)</f>
        <v/>
      </c>
      <c r="N838" t="e">
        <f t="shared" si="61"/>
        <v>#VALUE!</v>
      </c>
    </row>
    <row r="839" spans="2:14">
      <c r="C839"/>
      <c r="D839" t="s">
        <v>1439</v>
      </c>
      <c r="E839" t="s">
        <v>1474</v>
      </c>
      <c r="F839" t="s">
        <v>1472</v>
      </c>
      <c r="G839" s="55">
        <v>0.29591435185185183</v>
      </c>
      <c r="H839" s="55">
        <v>0.63162037037037033</v>
      </c>
      <c r="I839" s="55" t="str">
        <f t="shared" si="58"/>
        <v>14.181.387-0</v>
      </c>
      <c r="J839" s="55">
        <f t="shared" si="59"/>
        <v>0.3357060185185185</v>
      </c>
      <c r="K839" s="93" t="e">
        <f t="shared" si="60"/>
        <v>#VALUE!</v>
      </c>
      <c r="L839">
        <f>IFERROR(HLOOKUP(D839,Ingreso!$AN$10:$AT$260,VLOOKUP('cruce '!I839,Ingreso!$AL$11:$AM$260,2,0),0),0)</f>
        <v>0</v>
      </c>
      <c r="M839" s="95" t="str">
        <f>IFERROR(HLOOKUP(D839,Ingreso!$AW$10:$BC$260,VLOOKUP('cruce '!I839,Ingreso!$AL$11:$AM$260,2,0),0),0)</f>
        <v/>
      </c>
      <c r="N839" t="e">
        <f t="shared" si="61"/>
        <v>#VALUE!</v>
      </c>
    </row>
    <row r="840" spans="2:14">
      <c r="B840" t="s">
        <v>1078</v>
      </c>
      <c r="C840" t="s">
        <v>1081</v>
      </c>
      <c r="D840" t="s">
        <v>1440</v>
      </c>
      <c r="E840" t="s">
        <v>1323</v>
      </c>
      <c r="F840" s="78">
        <v>0.375</v>
      </c>
      <c r="G840" s="55">
        <v>0.91990740740740751</v>
      </c>
      <c r="H840" s="55">
        <v>0.32579861111111114</v>
      </c>
      <c r="I840" s="55" t="str">
        <f t="shared" si="58"/>
        <v>14.182.371-K</v>
      </c>
      <c r="J840" s="55">
        <f t="shared" si="59"/>
        <v>0.40589120370370357</v>
      </c>
      <c r="K840" s="93">
        <f t="shared" si="60"/>
        <v>0.74138888888888488</v>
      </c>
      <c r="L840">
        <f>IFERROR(HLOOKUP(D840,Ingreso!$AN$10:$AT$260,VLOOKUP('cruce '!I840,Ingreso!$AL$11:$AM$260,2,0),0),0)</f>
        <v>0</v>
      </c>
      <c r="M840" s="95">
        <f>IFERROR(HLOOKUP(D840,Ingreso!$AW$10:$BC$260,VLOOKUP('cruce '!I840,Ingreso!$AL$11:$AM$260,2,0),0),0)</f>
        <v>0</v>
      </c>
      <c r="N840" t="str">
        <f t="shared" si="61"/>
        <v>OK</v>
      </c>
    </row>
    <row r="841" spans="2:14">
      <c r="C841"/>
      <c r="D841" t="s">
        <v>1441</v>
      </c>
      <c r="E841" t="s">
        <v>1323</v>
      </c>
      <c r="F841" s="78">
        <v>0.375</v>
      </c>
      <c r="G841" s="55"/>
      <c r="H841" s="55">
        <v>0.32730324074074074</v>
      </c>
      <c r="I841" s="55" t="str">
        <f t="shared" si="58"/>
        <v>14.182.371-K</v>
      </c>
      <c r="J841" s="55">
        <f t="shared" si="59"/>
        <v>0.32730324074074074</v>
      </c>
      <c r="K841" s="93">
        <f t="shared" si="60"/>
        <v>-1.1447222222222226</v>
      </c>
      <c r="L841">
        <f>IFERROR(HLOOKUP(D841,Ingreso!$AN$10:$AT$260,VLOOKUP('cruce '!I841,Ingreso!$AL$11:$AM$260,2,0),0),0)</f>
        <v>0</v>
      </c>
      <c r="M841" s="95">
        <f>IFERROR(HLOOKUP(D841,Ingreso!$AW$10:$BC$260,VLOOKUP('cruce '!I841,Ingreso!$AL$11:$AM$260,2,0),0),0)</f>
        <v>0</v>
      </c>
      <c r="N841" t="str">
        <f t="shared" si="61"/>
        <v>Revisar</v>
      </c>
    </row>
    <row r="842" spans="2:14">
      <c r="C842"/>
      <c r="D842" t="s">
        <v>1437</v>
      </c>
      <c r="E842" t="s">
        <v>1323</v>
      </c>
      <c r="F842" s="78">
        <v>0.375</v>
      </c>
      <c r="G842" s="55">
        <v>0.9175578703703704</v>
      </c>
      <c r="H842" s="55"/>
      <c r="I842" s="55" t="str">
        <f t="shared" si="58"/>
        <v>14.182.371-K</v>
      </c>
      <c r="J842" s="55">
        <f t="shared" si="59"/>
        <v>8.2442129629629601E-2</v>
      </c>
      <c r="K842" s="93">
        <f t="shared" si="60"/>
        <v>-7.0213888888888896</v>
      </c>
      <c r="L842">
        <f>IFERROR(HLOOKUP(D842,Ingreso!$AN$10:$AT$260,VLOOKUP('cruce '!I842,Ingreso!$AL$11:$AM$260,2,0),0),0)</f>
        <v>0</v>
      </c>
      <c r="M842" s="95">
        <f>IFERROR(HLOOKUP(D842,Ingreso!$AW$10:$BC$260,VLOOKUP('cruce '!I842,Ingreso!$AL$11:$AM$260,2,0),0),0)</f>
        <v>0</v>
      </c>
      <c r="N842" t="str">
        <f t="shared" si="61"/>
        <v>Revisar</v>
      </c>
    </row>
    <row r="843" spans="2:14">
      <c r="C843"/>
      <c r="D843" t="s">
        <v>1438</v>
      </c>
      <c r="E843" t="s">
        <v>1323</v>
      </c>
      <c r="F843" s="78">
        <v>0.375</v>
      </c>
      <c r="G843" s="55">
        <v>0.9194444444444444</v>
      </c>
      <c r="H843" s="55">
        <v>0.32444444444444448</v>
      </c>
      <c r="I843" s="55" t="str">
        <f t="shared" si="58"/>
        <v>14.182.371-K</v>
      </c>
      <c r="J843" s="55">
        <f t="shared" si="59"/>
        <v>0.40500000000000014</v>
      </c>
      <c r="K843" s="93">
        <f t="shared" si="60"/>
        <v>0.72000000000000242</v>
      </c>
      <c r="L843">
        <f>IFERROR(HLOOKUP(D843,Ingreso!$AN$10:$AT$260,VLOOKUP('cruce '!I843,Ingreso!$AL$11:$AM$260,2,0),0),0)</f>
        <v>0</v>
      </c>
      <c r="M843" s="95">
        <f>IFERROR(HLOOKUP(D843,Ingreso!$AW$10:$BC$260,VLOOKUP('cruce '!I843,Ingreso!$AL$11:$AM$260,2,0),0),0)</f>
        <v>0</v>
      </c>
      <c r="N843" t="str">
        <f t="shared" si="61"/>
        <v>OK</v>
      </c>
    </row>
    <row r="844" spans="2:14">
      <c r="C844"/>
      <c r="D844" t="s">
        <v>1439</v>
      </c>
      <c r="E844" t="s">
        <v>1323</v>
      </c>
      <c r="F844" s="78">
        <v>0.375</v>
      </c>
      <c r="G844" s="55">
        <v>0.91736111111111107</v>
      </c>
      <c r="H844" s="55">
        <v>0.32900462962962962</v>
      </c>
      <c r="I844" s="55" t="str">
        <f t="shared" si="58"/>
        <v>14.182.371-K</v>
      </c>
      <c r="J844" s="55">
        <f t="shared" si="59"/>
        <v>0.41164351851851855</v>
      </c>
      <c r="K844" s="93">
        <f t="shared" si="60"/>
        <v>0.87944444444444514</v>
      </c>
      <c r="L844">
        <f>IFERROR(HLOOKUP(D844,Ingreso!$AN$10:$AT$260,VLOOKUP('cruce '!I844,Ingreso!$AL$11:$AM$260,2,0),0),0)</f>
        <v>0</v>
      </c>
      <c r="M844" s="95">
        <f>IFERROR(HLOOKUP(D844,Ingreso!$AW$10:$BC$260,VLOOKUP('cruce '!I844,Ingreso!$AL$11:$AM$260,2,0),0),0)</f>
        <v>0</v>
      </c>
      <c r="N844" t="str">
        <f t="shared" si="61"/>
        <v>OK</v>
      </c>
    </row>
    <row r="845" spans="2:14">
      <c r="B845" t="s">
        <v>875</v>
      </c>
      <c r="C845" t="s">
        <v>877</v>
      </c>
      <c r="D845" t="s">
        <v>1440</v>
      </c>
      <c r="E845" t="s">
        <v>1323</v>
      </c>
      <c r="F845" s="78">
        <v>0.375</v>
      </c>
      <c r="G845" s="55">
        <v>0.92634259259259266</v>
      </c>
      <c r="H845" s="55">
        <v>0.32043981481481482</v>
      </c>
      <c r="I845" s="55" t="str">
        <f t="shared" si="58"/>
        <v>14.185.109-8</v>
      </c>
      <c r="J845" s="55">
        <f t="shared" si="59"/>
        <v>0.39409722222222221</v>
      </c>
      <c r="K845" s="93">
        <f t="shared" si="60"/>
        <v>0.45833333333333215</v>
      </c>
      <c r="L845">
        <f>IFERROR(HLOOKUP(D845,Ingreso!$AN$10:$AT$260,VLOOKUP('cruce '!I845,Ingreso!$AL$11:$AM$260,2,0),0),0)</f>
        <v>0</v>
      </c>
      <c r="M845" s="95" t="str">
        <f>IFERROR(HLOOKUP(D845,Ingreso!$AW$10:$BC$260,VLOOKUP('cruce '!I845,Ingreso!$AL$11:$AM$260,2,0),0),0)</f>
        <v/>
      </c>
      <c r="N845" t="str">
        <f t="shared" si="61"/>
        <v>OK</v>
      </c>
    </row>
    <row r="846" spans="2:14">
      <c r="C846"/>
      <c r="D846" t="s">
        <v>1441</v>
      </c>
      <c r="E846" t="s">
        <v>1323</v>
      </c>
      <c r="F846" s="78">
        <v>0.375</v>
      </c>
      <c r="G846" s="55"/>
      <c r="H846" s="55">
        <v>0.32210648148148152</v>
      </c>
      <c r="I846" s="55" t="str">
        <f t="shared" si="58"/>
        <v>14.185.109-8</v>
      </c>
      <c r="J846" s="55">
        <f t="shared" si="59"/>
        <v>0.32210648148148152</v>
      </c>
      <c r="K846" s="93">
        <f t="shared" si="60"/>
        <v>-1.2694444444444439</v>
      </c>
      <c r="L846">
        <f>IFERROR(HLOOKUP(D846,Ingreso!$AN$10:$AT$260,VLOOKUP('cruce '!I846,Ingreso!$AL$11:$AM$260,2,0),0),0)</f>
        <v>0</v>
      </c>
      <c r="M846" s="95" t="str">
        <f>IFERROR(HLOOKUP(D846,Ingreso!$AW$10:$BC$260,VLOOKUP('cruce '!I846,Ingreso!$AL$11:$AM$260,2,0),0),0)</f>
        <v/>
      </c>
      <c r="N846" t="str">
        <f t="shared" si="61"/>
        <v>Revisar</v>
      </c>
    </row>
    <row r="847" spans="2:14">
      <c r="C847"/>
      <c r="D847" t="s">
        <v>1437</v>
      </c>
      <c r="E847" t="s">
        <v>1323</v>
      </c>
      <c r="F847" s="78">
        <v>0.375</v>
      </c>
      <c r="G847" s="55">
        <v>0.92434027777777772</v>
      </c>
      <c r="H847" s="55"/>
      <c r="I847" s="55" t="str">
        <f t="shared" si="58"/>
        <v>14.185.109-8</v>
      </c>
      <c r="J847" s="55">
        <f t="shared" si="59"/>
        <v>7.5659722222222281E-2</v>
      </c>
      <c r="K847" s="93">
        <f t="shared" si="60"/>
        <v>-7.1841666666666653</v>
      </c>
      <c r="L847">
        <f>IFERROR(HLOOKUP(D847,Ingreso!$AN$10:$AT$260,VLOOKUP('cruce '!I847,Ingreso!$AL$11:$AM$260,2,0),0),0)</f>
        <v>0</v>
      </c>
      <c r="M847" s="95" t="str">
        <f>IFERROR(HLOOKUP(D847,Ingreso!$AW$10:$BC$260,VLOOKUP('cruce '!I847,Ingreso!$AL$11:$AM$260,2,0),0),0)</f>
        <v/>
      </c>
      <c r="N847" t="str">
        <f t="shared" si="61"/>
        <v>Revisar</v>
      </c>
    </row>
    <row r="848" spans="2:14">
      <c r="C848"/>
      <c r="D848" t="s">
        <v>1438</v>
      </c>
      <c r="E848" t="s">
        <v>1323</v>
      </c>
      <c r="F848" s="78">
        <v>0.375</v>
      </c>
      <c r="G848" s="55">
        <v>0.92495370370370367</v>
      </c>
      <c r="H848" s="55">
        <v>0.3175694444444444</v>
      </c>
      <c r="I848" s="55" t="str">
        <f t="shared" si="58"/>
        <v>14.185.109-8</v>
      </c>
      <c r="J848" s="55">
        <f t="shared" si="59"/>
        <v>0.39261574074074068</v>
      </c>
      <c r="K848" s="93">
        <f t="shared" si="60"/>
        <v>0.42277777777777636</v>
      </c>
      <c r="L848">
        <f>IFERROR(HLOOKUP(D848,Ingreso!$AN$10:$AT$260,VLOOKUP('cruce '!I848,Ingreso!$AL$11:$AM$260,2,0),0),0)</f>
        <v>0</v>
      </c>
      <c r="M848" s="95" t="str">
        <f>IFERROR(HLOOKUP(D848,Ingreso!$AW$10:$BC$260,VLOOKUP('cruce '!I848,Ingreso!$AL$11:$AM$260,2,0),0),0)</f>
        <v/>
      </c>
      <c r="N848" t="str">
        <f t="shared" si="61"/>
        <v>OK</v>
      </c>
    </row>
    <row r="849" spans="2:14">
      <c r="C849"/>
      <c r="D849" t="s">
        <v>1439</v>
      </c>
      <c r="E849" t="s">
        <v>1323</v>
      </c>
      <c r="F849" s="78">
        <v>0.375</v>
      </c>
      <c r="G849" s="55">
        <v>0.92437499999999995</v>
      </c>
      <c r="H849" s="55">
        <v>0.31679398148148147</v>
      </c>
      <c r="I849" s="55" t="str">
        <f t="shared" si="58"/>
        <v>14.185.109-8</v>
      </c>
      <c r="J849" s="55">
        <f t="shared" si="59"/>
        <v>0.39241898148148158</v>
      </c>
      <c r="K849" s="93">
        <f t="shared" si="60"/>
        <v>0.41805555555555785</v>
      </c>
      <c r="L849">
        <f>IFERROR(HLOOKUP(D849,Ingreso!$AN$10:$AT$260,VLOOKUP('cruce '!I849,Ingreso!$AL$11:$AM$260,2,0),0),0)</f>
        <v>0</v>
      </c>
      <c r="M849" s="95" t="str">
        <f>IFERROR(HLOOKUP(D849,Ingreso!$AW$10:$BC$260,VLOOKUP('cruce '!I849,Ingreso!$AL$11:$AM$260,2,0),0),0)</f>
        <v/>
      </c>
      <c r="N849" t="str">
        <f t="shared" si="61"/>
        <v>OK</v>
      </c>
    </row>
    <row r="850" spans="2:14">
      <c r="B850" t="s">
        <v>1023</v>
      </c>
      <c r="C850" t="s">
        <v>1025</v>
      </c>
      <c r="D850" t="s">
        <v>1440</v>
      </c>
      <c r="E850" t="s">
        <v>4</v>
      </c>
      <c r="F850" s="78">
        <v>0.3125</v>
      </c>
      <c r="G850" s="55">
        <v>0.30754629629629632</v>
      </c>
      <c r="H850" s="55">
        <v>0.64182870370370371</v>
      </c>
      <c r="I850" s="55" t="str">
        <f t="shared" si="58"/>
        <v>14.193.049-4</v>
      </c>
      <c r="J850" s="55">
        <f t="shared" si="59"/>
        <v>0.33428240740740739</v>
      </c>
      <c r="K850" s="93">
        <f t="shared" si="60"/>
        <v>0.52277777777777779</v>
      </c>
      <c r="L850">
        <f>IFERROR(HLOOKUP(D850,Ingreso!$AN$10:$AT$260,VLOOKUP('cruce '!I850,Ingreso!$AL$11:$AM$260,2,0),0),0)</f>
        <v>0</v>
      </c>
      <c r="M850" s="95">
        <f>IFERROR(HLOOKUP(D850,Ingreso!$AW$10:$BC$260,VLOOKUP('cruce '!I850,Ingreso!$AL$11:$AM$260,2,0),0),0)</f>
        <v>0</v>
      </c>
      <c r="N850" t="str">
        <f t="shared" si="61"/>
        <v>OK</v>
      </c>
    </row>
    <row r="851" spans="2:14">
      <c r="C851"/>
      <c r="D851" t="s">
        <v>1441</v>
      </c>
      <c r="E851" t="s">
        <v>4</v>
      </c>
      <c r="F851" s="78">
        <v>0.3125</v>
      </c>
      <c r="G851" s="55">
        <v>0.30569444444444444</v>
      </c>
      <c r="H851" s="55">
        <v>0.64366898148148144</v>
      </c>
      <c r="I851" s="55" t="str">
        <f t="shared" si="58"/>
        <v>14.193.049-4</v>
      </c>
      <c r="J851" s="55">
        <f t="shared" si="59"/>
        <v>0.337974537037037</v>
      </c>
      <c r="K851" s="93">
        <f t="shared" si="60"/>
        <v>0.61138888888888765</v>
      </c>
      <c r="L851">
        <f>IFERROR(HLOOKUP(D851,Ingreso!$AN$10:$AT$260,VLOOKUP('cruce '!I851,Ingreso!$AL$11:$AM$260,2,0),0),0)</f>
        <v>0</v>
      </c>
      <c r="M851" s="95">
        <f>IFERROR(HLOOKUP(D851,Ingreso!$AW$10:$BC$260,VLOOKUP('cruce '!I851,Ingreso!$AL$11:$AM$260,2,0),0),0)</f>
        <v>0</v>
      </c>
      <c r="N851" t="str">
        <f t="shared" si="61"/>
        <v>OK</v>
      </c>
    </row>
    <row r="852" spans="2:14">
      <c r="C852"/>
      <c r="D852" t="s">
        <v>1437</v>
      </c>
      <c r="E852" t="s">
        <v>4</v>
      </c>
      <c r="F852" s="78">
        <v>0.3125</v>
      </c>
      <c r="G852" s="55">
        <v>0.30606481481481479</v>
      </c>
      <c r="H852" s="55">
        <v>0.64097222222222217</v>
      </c>
      <c r="I852" s="55" t="str">
        <f t="shared" si="58"/>
        <v>14.193.049-4</v>
      </c>
      <c r="J852" s="55">
        <f t="shared" si="59"/>
        <v>0.33490740740740738</v>
      </c>
      <c r="K852" s="93">
        <f t="shared" si="60"/>
        <v>0.53777777777777658</v>
      </c>
      <c r="L852">
        <f>IFERROR(HLOOKUP(D852,Ingreso!$AN$10:$AT$260,VLOOKUP('cruce '!I852,Ingreso!$AL$11:$AM$260,2,0),0),0)</f>
        <v>0</v>
      </c>
      <c r="M852" s="95">
        <f>IFERROR(HLOOKUP(D852,Ingreso!$AW$10:$BC$260,VLOOKUP('cruce '!I852,Ingreso!$AL$11:$AM$260,2,0),0),0)</f>
        <v>0</v>
      </c>
      <c r="N852" t="str">
        <f t="shared" si="61"/>
        <v>OK</v>
      </c>
    </row>
    <row r="853" spans="2:14">
      <c r="C853"/>
      <c r="D853" t="s">
        <v>1438</v>
      </c>
      <c r="E853" t="s">
        <v>4</v>
      </c>
      <c r="F853" s="78">
        <v>0.3125</v>
      </c>
      <c r="G853" s="55">
        <v>0.30936342592592592</v>
      </c>
      <c r="H853" s="55">
        <v>0.63531250000000006</v>
      </c>
      <c r="I853" s="55" t="str">
        <f t="shared" si="58"/>
        <v>14.193.049-4</v>
      </c>
      <c r="J853" s="55">
        <f t="shared" si="59"/>
        <v>0.32594907407407414</v>
      </c>
      <c r="K853" s="93">
        <f t="shared" si="60"/>
        <v>0.32277777777777938</v>
      </c>
      <c r="L853">
        <f>IFERROR(HLOOKUP(D853,Ingreso!$AN$10:$AT$260,VLOOKUP('cruce '!I853,Ingreso!$AL$11:$AM$260,2,0),0),0)</f>
        <v>0</v>
      </c>
      <c r="M853" s="95">
        <f>IFERROR(HLOOKUP(D853,Ingreso!$AW$10:$BC$260,VLOOKUP('cruce '!I853,Ingreso!$AL$11:$AM$260,2,0),0),0)</f>
        <v>0</v>
      </c>
      <c r="N853" t="str">
        <f t="shared" si="61"/>
        <v>OK</v>
      </c>
    </row>
    <row r="854" spans="2:14">
      <c r="C854"/>
      <c r="D854" t="s">
        <v>1439</v>
      </c>
      <c r="E854" t="s">
        <v>4</v>
      </c>
      <c r="F854" s="78">
        <v>0.3125</v>
      </c>
      <c r="G854" s="55">
        <v>0.29228009259259258</v>
      </c>
      <c r="H854" s="55">
        <v>0.64121527777777776</v>
      </c>
      <c r="I854" s="55" t="str">
        <f t="shared" si="58"/>
        <v>14.193.049-4</v>
      </c>
      <c r="J854" s="55">
        <f t="shared" si="59"/>
        <v>0.34893518518518518</v>
      </c>
      <c r="K854" s="93">
        <f t="shared" si="60"/>
        <v>0.87444444444444436</v>
      </c>
      <c r="L854">
        <f>IFERROR(HLOOKUP(D854,Ingreso!$AN$10:$AT$260,VLOOKUP('cruce '!I854,Ingreso!$AL$11:$AM$260,2,0),0),0)</f>
        <v>0</v>
      </c>
      <c r="M854" s="95">
        <f>IFERROR(HLOOKUP(D854,Ingreso!$AW$10:$BC$260,VLOOKUP('cruce '!I854,Ingreso!$AL$11:$AM$260,2,0),0),0)</f>
        <v>0</v>
      </c>
      <c r="N854" t="str">
        <f t="shared" si="61"/>
        <v>OK</v>
      </c>
    </row>
    <row r="855" spans="2:14">
      <c r="B855" t="s">
        <v>1270</v>
      </c>
      <c r="C855" t="s">
        <v>1272</v>
      </c>
      <c r="D855" t="s">
        <v>1440</v>
      </c>
      <c r="E855" t="s">
        <v>1323</v>
      </c>
      <c r="F855" s="78">
        <v>0.375</v>
      </c>
      <c r="G855" s="55">
        <v>0.91999999999999993</v>
      </c>
      <c r="H855" s="55">
        <v>0.32283564814814814</v>
      </c>
      <c r="I855" s="55" t="str">
        <f t="shared" si="58"/>
        <v>14.277.186-1</v>
      </c>
      <c r="J855" s="55">
        <f t="shared" si="59"/>
        <v>0.40283564814814821</v>
      </c>
      <c r="K855" s="93">
        <f t="shared" si="60"/>
        <v>0.66805555555555785</v>
      </c>
      <c r="L855">
        <f>IFERROR(HLOOKUP(D855,Ingreso!$AN$10:$AT$260,VLOOKUP('cruce '!I855,Ingreso!$AL$11:$AM$260,2,0),0),0)</f>
        <v>0</v>
      </c>
      <c r="M855" s="95">
        <f>IFERROR(HLOOKUP(D855,Ingreso!$AW$10:$BC$260,VLOOKUP('cruce '!I855,Ingreso!$AL$11:$AM$260,2,0),0),0)</f>
        <v>0</v>
      </c>
      <c r="N855" t="str">
        <f t="shared" si="61"/>
        <v>OK</v>
      </c>
    </row>
    <row r="856" spans="2:14">
      <c r="C856"/>
      <c r="D856" t="s">
        <v>1441</v>
      </c>
      <c r="E856" t="s">
        <v>1323</v>
      </c>
      <c r="F856" s="78">
        <v>0.375</v>
      </c>
      <c r="G856" s="55"/>
      <c r="H856" s="55">
        <v>0.32266203703703705</v>
      </c>
      <c r="I856" s="55" t="str">
        <f t="shared" si="58"/>
        <v>14.277.186-1</v>
      </c>
      <c r="J856" s="55">
        <f t="shared" si="59"/>
        <v>0.32266203703703705</v>
      </c>
      <c r="K856" s="93">
        <f t="shared" si="60"/>
        <v>-1.2561111111111103</v>
      </c>
      <c r="L856">
        <f>IFERROR(HLOOKUP(D856,Ingreso!$AN$10:$AT$260,VLOOKUP('cruce '!I856,Ingreso!$AL$11:$AM$260,2,0),0),0)</f>
        <v>0</v>
      </c>
      <c r="M856" s="95">
        <f>IFERROR(HLOOKUP(D856,Ingreso!$AW$10:$BC$260,VLOOKUP('cruce '!I856,Ingreso!$AL$11:$AM$260,2,0),0),0)</f>
        <v>0</v>
      </c>
      <c r="N856" t="str">
        <f t="shared" si="61"/>
        <v>Revisar</v>
      </c>
    </row>
    <row r="857" spans="2:14">
      <c r="C857"/>
      <c r="D857" t="s">
        <v>1437</v>
      </c>
      <c r="E857" t="s">
        <v>1323</v>
      </c>
      <c r="F857" s="78">
        <v>0.375</v>
      </c>
      <c r="G857" s="55">
        <v>0.91769675925925931</v>
      </c>
      <c r="H857" s="55"/>
      <c r="I857" s="55" t="str">
        <f t="shared" si="58"/>
        <v>14.277.186-1</v>
      </c>
      <c r="J857" s="55">
        <f t="shared" si="59"/>
        <v>8.2303240740740691E-2</v>
      </c>
      <c r="K857" s="93">
        <f t="shared" si="60"/>
        <v>-7.0247222222222234</v>
      </c>
      <c r="L857">
        <f>IFERROR(HLOOKUP(D857,Ingreso!$AN$10:$AT$260,VLOOKUP('cruce '!I857,Ingreso!$AL$11:$AM$260,2,0),0),0)</f>
        <v>0</v>
      </c>
      <c r="M857" s="95">
        <f>IFERROR(HLOOKUP(D857,Ingreso!$AW$10:$BC$260,VLOOKUP('cruce '!I857,Ingreso!$AL$11:$AM$260,2,0),0),0)</f>
        <v>0</v>
      </c>
      <c r="N857" t="str">
        <f t="shared" si="61"/>
        <v>Revisar</v>
      </c>
    </row>
    <row r="858" spans="2:14">
      <c r="C858"/>
      <c r="D858" t="s">
        <v>1438</v>
      </c>
      <c r="E858" t="s">
        <v>1323</v>
      </c>
      <c r="F858" s="78">
        <v>0.375</v>
      </c>
      <c r="G858" s="55">
        <v>0.91949074074074078</v>
      </c>
      <c r="H858" s="55">
        <v>0.32016203703703705</v>
      </c>
      <c r="I858" s="55" t="str">
        <f t="shared" si="58"/>
        <v>14.277.186-1</v>
      </c>
      <c r="J858" s="55">
        <f t="shared" si="59"/>
        <v>0.40067129629629628</v>
      </c>
      <c r="K858" s="93">
        <f t="shared" si="60"/>
        <v>0.61611111111110972</v>
      </c>
      <c r="L858">
        <f>IFERROR(HLOOKUP(D858,Ingreso!$AN$10:$AT$260,VLOOKUP('cruce '!I858,Ingreso!$AL$11:$AM$260,2,0),0),0)</f>
        <v>0</v>
      </c>
      <c r="M858" s="95">
        <f>IFERROR(HLOOKUP(D858,Ingreso!$AW$10:$BC$260,VLOOKUP('cruce '!I858,Ingreso!$AL$11:$AM$260,2,0),0),0)</f>
        <v>0</v>
      </c>
      <c r="N858" t="str">
        <f t="shared" si="61"/>
        <v>OK</v>
      </c>
    </row>
    <row r="859" spans="2:14">
      <c r="C859"/>
      <c r="D859" t="s">
        <v>1439</v>
      </c>
      <c r="E859" t="s">
        <v>1323</v>
      </c>
      <c r="F859" s="78">
        <v>0.375</v>
      </c>
      <c r="G859" s="55">
        <v>0.92539351851851848</v>
      </c>
      <c r="H859" s="55">
        <v>0.32391203703703703</v>
      </c>
      <c r="I859" s="55" t="str">
        <f t="shared" si="58"/>
        <v>14.277.186-1</v>
      </c>
      <c r="J859" s="55">
        <f t="shared" si="59"/>
        <v>0.39851851851851849</v>
      </c>
      <c r="K859" s="93">
        <f t="shared" si="60"/>
        <v>0.56444444444444386</v>
      </c>
      <c r="L859">
        <f>IFERROR(HLOOKUP(D859,Ingreso!$AN$10:$AT$260,VLOOKUP('cruce '!I859,Ingreso!$AL$11:$AM$260,2,0),0),0)</f>
        <v>0</v>
      </c>
      <c r="M859" s="95">
        <f>IFERROR(HLOOKUP(D859,Ingreso!$AW$10:$BC$260,VLOOKUP('cruce '!I859,Ingreso!$AL$11:$AM$260,2,0),0),0)</f>
        <v>0</v>
      </c>
      <c r="N859" t="str">
        <f t="shared" si="61"/>
        <v>OK</v>
      </c>
    </row>
    <row r="860" spans="2:14">
      <c r="B860" t="s">
        <v>1115</v>
      </c>
      <c r="C860" t="s">
        <v>1117</v>
      </c>
      <c r="D860" t="s">
        <v>1440</v>
      </c>
      <c r="E860" t="s">
        <v>1321</v>
      </c>
      <c r="F860" s="78">
        <v>0.3125</v>
      </c>
      <c r="G860" s="55">
        <v>0.61420138888888887</v>
      </c>
      <c r="H860" s="55">
        <v>0.94868055555555564</v>
      </c>
      <c r="I860" s="55" t="str">
        <f t="shared" si="58"/>
        <v>14.307.619-9</v>
      </c>
      <c r="J860" s="55">
        <f t="shared" si="59"/>
        <v>0.33447916666666677</v>
      </c>
      <c r="K860" s="93">
        <f t="shared" si="60"/>
        <v>0.52750000000000341</v>
      </c>
      <c r="L860">
        <f>IFERROR(HLOOKUP(D860,Ingreso!$AN$10:$AT$260,VLOOKUP('cruce '!I860,Ingreso!$AL$11:$AM$260,2,0),0),0)</f>
        <v>0</v>
      </c>
      <c r="M860" s="95">
        <f>IFERROR(HLOOKUP(D860,Ingreso!$AW$10:$BC$260,VLOOKUP('cruce '!I860,Ingreso!$AL$11:$AM$260,2,0),0),0)</f>
        <v>0</v>
      </c>
      <c r="N860" t="str">
        <f t="shared" si="61"/>
        <v>OK</v>
      </c>
    </row>
    <row r="861" spans="2:14">
      <c r="C861"/>
      <c r="D861" t="s">
        <v>1437</v>
      </c>
      <c r="E861" t="s">
        <v>1321</v>
      </c>
      <c r="F861" s="78">
        <v>0.3125</v>
      </c>
      <c r="G861" s="55">
        <v>0.61295138888888889</v>
      </c>
      <c r="H861" s="55">
        <v>0.9477199074074073</v>
      </c>
      <c r="I861" s="55" t="str">
        <f t="shared" si="58"/>
        <v>14.307.619-9</v>
      </c>
      <c r="J861" s="55">
        <f t="shared" si="59"/>
        <v>0.33476851851851841</v>
      </c>
      <c r="K861" s="93">
        <f t="shared" si="60"/>
        <v>0.53444444444444272</v>
      </c>
      <c r="L861">
        <f>IFERROR(HLOOKUP(D861,Ingreso!$AN$10:$AT$260,VLOOKUP('cruce '!I861,Ingreso!$AL$11:$AM$260,2,0),0),0)</f>
        <v>0</v>
      </c>
      <c r="M861" s="95">
        <f>IFERROR(HLOOKUP(D861,Ingreso!$AW$10:$BC$260,VLOOKUP('cruce '!I861,Ingreso!$AL$11:$AM$260,2,0),0),0)</f>
        <v>0</v>
      </c>
      <c r="N861" t="str">
        <f t="shared" si="61"/>
        <v>OK</v>
      </c>
    </row>
    <row r="862" spans="2:14">
      <c r="C862"/>
      <c r="D862" t="s">
        <v>1438</v>
      </c>
      <c r="E862" t="s">
        <v>1321</v>
      </c>
      <c r="F862" s="78">
        <v>0.3125</v>
      </c>
      <c r="G862" s="55">
        <v>0.61616898148148147</v>
      </c>
      <c r="H862" s="55">
        <v>0.94976851851851851</v>
      </c>
      <c r="I862" s="55" t="str">
        <f t="shared" si="58"/>
        <v>14.307.619-9</v>
      </c>
      <c r="J862" s="55">
        <f t="shared" si="59"/>
        <v>0.33359953703703704</v>
      </c>
      <c r="K862" s="93">
        <f t="shared" si="60"/>
        <v>0.506388888888889</v>
      </c>
      <c r="L862">
        <f>IFERROR(HLOOKUP(D862,Ingreso!$AN$10:$AT$260,VLOOKUP('cruce '!I862,Ingreso!$AL$11:$AM$260,2,0),0),0)</f>
        <v>0</v>
      </c>
      <c r="M862" s="95">
        <f>IFERROR(HLOOKUP(D862,Ingreso!$AW$10:$BC$260,VLOOKUP('cruce '!I862,Ingreso!$AL$11:$AM$260,2,0),0),0)</f>
        <v>0</v>
      </c>
      <c r="N862" t="str">
        <f t="shared" si="61"/>
        <v>OK</v>
      </c>
    </row>
    <row r="863" spans="2:14">
      <c r="C863"/>
      <c r="D863" t="s">
        <v>1439</v>
      </c>
      <c r="E863" t="s">
        <v>1321</v>
      </c>
      <c r="F863" s="78">
        <v>0.3125</v>
      </c>
      <c r="G863" s="55">
        <v>0.60715277777777776</v>
      </c>
      <c r="H863" s="55">
        <v>0.9497106481481481</v>
      </c>
      <c r="I863" s="55" t="str">
        <f t="shared" si="58"/>
        <v>14.307.619-9</v>
      </c>
      <c r="J863" s="55">
        <f t="shared" si="59"/>
        <v>0.34255787037037033</v>
      </c>
      <c r="K863" s="93">
        <f t="shared" si="60"/>
        <v>0.72138888888888886</v>
      </c>
      <c r="L863">
        <f>IFERROR(HLOOKUP(D863,Ingreso!$AN$10:$AT$260,VLOOKUP('cruce '!I863,Ingreso!$AL$11:$AM$260,2,0),0),0)</f>
        <v>0</v>
      </c>
      <c r="M863" s="95">
        <f>IFERROR(HLOOKUP(D863,Ingreso!$AW$10:$BC$260,VLOOKUP('cruce '!I863,Ingreso!$AL$11:$AM$260,2,0),0),0)</f>
        <v>0</v>
      </c>
      <c r="N863" t="str">
        <f t="shared" si="61"/>
        <v>OK</v>
      </c>
    </row>
    <row r="864" spans="2:14">
      <c r="B864" t="s">
        <v>342</v>
      </c>
      <c r="C864" t="s">
        <v>345</v>
      </c>
      <c r="D864" t="s">
        <v>1440</v>
      </c>
      <c r="E864" t="s">
        <v>4</v>
      </c>
      <c r="F864" s="78">
        <v>0.3125</v>
      </c>
      <c r="G864" s="55">
        <v>0.29605324074074074</v>
      </c>
      <c r="H864" s="55">
        <v>0.70981481481481479</v>
      </c>
      <c r="I864" s="55" t="str">
        <f t="shared" si="58"/>
        <v>14.336.328-7</v>
      </c>
      <c r="J864" s="55">
        <f t="shared" si="59"/>
        <v>0.41376157407407405</v>
      </c>
      <c r="K864" s="93">
        <f t="shared" si="60"/>
        <v>2.4302777777777766</v>
      </c>
      <c r="L864">
        <f>IFERROR(HLOOKUP(D864,Ingreso!$AN$10:$AT$260,VLOOKUP('cruce '!I864,Ingreso!$AL$11:$AM$260,2,0),0),0)</f>
        <v>0</v>
      </c>
      <c r="M864" s="95">
        <f>IFERROR(HLOOKUP(D864,Ingreso!$AW$10:$BC$260,VLOOKUP('cruce '!I864,Ingreso!$AL$11:$AM$260,2,0),0),0)</f>
        <v>0</v>
      </c>
      <c r="N864" t="str">
        <f t="shared" si="61"/>
        <v>Revisar</v>
      </c>
    </row>
    <row r="865" spans="2:14">
      <c r="C865"/>
      <c r="D865" t="s">
        <v>1441</v>
      </c>
      <c r="E865" t="s">
        <v>4</v>
      </c>
      <c r="F865" s="78">
        <v>0.3125</v>
      </c>
      <c r="G865" s="55">
        <v>0.29462962962962963</v>
      </c>
      <c r="H865" s="55">
        <v>0.71732638888888889</v>
      </c>
      <c r="I865" s="55" t="str">
        <f t="shared" si="58"/>
        <v>14.336.328-7</v>
      </c>
      <c r="J865" s="55">
        <f t="shared" si="59"/>
        <v>0.42269675925925926</v>
      </c>
      <c r="K865" s="93">
        <f t="shared" si="60"/>
        <v>2.6447222222222226</v>
      </c>
      <c r="L865">
        <f>IFERROR(HLOOKUP(D865,Ingreso!$AN$10:$AT$260,VLOOKUP('cruce '!I865,Ingreso!$AL$11:$AM$260,2,0),0),0)</f>
        <v>0</v>
      </c>
      <c r="M865" s="95">
        <f>IFERROR(HLOOKUP(D865,Ingreso!$AW$10:$BC$260,VLOOKUP('cruce '!I865,Ingreso!$AL$11:$AM$260,2,0),0),0)</f>
        <v>0</v>
      </c>
      <c r="N865" t="str">
        <f t="shared" si="61"/>
        <v>Revisar</v>
      </c>
    </row>
    <row r="866" spans="2:14">
      <c r="C866"/>
      <c r="D866" t="s">
        <v>1437</v>
      </c>
      <c r="E866" t="s">
        <v>4</v>
      </c>
      <c r="F866" s="78">
        <v>0.3125</v>
      </c>
      <c r="G866" s="55">
        <v>0.29451388888888891</v>
      </c>
      <c r="H866" s="55">
        <v>0.7287499999999999</v>
      </c>
      <c r="I866" s="55" t="str">
        <f t="shared" si="58"/>
        <v>14.336.328-7</v>
      </c>
      <c r="J866" s="55">
        <f t="shared" si="59"/>
        <v>0.43423611111111099</v>
      </c>
      <c r="K866" s="93">
        <f t="shared" si="60"/>
        <v>2.9216666666666633</v>
      </c>
      <c r="L866">
        <f>IFERROR(HLOOKUP(D866,Ingreso!$AN$10:$AT$260,VLOOKUP('cruce '!I866,Ingreso!$AL$11:$AM$260,2,0),0),0)</f>
        <v>0</v>
      </c>
      <c r="M866" s="95">
        <f>IFERROR(HLOOKUP(D866,Ingreso!$AW$10:$BC$260,VLOOKUP('cruce '!I866,Ingreso!$AL$11:$AM$260,2,0),0),0)</f>
        <v>0</v>
      </c>
      <c r="N866" t="str">
        <f t="shared" si="61"/>
        <v>Revisar</v>
      </c>
    </row>
    <row r="867" spans="2:14">
      <c r="C867"/>
      <c r="D867" t="s">
        <v>1438</v>
      </c>
      <c r="E867" t="s">
        <v>4</v>
      </c>
      <c r="F867" s="78">
        <v>0.3125</v>
      </c>
      <c r="G867" s="55">
        <v>0.29472222222222222</v>
      </c>
      <c r="H867" s="55">
        <v>0.71929398148148149</v>
      </c>
      <c r="I867" s="55" t="str">
        <f t="shared" si="58"/>
        <v>14.336.328-7</v>
      </c>
      <c r="J867" s="55">
        <f t="shared" si="59"/>
        <v>0.42457175925925927</v>
      </c>
      <c r="K867" s="93">
        <f t="shared" si="60"/>
        <v>2.6897222222222226</v>
      </c>
      <c r="L867">
        <f>IFERROR(HLOOKUP(D867,Ingreso!$AN$10:$AT$260,VLOOKUP('cruce '!I867,Ingreso!$AL$11:$AM$260,2,0),0),0)</f>
        <v>0</v>
      </c>
      <c r="M867" s="95">
        <f>IFERROR(HLOOKUP(D867,Ingreso!$AW$10:$BC$260,VLOOKUP('cruce '!I867,Ingreso!$AL$11:$AM$260,2,0),0),0)</f>
        <v>0</v>
      </c>
      <c r="N867" t="str">
        <f t="shared" si="61"/>
        <v>Revisar</v>
      </c>
    </row>
    <row r="868" spans="2:14">
      <c r="C868"/>
      <c r="D868" t="s">
        <v>1439</v>
      </c>
      <c r="E868" t="s">
        <v>4</v>
      </c>
      <c r="F868" s="78">
        <v>0.3125</v>
      </c>
      <c r="G868" s="55">
        <v>0.29526620370370371</v>
      </c>
      <c r="H868" s="55">
        <v>0.72643518518518524</v>
      </c>
      <c r="I868" s="55" t="str">
        <f t="shared" si="58"/>
        <v>14.336.328-7</v>
      </c>
      <c r="J868" s="55">
        <f t="shared" si="59"/>
        <v>0.43116898148148153</v>
      </c>
      <c r="K868" s="93">
        <f t="shared" si="60"/>
        <v>2.8480555555555576</v>
      </c>
      <c r="L868">
        <f>IFERROR(HLOOKUP(D868,Ingreso!$AN$10:$AT$260,VLOOKUP('cruce '!I868,Ingreso!$AL$11:$AM$260,2,0),0),0)</f>
        <v>0</v>
      </c>
      <c r="M868" s="95">
        <f>IFERROR(HLOOKUP(D868,Ingreso!$AW$10:$BC$260,VLOOKUP('cruce '!I868,Ingreso!$AL$11:$AM$260,2,0),0),0)</f>
        <v>0</v>
      </c>
      <c r="N868" t="str">
        <f t="shared" si="61"/>
        <v>Revisar</v>
      </c>
    </row>
    <row r="869" spans="2:14">
      <c r="B869" t="s">
        <v>488</v>
      </c>
      <c r="C869" t="s">
        <v>490</v>
      </c>
      <c r="D869" t="s">
        <v>1440</v>
      </c>
      <c r="E869" t="s">
        <v>1323</v>
      </c>
      <c r="F869" s="78">
        <v>0.375</v>
      </c>
      <c r="G869" s="55">
        <v>0.92568287037037045</v>
      </c>
      <c r="H869" s="55">
        <v>0.30386574074074074</v>
      </c>
      <c r="I869" s="55" t="str">
        <f t="shared" si="58"/>
        <v>14.336.364-3</v>
      </c>
      <c r="J869" s="55">
        <f t="shared" si="59"/>
        <v>0.37818287037037035</v>
      </c>
      <c r="K869" s="93">
        <f t="shared" si="60"/>
        <v>7.6388888888889284E-2</v>
      </c>
      <c r="L869">
        <f>IFERROR(HLOOKUP(D869,Ingreso!$AN$10:$AT$260,VLOOKUP('cruce '!I869,Ingreso!$AL$11:$AM$260,2,0),0),0)</f>
        <v>0</v>
      </c>
      <c r="M869" s="95" t="str">
        <f>IFERROR(HLOOKUP(D869,Ingreso!$AW$10:$BC$260,VLOOKUP('cruce '!I869,Ingreso!$AL$11:$AM$260,2,0),0),0)</f>
        <v/>
      </c>
      <c r="N869" t="str">
        <f t="shared" si="61"/>
        <v>OK</v>
      </c>
    </row>
    <row r="870" spans="2:14">
      <c r="C870"/>
      <c r="D870" t="s">
        <v>1441</v>
      </c>
      <c r="E870" t="s">
        <v>1323</v>
      </c>
      <c r="F870" s="78">
        <v>0.375</v>
      </c>
      <c r="G870" s="55"/>
      <c r="H870" s="55">
        <v>0.31637731481481485</v>
      </c>
      <c r="I870" s="55" t="str">
        <f t="shared" si="58"/>
        <v>14.336.364-3</v>
      </c>
      <c r="J870" s="55">
        <f t="shared" si="59"/>
        <v>0.31637731481481485</v>
      </c>
      <c r="K870" s="93">
        <f t="shared" si="60"/>
        <v>-1.4069444444444432</v>
      </c>
      <c r="L870">
        <f>IFERROR(HLOOKUP(D870,Ingreso!$AN$10:$AT$260,VLOOKUP('cruce '!I870,Ingreso!$AL$11:$AM$260,2,0),0),0)</f>
        <v>0</v>
      </c>
      <c r="M870" s="95" t="str">
        <f>IFERROR(HLOOKUP(D870,Ingreso!$AW$10:$BC$260,VLOOKUP('cruce '!I870,Ingreso!$AL$11:$AM$260,2,0),0),0)</f>
        <v/>
      </c>
      <c r="N870" t="str">
        <f t="shared" si="61"/>
        <v>Revisar</v>
      </c>
    </row>
    <row r="871" spans="2:14">
      <c r="C871"/>
      <c r="D871" t="s">
        <v>1442</v>
      </c>
      <c r="E871" t="s">
        <v>1323</v>
      </c>
      <c r="F871" s="78">
        <v>0.375</v>
      </c>
      <c r="G871" s="55">
        <v>0.99091435185185184</v>
      </c>
      <c r="H871" s="55"/>
      <c r="I871" s="55" t="str">
        <f t="shared" si="58"/>
        <v>14.336.364-3</v>
      </c>
      <c r="J871" s="55">
        <f t="shared" si="59"/>
        <v>9.0856481481481621E-3</v>
      </c>
      <c r="K871" s="93">
        <f t="shared" si="60"/>
        <v>-8.781944444444445</v>
      </c>
      <c r="L871">
        <f>IFERROR(HLOOKUP(D871,Ingreso!$AN$10:$AT$260,VLOOKUP('cruce '!I871,Ingreso!$AL$11:$AM$260,2,0),0),0)</f>
        <v>0</v>
      </c>
      <c r="M871" s="95">
        <f>IFERROR(HLOOKUP(D871,Ingreso!$AW$10:$BC$260,VLOOKUP('cruce '!I871,Ingreso!$AL$11:$AM$260,2,0),0),0)</f>
        <v>0</v>
      </c>
      <c r="N871" t="str">
        <f t="shared" si="61"/>
        <v>Revisar</v>
      </c>
    </row>
    <row r="872" spans="2:14">
      <c r="C872"/>
      <c r="D872" t="s">
        <v>1436</v>
      </c>
      <c r="E872" t="s">
        <v>1323</v>
      </c>
      <c r="F872" s="78">
        <v>0.375</v>
      </c>
      <c r="G872" s="55">
        <v>0.9878703703703704</v>
      </c>
      <c r="H872" s="55"/>
      <c r="I872" s="55" t="str">
        <f t="shared" si="58"/>
        <v>14.336.364-3</v>
      </c>
      <c r="J872" s="55">
        <f t="shared" si="59"/>
        <v>1.2129629629629601E-2</v>
      </c>
      <c r="K872" s="93">
        <f t="shared" si="60"/>
        <v>-8.7088888888888896</v>
      </c>
      <c r="L872">
        <f>IFERROR(HLOOKUP(D872,Ingreso!$AN$10:$AT$260,VLOOKUP('cruce '!I872,Ingreso!$AL$11:$AM$260,2,0),0),0)</f>
        <v>7.5</v>
      </c>
      <c r="M872" s="95">
        <f>IFERROR(HLOOKUP(D872,Ingreso!$AW$10:$BC$260,VLOOKUP('cruce '!I872,Ingreso!$AL$11:$AM$260,2,0),0),0)</f>
        <v>1</v>
      </c>
      <c r="N872" t="str">
        <f t="shared" si="61"/>
        <v>Revisar</v>
      </c>
    </row>
    <row r="873" spans="2:14">
      <c r="C873"/>
      <c r="D873" t="s">
        <v>1437</v>
      </c>
      <c r="E873" t="s">
        <v>1323</v>
      </c>
      <c r="F873" s="78">
        <v>0.375</v>
      </c>
      <c r="G873" s="55"/>
      <c r="H873" s="55">
        <v>0.32577546296296295</v>
      </c>
      <c r="I873" s="55" t="str">
        <f t="shared" si="58"/>
        <v>14.336.364-3</v>
      </c>
      <c r="J873" s="55">
        <f t="shared" si="59"/>
        <v>0.32577546296296295</v>
      </c>
      <c r="K873" s="93">
        <f t="shared" si="60"/>
        <v>-1.1813888888888897</v>
      </c>
      <c r="L873">
        <f>IFERROR(HLOOKUP(D873,Ingreso!$AN$10:$AT$260,VLOOKUP('cruce '!I873,Ingreso!$AL$11:$AM$260,2,0),0),0)</f>
        <v>0</v>
      </c>
      <c r="M873" s="95" t="str">
        <f>IFERROR(HLOOKUP(D873,Ingreso!$AW$10:$BC$260,VLOOKUP('cruce '!I873,Ingreso!$AL$11:$AM$260,2,0),0),0)</f>
        <v/>
      </c>
      <c r="N873" t="str">
        <f t="shared" si="61"/>
        <v>Revisar</v>
      </c>
    </row>
    <row r="874" spans="2:14">
      <c r="C874"/>
      <c r="D874" t="s">
        <v>1438</v>
      </c>
      <c r="E874" t="s">
        <v>1323</v>
      </c>
      <c r="F874" s="78">
        <v>0.375</v>
      </c>
      <c r="G874" s="55">
        <v>1.2729050925925927</v>
      </c>
      <c r="H874" s="55">
        <v>0.76704861111111111</v>
      </c>
      <c r="I874" s="55" t="str">
        <f t="shared" si="58"/>
        <v>14.336.364-3</v>
      </c>
      <c r="J874" s="55">
        <f t="shared" si="59"/>
        <v>0.49414351851851834</v>
      </c>
      <c r="K874" s="93">
        <f t="shared" si="60"/>
        <v>2.8594444444444402</v>
      </c>
      <c r="L874">
        <f>IFERROR(HLOOKUP(D874,Ingreso!$AN$10:$AT$260,VLOOKUP('cruce '!I874,Ingreso!$AL$11:$AM$260,2,0),0),0)</f>
        <v>0</v>
      </c>
      <c r="M874" s="95" t="str">
        <f>IFERROR(HLOOKUP(D874,Ingreso!$AW$10:$BC$260,VLOOKUP('cruce '!I874,Ingreso!$AL$11:$AM$260,2,0),0),0)</f>
        <v/>
      </c>
      <c r="N874" t="str">
        <f t="shared" si="61"/>
        <v>Revisar</v>
      </c>
    </row>
    <row r="875" spans="2:14">
      <c r="C875"/>
      <c r="D875" t="s">
        <v>1439</v>
      </c>
      <c r="E875" t="s">
        <v>1323</v>
      </c>
      <c r="F875" s="78">
        <v>0.375</v>
      </c>
      <c r="G875" s="55">
        <v>0.92638888888888893</v>
      </c>
      <c r="H875" s="55">
        <v>0.30283564814814817</v>
      </c>
      <c r="I875" s="55" t="str">
        <f t="shared" si="58"/>
        <v>14.336.364-3</v>
      </c>
      <c r="J875" s="55">
        <f t="shared" si="59"/>
        <v>0.3764467592592593</v>
      </c>
      <c r="K875" s="93">
        <f t="shared" si="60"/>
        <v>3.4722222222223209E-2</v>
      </c>
      <c r="L875">
        <f>IFERROR(HLOOKUP(D875,Ingreso!$AN$10:$AT$260,VLOOKUP('cruce '!I875,Ingreso!$AL$11:$AM$260,2,0),0),0)</f>
        <v>0</v>
      </c>
      <c r="M875" s="95" t="str">
        <f>IFERROR(HLOOKUP(D875,Ingreso!$AW$10:$BC$260,VLOOKUP('cruce '!I875,Ingreso!$AL$11:$AM$260,2,0),0),0)</f>
        <v/>
      </c>
      <c r="N875" t="str">
        <f t="shared" si="61"/>
        <v>OK</v>
      </c>
    </row>
    <row r="876" spans="2:14">
      <c r="B876" t="s">
        <v>937</v>
      </c>
      <c r="C876" t="s">
        <v>940</v>
      </c>
      <c r="D876" t="s">
        <v>1440</v>
      </c>
      <c r="E876" t="s">
        <v>1323</v>
      </c>
      <c r="F876" s="78">
        <v>0.375</v>
      </c>
      <c r="G876" s="55">
        <v>0.91917824074074073</v>
      </c>
      <c r="H876" s="55">
        <v>0.32543981481481482</v>
      </c>
      <c r="I876" s="55" t="str">
        <f t="shared" si="58"/>
        <v>14.383.969-9</v>
      </c>
      <c r="J876" s="55">
        <f t="shared" si="59"/>
        <v>0.40626157407407404</v>
      </c>
      <c r="K876" s="93">
        <f t="shared" si="60"/>
        <v>0.75027777777777693</v>
      </c>
      <c r="L876">
        <f>IFERROR(HLOOKUP(D876,Ingreso!$AN$10:$AT$260,VLOOKUP('cruce '!I876,Ingreso!$AL$11:$AM$260,2,0),0),0)</f>
        <v>0</v>
      </c>
      <c r="M876" s="95">
        <f>IFERROR(HLOOKUP(D876,Ingreso!$AW$10:$BC$260,VLOOKUP('cruce '!I876,Ingreso!$AL$11:$AM$260,2,0),0),0)</f>
        <v>0</v>
      </c>
      <c r="N876" t="str">
        <f t="shared" si="61"/>
        <v>OK</v>
      </c>
    </row>
    <row r="877" spans="2:14">
      <c r="C877"/>
      <c r="D877" t="s">
        <v>1441</v>
      </c>
      <c r="E877" t="s">
        <v>1323</v>
      </c>
      <c r="F877" s="78">
        <v>0.375</v>
      </c>
      <c r="G877" s="55"/>
      <c r="H877" s="55">
        <v>0.32446759259259261</v>
      </c>
      <c r="I877" s="55" t="str">
        <f t="shared" si="58"/>
        <v>14.383.969-9</v>
      </c>
      <c r="J877" s="55">
        <f t="shared" si="59"/>
        <v>0.32446759259259261</v>
      </c>
      <c r="K877" s="93">
        <f t="shared" si="60"/>
        <v>-1.2127777777777773</v>
      </c>
      <c r="L877">
        <f>IFERROR(HLOOKUP(D877,Ingreso!$AN$10:$AT$260,VLOOKUP('cruce '!I877,Ingreso!$AL$11:$AM$260,2,0),0),0)</f>
        <v>0</v>
      </c>
      <c r="M877" s="95">
        <f>IFERROR(HLOOKUP(D877,Ingreso!$AW$10:$BC$260,VLOOKUP('cruce '!I877,Ingreso!$AL$11:$AM$260,2,0),0),0)</f>
        <v>0</v>
      </c>
      <c r="N877" t="str">
        <f t="shared" si="61"/>
        <v>Revisar</v>
      </c>
    </row>
    <row r="878" spans="2:14">
      <c r="C878"/>
      <c r="D878" t="s">
        <v>1437</v>
      </c>
      <c r="E878" t="s">
        <v>1323</v>
      </c>
      <c r="F878" s="78">
        <v>0.375</v>
      </c>
      <c r="G878" s="55">
        <v>0.91921296296296295</v>
      </c>
      <c r="H878" s="55"/>
      <c r="I878" s="55" t="str">
        <f t="shared" si="58"/>
        <v>14.383.969-9</v>
      </c>
      <c r="J878" s="55">
        <f t="shared" si="59"/>
        <v>8.0787037037037046E-2</v>
      </c>
      <c r="K878" s="93">
        <f t="shared" si="60"/>
        <v>-7.0611111111111109</v>
      </c>
      <c r="L878">
        <f>IFERROR(HLOOKUP(D878,Ingreso!$AN$10:$AT$260,VLOOKUP('cruce '!I878,Ingreso!$AL$11:$AM$260,2,0),0),0)</f>
        <v>0</v>
      </c>
      <c r="M878" s="95">
        <f>IFERROR(HLOOKUP(D878,Ingreso!$AW$10:$BC$260,VLOOKUP('cruce '!I878,Ingreso!$AL$11:$AM$260,2,0),0),0)</f>
        <v>0</v>
      </c>
      <c r="N878" t="str">
        <f t="shared" si="61"/>
        <v>Revisar</v>
      </c>
    </row>
    <row r="879" spans="2:14">
      <c r="C879"/>
      <c r="D879" t="s">
        <v>1438</v>
      </c>
      <c r="E879" t="s">
        <v>1323</v>
      </c>
      <c r="F879" s="78">
        <v>0.375</v>
      </c>
      <c r="G879" s="55">
        <v>0.91924768518518529</v>
      </c>
      <c r="H879" s="55">
        <v>0.31966435185185188</v>
      </c>
      <c r="I879" s="55" t="str">
        <f t="shared" si="58"/>
        <v>14.383.969-9</v>
      </c>
      <c r="J879" s="55">
        <f t="shared" si="59"/>
        <v>0.40041666666666653</v>
      </c>
      <c r="K879" s="93">
        <f t="shared" si="60"/>
        <v>0.60999999999999588</v>
      </c>
      <c r="L879">
        <f>IFERROR(HLOOKUP(D879,Ingreso!$AN$10:$AT$260,VLOOKUP('cruce '!I879,Ingreso!$AL$11:$AM$260,2,0),0),0)</f>
        <v>0</v>
      </c>
      <c r="M879" s="95">
        <f>IFERROR(HLOOKUP(D879,Ingreso!$AW$10:$BC$260,VLOOKUP('cruce '!I879,Ingreso!$AL$11:$AM$260,2,0),0),0)</f>
        <v>0</v>
      </c>
      <c r="N879" t="str">
        <f t="shared" si="61"/>
        <v>OK</v>
      </c>
    </row>
    <row r="880" spans="2:14">
      <c r="C880"/>
      <c r="D880" t="s">
        <v>1439</v>
      </c>
      <c r="E880" t="s">
        <v>1323</v>
      </c>
      <c r="F880" s="78">
        <v>0.375</v>
      </c>
      <c r="G880" s="55">
        <v>0.91841435185185183</v>
      </c>
      <c r="H880" s="55">
        <v>0.32421296296296293</v>
      </c>
      <c r="I880" s="55" t="str">
        <f t="shared" si="58"/>
        <v>14.383.969-9</v>
      </c>
      <c r="J880" s="55">
        <f t="shared" si="59"/>
        <v>0.40579861111111104</v>
      </c>
      <c r="K880" s="93">
        <f t="shared" si="60"/>
        <v>0.73916666666666586</v>
      </c>
      <c r="L880">
        <f>IFERROR(HLOOKUP(D880,Ingreso!$AN$10:$AT$260,VLOOKUP('cruce '!I880,Ingreso!$AL$11:$AM$260,2,0),0),0)</f>
        <v>0</v>
      </c>
      <c r="M880" s="95">
        <f>IFERROR(HLOOKUP(D880,Ingreso!$AW$10:$BC$260,VLOOKUP('cruce '!I880,Ingreso!$AL$11:$AM$260,2,0),0),0)</f>
        <v>0</v>
      </c>
      <c r="N880" t="str">
        <f t="shared" si="61"/>
        <v>OK</v>
      </c>
    </row>
    <row r="881" spans="2:14">
      <c r="B881" t="s">
        <v>312</v>
      </c>
      <c r="C881" t="s">
        <v>315</v>
      </c>
      <c r="D881" t="s">
        <v>1440</v>
      </c>
      <c r="E881" t="s">
        <v>1323</v>
      </c>
      <c r="F881" s="78">
        <v>0.375</v>
      </c>
      <c r="G881" s="55">
        <v>0.91907407407407404</v>
      </c>
      <c r="H881" s="55">
        <v>0.32454861111111111</v>
      </c>
      <c r="I881" s="55" t="str">
        <f t="shared" si="58"/>
        <v>14.595.059-7</v>
      </c>
      <c r="J881" s="55">
        <f t="shared" si="59"/>
        <v>0.40547453703703706</v>
      </c>
      <c r="K881" s="93">
        <f t="shared" si="60"/>
        <v>0.73138888888889042</v>
      </c>
      <c r="L881">
        <f>IFERROR(HLOOKUP(D881,Ingreso!$AN$10:$AT$260,VLOOKUP('cruce '!I881,Ingreso!$AL$11:$AM$260,2,0),0),0)</f>
        <v>0</v>
      </c>
      <c r="M881" s="95">
        <f>IFERROR(HLOOKUP(D881,Ingreso!$AW$10:$BC$260,VLOOKUP('cruce '!I881,Ingreso!$AL$11:$AM$260,2,0),0),0)</f>
        <v>0</v>
      </c>
      <c r="N881" t="str">
        <f t="shared" si="61"/>
        <v>OK</v>
      </c>
    </row>
    <row r="882" spans="2:14">
      <c r="C882"/>
      <c r="D882" t="s">
        <v>1441</v>
      </c>
      <c r="E882" t="s">
        <v>1323</v>
      </c>
      <c r="F882" s="78">
        <v>0.375</v>
      </c>
      <c r="G882" s="55"/>
      <c r="H882" s="55">
        <v>0.32430555555555557</v>
      </c>
      <c r="I882" s="55" t="str">
        <f t="shared" si="58"/>
        <v>14.595.059-7</v>
      </c>
      <c r="J882" s="55">
        <f t="shared" si="59"/>
        <v>0.32430555555555557</v>
      </c>
      <c r="K882" s="93">
        <f t="shared" si="60"/>
        <v>-1.2166666666666668</v>
      </c>
      <c r="L882">
        <f>IFERROR(HLOOKUP(D882,Ingreso!$AN$10:$AT$260,VLOOKUP('cruce '!I882,Ingreso!$AL$11:$AM$260,2,0),0),0)</f>
        <v>0</v>
      </c>
      <c r="M882" s="95">
        <f>IFERROR(HLOOKUP(D882,Ingreso!$AW$10:$BC$260,VLOOKUP('cruce '!I882,Ingreso!$AL$11:$AM$260,2,0),0),0)</f>
        <v>0</v>
      </c>
      <c r="N882" t="str">
        <f t="shared" si="61"/>
        <v>Revisar</v>
      </c>
    </row>
    <row r="883" spans="2:14">
      <c r="C883"/>
      <c r="D883" t="s">
        <v>1437</v>
      </c>
      <c r="E883" t="s">
        <v>1323</v>
      </c>
      <c r="F883" s="78">
        <v>0.375</v>
      </c>
      <c r="G883" s="55">
        <v>0.91887731481481483</v>
      </c>
      <c r="H883" s="55"/>
      <c r="I883" s="55" t="str">
        <f t="shared" si="58"/>
        <v>14.595.059-7</v>
      </c>
      <c r="J883" s="55">
        <f t="shared" si="59"/>
        <v>8.1122685185185173E-2</v>
      </c>
      <c r="K883" s="93">
        <f t="shared" si="60"/>
        <v>-7.0530555555555559</v>
      </c>
      <c r="L883">
        <f>IFERROR(HLOOKUP(D883,Ingreso!$AN$10:$AT$260,VLOOKUP('cruce '!I883,Ingreso!$AL$11:$AM$260,2,0),0),0)</f>
        <v>0</v>
      </c>
      <c r="M883" s="95">
        <f>IFERROR(HLOOKUP(D883,Ingreso!$AW$10:$BC$260,VLOOKUP('cruce '!I883,Ingreso!$AL$11:$AM$260,2,0),0),0)</f>
        <v>0</v>
      </c>
      <c r="N883" t="str">
        <f t="shared" si="61"/>
        <v>Revisar</v>
      </c>
    </row>
    <row r="884" spans="2:14">
      <c r="C884"/>
      <c r="D884" t="s">
        <v>1438</v>
      </c>
      <c r="E884" t="s">
        <v>1323</v>
      </c>
      <c r="F884" s="78">
        <v>0.375</v>
      </c>
      <c r="G884" s="55">
        <v>0.91895833333333332</v>
      </c>
      <c r="H884" s="55">
        <v>0.32393518518518521</v>
      </c>
      <c r="I884" s="55" t="str">
        <f t="shared" si="58"/>
        <v>14.595.059-7</v>
      </c>
      <c r="J884" s="55">
        <f t="shared" si="59"/>
        <v>0.40497685185185195</v>
      </c>
      <c r="K884" s="93">
        <f t="shared" si="60"/>
        <v>0.71944444444444677</v>
      </c>
      <c r="L884">
        <f>IFERROR(HLOOKUP(D884,Ingreso!$AN$10:$AT$260,VLOOKUP('cruce '!I884,Ingreso!$AL$11:$AM$260,2,0),0),0)</f>
        <v>0</v>
      </c>
      <c r="M884" s="95">
        <f>IFERROR(HLOOKUP(D884,Ingreso!$AW$10:$BC$260,VLOOKUP('cruce '!I884,Ingreso!$AL$11:$AM$260,2,0),0),0)</f>
        <v>0</v>
      </c>
      <c r="N884" t="str">
        <f t="shared" si="61"/>
        <v>OK</v>
      </c>
    </row>
    <row r="885" spans="2:14">
      <c r="C885"/>
      <c r="D885" t="s">
        <v>1439</v>
      </c>
      <c r="E885" t="s">
        <v>1323</v>
      </c>
      <c r="F885" s="78">
        <v>0.375</v>
      </c>
      <c r="G885" s="55">
        <v>0.9183217592592593</v>
      </c>
      <c r="H885" s="55">
        <v>0.32340277777777776</v>
      </c>
      <c r="I885" s="55" t="str">
        <f t="shared" si="58"/>
        <v>14.595.059-7</v>
      </c>
      <c r="J885" s="55">
        <f t="shared" si="59"/>
        <v>0.40508101851851841</v>
      </c>
      <c r="K885" s="93">
        <f t="shared" si="60"/>
        <v>0.72194444444444272</v>
      </c>
      <c r="L885">
        <f>IFERROR(HLOOKUP(D885,Ingreso!$AN$10:$AT$260,VLOOKUP('cruce '!I885,Ingreso!$AL$11:$AM$260,2,0),0),0)</f>
        <v>0</v>
      </c>
      <c r="M885" s="95">
        <f>IFERROR(HLOOKUP(D885,Ingreso!$AW$10:$BC$260,VLOOKUP('cruce '!I885,Ingreso!$AL$11:$AM$260,2,0),0),0)</f>
        <v>0</v>
      </c>
      <c r="N885" t="str">
        <f t="shared" si="61"/>
        <v>OK</v>
      </c>
    </row>
    <row r="886" spans="2:14">
      <c r="B886" t="s">
        <v>1178</v>
      </c>
      <c r="C886" t="s">
        <v>1179</v>
      </c>
      <c r="D886" t="s">
        <v>1440</v>
      </c>
      <c r="E886" t="s">
        <v>1321</v>
      </c>
      <c r="F886" s="78">
        <v>0.3125</v>
      </c>
      <c r="G886" s="55">
        <v>0.62223379629629627</v>
      </c>
      <c r="H886" s="55">
        <v>0.94533564814814808</v>
      </c>
      <c r="I886" s="55" t="str">
        <f t="shared" si="58"/>
        <v>15.102.640-0</v>
      </c>
      <c r="J886" s="55">
        <f t="shared" si="59"/>
        <v>0.32310185185185181</v>
      </c>
      <c r="K886" s="93">
        <f t="shared" si="60"/>
        <v>0.25444444444444336</v>
      </c>
      <c r="L886">
        <f>IFERROR(HLOOKUP(D886,Ingreso!$AN$10:$AT$260,VLOOKUP('cruce '!I886,Ingreso!$AL$11:$AM$260,2,0),0),0)</f>
        <v>0</v>
      </c>
      <c r="M886" s="95">
        <f>IFERROR(HLOOKUP(D886,Ingreso!$AW$10:$BC$260,VLOOKUP('cruce '!I886,Ingreso!$AL$11:$AM$260,2,0),0),0)</f>
        <v>0</v>
      </c>
      <c r="N886" t="str">
        <f t="shared" si="61"/>
        <v>OK</v>
      </c>
    </row>
    <row r="887" spans="2:14">
      <c r="C887"/>
      <c r="D887" t="s">
        <v>1441</v>
      </c>
      <c r="E887" t="s">
        <v>1321</v>
      </c>
      <c r="F887" s="78">
        <v>0.3125</v>
      </c>
      <c r="G887" s="55">
        <v>0.62086805555555558</v>
      </c>
      <c r="H887" s="55">
        <v>0.95409722222222226</v>
      </c>
      <c r="I887" s="55" t="str">
        <f t="shared" si="58"/>
        <v>15.102.640-0</v>
      </c>
      <c r="J887" s="55">
        <f t="shared" si="59"/>
        <v>0.33322916666666669</v>
      </c>
      <c r="K887" s="93">
        <f t="shared" si="60"/>
        <v>0.4975000000000005</v>
      </c>
      <c r="L887">
        <f>IFERROR(HLOOKUP(D887,Ingreso!$AN$10:$AT$260,VLOOKUP('cruce '!I887,Ingreso!$AL$11:$AM$260,2,0),0),0)</f>
        <v>0</v>
      </c>
      <c r="M887" s="95">
        <f>IFERROR(HLOOKUP(D887,Ingreso!$AW$10:$BC$260,VLOOKUP('cruce '!I887,Ingreso!$AL$11:$AM$260,2,0),0),0)</f>
        <v>0</v>
      </c>
      <c r="N887" t="str">
        <f t="shared" si="61"/>
        <v>OK</v>
      </c>
    </row>
    <row r="888" spans="2:14">
      <c r="C888"/>
      <c r="D888" t="s">
        <v>1437</v>
      </c>
      <c r="E888" t="s">
        <v>1321</v>
      </c>
      <c r="F888" s="78">
        <v>0.3125</v>
      </c>
      <c r="G888" s="55">
        <v>0.61788194444444444</v>
      </c>
      <c r="H888" s="55">
        <v>0.94336805555555558</v>
      </c>
      <c r="I888" s="55" t="str">
        <f t="shared" si="58"/>
        <v>15.102.640-0</v>
      </c>
      <c r="J888" s="55">
        <f t="shared" si="59"/>
        <v>0.32548611111111114</v>
      </c>
      <c r="K888" s="93">
        <f t="shared" si="60"/>
        <v>0.31166666666666742</v>
      </c>
      <c r="L888">
        <f>IFERROR(HLOOKUP(D888,Ingreso!$AN$10:$AT$260,VLOOKUP('cruce '!I888,Ingreso!$AL$11:$AM$260,2,0),0),0)</f>
        <v>0</v>
      </c>
      <c r="M888" s="95">
        <f>IFERROR(HLOOKUP(D888,Ingreso!$AW$10:$BC$260,VLOOKUP('cruce '!I888,Ingreso!$AL$11:$AM$260,2,0),0),0)</f>
        <v>0</v>
      </c>
      <c r="N888" t="str">
        <f t="shared" si="61"/>
        <v>OK</v>
      </c>
    </row>
    <row r="889" spans="2:14">
      <c r="C889"/>
      <c r="D889" t="s">
        <v>1438</v>
      </c>
      <c r="E889" t="s">
        <v>1321</v>
      </c>
      <c r="F889" s="78">
        <v>0.3125</v>
      </c>
      <c r="G889" s="55">
        <v>0.61321759259259256</v>
      </c>
      <c r="H889" s="55">
        <v>0.94594907407407414</v>
      </c>
      <c r="I889" s="55" t="str">
        <f t="shared" si="58"/>
        <v>15.102.640-0</v>
      </c>
      <c r="J889" s="55">
        <f t="shared" si="59"/>
        <v>0.33273148148148157</v>
      </c>
      <c r="K889" s="93">
        <f t="shared" si="60"/>
        <v>0.48555555555555774</v>
      </c>
      <c r="L889">
        <f>IFERROR(HLOOKUP(D889,Ingreso!$AN$10:$AT$260,VLOOKUP('cruce '!I889,Ingreso!$AL$11:$AM$260,2,0),0),0)</f>
        <v>0</v>
      </c>
      <c r="M889" s="95">
        <f>IFERROR(HLOOKUP(D889,Ingreso!$AW$10:$BC$260,VLOOKUP('cruce '!I889,Ingreso!$AL$11:$AM$260,2,0),0),0)</f>
        <v>0</v>
      </c>
      <c r="N889" t="str">
        <f t="shared" si="61"/>
        <v>OK</v>
      </c>
    </row>
    <row r="890" spans="2:14">
      <c r="C890"/>
      <c r="D890" t="s">
        <v>1439</v>
      </c>
      <c r="E890" t="s">
        <v>1321</v>
      </c>
      <c r="F890" s="78">
        <v>0.3125</v>
      </c>
      <c r="G890" s="55">
        <v>0.61499999999999999</v>
      </c>
      <c r="H890" s="55">
        <v>0.94201388888888893</v>
      </c>
      <c r="I890" s="55" t="str">
        <f t="shared" si="58"/>
        <v>15.102.640-0</v>
      </c>
      <c r="J890" s="55">
        <f t="shared" si="59"/>
        <v>0.32701388888888894</v>
      </c>
      <c r="K890" s="93">
        <f t="shared" si="60"/>
        <v>0.34833333333333449</v>
      </c>
      <c r="L890">
        <f>IFERROR(HLOOKUP(D890,Ingreso!$AN$10:$AT$260,VLOOKUP('cruce '!I890,Ingreso!$AL$11:$AM$260,2,0),0),0)</f>
        <v>0</v>
      </c>
      <c r="M890" s="95">
        <f>IFERROR(HLOOKUP(D890,Ingreso!$AW$10:$BC$260,VLOOKUP('cruce '!I890,Ingreso!$AL$11:$AM$260,2,0),0),0)</f>
        <v>0</v>
      </c>
      <c r="N890" t="str">
        <f t="shared" si="61"/>
        <v>OK</v>
      </c>
    </row>
    <row r="891" spans="2:14">
      <c r="B891" t="s">
        <v>1064</v>
      </c>
      <c r="C891" t="s">
        <v>1067</v>
      </c>
      <c r="D891" t="s">
        <v>1440</v>
      </c>
      <c r="E891" t="s">
        <v>1321</v>
      </c>
      <c r="F891" s="78">
        <v>0.3125</v>
      </c>
      <c r="G891" s="55">
        <v>0.60868055555555556</v>
      </c>
      <c r="H891" s="55">
        <v>0.95105324074074071</v>
      </c>
      <c r="I891" s="55" t="str">
        <f t="shared" si="58"/>
        <v>15.327.501-7</v>
      </c>
      <c r="J891" s="55">
        <f t="shared" si="59"/>
        <v>0.34237268518518515</v>
      </c>
      <c r="K891" s="93">
        <f t="shared" si="60"/>
        <v>0.71694444444444372</v>
      </c>
      <c r="L891">
        <f>IFERROR(HLOOKUP(D891,Ingreso!$AN$10:$AT$260,VLOOKUP('cruce '!I891,Ingreso!$AL$11:$AM$260,2,0),0),0)</f>
        <v>0</v>
      </c>
      <c r="M891" s="95">
        <f>IFERROR(HLOOKUP(D891,Ingreso!$AW$10:$BC$260,VLOOKUP('cruce '!I891,Ingreso!$AL$11:$AM$260,2,0),0),0)</f>
        <v>0</v>
      </c>
      <c r="N891" t="str">
        <f t="shared" si="61"/>
        <v>OK</v>
      </c>
    </row>
    <row r="892" spans="2:14">
      <c r="C892"/>
      <c r="D892" t="s">
        <v>1441</v>
      </c>
      <c r="E892" t="s">
        <v>1321</v>
      </c>
      <c r="F892" s="78">
        <v>0.3125</v>
      </c>
      <c r="G892" s="55">
        <v>0.61228009259259253</v>
      </c>
      <c r="H892" s="55">
        <v>0.95251157407407405</v>
      </c>
      <c r="I892" s="55" t="str">
        <f t="shared" si="58"/>
        <v>15.327.501-7</v>
      </c>
      <c r="J892" s="55">
        <f t="shared" si="59"/>
        <v>0.34023148148148152</v>
      </c>
      <c r="K892" s="93">
        <f t="shared" si="60"/>
        <v>0.66555555555555657</v>
      </c>
      <c r="L892">
        <f>IFERROR(HLOOKUP(D892,Ingreso!$AN$10:$AT$260,VLOOKUP('cruce '!I892,Ingreso!$AL$11:$AM$260,2,0),0),0)</f>
        <v>0</v>
      </c>
      <c r="M892" s="95">
        <f>IFERROR(HLOOKUP(D892,Ingreso!$AW$10:$BC$260,VLOOKUP('cruce '!I892,Ingreso!$AL$11:$AM$260,2,0),0),0)</f>
        <v>0</v>
      </c>
      <c r="N892" t="str">
        <f t="shared" si="61"/>
        <v>OK</v>
      </c>
    </row>
    <row r="893" spans="2:14">
      <c r="C893"/>
      <c r="D893" t="s">
        <v>1437</v>
      </c>
      <c r="E893" t="s">
        <v>1321</v>
      </c>
      <c r="F893" s="78">
        <v>0.3125</v>
      </c>
      <c r="G893" s="55">
        <v>0.60584490740740737</v>
      </c>
      <c r="H893" s="55">
        <v>0.94874999999999998</v>
      </c>
      <c r="I893" s="55" t="str">
        <f t="shared" si="58"/>
        <v>15.327.501-7</v>
      </c>
      <c r="J893" s="55">
        <f t="shared" si="59"/>
        <v>0.34290509259259261</v>
      </c>
      <c r="K893" s="93">
        <f t="shared" si="60"/>
        <v>0.72972222222222172</v>
      </c>
      <c r="L893">
        <f>IFERROR(HLOOKUP(D893,Ingreso!$AN$10:$AT$260,VLOOKUP('cruce '!I893,Ingreso!$AL$11:$AM$260,2,0),0),0)</f>
        <v>0</v>
      </c>
      <c r="M893" s="95">
        <f>IFERROR(HLOOKUP(D893,Ingreso!$AW$10:$BC$260,VLOOKUP('cruce '!I893,Ingreso!$AL$11:$AM$260,2,0),0),0)</f>
        <v>0</v>
      </c>
      <c r="N893" t="str">
        <f t="shared" si="61"/>
        <v>OK</v>
      </c>
    </row>
    <row r="894" spans="2:14">
      <c r="C894"/>
      <c r="D894" t="s">
        <v>1438</v>
      </c>
      <c r="E894" t="s">
        <v>1321</v>
      </c>
      <c r="F894" s="78">
        <v>0.3125</v>
      </c>
      <c r="G894" s="55">
        <v>0.60667824074074073</v>
      </c>
      <c r="H894" s="55">
        <v>0.94821759259259253</v>
      </c>
      <c r="I894" s="55" t="str">
        <f t="shared" si="58"/>
        <v>15.327.501-7</v>
      </c>
      <c r="J894" s="55">
        <f t="shared" si="59"/>
        <v>0.3415393518518518</v>
      </c>
      <c r="K894" s="93">
        <f t="shared" si="60"/>
        <v>0.69694444444444414</v>
      </c>
      <c r="L894">
        <f>IFERROR(HLOOKUP(D894,Ingreso!$AN$10:$AT$260,VLOOKUP('cruce '!I894,Ingreso!$AL$11:$AM$260,2,0),0),0)</f>
        <v>0</v>
      </c>
      <c r="M894" s="95">
        <f>IFERROR(HLOOKUP(D894,Ingreso!$AW$10:$BC$260,VLOOKUP('cruce '!I894,Ingreso!$AL$11:$AM$260,2,0),0),0)</f>
        <v>0</v>
      </c>
      <c r="N894" t="str">
        <f t="shared" si="61"/>
        <v>OK</v>
      </c>
    </row>
    <row r="895" spans="2:14">
      <c r="C895"/>
      <c r="D895" t="s">
        <v>1439</v>
      </c>
      <c r="E895" t="s">
        <v>1321</v>
      </c>
      <c r="F895" s="78">
        <v>0.3125</v>
      </c>
      <c r="G895" s="55">
        <v>0.60393518518518519</v>
      </c>
      <c r="H895" s="55">
        <v>0.95075231481481481</v>
      </c>
      <c r="I895" s="55" t="str">
        <f t="shared" ref="I895:I958" si="62">IF(B895="",I894,B895)</f>
        <v>15.327.501-7</v>
      </c>
      <c r="J895" s="55">
        <f t="shared" ref="J895:J958" si="63">IF(G895&gt;H895,(H895+0.5)-(G895-0.5),H895-G895)</f>
        <v>0.34681712962962963</v>
      </c>
      <c r="K895" s="93">
        <f t="shared" ref="K895:K958" si="64">(J895*24)-(F895*24)</f>
        <v>0.82361111111111107</v>
      </c>
      <c r="L895">
        <f>IFERROR(HLOOKUP(D895,Ingreso!$AN$10:$AT$260,VLOOKUP('cruce '!I895,Ingreso!$AL$11:$AM$260,2,0),0),0)</f>
        <v>0</v>
      </c>
      <c r="M895" s="95">
        <f>IFERROR(HLOOKUP(D895,Ingreso!$AW$10:$BC$260,VLOOKUP('cruce '!I895,Ingreso!$AL$11:$AM$260,2,0),0),0)</f>
        <v>0</v>
      </c>
      <c r="N895" t="str">
        <f t="shared" ref="N895:N958" si="65">IF((K895-L895)&gt;1,"Revisar",IF((K895-L895)&lt;-1,"Revisar","OK"))</f>
        <v>OK</v>
      </c>
    </row>
    <row r="896" spans="2:14">
      <c r="B896" t="s">
        <v>1279</v>
      </c>
      <c r="C896" t="s">
        <v>1281</v>
      </c>
      <c r="D896" t="s">
        <v>1437</v>
      </c>
      <c r="E896" t="s">
        <v>4</v>
      </c>
      <c r="F896" s="78">
        <v>0.3125</v>
      </c>
      <c r="G896" s="55">
        <v>0.28902777777777777</v>
      </c>
      <c r="H896" s="55">
        <v>0.62780092592592596</v>
      </c>
      <c r="I896" s="55" t="str">
        <f t="shared" si="62"/>
        <v>15.391.242-4</v>
      </c>
      <c r="J896" s="55">
        <f t="shared" si="63"/>
        <v>0.33877314814814818</v>
      </c>
      <c r="K896" s="93">
        <f t="shared" si="64"/>
        <v>0.63055555555555642</v>
      </c>
      <c r="L896">
        <f>IFERROR(HLOOKUP(D896,Ingreso!$AN$10:$AT$260,VLOOKUP('cruce '!I896,Ingreso!$AL$11:$AM$260,2,0),0),0)</f>
        <v>0</v>
      </c>
      <c r="M896" s="95">
        <f>IFERROR(HLOOKUP(D896,Ingreso!$AW$10:$BC$260,VLOOKUP('cruce '!I896,Ingreso!$AL$11:$AM$260,2,0),0),0)</f>
        <v>0</v>
      </c>
      <c r="N896" t="str">
        <f t="shared" si="65"/>
        <v>OK</v>
      </c>
    </row>
    <row r="897" spans="2:14">
      <c r="C897"/>
      <c r="D897" t="s">
        <v>1438</v>
      </c>
      <c r="E897" t="s">
        <v>4</v>
      </c>
      <c r="F897" s="78">
        <v>0.3125</v>
      </c>
      <c r="G897" s="55">
        <v>0.30623842592592593</v>
      </c>
      <c r="H897" s="55">
        <v>0.62725694444444446</v>
      </c>
      <c r="I897" s="55" t="str">
        <f t="shared" si="62"/>
        <v>15.391.242-4</v>
      </c>
      <c r="J897" s="55">
        <f t="shared" si="63"/>
        <v>0.32101851851851854</v>
      </c>
      <c r="K897" s="93">
        <f t="shared" si="64"/>
        <v>0.20444444444444443</v>
      </c>
      <c r="L897">
        <f>IFERROR(HLOOKUP(D897,Ingreso!$AN$10:$AT$260,VLOOKUP('cruce '!I897,Ingreso!$AL$11:$AM$260,2,0),0),0)</f>
        <v>0</v>
      </c>
      <c r="M897" s="95">
        <f>IFERROR(HLOOKUP(D897,Ingreso!$AW$10:$BC$260,VLOOKUP('cruce '!I897,Ingreso!$AL$11:$AM$260,2,0),0),0)</f>
        <v>0</v>
      </c>
      <c r="N897" t="str">
        <f t="shared" si="65"/>
        <v>OK</v>
      </c>
    </row>
    <row r="898" spans="2:14">
      <c r="C898"/>
      <c r="D898" t="s">
        <v>1439</v>
      </c>
      <c r="E898" t="s">
        <v>1323</v>
      </c>
      <c r="F898" s="78">
        <v>0.375</v>
      </c>
      <c r="G898" s="55">
        <v>0.31556712962962963</v>
      </c>
      <c r="H898" s="55"/>
      <c r="I898" s="55" t="str">
        <f t="shared" si="62"/>
        <v>15.391.242-4</v>
      </c>
      <c r="J898" s="55">
        <f t="shared" si="63"/>
        <v>0.68443287037037037</v>
      </c>
      <c r="K898" s="93">
        <f t="shared" si="64"/>
        <v>7.4263888888888872</v>
      </c>
      <c r="L898">
        <f>IFERROR(HLOOKUP(D898,Ingreso!$AN$10:$AT$260,VLOOKUP('cruce '!I898,Ingreso!$AL$11:$AM$260,2,0),0),0)</f>
        <v>0</v>
      </c>
      <c r="M898" s="95">
        <f>IFERROR(HLOOKUP(D898,Ingreso!$AW$10:$BC$260,VLOOKUP('cruce '!I898,Ingreso!$AL$11:$AM$260,2,0),0),0)</f>
        <v>0</v>
      </c>
      <c r="N898" t="str">
        <f t="shared" si="65"/>
        <v>Revisar</v>
      </c>
    </row>
    <row r="899" spans="2:14">
      <c r="B899" t="s">
        <v>1047</v>
      </c>
      <c r="C899" t="s">
        <v>1048</v>
      </c>
      <c r="D899" t="s">
        <v>1440</v>
      </c>
      <c r="E899" t="s">
        <v>1323</v>
      </c>
      <c r="F899" s="78">
        <v>0.375</v>
      </c>
      <c r="G899" s="55">
        <v>0.92054398148148142</v>
      </c>
      <c r="H899" s="55">
        <v>0.33045138888888886</v>
      </c>
      <c r="I899" s="55" t="str">
        <f t="shared" si="62"/>
        <v>15.436.097-2</v>
      </c>
      <c r="J899" s="55">
        <f t="shared" si="63"/>
        <v>0.4099074074074075</v>
      </c>
      <c r="K899" s="93">
        <f t="shared" si="64"/>
        <v>0.83777777777778084</v>
      </c>
      <c r="L899">
        <f>IFERROR(HLOOKUP(D899,Ingreso!$AN$10:$AT$260,VLOOKUP('cruce '!I899,Ingreso!$AL$11:$AM$260,2,0),0),0)</f>
        <v>0</v>
      </c>
      <c r="M899" s="95">
        <f>IFERROR(HLOOKUP(D899,Ingreso!$AW$10:$BC$260,VLOOKUP('cruce '!I899,Ingreso!$AL$11:$AM$260,2,0),0),0)</f>
        <v>0</v>
      </c>
      <c r="N899" t="str">
        <f t="shared" si="65"/>
        <v>OK</v>
      </c>
    </row>
    <row r="900" spans="2:14">
      <c r="C900"/>
      <c r="D900" t="s">
        <v>1441</v>
      </c>
      <c r="E900" t="s">
        <v>1323</v>
      </c>
      <c r="F900" s="78">
        <v>0.375</v>
      </c>
      <c r="G900" s="55"/>
      <c r="H900" s="55">
        <v>0.32914351851851853</v>
      </c>
      <c r="I900" s="55" t="str">
        <f t="shared" si="62"/>
        <v>15.436.097-2</v>
      </c>
      <c r="J900" s="55">
        <f t="shared" si="63"/>
        <v>0.32914351851851853</v>
      </c>
      <c r="K900" s="93">
        <f t="shared" si="64"/>
        <v>-1.1005555555555553</v>
      </c>
      <c r="L900">
        <f>IFERROR(HLOOKUP(D900,Ingreso!$AN$10:$AT$260,VLOOKUP('cruce '!I900,Ingreso!$AL$11:$AM$260,2,0),0),0)</f>
        <v>0</v>
      </c>
      <c r="M900" s="95">
        <f>IFERROR(HLOOKUP(D900,Ingreso!$AW$10:$BC$260,VLOOKUP('cruce '!I900,Ingreso!$AL$11:$AM$260,2,0),0),0)</f>
        <v>0</v>
      </c>
      <c r="N900" t="str">
        <f t="shared" si="65"/>
        <v>Revisar</v>
      </c>
    </row>
    <row r="901" spans="2:14">
      <c r="C901"/>
      <c r="D901" t="s">
        <v>1437</v>
      </c>
      <c r="E901" t="s">
        <v>1323</v>
      </c>
      <c r="F901" s="78">
        <v>0.375</v>
      </c>
      <c r="G901" s="55">
        <v>0.91732638888888884</v>
      </c>
      <c r="H901" s="55"/>
      <c r="I901" s="55" t="str">
        <f t="shared" si="62"/>
        <v>15.436.097-2</v>
      </c>
      <c r="J901" s="55">
        <f t="shared" si="63"/>
        <v>8.2673611111111156E-2</v>
      </c>
      <c r="K901" s="93">
        <f t="shared" si="64"/>
        <v>-7.0158333333333323</v>
      </c>
      <c r="L901">
        <f>IFERROR(HLOOKUP(D901,Ingreso!$AN$10:$AT$260,VLOOKUP('cruce '!I901,Ingreso!$AL$11:$AM$260,2,0),0),0)</f>
        <v>0</v>
      </c>
      <c r="M901" s="95">
        <f>IFERROR(HLOOKUP(D901,Ingreso!$AW$10:$BC$260,VLOOKUP('cruce '!I901,Ingreso!$AL$11:$AM$260,2,0),0),0)</f>
        <v>0</v>
      </c>
      <c r="N901" t="str">
        <f t="shared" si="65"/>
        <v>Revisar</v>
      </c>
    </row>
    <row r="902" spans="2:14">
      <c r="C902"/>
      <c r="D902" t="s">
        <v>1438</v>
      </c>
      <c r="E902" t="s">
        <v>1321</v>
      </c>
      <c r="F902" s="78">
        <v>0.3125</v>
      </c>
      <c r="G902" s="55">
        <v>0.95305555555555566</v>
      </c>
      <c r="H902" s="55"/>
      <c r="I902" s="55" t="str">
        <f t="shared" si="62"/>
        <v>15.436.097-2</v>
      </c>
      <c r="J902" s="55">
        <f t="shared" si="63"/>
        <v>4.6944444444444344E-2</v>
      </c>
      <c r="K902" s="93">
        <f t="shared" si="64"/>
        <v>-6.3733333333333357</v>
      </c>
      <c r="L902">
        <f>IFERROR(HLOOKUP(D902,Ingreso!$AN$10:$AT$260,VLOOKUP('cruce '!I902,Ingreso!$AL$11:$AM$260,2,0),0),0)</f>
        <v>0</v>
      </c>
      <c r="M902" s="95">
        <f>IFERROR(HLOOKUP(D902,Ingreso!$AW$10:$BC$260,VLOOKUP('cruce '!I902,Ingreso!$AL$11:$AM$260,2,0),0),0)</f>
        <v>0</v>
      </c>
      <c r="N902" t="str">
        <f t="shared" si="65"/>
        <v>Revisar</v>
      </c>
    </row>
    <row r="903" spans="2:14">
      <c r="C903"/>
      <c r="D903"/>
      <c r="E903" t="s">
        <v>1323</v>
      </c>
      <c r="F903" s="78">
        <v>0.375</v>
      </c>
      <c r="G903" s="55"/>
      <c r="H903" s="55">
        <v>0.33688657407407407</v>
      </c>
      <c r="I903" s="55" t="str">
        <f t="shared" si="62"/>
        <v>15.436.097-2</v>
      </c>
      <c r="J903" s="55">
        <f t="shared" si="63"/>
        <v>0.33688657407407407</v>
      </c>
      <c r="K903" s="93">
        <f t="shared" si="64"/>
        <v>-0.91472222222222221</v>
      </c>
      <c r="L903">
        <f>IFERROR(HLOOKUP(D903,Ingreso!$AN$10:$AT$260,VLOOKUP('cruce '!I903,Ingreso!$AL$11:$AM$260,2,0),0),0)</f>
        <v>0</v>
      </c>
      <c r="M903" s="95">
        <f>IFERROR(HLOOKUP(D903,Ingreso!$AW$10:$BC$260,VLOOKUP('cruce '!I903,Ingreso!$AL$11:$AM$260,2,0),0),0)</f>
        <v>0</v>
      </c>
      <c r="N903" t="str">
        <f t="shared" si="65"/>
        <v>OK</v>
      </c>
    </row>
    <row r="904" spans="2:14">
      <c r="C904"/>
      <c r="D904" t="s">
        <v>1439</v>
      </c>
      <c r="E904" t="s">
        <v>1323</v>
      </c>
      <c r="F904" s="78">
        <v>0.375</v>
      </c>
      <c r="G904" s="55">
        <v>0.91887731481481483</v>
      </c>
      <c r="H904" s="55">
        <v>0.32843749999999999</v>
      </c>
      <c r="I904" s="55" t="str">
        <f t="shared" si="62"/>
        <v>15.436.097-2</v>
      </c>
      <c r="J904" s="55">
        <f t="shared" si="63"/>
        <v>0.40956018518518511</v>
      </c>
      <c r="K904" s="93">
        <f t="shared" si="64"/>
        <v>0.82944444444444265</v>
      </c>
      <c r="L904">
        <f>IFERROR(HLOOKUP(D904,Ingreso!$AN$10:$AT$260,VLOOKUP('cruce '!I904,Ingreso!$AL$11:$AM$260,2,0),0),0)</f>
        <v>0</v>
      </c>
      <c r="M904" s="95">
        <f>IFERROR(HLOOKUP(D904,Ingreso!$AW$10:$BC$260,VLOOKUP('cruce '!I904,Ingreso!$AL$11:$AM$260,2,0),0),0)</f>
        <v>0</v>
      </c>
      <c r="N904" t="str">
        <f t="shared" si="65"/>
        <v>OK</v>
      </c>
    </row>
    <row r="905" spans="2:14">
      <c r="B905" t="s">
        <v>679</v>
      </c>
      <c r="C905" t="s">
        <v>683</v>
      </c>
      <c r="D905" t="s">
        <v>1440</v>
      </c>
      <c r="E905" t="s">
        <v>4</v>
      </c>
      <c r="F905" s="78">
        <v>0.3125</v>
      </c>
      <c r="G905" s="55"/>
      <c r="H905" s="55">
        <v>0.72956018518518517</v>
      </c>
      <c r="I905" s="55" t="str">
        <f t="shared" si="62"/>
        <v>15.437.429-9</v>
      </c>
      <c r="J905" s="55">
        <f t="shared" si="63"/>
        <v>0.72956018518518517</v>
      </c>
      <c r="K905" s="93">
        <f t="shared" si="64"/>
        <v>10.009444444444444</v>
      </c>
      <c r="L905">
        <f>IFERROR(HLOOKUP(D905,Ingreso!$AN$10:$AT$260,VLOOKUP('cruce '!I905,Ingreso!$AL$11:$AM$260,2,0),0),0)</f>
        <v>0</v>
      </c>
      <c r="M905" s="95">
        <f>IFERROR(HLOOKUP(D905,Ingreso!$AW$10:$BC$260,VLOOKUP('cruce '!I905,Ingreso!$AL$11:$AM$260,2,0),0),0)</f>
        <v>0</v>
      </c>
      <c r="N905" t="str">
        <f t="shared" si="65"/>
        <v>Revisar</v>
      </c>
    </row>
    <row r="906" spans="2:14">
      <c r="C906"/>
      <c r="D906"/>
      <c r="E906" t="s">
        <v>1473</v>
      </c>
      <c r="F906" t="s">
        <v>1472</v>
      </c>
      <c r="G906" s="55">
        <v>0.36358796296296297</v>
      </c>
      <c r="H906" s="55"/>
      <c r="I906" s="55" t="str">
        <f t="shared" si="62"/>
        <v>15.437.429-9</v>
      </c>
      <c r="J906" s="55">
        <f t="shared" si="63"/>
        <v>0.63641203703703697</v>
      </c>
      <c r="K906" s="93" t="e">
        <f t="shared" si="64"/>
        <v>#VALUE!</v>
      </c>
      <c r="L906">
        <f>IFERROR(HLOOKUP(D906,Ingreso!$AN$10:$AT$260,VLOOKUP('cruce '!I906,Ingreso!$AL$11:$AM$260,2,0),0),0)</f>
        <v>0</v>
      </c>
      <c r="M906" s="95">
        <f>IFERROR(HLOOKUP(D906,Ingreso!$AW$10:$BC$260,VLOOKUP('cruce '!I906,Ingreso!$AL$11:$AM$260,2,0),0),0)</f>
        <v>0</v>
      </c>
      <c r="N906" t="e">
        <f t="shared" si="65"/>
        <v>#VALUE!</v>
      </c>
    </row>
    <row r="907" spans="2:14">
      <c r="C907"/>
      <c r="D907" t="s">
        <v>1437</v>
      </c>
      <c r="E907" t="s">
        <v>4</v>
      </c>
      <c r="F907" s="78">
        <v>0.3125</v>
      </c>
      <c r="G907" s="55"/>
      <c r="H907" s="55">
        <v>0.73313657407407407</v>
      </c>
      <c r="I907" s="55" t="str">
        <f t="shared" si="62"/>
        <v>15.437.429-9</v>
      </c>
      <c r="J907" s="55">
        <f t="shared" si="63"/>
        <v>0.73313657407407407</v>
      </c>
      <c r="K907" s="93">
        <f t="shared" si="64"/>
        <v>10.095277777777778</v>
      </c>
      <c r="L907">
        <f>IFERROR(HLOOKUP(D907,Ingreso!$AN$10:$AT$260,VLOOKUP('cruce '!I907,Ingreso!$AL$11:$AM$260,2,0),0),0)</f>
        <v>0</v>
      </c>
      <c r="M907" s="95">
        <f>IFERROR(HLOOKUP(D907,Ingreso!$AW$10:$BC$260,VLOOKUP('cruce '!I907,Ingreso!$AL$11:$AM$260,2,0),0),0)</f>
        <v>0</v>
      </c>
      <c r="N907" t="str">
        <f t="shared" si="65"/>
        <v>Revisar</v>
      </c>
    </row>
    <row r="908" spans="2:14">
      <c r="C908"/>
      <c r="D908"/>
      <c r="E908" t="s">
        <v>1473</v>
      </c>
      <c r="F908" t="s">
        <v>1472</v>
      </c>
      <c r="G908" s="55">
        <v>0.35537037037037034</v>
      </c>
      <c r="H908" s="55"/>
      <c r="I908" s="55" t="str">
        <f t="shared" si="62"/>
        <v>15.437.429-9</v>
      </c>
      <c r="J908" s="55">
        <f t="shared" si="63"/>
        <v>0.64462962962962966</v>
      </c>
      <c r="K908" s="93" t="e">
        <f t="shared" si="64"/>
        <v>#VALUE!</v>
      </c>
      <c r="L908">
        <f>IFERROR(HLOOKUP(D908,Ingreso!$AN$10:$AT$260,VLOOKUP('cruce '!I908,Ingreso!$AL$11:$AM$260,2,0),0),0)</f>
        <v>0</v>
      </c>
      <c r="M908" s="95">
        <f>IFERROR(HLOOKUP(D908,Ingreso!$AW$10:$BC$260,VLOOKUP('cruce '!I908,Ingreso!$AL$11:$AM$260,2,0),0),0)</f>
        <v>0</v>
      </c>
      <c r="N908" t="e">
        <f t="shared" si="65"/>
        <v>#VALUE!</v>
      </c>
    </row>
    <row r="909" spans="2:14">
      <c r="C909"/>
      <c r="D909" t="s">
        <v>1438</v>
      </c>
      <c r="E909" t="s">
        <v>4</v>
      </c>
      <c r="F909" s="78">
        <v>0.3125</v>
      </c>
      <c r="G909" s="55"/>
      <c r="H909" s="55">
        <v>0.73130787037037026</v>
      </c>
      <c r="I909" s="55" t="str">
        <f t="shared" si="62"/>
        <v>15.437.429-9</v>
      </c>
      <c r="J909" s="55">
        <f t="shared" si="63"/>
        <v>0.73130787037037026</v>
      </c>
      <c r="K909" s="93">
        <f t="shared" si="64"/>
        <v>10.051388888888887</v>
      </c>
      <c r="L909">
        <f>IFERROR(HLOOKUP(D909,Ingreso!$AN$10:$AT$260,VLOOKUP('cruce '!I909,Ingreso!$AL$11:$AM$260,2,0),0),0)</f>
        <v>0</v>
      </c>
      <c r="M909" s="95">
        <f>IFERROR(HLOOKUP(D909,Ingreso!$AW$10:$BC$260,VLOOKUP('cruce '!I909,Ingreso!$AL$11:$AM$260,2,0),0),0)</f>
        <v>0</v>
      </c>
      <c r="N909" t="str">
        <f t="shared" si="65"/>
        <v>Revisar</v>
      </c>
    </row>
    <row r="910" spans="2:14">
      <c r="C910"/>
      <c r="D910"/>
      <c r="E910" t="s">
        <v>1473</v>
      </c>
      <c r="F910" t="s">
        <v>1472</v>
      </c>
      <c r="G910" s="55">
        <v>0.35976851851851849</v>
      </c>
      <c r="H910" s="55"/>
      <c r="I910" s="55" t="str">
        <f t="shared" si="62"/>
        <v>15.437.429-9</v>
      </c>
      <c r="J910" s="55">
        <f t="shared" si="63"/>
        <v>0.64023148148148157</v>
      </c>
      <c r="K910" s="93" t="e">
        <f t="shared" si="64"/>
        <v>#VALUE!</v>
      </c>
      <c r="L910">
        <f>IFERROR(HLOOKUP(D910,Ingreso!$AN$10:$AT$260,VLOOKUP('cruce '!I910,Ingreso!$AL$11:$AM$260,2,0),0),0)</f>
        <v>0</v>
      </c>
      <c r="M910" s="95">
        <f>IFERROR(HLOOKUP(D910,Ingreso!$AW$10:$BC$260,VLOOKUP('cruce '!I910,Ingreso!$AL$11:$AM$260,2,0),0),0)</f>
        <v>0</v>
      </c>
      <c r="N910" t="e">
        <f t="shared" si="65"/>
        <v>#VALUE!</v>
      </c>
    </row>
    <row r="911" spans="2:14">
      <c r="C911"/>
      <c r="D911" t="s">
        <v>1439</v>
      </c>
      <c r="E911" t="s">
        <v>4</v>
      </c>
      <c r="F911" s="78">
        <v>0.3125</v>
      </c>
      <c r="G911" s="55"/>
      <c r="H911" s="55">
        <v>0.73473379629629632</v>
      </c>
      <c r="I911" s="55" t="str">
        <f t="shared" si="62"/>
        <v>15.437.429-9</v>
      </c>
      <c r="J911" s="55">
        <f t="shared" si="63"/>
        <v>0.73473379629629632</v>
      </c>
      <c r="K911" s="93">
        <f t="shared" si="64"/>
        <v>10.133611111111112</v>
      </c>
      <c r="L911">
        <f>IFERROR(HLOOKUP(D911,Ingreso!$AN$10:$AT$260,VLOOKUP('cruce '!I911,Ingreso!$AL$11:$AM$260,2,0),0),0)</f>
        <v>0</v>
      </c>
      <c r="M911" s="95">
        <f>IFERROR(HLOOKUP(D911,Ingreso!$AW$10:$BC$260,VLOOKUP('cruce '!I911,Ingreso!$AL$11:$AM$260,2,0),0),0)</f>
        <v>0</v>
      </c>
      <c r="N911" t="str">
        <f t="shared" si="65"/>
        <v>Revisar</v>
      </c>
    </row>
    <row r="912" spans="2:14">
      <c r="C912"/>
      <c r="D912"/>
      <c r="E912" t="s">
        <v>1473</v>
      </c>
      <c r="F912" t="s">
        <v>1472</v>
      </c>
      <c r="G912" s="55">
        <v>0.35736111111111107</v>
      </c>
      <c r="H912" s="55"/>
      <c r="I912" s="55" t="str">
        <f t="shared" si="62"/>
        <v>15.437.429-9</v>
      </c>
      <c r="J912" s="55">
        <f t="shared" si="63"/>
        <v>0.64263888888888898</v>
      </c>
      <c r="K912" s="93" t="e">
        <f t="shared" si="64"/>
        <v>#VALUE!</v>
      </c>
      <c r="L912">
        <f>IFERROR(HLOOKUP(D912,Ingreso!$AN$10:$AT$260,VLOOKUP('cruce '!I912,Ingreso!$AL$11:$AM$260,2,0),0),0)</f>
        <v>0</v>
      </c>
      <c r="M912" s="95">
        <f>IFERROR(HLOOKUP(D912,Ingreso!$AW$10:$BC$260,VLOOKUP('cruce '!I912,Ingreso!$AL$11:$AM$260,2,0),0),0)</f>
        <v>0</v>
      </c>
      <c r="N912" t="e">
        <f t="shared" si="65"/>
        <v>#VALUE!</v>
      </c>
    </row>
    <row r="913" spans="2:14">
      <c r="B913" t="s">
        <v>1119</v>
      </c>
      <c r="C913" t="s">
        <v>1122</v>
      </c>
      <c r="D913" t="s">
        <v>1440</v>
      </c>
      <c r="E913" t="s">
        <v>4</v>
      </c>
      <c r="F913" s="78">
        <v>0.3125</v>
      </c>
      <c r="G913" s="55">
        <v>0.30715277777777777</v>
      </c>
      <c r="H913" s="55"/>
      <c r="I913" s="55" t="str">
        <f t="shared" si="62"/>
        <v>15.439.409-5</v>
      </c>
      <c r="J913" s="55">
        <f t="shared" si="63"/>
        <v>0.69284722222222217</v>
      </c>
      <c r="K913" s="93">
        <f t="shared" si="64"/>
        <v>9.1283333333333303</v>
      </c>
      <c r="L913">
        <f>IFERROR(HLOOKUP(D913,Ingreso!$AN$10:$AT$260,VLOOKUP('cruce '!I913,Ingreso!$AL$11:$AM$260,2,0),0),0)</f>
        <v>0</v>
      </c>
      <c r="M913" s="95">
        <f>IFERROR(HLOOKUP(D913,Ingreso!$AW$10:$BC$260,VLOOKUP('cruce '!I913,Ingreso!$AL$11:$AM$260,2,0),0),0)</f>
        <v>0</v>
      </c>
      <c r="N913" t="str">
        <f t="shared" si="65"/>
        <v>Revisar</v>
      </c>
    </row>
    <row r="914" spans="2:14">
      <c r="C914"/>
      <c r="D914"/>
      <c r="E914" t="s">
        <v>1473</v>
      </c>
      <c r="F914" t="s">
        <v>1472</v>
      </c>
      <c r="G914" s="55"/>
      <c r="H914" s="55">
        <v>0.46428240740740739</v>
      </c>
      <c r="I914" s="55" t="str">
        <f t="shared" si="62"/>
        <v>15.439.409-5</v>
      </c>
      <c r="J914" s="55">
        <f t="shared" si="63"/>
        <v>0.46428240740740739</v>
      </c>
      <c r="K914" s="93" t="e">
        <f t="shared" si="64"/>
        <v>#VALUE!</v>
      </c>
      <c r="L914">
        <f>IFERROR(HLOOKUP(D914,Ingreso!$AN$10:$AT$260,VLOOKUP('cruce '!I914,Ingreso!$AL$11:$AM$260,2,0),0),0)</f>
        <v>0</v>
      </c>
      <c r="M914" s="95">
        <f>IFERROR(HLOOKUP(D914,Ingreso!$AW$10:$BC$260,VLOOKUP('cruce '!I914,Ingreso!$AL$11:$AM$260,2,0),0),0)</f>
        <v>0</v>
      </c>
      <c r="N914" t="e">
        <f t="shared" si="65"/>
        <v>#VALUE!</v>
      </c>
    </row>
    <row r="915" spans="2:14">
      <c r="C915"/>
      <c r="D915" t="s">
        <v>1437</v>
      </c>
      <c r="E915" t="s">
        <v>4</v>
      </c>
      <c r="F915" s="78">
        <v>0.3125</v>
      </c>
      <c r="G915" s="55">
        <v>0.30162037037037037</v>
      </c>
      <c r="H915" s="55"/>
      <c r="I915" s="55" t="str">
        <f t="shared" si="62"/>
        <v>15.439.409-5</v>
      </c>
      <c r="J915" s="55">
        <f t="shared" si="63"/>
        <v>0.69837962962962963</v>
      </c>
      <c r="K915" s="93">
        <f t="shared" si="64"/>
        <v>9.2611111111111128</v>
      </c>
      <c r="L915">
        <f>IFERROR(HLOOKUP(D915,Ingreso!$AN$10:$AT$260,VLOOKUP('cruce '!I915,Ingreso!$AL$11:$AM$260,2,0),0),0)</f>
        <v>0</v>
      </c>
      <c r="M915" s="95">
        <f>IFERROR(HLOOKUP(D915,Ingreso!$AW$10:$BC$260,VLOOKUP('cruce '!I915,Ingreso!$AL$11:$AM$260,2,0),0),0)</f>
        <v>0</v>
      </c>
      <c r="N915" t="str">
        <f t="shared" si="65"/>
        <v>Revisar</v>
      </c>
    </row>
    <row r="916" spans="2:14">
      <c r="C916"/>
      <c r="D916"/>
      <c r="E916" t="s">
        <v>1473</v>
      </c>
      <c r="F916" t="s">
        <v>1472</v>
      </c>
      <c r="G916" s="55"/>
      <c r="H916" s="55">
        <v>0.49905092592592593</v>
      </c>
      <c r="I916" s="55" t="str">
        <f t="shared" si="62"/>
        <v>15.439.409-5</v>
      </c>
      <c r="J916" s="55">
        <f t="shared" si="63"/>
        <v>0.49905092592592593</v>
      </c>
      <c r="K916" s="93" t="e">
        <f t="shared" si="64"/>
        <v>#VALUE!</v>
      </c>
      <c r="L916">
        <f>IFERROR(HLOOKUP(D916,Ingreso!$AN$10:$AT$260,VLOOKUP('cruce '!I916,Ingreso!$AL$11:$AM$260,2,0),0),0)</f>
        <v>0</v>
      </c>
      <c r="M916" s="95">
        <f>IFERROR(HLOOKUP(D916,Ingreso!$AW$10:$BC$260,VLOOKUP('cruce '!I916,Ingreso!$AL$11:$AM$260,2,0),0),0)</f>
        <v>0</v>
      </c>
      <c r="N916" t="e">
        <f t="shared" si="65"/>
        <v>#VALUE!</v>
      </c>
    </row>
    <row r="917" spans="2:14">
      <c r="C917"/>
      <c r="D917" t="s">
        <v>1438</v>
      </c>
      <c r="E917" t="s">
        <v>4</v>
      </c>
      <c r="F917" s="78">
        <v>0.3125</v>
      </c>
      <c r="G917" s="55">
        <v>0.29063657407407406</v>
      </c>
      <c r="H917" s="55">
        <v>0.63375000000000004</v>
      </c>
      <c r="I917" s="55" t="str">
        <f t="shared" si="62"/>
        <v>15.439.409-5</v>
      </c>
      <c r="J917" s="55">
        <f t="shared" si="63"/>
        <v>0.34311342592592597</v>
      </c>
      <c r="K917" s="93">
        <f t="shared" si="64"/>
        <v>0.73472222222222427</v>
      </c>
      <c r="L917">
        <f>IFERROR(HLOOKUP(D917,Ingreso!$AN$10:$AT$260,VLOOKUP('cruce '!I917,Ingreso!$AL$11:$AM$260,2,0),0),0)</f>
        <v>0</v>
      </c>
      <c r="M917" s="95">
        <f>IFERROR(HLOOKUP(D917,Ingreso!$AW$10:$BC$260,VLOOKUP('cruce '!I917,Ingreso!$AL$11:$AM$260,2,0),0),0)</f>
        <v>0</v>
      </c>
      <c r="N917" t="str">
        <f t="shared" si="65"/>
        <v>OK</v>
      </c>
    </row>
    <row r="918" spans="2:14">
      <c r="C918"/>
      <c r="D918" t="s">
        <v>1439</v>
      </c>
      <c r="E918" t="s">
        <v>4</v>
      </c>
      <c r="F918" s="78">
        <v>0.3125</v>
      </c>
      <c r="G918" s="55">
        <v>0.30368055555555556</v>
      </c>
      <c r="H918" s="55">
        <v>0.63457175925925924</v>
      </c>
      <c r="I918" s="55" t="str">
        <f t="shared" si="62"/>
        <v>15.439.409-5</v>
      </c>
      <c r="J918" s="55">
        <f t="shared" si="63"/>
        <v>0.33089120370370367</v>
      </c>
      <c r="K918" s="93">
        <f t="shared" si="64"/>
        <v>0.44138888888888772</v>
      </c>
      <c r="L918">
        <f>IFERROR(HLOOKUP(D918,Ingreso!$AN$10:$AT$260,VLOOKUP('cruce '!I918,Ingreso!$AL$11:$AM$260,2,0),0),0)</f>
        <v>0</v>
      </c>
      <c r="M918" s="95">
        <f>IFERROR(HLOOKUP(D918,Ingreso!$AW$10:$BC$260,VLOOKUP('cruce '!I918,Ingreso!$AL$11:$AM$260,2,0),0),0)</f>
        <v>0</v>
      </c>
      <c r="N918" t="str">
        <f t="shared" si="65"/>
        <v>OK</v>
      </c>
    </row>
    <row r="919" spans="2:14">
      <c r="B919" t="s">
        <v>1235</v>
      </c>
      <c r="C919" t="s">
        <v>1239</v>
      </c>
      <c r="D919" t="s">
        <v>1440</v>
      </c>
      <c r="E919" t="s">
        <v>4</v>
      </c>
      <c r="F919" s="78">
        <v>0.3125</v>
      </c>
      <c r="G919" s="55">
        <v>0.48994212962962963</v>
      </c>
      <c r="H919" s="55">
        <v>0.95142361111111118</v>
      </c>
      <c r="I919" s="55" t="str">
        <f t="shared" si="62"/>
        <v>15.441.831-8</v>
      </c>
      <c r="J919" s="55">
        <f t="shared" si="63"/>
        <v>0.46148148148148155</v>
      </c>
      <c r="K919" s="93">
        <f t="shared" si="64"/>
        <v>3.5755555555555567</v>
      </c>
      <c r="L919">
        <f>IFERROR(HLOOKUP(D919,Ingreso!$AN$10:$AT$260,VLOOKUP('cruce '!I919,Ingreso!$AL$11:$AM$260,2,0),0),0)</f>
        <v>2.5</v>
      </c>
      <c r="M919" s="95">
        <f>IFERROR(HLOOKUP(D919,Ingreso!$AW$10:$BC$260,VLOOKUP('cruce '!I919,Ingreso!$AL$11:$AM$260,2,0),0),0)</f>
        <v>0.5</v>
      </c>
      <c r="N919" t="str">
        <f t="shared" si="65"/>
        <v>Revisar</v>
      </c>
    </row>
    <row r="920" spans="2:14">
      <c r="C920"/>
      <c r="D920" t="s">
        <v>1441</v>
      </c>
      <c r="E920" t="s">
        <v>4</v>
      </c>
      <c r="F920" s="78">
        <v>0.3125</v>
      </c>
      <c r="G920" s="55">
        <v>0.52128472222222222</v>
      </c>
      <c r="H920" s="55">
        <v>0.95915509259259257</v>
      </c>
      <c r="I920" s="55" t="str">
        <f t="shared" si="62"/>
        <v>15.441.831-8</v>
      </c>
      <c r="J920" s="55">
        <f t="shared" si="63"/>
        <v>0.43787037037037035</v>
      </c>
      <c r="K920" s="93">
        <f t="shared" si="64"/>
        <v>3.0088888888888885</v>
      </c>
      <c r="L920">
        <f>IFERROR(HLOOKUP(D920,Ingreso!$AN$10:$AT$260,VLOOKUP('cruce '!I920,Ingreso!$AL$11:$AM$260,2,0),0),0)</f>
        <v>0</v>
      </c>
      <c r="M920" s="95" t="str">
        <f>IFERROR(HLOOKUP(D920,Ingreso!$AW$10:$BC$260,VLOOKUP('cruce '!I920,Ingreso!$AL$11:$AM$260,2,0),0),0)</f>
        <v/>
      </c>
      <c r="N920" t="str">
        <f t="shared" si="65"/>
        <v>Revisar</v>
      </c>
    </row>
    <row r="921" spans="2:14">
      <c r="B921" t="s">
        <v>861</v>
      </c>
      <c r="C921" t="s">
        <v>865</v>
      </c>
      <c r="D921" t="s">
        <v>1440</v>
      </c>
      <c r="E921" t="s">
        <v>1323</v>
      </c>
      <c r="F921" s="78">
        <v>0.375</v>
      </c>
      <c r="G921" s="55">
        <v>0.91950231481481481</v>
      </c>
      <c r="H921" s="55">
        <v>0.3157638888888889</v>
      </c>
      <c r="I921" s="55" t="str">
        <f t="shared" si="62"/>
        <v>15.444.698-2</v>
      </c>
      <c r="J921" s="55">
        <f t="shared" si="63"/>
        <v>0.39626157407407414</v>
      </c>
      <c r="K921" s="93">
        <f t="shared" si="64"/>
        <v>0.51027777777778027</v>
      </c>
      <c r="L921">
        <f>IFERROR(HLOOKUP(D921,Ingreso!$AN$10:$AT$260,VLOOKUP('cruce '!I921,Ingreso!$AL$11:$AM$260,2,0),0),0)</f>
        <v>0</v>
      </c>
      <c r="M921" s="95" t="str">
        <f>IFERROR(HLOOKUP(D921,Ingreso!$AW$10:$BC$260,VLOOKUP('cruce '!I921,Ingreso!$AL$11:$AM$260,2,0),0),0)</f>
        <v/>
      </c>
      <c r="N921" t="str">
        <f t="shared" si="65"/>
        <v>OK</v>
      </c>
    </row>
    <row r="922" spans="2:14">
      <c r="C922"/>
      <c r="D922" t="s">
        <v>1441</v>
      </c>
      <c r="E922" t="s">
        <v>1323</v>
      </c>
      <c r="F922" s="78">
        <v>0.375</v>
      </c>
      <c r="G922" s="55"/>
      <c r="H922" s="55">
        <v>0.32096064814814812</v>
      </c>
      <c r="I922" s="55" t="str">
        <f t="shared" si="62"/>
        <v>15.444.698-2</v>
      </c>
      <c r="J922" s="55">
        <f t="shared" si="63"/>
        <v>0.32096064814814812</v>
      </c>
      <c r="K922" s="93">
        <f t="shared" si="64"/>
        <v>-1.2969444444444456</v>
      </c>
      <c r="L922">
        <f>IFERROR(HLOOKUP(D922,Ingreso!$AN$10:$AT$260,VLOOKUP('cruce '!I922,Ingreso!$AL$11:$AM$260,2,0),0),0)</f>
        <v>0</v>
      </c>
      <c r="M922" s="95" t="str">
        <f>IFERROR(HLOOKUP(D922,Ingreso!$AW$10:$BC$260,VLOOKUP('cruce '!I922,Ingreso!$AL$11:$AM$260,2,0),0),0)</f>
        <v/>
      </c>
      <c r="N922" t="str">
        <f t="shared" si="65"/>
        <v>Revisar</v>
      </c>
    </row>
    <row r="923" spans="2:14">
      <c r="C923"/>
      <c r="D923" t="s">
        <v>1436</v>
      </c>
      <c r="E923" t="s">
        <v>1323</v>
      </c>
      <c r="F923" s="78">
        <v>0.375</v>
      </c>
      <c r="G923" s="55">
        <v>0.99324074074074076</v>
      </c>
      <c r="H923" s="55"/>
      <c r="I923" s="55" t="str">
        <f t="shared" si="62"/>
        <v>15.444.698-2</v>
      </c>
      <c r="J923" s="55">
        <f t="shared" si="63"/>
        <v>6.7592592592592426E-3</v>
      </c>
      <c r="K923" s="93">
        <f t="shared" si="64"/>
        <v>-8.8377777777777773</v>
      </c>
      <c r="L923">
        <f>IFERROR(HLOOKUP(D923,Ingreso!$AN$10:$AT$260,VLOOKUP('cruce '!I923,Ingreso!$AL$11:$AM$260,2,0),0),0)</f>
        <v>0</v>
      </c>
      <c r="M923" s="95" t="str">
        <f>IFERROR(HLOOKUP(D923,Ingreso!$AW$10:$BC$260,VLOOKUP('cruce '!I923,Ingreso!$AL$11:$AM$260,2,0),0),0)</f>
        <v/>
      </c>
      <c r="N923" t="str">
        <f t="shared" si="65"/>
        <v>Revisar</v>
      </c>
    </row>
    <row r="924" spans="2:14">
      <c r="C924"/>
      <c r="D924" t="s">
        <v>1437</v>
      </c>
      <c r="E924" t="s">
        <v>1323</v>
      </c>
      <c r="F924" s="78">
        <v>0.375</v>
      </c>
      <c r="G924" s="55">
        <v>0.91959490740740746</v>
      </c>
      <c r="H924" s="55">
        <v>0.31362268518518516</v>
      </c>
      <c r="I924" s="55" t="str">
        <f t="shared" si="62"/>
        <v>15.444.698-2</v>
      </c>
      <c r="J924" s="55">
        <f t="shared" si="63"/>
        <v>0.39402777777777764</v>
      </c>
      <c r="K924" s="93">
        <f t="shared" si="64"/>
        <v>0.45666666666666345</v>
      </c>
      <c r="L924">
        <f>IFERROR(HLOOKUP(D924,Ingreso!$AN$10:$AT$260,VLOOKUP('cruce '!I924,Ingreso!$AL$11:$AM$260,2,0),0),0)</f>
        <v>7.5</v>
      </c>
      <c r="M924" s="95">
        <f>IFERROR(HLOOKUP(D924,Ingreso!$AW$10:$BC$260,VLOOKUP('cruce '!I924,Ingreso!$AL$11:$AM$260,2,0),0),0)</f>
        <v>1</v>
      </c>
      <c r="N924" t="str">
        <f t="shared" si="65"/>
        <v>Revisar</v>
      </c>
    </row>
    <row r="925" spans="2:14">
      <c r="C925"/>
      <c r="D925" t="s">
        <v>1438</v>
      </c>
      <c r="E925" t="s">
        <v>1323</v>
      </c>
      <c r="F925" s="78">
        <v>0.375</v>
      </c>
      <c r="G925" s="55">
        <v>0.91984953703703709</v>
      </c>
      <c r="H925" s="55">
        <v>0.31618055555555552</v>
      </c>
      <c r="I925" s="55" t="str">
        <f t="shared" si="62"/>
        <v>15.444.698-2</v>
      </c>
      <c r="J925" s="55">
        <f t="shared" si="63"/>
        <v>0.39633101851851837</v>
      </c>
      <c r="K925" s="93">
        <f t="shared" si="64"/>
        <v>0.51194444444444187</v>
      </c>
      <c r="L925">
        <f>IFERROR(HLOOKUP(D925,Ingreso!$AN$10:$AT$260,VLOOKUP('cruce '!I925,Ingreso!$AL$11:$AM$260,2,0),0),0)</f>
        <v>0</v>
      </c>
      <c r="M925" s="95" t="str">
        <f>IFERROR(HLOOKUP(D925,Ingreso!$AW$10:$BC$260,VLOOKUP('cruce '!I925,Ingreso!$AL$11:$AM$260,2,0),0),0)</f>
        <v/>
      </c>
      <c r="N925" t="str">
        <f t="shared" si="65"/>
        <v>OK</v>
      </c>
    </row>
    <row r="926" spans="2:14">
      <c r="C926"/>
      <c r="D926" t="s">
        <v>1439</v>
      </c>
      <c r="E926" t="s">
        <v>1323</v>
      </c>
      <c r="F926" s="78">
        <v>0.375</v>
      </c>
      <c r="G926" s="55">
        <v>0.91909722222222223</v>
      </c>
      <c r="H926" s="55">
        <v>0.31131944444444443</v>
      </c>
      <c r="I926" s="55" t="str">
        <f t="shared" si="62"/>
        <v>15.444.698-2</v>
      </c>
      <c r="J926" s="55">
        <f t="shared" si="63"/>
        <v>0.39222222222222225</v>
      </c>
      <c r="K926" s="93">
        <f t="shared" si="64"/>
        <v>0.413333333333334</v>
      </c>
      <c r="L926">
        <f>IFERROR(HLOOKUP(D926,Ingreso!$AN$10:$AT$260,VLOOKUP('cruce '!I926,Ingreso!$AL$11:$AM$260,2,0),0),0)</f>
        <v>0</v>
      </c>
      <c r="M926" s="95" t="str">
        <f>IFERROR(HLOOKUP(D926,Ingreso!$AW$10:$BC$260,VLOOKUP('cruce '!I926,Ingreso!$AL$11:$AM$260,2,0),0),0)</f>
        <v/>
      </c>
      <c r="N926" t="str">
        <f t="shared" si="65"/>
        <v>OK</v>
      </c>
    </row>
    <row r="927" spans="2:14">
      <c r="B927" t="s">
        <v>819</v>
      </c>
      <c r="C927" t="s">
        <v>821</v>
      </c>
      <c r="D927" t="s">
        <v>1440</v>
      </c>
      <c r="E927" t="s">
        <v>1323</v>
      </c>
      <c r="F927" s="78">
        <v>0.375</v>
      </c>
      <c r="G927" s="55">
        <v>0.92644675925925923</v>
      </c>
      <c r="H927" s="55">
        <v>0.31695601851851851</v>
      </c>
      <c r="I927" s="55" t="str">
        <f t="shared" si="62"/>
        <v>15.444.951-5</v>
      </c>
      <c r="J927" s="55">
        <f t="shared" si="63"/>
        <v>0.39050925925925928</v>
      </c>
      <c r="K927" s="93">
        <f t="shared" si="64"/>
        <v>0.37222222222222356</v>
      </c>
      <c r="L927">
        <f>IFERROR(HLOOKUP(D927,Ingreso!$AN$10:$AT$260,VLOOKUP('cruce '!I927,Ingreso!$AL$11:$AM$260,2,0),0),0)</f>
        <v>0</v>
      </c>
      <c r="M927" s="95" t="str">
        <f>IFERROR(HLOOKUP(D927,Ingreso!$AW$10:$BC$260,VLOOKUP('cruce '!I927,Ingreso!$AL$11:$AM$260,2,0),0),0)</f>
        <v/>
      </c>
      <c r="N927" t="str">
        <f t="shared" si="65"/>
        <v>OK</v>
      </c>
    </row>
    <row r="928" spans="2:14">
      <c r="C928"/>
      <c r="D928" t="s">
        <v>1441</v>
      </c>
      <c r="E928" t="s">
        <v>1323</v>
      </c>
      <c r="F928" s="78">
        <v>0.375</v>
      </c>
      <c r="G928" s="55"/>
      <c r="H928" s="55">
        <v>0.31934027777777779</v>
      </c>
      <c r="I928" s="55" t="str">
        <f t="shared" si="62"/>
        <v>15.444.951-5</v>
      </c>
      <c r="J928" s="55">
        <f t="shared" si="63"/>
        <v>0.31934027777777779</v>
      </c>
      <c r="K928" s="93">
        <f t="shared" si="64"/>
        <v>-1.3358333333333334</v>
      </c>
      <c r="L928">
        <f>IFERROR(HLOOKUP(D928,Ingreso!$AN$10:$AT$260,VLOOKUP('cruce '!I928,Ingreso!$AL$11:$AM$260,2,0),0),0)</f>
        <v>0</v>
      </c>
      <c r="M928" s="95" t="str">
        <f>IFERROR(HLOOKUP(D928,Ingreso!$AW$10:$BC$260,VLOOKUP('cruce '!I928,Ingreso!$AL$11:$AM$260,2,0),0),0)</f>
        <v/>
      </c>
      <c r="N928" t="str">
        <f t="shared" si="65"/>
        <v>Revisar</v>
      </c>
    </row>
    <row r="929" spans="2:14">
      <c r="C929"/>
      <c r="D929" t="s">
        <v>1437</v>
      </c>
      <c r="E929" t="s">
        <v>1323</v>
      </c>
      <c r="F929" s="78">
        <v>0.375</v>
      </c>
      <c r="G929" s="55">
        <v>0.92761574074074071</v>
      </c>
      <c r="H929" s="55"/>
      <c r="I929" s="55" t="str">
        <f t="shared" si="62"/>
        <v>15.444.951-5</v>
      </c>
      <c r="J929" s="55">
        <f t="shared" si="63"/>
        <v>7.2384259259259287E-2</v>
      </c>
      <c r="K929" s="93">
        <f t="shared" si="64"/>
        <v>-7.2627777777777771</v>
      </c>
      <c r="L929">
        <f>IFERROR(HLOOKUP(D929,Ingreso!$AN$10:$AT$260,VLOOKUP('cruce '!I929,Ingreso!$AL$11:$AM$260,2,0),0),0)</f>
        <v>0</v>
      </c>
      <c r="M929" s="95" t="str">
        <f>IFERROR(HLOOKUP(D929,Ingreso!$AW$10:$BC$260,VLOOKUP('cruce '!I929,Ingreso!$AL$11:$AM$260,2,0),0),0)</f>
        <v/>
      </c>
      <c r="N929" t="str">
        <f t="shared" si="65"/>
        <v>Revisar</v>
      </c>
    </row>
    <row r="930" spans="2:14">
      <c r="C930"/>
      <c r="D930" t="s">
        <v>1438</v>
      </c>
      <c r="E930" t="s">
        <v>1323</v>
      </c>
      <c r="F930" s="78">
        <v>0.375</v>
      </c>
      <c r="G930" s="55">
        <v>0.93575231481481491</v>
      </c>
      <c r="H930" s="55">
        <v>0.32932870370370371</v>
      </c>
      <c r="I930" s="55" t="str">
        <f t="shared" si="62"/>
        <v>15.444.951-5</v>
      </c>
      <c r="J930" s="55">
        <f t="shared" si="63"/>
        <v>0.3935763888888888</v>
      </c>
      <c r="K930" s="93">
        <f t="shared" si="64"/>
        <v>0.44583333333333108</v>
      </c>
      <c r="L930">
        <f>IFERROR(HLOOKUP(D930,Ingreso!$AN$10:$AT$260,VLOOKUP('cruce '!I930,Ingreso!$AL$11:$AM$260,2,0),0),0)</f>
        <v>0</v>
      </c>
      <c r="M930" s="95" t="str">
        <f>IFERROR(HLOOKUP(D930,Ingreso!$AW$10:$BC$260,VLOOKUP('cruce '!I930,Ingreso!$AL$11:$AM$260,2,0),0),0)</f>
        <v/>
      </c>
      <c r="N930" t="str">
        <f t="shared" si="65"/>
        <v>OK</v>
      </c>
    </row>
    <row r="931" spans="2:14">
      <c r="C931"/>
      <c r="D931" t="s">
        <v>1439</v>
      </c>
      <c r="E931" t="s">
        <v>1323</v>
      </c>
      <c r="F931" s="78">
        <v>0.375</v>
      </c>
      <c r="G931" s="55">
        <v>0.94243055555555555</v>
      </c>
      <c r="H931" s="55">
        <v>0.33612268518518523</v>
      </c>
      <c r="I931" s="55" t="str">
        <f t="shared" si="62"/>
        <v>15.444.951-5</v>
      </c>
      <c r="J931" s="55">
        <f t="shared" si="63"/>
        <v>0.39369212962962974</v>
      </c>
      <c r="K931" s="93">
        <f t="shared" si="64"/>
        <v>0.44861111111111285</v>
      </c>
      <c r="L931">
        <f>IFERROR(HLOOKUP(D931,Ingreso!$AN$10:$AT$260,VLOOKUP('cruce '!I931,Ingreso!$AL$11:$AM$260,2,0),0),0)</f>
        <v>0</v>
      </c>
      <c r="M931" s="95" t="str">
        <f>IFERROR(HLOOKUP(D931,Ingreso!$AW$10:$BC$260,VLOOKUP('cruce '!I931,Ingreso!$AL$11:$AM$260,2,0),0),0)</f>
        <v/>
      </c>
      <c r="N931" t="str">
        <f t="shared" si="65"/>
        <v>OK</v>
      </c>
    </row>
    <row r="932" spans="2:14">
      <c r="B932" t="s">
        <v>1174</v>
      </c>
      <c r="C932" t="s">
        <v>1176</v>
      </c>
      <c r="D932" t="s">
        <v>1440</v>
      </c>
      <c r="E932" t="s">
        <v>1323</v>
      </c>
      <c r="F932" s="78">
        <v>0.375</v>
      </c>
      <c r="G932" s="55">
        <v>0.9194444444444444</v>
      </c>
      <c r="H932" s="55">
        <v>0.32412037037037039</v>
      </c>
      <c r="I932" s="55" t="str">
        <f t="shared" si="62"/>
        <v>15.445.100-5</v>
      </c>
      <c r="J932" s="55">
        <f t="shared" si="63"/>
        <v>0.40467592592592594</v>
      </c>
      <c r="K932" s="93">
        <f t="shared" si="64"/>
        <v>0.71222222222222342</v>
      </c>
      <c r="L932">
        <f>IFERROR(HLOOKUP(D932,Ingreso!$AN$10:$AT$260,VLOOKUP('cruce '!I932,Ingreso!$AL$11:$AM$260,2,0),0),0)</f>
        <v>0</v>
      </c>
      <c r="M932" s="95">
        <f>IFERROR(HLOOKUP(D932,Ingreso!$AW$10:$BC$260,VLOOKUP('cruce '!I932,Ingreso!$AL$11:$AM$260,2,0),0),0)</f>
        <v>0</v>
      </c>
      <c r="N932" t="str">
        <f t="shared" si="65"/>
        <v>OK</v>
      </c>
    </row>
    <row r="933" spans="2:14">
      <c r="C933"/>
      <c r="D933" t="s">
        <v>1441</v>
      </c>
      <c r="E933" t="s">
        <v>1323</v>
      </c>
      <c r="F933" s="78">
        <v>0.375</v>
      </c>
      <c r="G933" s="55"/>
      <c r="H933" s="55">
        <v>0.32774305555555555</v>
      </c>
      <c r="I933" s="55" t="str">
        <f t="shared" si="62"/>
        <v>15.445.100-5</v>
      </c>
      <c r="J933" s="55">
        <f t="shared" si="63"/>
        <v>0.32774305555555555</v>
      </c>
      <c r="K933" s="93">
        <f t="shared" si="64"/>
        <v>-1.1341666666666672</v>
      </c>
      <c r="L933">
        <f>IFERROR(HLOOKUP(D933,Ingreso!$AN$10:$AT$260,VLOOKUP('cruce '!I933,Ingreso!$AL$11:$AM$260,2,0),0),0)</f>
        <v>0</v>
      </c>
      <c r="M933" s="95">
        <f>IFERROR(HLOOKUP(D933,Ingreso!$AW$10:$BC$260,VLOOKUP('cruce '!I933,Ingreso!$AL$11:$AM$260,2,0),0),0)</f>
        <v>0</v>
      </c>
      <c r="N933" t="str">
        <f t="shared" si="65"/>
        <v>Revisar</v>
      </c>
    </row>
    <row r="934" spans="2:14">
      <c r="C934"/>
      <c r="D934" t="s">
        <v>1437</v>
      </c>
      <c r="E934" t="s">
        <v>1323</v>
      </c>
      <c r="F934" s="78">
        <v>0.375</v>
      </c>
      <c r="G934" s="55">
        <v>0.91967592592592595</v>
      </c>
      <c r="H934" s="55"/>
      <c r="I934" s="55" t="str">
        <f t="shared" si="62"/>
        <v>15.445.100-5</v>
      </c>
      <c r="J934" s="55">
        <f t="shared" si="63"/>
        <v>8.0324074074074048E-2</v>
      </c>
      <c r="K934" s="93">
        <f t="shared" si="64"/>
        <v>-7.0722222222222229</v>
      </c>
      <c r="L934">
        <f>IFERROR(HLOOKUP(D934,Ingreso!$AN$10:$AT$260,VLOOKUP('cruce '!I934,Ingreso!$AL$11:$AM$260,2,0),0),0)</f>
        <v>0</v>
      </c>
      <c r="M934" s="95">
        <f>IFERROR(HLOOKUP(D934,Ingreso!$AW$10:$BC$260,VLOOKUP('cruce '!I934,Ingreso!$AL$11:$AM$260,2,0),0),0)</f>
        <v>0</v>
      </c>
      <c r="N934" t="str">
        <f t="shared" si="65"/>
        <v>Revisar</v>
      </c>
    </row>
    <row r="935" spans="2:14">
      <c r="C935"/>
      <c r="D935" t="s">
        <v>1438</v>
      </c>
      <c r="E935" t="s">
        <v>1323</v>
      </c>
      <c r="F935" s="78">
        <v>0.375</v>
      </c>
      <c r="G935" s="55">
        <v>0.92971064814814808</v>
      </c>
      <c r="H935" s="55">
        <v>0.32265046296296296</v>
      </c>
      <c r="I935" s="55" t="str">
        <f t="shared" si="62"/>
        <v>15.445.100-5</v>
      </c>
      <c r="J935" s="55">
        <f t="shared" si="63"/>
        <v>0.39293981481481488</v>
      </c>
      <c r="K935" s="93">
        <f t="shared" si="64"/>
        <v>0.43055555555555713</v>
      </c>
      <c r="L935">
        <f>IFERROR(HLOOKUP(D935,Ingreso!$AN$10:$AT$260,VLOOKUP('cruce '!I935,Ingreso!$AL$11:$AM$260,2,0),0),0)</f>
        <v>0</v>
      </c>
      <c r="M935" s="95">
        <f>IFERROR(HLOOKUP(D935,Ingreso!$AW$10:$BC$260,VLOOKUP('cruce '!I935,Ingreso!$AL$11:$AM$260,2,0),0),0)</f>
        <v>0</v>
      </c>
      <c r="N935" t="str">
        <f t="shared" si="65"/>
        <v>OK</v>
      </c>
    </row>
    <row r="936" spans="2:14">
      <c r="C936"/>
      <c r="D936" t="s">
        <v>1439</v>
      </c>
      <c r="E936" t="s">
        <v>1323</v>
      </c>
      <c r="F936" s="78">
        <v>0.375</v>
      </c>
      <c r="G936" s="55">
        <v>0.92045138888888889</v>
      </c>
      <c r="H936" s="55">
        <v>0.32878472222222221</v>
      </c>
      <c r="I936" s="55" t="str">
        <f t="shared" si="62"/>
        <v>15.445.100-5</v>
      </c>
      <c r="J936" s="55">
        <f t="shared" si="63"/>
        <v>0.40833333333333333</v>
      </c>
      <c r="K936" s="93">
        <f t="shared" si="64"/>
        <v>0.80000000000000071</v>
      </c>
      <c r="L936">
        <f>IFERROR(HLOOKUP(D936,Ingreso!$AN$10:$AT$260,VLOOKUP('cruce '!I936,Ingreso!$AL$11:$AM$260,2,0),0),0)</f>
        <v>0</v>
      </c>
      <c r="M936" s="95">
        <f>IFERROR(HLOOKUP(D936,Ingreso!$AW$10:$BC$260,VLOOKUP('cruce '!I936,Ingreso!$AL$11:$AM$260,2,0),0),0)</f>
        <v>0</v>
      </c>
      <c r="N936" t="str">
        <f t="shared" si="65"/>
        <v>OK</v>
      </c>
    </row>
    <row r="937" spans="2:14">
      <c r="B937" t="s">
        <v>1150</v>
      </c>
      <c r="C937" t="s">
        <v>1152</v>
      </c>
      <c r="D937" t="s">
        <v>1440</v>
      </c>
      <c r="E937" t="s">
        <v>4</v>
      </c>
      <c r="F937" s="78">
        <v>0.3125</v>
      </c>
      <c r="G937" s="55">
        <v>0.2940625</v>
      </c>
      <c r="H937" s="55">
        <v>0.71197916666666661</v>
      </c>
      <c r="I937" s="55" t="str">
        <f t="shared" si="62"/>
        <v>15.449.281-K</v>
      </c>
      <c r="J937" s="55">
        <f t="shared" si="63"/>
        <v>0.4179166666666666</v>
      </c>
      <c r="K937" s="93">
        <f t="shared" si="64"/>
        <v>2.5299999999999976</v>
      </c>
      <c r="L937">
        <f>IFERROR(HLOOKUP(D937,Ingreso!$AN$10:$AT$260,VLOOKUP('cruce '!I937,Ingreso!$AL$11:$AM$260,2,0),0),0)</f>
        <v>2</v>
      </c>
      <c r="M937" s="95">
        <f>IFERROR(HLOOKUP(D937,Ingreso!$AW$10:$BC$260,VLOOKUP('cruce '!I937,Ingreso!$AL$11:$AM$260,2,0),0),0)</f>
        <v>0.5</v>
      </c>
      <c r="N937" t="str">
        <f t="shared" si="65"/>
        <v>OK</v>
      </c>
    </row>
    <row r="938" spans="2:14">
      <c r="C938"/>
      <c r="D938" t="s">
        <v>1441</v>
      </c>
      <c r="E938" t="s">
        <v>4</v>
      </c>
      <c r="F938" s="78">
        <v>0.3125</v>
      </c>
      <c r="G938" s="55">
        <v>0.30633101851851852</v>
      </c>
      <c r="H938" s="55">
        <v>0.7072222222222222</v>
      </c>
      <c r="I938" s="55" t="str">
        <f t="shared" si="62"/>
        <v>15.449.281-K</v>
      </c>
      <c r="J938" s="55">
        <f t="shared" si="63"/>
        <v>0.40089120370370368</v>
      </c>
      <c r="K938" s="93">
        <f t="shared" si="64"/>
        <v>2.1213888888888874</v>
      </c>
      <c r="L938">
        <f>IFERROR(HLOOKUP(D938,Ingreso!$AN$10:$AT$260,VLOOKUP('cruce '!I938,Ingreso!$AL$11:$AM$260,2,0),0),0)</f>
        <v>0</v>
      </c>
      <c r="M938" s="95" t="str">
        <f>IFERROR(HLOOKUP(D938,Ingreso!$AW$10:$BC$260,VLOOKUP('cruce '!I938,Ingreso!$AL$11:$AM$260,2,0),0),0)</f>
        <v/>
      </c>
      <c r="N938" t="str">
        <f t="shared" si="65"/>
        <v>Revisar</v>
      </c>
    </row>
    <row r="939" spans="2:14">
      <c r="C939"/>
      <c r="D939" t="s">
        <v>1437</v>
      </c>
      <c r="E939" t="s">
        <v>4</v>
      </c>
      <c r="F939" s="78">
        <v>0.3125</v>
      </c>
      <c r="G939" s="55">
        <v>0.29300925925925925</v>
      </c>
      <c r="H939" s="55">
        <v>0.7283680555555555</v>
      </c>
      <c r="I939" s="55" t="str">
        <f t="shared" si="62"/>
        <v>15.449.281-K</v>
      </c>
      <c r="J939" s="55">
        <f t="shared" si="63"/>
        <v>0.43535879629629626</v>
      </c>
      <c r="K939" s="93">
        <f t="shared" si="64"/>
        <v>2.9486111111111093</v>
      </c>
      <c r="L939">
        <f>IFERROR(HLOOKUP(D939,Ingreso!$AN$10:$AT$260,VLOOKUP('cruce '!I939,Ingreso!$AL$11:$AM$260,2,0),0),0)</f>
        <v>2</v>
      </c>
      <c r="M939" s="95">
        <f>IFERROR(HLOOKUP(D939,Ingreso!$AW$10:$BC$260,VLOOKUP('cruce '!I939,Ingreso!$AL$11:$AM$260,2,0),0),0)</f>
        <v>0.5</v>
      </c>
      <c r="N939" t="str">
        <f t="shared" si="65"/>
        <v>OK</v>
      </c>
    </row>
    <row r="940" spans="2:14">
      <c r="C940"/>
      <c r="D940" t="s">
        <v>1438</v>
      </c>
      <c r="E940" t="s">
        <v>4</v>
      </c>
      <c r="F940" s="78">
        <v>0.3125</v>
      </c>
      <c r="G940" s="55">
        <v>0.29370370370370369</v>
      </c>
      <c r="H940" s="55">
        <v>0.72487268518518511</v>
      </c>
      <c r="I940" s="55" t="str">
        <f t="shared" si="62"/>
        <v>15.449.281-K</v>
      </c>
      <c r="J940" s="55">
        <f t="shared" si="63"/>
        <v>0.43116898148148142</v>
      </c>
      <c r="K940" s="93">
        <f t="shared" si="64"/>
        <v>2.848055555555554</v>
      </c>
      <c r="L940">
        <f>IFERROR(HLOOKUP(D940,Ingreso!$AN$10:$AT$260,VLOOKUP('cruce '!I940,Ingreso!$AL$11:$AM$260,2,0),0),0)</f>
        <v>2</v>
      </c>
      <c r="M940" s="95">
        <f>IFERROR(HLOOKUP(D940,Ingreso!$AW$10:$BC$260,VLOOKUP('cruce '!I940,Ingreso!$AL$11:$AM$260,2,0),0),0)</f>
        <v>0.5</v>
      </c>
      <c r="N940" t="str">
        <f t="shared" si="65"/>
        <v>OK</v>
      </c>
    </row>
    <row r="941" spans="2:14">
      <c r="C941"/>
      <c r="D941" t="s">
        <v>1439</v>
      </c>
      <c r="E941" t="s">
        <v>4</v>
      </c>
      <c r="F941" s="78">
        <v>0.3125</v>
      </c>
      <c r="G941" s="55">
        <v>0.29362268518518519</v>
      </c>
      <c r="H941" s="55">
        <v>0.73133101851851856</v>
      </c>
      <c r="I941" s="55" t="str">
        <f t="shared" si="62"/>
        <v>15.449.281-K</v>
      </c>
      <c r="J941" s="55">
        <f t="shared" si="63"/>
        <v>0.43770833333333337</v>
      </c>
      <c r="K941" s="93">
        <f t="shared" si="64"/>
        <v>3.0050000000000008</v>
      </c>
      <c r="L941">
        <f>IFERROR(HLOOKUP(D941,Ingreso!$AN$10:$AT$260,VLOOKUP('cruce '!I941,Ingreso!$AL$11:$AM$260,2,0),0),0)</f>
        <v>2</v>
      </c>
      <c r="M941" s="95">
        <f>IFERROR(HLOOKUP(D941,Ingreso!$AW$10:$BC$260,VLOOKUP('cruce '!I941,Ingreso!$AL$11:$AM$260,2,0),0),0)</f>
        <v>0.5</v>
      </c>
      <c r="N941" t="str">
        <f t="shared" si="65"/>
        <v>Revisar</v>
      </c>
    </row>
    <row r="942" spans="2:14">
      <c r="B942" t="s">
        <v>1147</v>
      </c>
      <c r="C942" t="s">
        <v>1148</v>
      </c>
      <c r="D942" t="s">
        <v>1440</v>
      </c>
      <c r="E942" t="s">
        <v>4</v>
      </c>
      <c r="F942" s="78">
        <v>0.3125</v>
      </c>
      <c r="G942" s="55">
        <v>0.29975694444444445</v>
      </c>
      <c r="H942" s="55">
        <v>0.57702546296296298</v>
      </c>
      <c r="I942" s="55" t="str">
        <f t="shared" si="62"/>
        <v>15.533.689-7</v>
      </c>
      <c r="J942" s="55">
        <f t="shared" si="63"/>
        <v>0.27726851851851853</v>
      </c>
      <c r="K942" s="93">
        <f t="shared" si="64"/>
        <v>-0.84555555555555539</v>
      </c>
      <c r="L942">
        <f>IFERROR(HLOOKUP(D942,Ingreso!$AN$10:$AT$260,VLOOKUP('cruce '!I942,Ingreso!$AL$11:$AM$260,2,0),0),0)</f>
        <v>4.5</v>
      </c>
      <c r="M942" s="95">
        <f>IFERROR(HLOOKUP(D942,Ingreso!$AW$10:$BC$260,VLOOKUP('cruce '!I942,Ingreso!$AL$11:$AM$260,2,0),0),0)</f>
        <v>0.5</v>
      </c>
      <c r="N942" t="str">
        <f t="shared" si="65"/>
        <v>Revisar</v>
      </c>
    </row>
    <row r="943" spans="2:14">
      <c r="C943"/>
      <c r="D943" t="s">
        <v>1441</v>
      </c>
      <c r="E943" t="s">
        <v>4</v>
      </c>
      <c r="F943" s="78">
        <v>0.3125</v>
      </c>
      <c r="G943" s="55">
        <v>0.29853009259259261</v>
      </c>
      <c r="H943" s="55">
        <v>0.80980324074074073</v>
      </c>
      <c r="I943" s="55" t="str">
        <f t="shared" si="62"/>
        <v>15.533.689-7</v>
      </c>
      <c r="J943" s="55">
        <f t="shared" si="63"/>
        <v>0.51127314814814806</v>
      </c>
      <c r="K943" s="93">
        <f t="shared" si="64"/>
        <v>4.7705555555555534</v>
      </c>
      <c r="L943">
        <f>IFERROR(HLOOKUP(D943,Ingreso!$AN$10:$AT$260,VLOOKUP('cruce '!I943,Ingreso!$AL$11:$AM$260,2,0),0),0)</f>
        <v>0</v>
      </c>
      <c r="M943" s="95" t="str">
        <f>IFERROR(HLOOKUP(D943,Ingreso!$AW$10:$BC$260,VLOOKUP('cruce '!I943,Ingreso!$AL$11:$AM$260,2,0),0),0)</f>
        <v/>
      </c>
      <c r="N943" t="str">
        <f t="shared" si="65"/>
        <v>Revisar</v>
      </c>
    </row>
    <row r="944" spans="2:14">
      <c r="C944"/>
      <c r="D944" t="s">
        <v>1438</v>
      </c>
      <c r="E944" t="s">
        <v>4</v>
      </c>
      <c r="F944" s="78">
        <v>0.3125</v>
      </c>
      <c r="G944" s="55">
        <v>0.30766203703703704</v>
      </c>
      <c r="H944" s="55">
        <v>0.7362037037037038</v>
      </c>
      <c r="I944" s="55" t="str">
        <f t="shared" si="62"/>
        <v>15.533.689-7</v>
      </c>
      <c r="J944" s="55">
        <f t="shared" si="63"/>
        <v>0.42854166666666677</v>
      </c>
      <c r="K944" s="93">
        <f t="shared" si="64"/>
        <v>2.7850000000000019</v>
      </c>
      <c r="L944">
        <f>IFERROR(HLOOKUP(D944,Ingreso!$AN$10:$AT$260,VLOOKUP('cruce '!I944,Ingreso!$AL$11:$AM$260,2,0),0),0)</f>
        <v>2</v>
      </c>
      <c r="M944" s="95">
        <f>IFERROR(HLOOKUP(D944,Ingreso!$AW$10:$BC$260,VLOOKUP('cruce '!I944,Ingreso!$AL$11:$AM$260,2,0),0),0)</f>
        <v>0.5</v>
      </c>
      <c r="N944" t="str">
        <f t="shared" si="65"/>
        <v>OK</v>
      </c>
    </row>
    <row r="945" spans="2:14">
      <c r="C945"/>
      <c r="D945" t="s">
        <v>1439</v>
      </c>
      <c r="E945" t="s">
        <v>4</v>
      </c>
      <c r="F945" s="78">
        <v>0.3125</v>
      </c>
      <c r="G945" s="55">
        <v>0.30885416666666665</v>
      </c>
      <c r="H945" s="55">
        <v>0.67910879629629628</v>
      </c>
      <c r="I945" s="55" t="str">
        <f t="shared" si="62"/>
        <v>15.533.689-7</v>
      </c>
      <c r="J945" s="55">
        <f t="shared" si="63"/>
        <v>0.37025462962962963</v>
      </c>
      <c r="K945" s="93">
        <f t="shared" si="64"/>
        <v>1.3861111111111111</v>
      </c>
      <c r="L945">
        <f>IFERROR(HLOOKUP(D945,Ingreso!$AN$10:$AT$260,VLOOKUP('cruce '!I945,Ingreso!$AL$11:$AM$260,2,0),0),0)</f>
        <v>0</v>
      </c>
      <c r="M945" s="95" t="str">
        <f>IFERROR(HLOOKUP(D945,Ingreso!$AW$10:$BC$260,VLOOKUP('cruce '!I945,Ingreso!$AL$11:$AM$260,2,0),0),0)</f>
        <v/>
      </c>
      <c r="N945" t="str">
        <f t="shared" si="65"/>
        <v>Revisar</v>
      </c>
    </row>
    <row r="946" spans="2:14">
      <c r="B946" t="s">
        <v>250</v>
      </c>
      <c r="C946" t="s">
        <v>252</v>
      </c>
      <c r="D946" t="s">
        <v>1440</v>
      </c>
      <c r="E946" t="s">
        <v>1323</v>
      </c>
      <c r="F946" s="78">
        <v>0.375</v>
      </c>
      <c r="G946" s="55">
        <v>0.9130787037037037</v>
      </c>
      <c r="H946" s="55">
        <v>0.32550925925925928</v>
      </c>
      <c r="I946" s="55" t="str">
        <f t="shared" si="62"/>
        <v>15.702.200-8</v>
      </c>
      <c r="J946" s="55">
        <f t="shared" si="63"/>
        <v>0.41243055555555552</v>
      </c>
      <c r="K946" s="93">
        <f t="shared" si="64"/>
        <v>0.89833333333333343</v>
      </c>
      <c r="L946">
        <f>IFERROR(HLOOKUP(D946,Ingreso!$AN$10:$AT$260,VLOOKUP('cruce '!I946,Ingreso!$AL$11:$AM$260,2,0),0),0)</f>
        <v>0</v>
      </c>
      <c r="M946" s="95">
        <f>IFERROR(HLOOKUP(D946,Ingreso!$AW$10:$BC$260,VLOOKUP('cruce '!I946,Ingreso!$AL$11:$AM$260,2,0),0),0)</f>
        <v>0</v>
      </c>
      <c r="N946" t="str">
        <f t="shared" si="65"/>
        <v>OK</v>
      </c>
    </row>
    <row r="947" spans="2:14">
      <c r="C947"/>
      <c r="D947" t="s">
        <v>1441</v>
      </c>
      <c r="E947" t="s">
        <v>1323</v>
      </c>
      <c r="F947" s="78">
        <v>0.375</v>
      </c>
      <c r="G947" s="55"/>
      <c r="H947" s="55">
        <v>0.32796296296296296</v>
      </c>
      <c r="I947" s="55" t="str">
        <f t="shared" si="62"/>
        <v>15.702.200-8</v>
      </c>
      <c r="J947" s="55">
        <f t="shared" si="63"/>
        <v>0.32796296296296296</v>
      </c>
      <c r="K947" s="93">
        <f t="shared" si="64"/>
        <v>-1.1288888888888895</v>
      </c>
      <c r="L947">
        <f>IFERROR(HLOOKUP(D947,Ingreso!$AN$10:$AT$260,VLOOKUP('cruce '!I947,Ingreso!$AL$11:$AM$260,2,0),0),0)</f>
        <v>0</v>
      </c>
      <c r="M947" s="95">
        <f>IFERROR(HLOOKUP(D947,Ingreso!$AW$10:$BC$260,VLOOKUP('cruce '!I947,Ingreso!$AL$11:$AM$260,2,0),0),0)</f>
        <v>0</v>
      </c>
      <c r="N947" t="str">
        <f t="shared" si="65"/>
        <v>Revisar</v>
      </c>
    </row>
    <row r="948" spans="2:14">
      <c r="C948"/>
      <c r="D948" t="s">
        <v>1438</v>
      </c>
      <c r="E948" t="s">
        <v>1323</v>
      </c>
      <c r="F948" s="78">
        <v>0.375</v>
      </c>
      <c r="G948" s="55">
        <v>0.916875</v>
      </c>
      <c r="H948" s="55"/>
      <c r="I948" s="55" t="str">
        <f t="shared" si="62"/>
        <v>15.702.200-8</v>
      </c>
      <c r="J948" s="55">
        <f t="shared" si="63"/>
        <v>8.3125000000000004E-2</v>
      </c>
      <c r="K948" s="93">
        <f t="shared" si="64"/>
        <v>-7.0049999999999999</v>
      </c>
      <c r="L948">
        <f>IFERROR(HLOOKUP(D948,Ingreso!$AN$10:$AT$260,VLOOKUP('cruce '!I948,Ingreso!$AL$11:$AM$260,2,0),0),0)</f>
        <v>0</v>
      </c>
      <c r="M948" s="95">
        <f>IFERROR(HLOOKUP(D948,Ingreso!$AW$10:$BC$260,VLOOKUP('cruce '!I948,Ingreso!$AL$11:$AM$260,2,0),0),0)</f>
        <v>0</v>
      </c>
      <c r="N948" t="str">
        <f t="shared" si="65"/>
        <v>Revisar</v>
      </c>
    </row>
    <row r="949" spans="2:14">
      <c r="C949"/>
      <c r="D949" t="s">
        <v>1439</v>
      </c>
      <c r="E949" t="s">
        <v>1323</v>
      </c>
      <c r="F949" s="78">
        <v>0.375</v>
      </c>
      <c r="G949" s="55">
        <v>0.91353009259259255</v>
      </c>
      <c r="H949" s="55">
        <v>0.32884259259259258</v>
      </c>
      <c r="I949" s="55" t="str">
        <f t="shared" si="62"/>
        <v>15.702.200-8</v>
      </c>
      <c r="J949" s="55">
        <f t="shared" si="63"/>
        <v>0.41531250000000008</v>
      </c>
      <c r="K949" s="93">
        <f t="shared" si="64"/>
        <v>0.96750000000000114</v>
      </c>
      <c r="L949">
        <f>IFERROR(HLOOKUP(D949,Ingreso!$AN$10:$AT$260,VLOOKUP('cruce '!I949,Ingreso!$AL$11:$AM$260,2,0),0),0)</f>
        <v>0</v>
      </c>
      <c r="M949" s="95">
        <f>IFERROR(HLOOKUP(D949,Ingreso!$AW$10:$BC$260,VLOOKUP('cruce '!I949,Ingreso!$AL$11:$AM$260,2,0),0),0)</f>
        <v>0</v>
      </c>
      <c r="N949" t="str">
        <f t="shared" si="65"/>
        <v>OK</v>
      </c>
    </row>
    <row r="950" spans="2:14">
      <c r="B950" t="s">
        <v>781</v>
      </c>
      <c r="C950" t="s">
        <v>782</v>
      </c>
      <c r="D950" t="s">
        <v>1440</v>
      </c>
      <c r="E950" t="s">
        <v>1321</v>
      </c>
      <c r="F950" s="78">
        <v>0.3125</v>
      </c>
      <c r="G950" s="55">
        <v>0.60474537037037035</v>
      </c>
      <c r="H950" s="55">
        <v>0.93768518518518518</v>
      </c>
      <c r="I950" s="55" t="str">
        <f t="shared" si="62"/>
        <v>15.786.314-2</v>
      </c>
      <c r="J950" s="55">
        <f t="shared" si="63"/>
        <v>0.33293981481481483</v>
      </c>
      <c r="K950" s="93">
        <f t="shared" si="64"/>
        <v>0.49055555555555586</v>
      </c>
      <c r="L950">
        <f>IFERROR(HLOOKUP(D950,Ingreso!$AN$10:$AT$260,VLOOKUP('cruce '!I950,Ingreso!$AL$11:$AM$260,2,0),0),0)</f>
        <v>0</v>
      </c>
      <c r="M950" s="95">
        <f>IFERROR(HLOOKUP(D950,Ingreso!$AW$10:$BC$260,VLOOKUP('cruce '!I950,Ingreso!$AL$11:$AM$260,2,0),0),0)</f>
        <v>0</v>
      </c>
      <c r="N950" t="str">
        <f t="shared" si="65"/>
        <v>OK</v>
      </c>
    </row>
    <row r="951" spans="2:14">
      <c r="C951"/>
      <c r="D951" t="s">
        <v>1441</v>
      </c>
      <c r="E951" t="s">
        <v>1321</v>
      </c>
      <c r="F951" s="78">
        <v>0.3125</v>
      </c>
      <c r="G951" s="55">
        <v>0.62004629629629626</v>
      </c>
      <c r="H951" s="55">
        <v>0.94384259259259251</v>
      </c>
      <c r="I951" s="55" t="str">
        <f t="shared" si="62"/>
        <v>15.786.314-2</v>
      </c>
      <c r="J951" s="55">
        <f t="shared" si="63"/>
        <v>0.32379629629629625</v>
      </c>
      <c r="K951" s="93">
        <f t="shared" si="64"/>
        <v>0.27111111111110997</v>
      </c>
      <c r="L951">
        <f>IFERROR(HLOOKUP(D951,Ingreso!$AN$10:$AT$260,VLOOKUP('cruce '!I951,Ingreso!$AL$11:$AM$260,2,0),0),0)</f>
        <v>0</v>
      </c>
      <c r="M951" s="95">
        <f>IFERROR(HLOOKUP(D951,Ingreso!$AW$10:$BC$260,VLOOKUP('cruce '!I951,Ingreso!$AL$11:$AM$260,2,0),0),0)</f>
        <v>0</v>
      </c>
      <c r="N951" t="str">
        <f t="shared" si="65"/>
        <v>OK</v>
      </c>
    </row>
    <row r="952" spans="2:14">
      <c r="C952"/>
      <c r="D952" t="s">
        <v>1438</v>
      </c>
      <c r="E952" t="s">
        <v>4</v>
      </c>
      <c r="F952" s="78">
        <v>0.3125</v>
      </c>
      <c r="G952" s="55">
        <v>0.63425925925925919</v>
      </c>
      <c r="H952" s="55"/>
      <c r="I952" s="55" t="str">
        <f t="shared" si="62"/>
        <v>15.786.314-2</v>
      </c>
      <c r="J952" s="55">
        <f t="shared" si="63"/>
        <v>0.36574074074074081</v>
      </c>
      <c r="K952" s="93">
        <f t="shared" si="64"/>
        <v>1.2777777777777786</v>
      </c>
      <c r="L952">
        <f>IFERROR(HLOOKUP(D952,Ingreso!$AN$10:$AT$260,VLOOKUP('cruce '!I952,Ingreso!$AL$11:$AM$260,2,0),0),0)</f>
        <v>0</v>
      </c>
      <c r="M952" s="95">
        <f>IFERROR(HLOOKUP(D952,Ingreso!$AW$10:$BC$260,VLOOKUP('cruce '!I952,Ingreso!$AL$11:$AM$260,2,0),0),0)</f>
        <v>0</v>
      </c>
      <c r="N952" t="str">
        <f t="shared" si="65"/>
        <v>Revisar</v>
      </c>
    </row>
    <row r="953" spans="2:14">
      <c r="C953"/>
      <c r="D953"/>
      <c r="E953" t="s">
        <v>1321</v>
      </c>
      <c r="F953" s="78">
        <v>0.3125</v>
      </c>
      <c r="G953" s="55"/>
      <c r="H953" s="55">
        <v>0.93894675925925919</v>
      </c>
      <c r="I953" s="55" t="str">
        <f t="shared" si="62"/>
        <v>15.786.314-2</v>
      </c>
      <c r="J953" s="55">
        <f t="shared" si="63"/>
        <v>0.93894675925925919</v>
      </c>
      <c r="K953" s="93">
        <f t="shared" si="64"/>
        <v>15.034722222222221</v>
      </c>
      <c r="L953">
        <f>IFERROR(HLOOKUP(D953,Ingreso!$AN$10:$AT$260,VLOOKUP('cruce '!I953,Ingreso!$AL$11:$AM$260,2,0),0),0)</f>
        <v>0</v>
      </c>
      <c r="M953" s="95">
        <f>IFERROR(HLOOKUP(D953,Ingreso!$AW$10:$BC$260,VLOOKUP('cruce '!I953,Ingreso!$AL$11:$AM$260,2,0),0),0)</f>
        <v>0</v>
      </c>
      <c r="N953" t="str">
        <f t="shared" si="65"/>
        <v>Revisar</v>
      </c>
    </row>
    <row r="954" spans="2:14">
      <c r="C954"/>
      <c r="D954" t="s">
        <v>1439</v>
      </c>
      <c r="E954" t="s">
        <v>1321</v>
      </c>
      <c r="F954" s="78">
        <v>0.3125</v>
      </c>
      <c r="G954" s="55">
        <v>0.60401620370370368</v>
      </c>
      <c r="H954" s="55">
        <v>0.93768518518518518</v>
      </c>
      <c r="I954" s="55" t="str">
        <f t="shared" si="62"/>
        <v>15.786.314-2</v>
      </c>
      <c r="J954" s="55">
        <f t="shared" si="63"/>
        <v>0.3336689814814815</v>
      </c>
      <c r="K954" s="93">
        <f t="shared" si="64"/>
        <v>0.50805555555555593</v>
      </c>
      <c r="L954">
        <f>IFERROR(HLOOKUP(D954,Ingreso!$AN$10:$AT$260,VLOOKUP('cruce '!I954,Ingreso!$AL$11:$AM$260,2,0),0),0)</f>
        <v>0</v>
      </c>
      <c r="M954" s="95">
        <f>IFERROR(HLOOKUP(D954,Ingreso!$AW$10:$BC$260,VLOOKUP('cruce '!I954,Ingreso!$AL$11:$AM$260,2,0),0),0)</f>
        <v>0</v>
      </c>
      <c r="N954" t="str">
        <f t="shared" si="65"/>
        <v>OK</v>
      </c>
    </row>
    <row r="955" spans="2:14">
      <c r="B955" t="s">
        <v>721</v>
      </c>
      <c r="C955" t="s">
        <v>724</v>
      </c>
      <c r="D955" t="s">
        <v>1440</v>
      </c>
      <c r="E955" t="s">
        <v>1321</v>
      </c>
      <c r="F955" s="78">
        <v>0.3125</v>
      </c>
      <c r="G955" s="55">
        <v>0.96353009259259259</v>
      </c>
      <c r="H955" s="55"/>
      <c r="I955" s="55" t="str">
        <f t="shared" si="62"/>
        <v>15.823.421-1</v>
      </c>
      <c r="J955" s="55">
        <f t="shared" si="63"/>
        <v>3.6469907407407409E-2</v>
      </c>
      <c r="K955" s="93">
        <f t="shared" si="64"/>
        <v>-6.6247222222222222</v>
      </c>
      <c r="L955">
        <f>IFERROR(HLOOKUP(D955,Ingreso!$AN$10:$AT$260,VLOOKUP('cruce '!I955,Ingreso!$AL$11:$AM$260,2,0),0),0)</f>
        <v>0</v>
      </c>
      <c r="M955" s="95">
        <f>IFERROR(HLOOKUP(D955,Ingreso!$AW$10:$BC$260,VLOOKUP('cruce '!I955,Ingreso!$AL$11:$AM$260,2,0),0),0)</f>
        <v>0</v>
      </c>
      <c r="N955" t="str">
        <f t="shared" si="65"/>
        <v>Revisar</v>
      </c>
    </row>
    <row r="956" spans="2:14">
      <c r="C956"/>
      <c r="D956"/>
      <c r="E956" t="s">
        <v>1323</v>
      </c>
      <c r="F956" s="78">
        <v>0.375</v>
      </c>
      <c r="G956" s="55"/>
      <c r="H956" s="55">
        <v>0.32611111111111107</v>
      </c>
      <c r="I956" s="55" t="str">
        <f t="shared" si="62"/>
        <v>15.823.421-1</v>
      </c>
      <c r="J956" s="55">
        <f t="shared" si="63"/>
        <v>0.32611111111111107</v>
      </c>
      <c r="K956" s="93">
        <f t="shared" si="64"/>
        <v>-1.1733333333333338</v>
      </c>
      <c r="L956">
        <f>IFERROR(HLOOKUP(D956,Ingreso!$AN$10:$AT$260,VLOOKUP('cruce '!I956,Ingreso!$AL$11:$AM$260,2,0),0),0)</f>
        <v>0</v>
      </c>
      <c r="M956" s="95">
        <f>IFERROR(HLOOKUP(D956,Ingreso!$AW$10:$BC$260,VLOOKUP('cruce '!I956,Ingreso!$AL$11:$AM$260,2,0),0),0)</f>
        <v>0</v>
      </c>
      <c r="N956" t="str">
        <f t="shared" si="65"/>
        <v>Revisar</v>
      </c>
    </row>
    <row r="957" spans="2:14">
      <c r="C957"/>
      <c r="D957" t="s">
        <v>1441</v>
      </c>
      <c r="E957" t="s">
        <v>1323</v>
      </c>
      <c r="F957" s="78">
        <v>0.375</v>
      </c>
      <c r="G957" s="55"/>
      <c r="H957" s="55">
        <v>0.3263888888888889</v>
      </c>
      <c r="I957" s="55" t="str">
        <f t="shared" si="62"/>
        <v>15.823.421-1</v>
      </c>
      <c r="J957" s="55">
        <f t="shared" si="63"/>
        <v>0.3263888888888889</v>
      </c>
      <c r="K957" s="93">
        <f t="shared" si="64"/>
        <v>-1.1666666666666661</v>
      </c>
      <c r="L957">
        <f>IFERROR(HLOOKUP(D957,Ingreso!$AN$10:$AT$260,VLOOKUP('cruce '!I957,Ingreso!$AL$11:$AM$260,2,0),0),0)</f>
        <v>0</v>
      </c>
      <c r="M957" s="95">
        <f>IFERROR(HLOOKUP(D957,Ingreso!$AW$10:$BC$260,VLOOKUP('cruce '!I957,Ingreso!$AL$11:$AM$260,2,0),0),0)</f>
        <v>0</v>
      </c>
      <c r="N957" t="str">
        <f t="shared" si="65"/>
        <v>Revisar</v>
      </c>
    </row>
    <row r="958" spans="2:14">
      <c r="C958"/>
      <c r="D958" t="s">
        <v>1437</v>
      </c>
      <c r="E958" t="s">
        <v>1323</v>
      </c>
      <c r="F958" s="78">
        <v>0.375</v>
      </c>
      <c r="G958" s="55">
        <v>0.91737268518518522</v>
      </c>
      <c r="H958" s="55"/>
      <c r="I958" s="55" t="str">
        <f t="shared" si="62"/>
        <v>15.823.421-1</v>
      </c>
      <c r="J958" s="55">
        <f t="shared" si="63"/>
        <v>8.2627314814814778E-2</v>
      </c>
      <c r="K958" s="93">
        <f t="shared" si="64"/>
        <v>-7.0169444444444453</v>
      </c>
      <c r="L958">
        <f>IFERROR(HLOOKUP(D958,Ingreso!$AN$10:$AT$260,VLOOKUP('cruce '!I958,Ingreso!$AL$11:$AM$260,2,0),0),0)</f>
        <v>0</v>
      </c>
      <c r="M958" s="95">
        <f>IFERROR(HLOOKUP(D958,Ingreso!$AW$10:$BC$260,VLOOKUP('cruce '!I958,Ingreso!$AL$11:$AM$260,2,0),0),0)</f>
        <v>0</v>
      </c>
      <c r="N958" t="str">
        <f t="shared" si="65"/>
        <v>Revisar</v>
      </c>
    </row>
    <row r="959" spans="2:14">
      <c r="C959"/>
      <c r="D959" t="s">
        <v>1438</v>
      </c>
      <c r="E959" t="s">
        <v>1321</v>
      </c>
      <c r="F959" s="78">
        <v>0.3125</v>
      </c>
      <c r="G959" s="55">
        <v>0.9723032407407407</v>
      </c>
      <c r="H959" s="55"/>
      <c r="I959" s="55" t="str">
        <f t="shared" ref="I959:I1022" si="66">IF(B959="",I958,B959)</f>
        <v>15.823.421-1</v>
      </c>
      <c r="J959" s="55">
        <f t="shared" ref="J959:J1022" si="67">IF(G959&gt;H959,(H959+0.5)-(G959-0.5),H959-G959)</f>
        <v>2.7696759259259296E-2</v>
      </c>
      <c r="K959" s="93">
        <f t="shared" ref="K959:K1022" si="68">(J959*24)-(F959*24)</f>
        <v>-6.8352777777777769</v>
      </c>
      <c r="L959">
        <f>IFERROR(HLOOKUP(D959,Ingreso!$AN$10:$AT$260,VLOOKUP('cruce '!I959,Ingreso!$AL$11:$AM$260,2,0),0),0)</f>
        <v>0</v>
      </c>
      <c r="M959" s="95">
        <f>IFERROR(HLOOKUP(D959,Ingreso!$AW$10:$BC$260,VLOOKUP('cruce '!I959,Ingreso!$AL$11:$AM$260,2,0),0),0)</f>
        <v>0</v>
      </c>
      <c r="N959" t="str">
        <f t="shared" ref="N959:N1022" si="69">IF((K959-L959)&gt;1,"Revisar",IF((K959-L959)&lt;-1,"Revisar","OK"))</f>
        <v>Revisar</v>
      </c>
    </row>
    <row r="960" spans="2:14">
      <c r="C960"/>
      <c r="D960"/>
      <c r="E960" t="s">
        <v>1323</v>
      </c>
      <c r="F960" s="78">
        <v>0.375</v>
      </c>
      <c r="G960" s="55"/>
      <c r="H960" s="55">
        <v>0.32098379629629631</v>
      </c>
      <c r="I960" s="55" t="str">
        <f t="shared" si="66"/>
        <v>15.823.421-1</v>
      </c>
      <c r="J960" s="55">
        <f t="shared" si="67"/>
        <v>0.32098379629629631</v>
      </c>
      <c r="K960" s="93">
        <f t="shared" si="68"/>
        <v>-1.2963888888888881</v>
      </c>
      <c r="L960">
        <f>IFERROR(HLOOKUP(D960,Ingreso!$AN$10:$AT$260,VLOOKUP('cruce '!I960,Ingreso!$AL$11:$AM$260,2,0),0),0)</f>
        <v>0</v>
      </c>
      <c r="M960" s="95">
        <f>IFERROR(HLOOKUP(D960,Ingreso!$AW$10:$BC$260,VLOOKUP('cruce '!I960,Ingreso!$AL$11:$AM$260,2,0),0),0)</f>
        <v>0</v>
      </c>
      <c r="N960" t="str">
        <f t="shared" si="69"/>
        <v>Revisar</v>
      </c>
    </row>
    <row r="961" spans="2:14">
      <c r="C961"/>
      <c r="D961" t="s">
        <v>1439</v>
      </c>
      <c r="E961" t="s">
        <v>1321</v>
      </c>
      <c r="F961" s="78">
        <v>0.3125</v>
      </c>
      <c r="G961" s="55">
        <v>0.95163194444444443</v>
      </c>
      <c r="H961" s="55"/>
      <c r="I961" s="55" t="str">
        <f t="shared" si="66"/>
        <v>15.823.421-1</v>
      </c>
      <c r="J961" s="55">
        <f t="shared" si="67"/>
        <v>4.8368055555555567E-2</v>
      </c>
      <c r="K961" s="93">
        <f t="shared" si="68"/>
        <v>-6.3391666666666664</v>
      </c>
      <c r="L961">
        <f>IFERROR(HLOOKUP(D961,Ingreso!$AN$10:$AT$260,VLOOKUP('cruce '!I961,Ingreso!$AL$11:$AM$260,2,0),0),0)</f>
        <v>0</v>
      </c>
      <c r="M961" s="95">
        <f>IFERROR(HLOOKUP(D961,Ingreso!$AW$10:$BC$260,VLOOKUP('cruce '!I961,Ingreso!$AL$11:$AM$260,2,0),0),0)</f>
        <v>0</v>
      </c>
      <c r="N961" t="str">
        <f t="shared" si="69"/>
        <v>Revisar</v>
      </c>
    </row>
    <row r="962" spans="2:14">
      <c r="C962"/>
      <c r="D962"/>
      <c r="E962" t="s">
        <v>1323</v>
      </c>
      <c r="F962" s="78">
        <v>0.375</v>
      </c>
      <c r="G962" s="55"/>
      <c r="H962" s="55">
        <v>0.32858796296296294</v>
      </c>
      <c r="I962" s="55" t="str">
        <f t="shared" si="66"/>
        <v>15.823.421-1</v>
      </c>
      <c r="J962" s="55">
        <f t="shared" si="67"/>
        <v>0.32858796296296294</v>
      </c>
      <c r="K962" s="93">
        <f t="shared" si="68"/>
        <v>-1.1138888888888889</v>
      </c>
      <c r="L962">
        <f>IFERROR(HLOOKUP(D962,Ingreso!$AN$10:$AT$260,VLOOKUP('cruce '!I962,Ingreso!$AL$11:$AM$260,2,0),0),0)</f>
        <v>0</v>
      </c>
      <c r="M962" s="95">
        <f>IFERROR(HLOOKUP(D962,Ingreso!$AW$10:$BC$260,VLOOKUP('cruce '!I962,Ingreso!$AL$11:$AM$260,2,0),0),0)</f>
        <v>0</v>
      </c>
      <c r="N962" t="str">
        <f t="shared" si="69"/>
        <v>Revisar</v>
      </c>
    </row>
    <row r="963" spans="2:14">
      <c r="B963" t="s">
        <v>967</v>
      </c>
      <c r="C963" t="s">
        <v>969</v>
      </c>
      <c r="D963" t="s">
        <v>1440</v>
      </c>
      <c r="E963" t="s">
        <v>4</v>
      </c>
      <c r="F963" s="78">
        <v>0.3125</v>
      </c>
      <c r="G963" s="55">
        <v>0.31085648148148148</v>
      </c>
      <c r="H963" s="55">
        <v>0.71418981481481481</v>
      </c>
      <c r="I963" s="55" t="str">
        <f t="shared" si="66"/>
        <v>15.891.790-4</v>
      </c>
      <c r="J963" s="55">
        <f t="shared" si="67"/>
        <v>0.40333333333333332</v>
      </c>
      <c r="K963" s="93">
        <f t="shared" si="68"/>
        <v>2.1799999999999997</v>
      </c>
      <c r="L963">
        <f>IFERROR(HLOOKUP(D963,Ingreso!$AN$10:$AT$260,VLOOKUP('cruce '!I963,Ingreso!$AL$11:$AM$260,2,0),0),0)</f>
        <v>0</v>
      </c>
      <c r="M963" s="95">
        <f>IFERROR(HLOOKUP(D963,Ingreso!$AW$10:$BC$260,VLOOKUP('cruce '!I963,Ingreso!$AL$11:$AM$260,2,0),0),0)</f>
        <v>0</v>
      </c>
      <c r="N963" t="str">
        <f t="shared" si="69"/>
        <v>Revisar</v>
      </c>
    </row>
    <row r="964" spans="2:14">
      <c r="C964"/>
      <c r="D964" t="s">
        <v>1441</v>
      </c>
      <c r="E964" t="s">
        <v>4</v>
      </c>
      <c r="F964" s="78">
        <v>0.3125</v>
      </c>
      <c r="G964" s="55"/>
      <c r="H964" s="55">
        <v>0.63063657407407414</v>
      </c>
      <c r="I964" s="55" t="str">
        <f t="shared" si="66"/>
        <v>15.891.790-4</v>
      </c>
      <c r="J964" s="55">
        <f t="shared" si="67"/>
        <v>0.63063657407407414</v>
      </c>
      <c r="K964" s="93">
        <f t="shared" si="68"/>
        <v>7.6352777777777803</v>
      </c>
      <c r="L964">
        <f>IFERROR(HLOOKUP(D964,Ingreso!$AN$10:$AT$260,VLOOKUP('cruce '!I964,Ingreso!$AL$11:$AM$260,2,0),0),0)</f>
        <v>0</v>
      </c>
      <c r="M964" s="95">
        <f>IFERROR(HLOOKUP(D964,Ingreso!$AW$10:$BC$260,VLOOKUP('cruce '!I964,Ingreso!$AL$11:$AM$260,2,0),0),0)</f>
        <v>0</v>
      </c>
      <c r="N964" t="str">
        <f t="shared" si="69"/>
        <v>Revisar</v>
      </c>
    </row>
    <row r="965" spans="2:14">
      <c r="C965"/>
      <c r="D965"/>
      <c r="E965" t="s">
        <v>1323</v>
      </c>
      <c r="F965" s="78">
        <v>0.375</v>
      </c>
      <c r="G965" s="55">
        <v>0.34748842592592594</v>
      </c>
      <c r="H965" s="55"/>
      <c r="I965" s="55" t="str">
        <f t="shared" si="66"/>
        <v>15.891.790-4</v>
      </c>
      <c r="J965" s="55">
        <f t="shared" si="67"/>
        <v>0.65251157407407412</v>
      </c>
      <c r="K965" s="93">
        <f t="shared" si="68"/>
        <v>6.6602777777777789</v>
      </c>
      <c r="L965">
        <f>IFERROR(HLOOKUP(D965,Ingreso!$AN$10:$AT$260,VLOOKUP('cruce '!I965,Ingreso!$AL$11:$AM$260,2,0),0),0)</f>
        <v>0</v>
      </c>
      <c r="M965" s="95">
        <f>IFERROR(HLOOKUP(D965,Ingreso!$AW$10:$BC$260,VLOOKUP('cruce '!I965,Ingreso!$AL$11:$AM$260,2,0),0),0)</f>
        <v>0</v>
      </c>
      <c r="N965" t="str">
        <f t="shared" si="69"/>
        <v>Revisar</v>
      </c>
    </row>
    <row r="966" spans="2:14">
      <c r="C966"/>
      <c r="D966" t="s">
        <v>1437</v>
      </c>
      <c r="E966" t="s">
        <v>4</v>
      </c>
      <c r="F966" s="78">
        <v>0.3125</v>
      </c>
      <c r="G966" s="55">
        <v>0.31165509259259261</v>
      </c>
      <c r="H966" s="55">
        <v>0.73280092592592594</v>
      </c>
      <c r="I966" s="55" t="str">
        <f t="shared" si="66"/>
        <v>15.891.790-4</v>
      </c>
      <c r="J966" s="55">
        <f t="shared" si="67"/>
        <v>0.42114583333333333</v>
      </c>
      <c r="K966" s="93">
        <f t="shared" si="68"/>
        <v>2.6074999999999999</v>
      </c>
      <c r="L966">
        <f>IFERROR(HLOOKUP(D966,Ingreso!$AN$10:$AT$260,VLOOKUP('cruce '!I966,Ingreso!$AL$11:$AM$260,2,0),0),0)</f>
        <v>0</v>
      </c>
      <c r="M966" s="95">
        <f>IFERROR(HLOOKUP(D966,Ingreso!$AW$10:$BC$260,VLOOKUP('cruce '!I966,Ingreso!$AL$11:$AM$260,2,0),0),0)</f>
        <v>0</v>
      </c>
      <c r="N966" t="str">
        <f t="shared" si="69"/>
        <v>Revisar</v>
      </c>
    </row>
    <row r="967" spans="2:14">
      <c r="C967"/>
      <c r="D967" t="s">
        <v>1438</v>
      </c>
      <c r="E967" t="s">
        <v>4</v>
      </c>
      <c r="F967" s="78">
        <v>0.3125</v>
      </c>
      <c r="G967" s="55">
        <v>0.29170138888888891</v>
      </c>
      <c r="H967" s="55">
        <v>0.7034259259259259</v>
      </c>
      <c r="I967" s="55" t="str">
        <f t="shared" si="66"/>
        <v>15.891.790-4</v>
      </c>
      <c r="J967" s="55">
        <f t="shared" si="67"/>
        <v>0.41172453703703699</v>
      </c>
      <c r="K967" s="93">
        <f t="shared" si="68"/>
        <v>2.3813888888888872</v>
      </c>
      <c r="L967">
        <f>IFERROR(HLOOKUP(D967,Ingreso!$AN$10:$AT$260,VLOOKUP('cruce '!I967,Ingreso!$AL$11:$AM$260,2,0),0),0)</f>
        <v>0</v>
      </c>
      <c r="M967" s="95">
        <f>IFERROR(HLOOKUP(D967,Ingreso!$AW$10:$BC$260,VLOOKUP('cruce '!I967,Ingreso!$AL$11:$AM$260,2,0),0),0)</f>
        <v>0</v>
      </c>
      <c r="N967" t="str">
        <f t="shared" si="69"/>
        <v>Revisar</v>
      </c>
    </row>
    <row r="968" spans="2:14">
      <c r="C968"/>
      <c r="D968" t="s">
        <v>1439</v>
      </c>
      <c r="E968" t="s">
        <v>4</v>
      </c>
      <c r="F968" s="78">
        <v>0.3125</v>
      </c>
      <c r="G968" s="55">
        <v>0.31078703703703703</v>
      </c>
      <c r="H968" s="55">
        <v>0.63016203703703699</v>
      </c>
      <c r="I968" s="55" t="str">
        <f t="shared" si="66"/>
        <v>15.891.790-4</v>
      </c>
      <c r="J968" s="55">
        <f t="shared" si="67"/>
        <v>0.31937499999999996</v>
      </c>
      <c r="K968" s="93">
        <f t="shared" si="68"/>
        <v>0.16499999999999915</v>
      </c>
      <c r="L968">
        <f>IFERROR(HLOOKUP(D968,Ingreso!$AN$10:$AT$260,VLOOKUP('cruce '!I968,Ingreso!$AL$11:$AM$260,2,0),0),0)</f>
        <v>0</v>
      </c>
      <c r="M968" s="95">
        <f>IFERROR(HLOOKUP(D968,Ingreso!$AW$10:$BC$260,VLOOKUP('cruce '!I968,Ingreso!$AL$11:$AM$260,2,0),0),0)</f>
        <v>0</v>
      </c>
      <c r="N968" t="str">
        <f t="shared" si="69"/>
        <v>OK</v>
      </c>
    </row>
    <row r="969" spans="2:14">
      <c r="B969" t="s">
        <v>514</v>
      </c>
      <c r="C969" t="s">
        <v>517</v>
      </c>
      <c r="D969" t="s">
        <v>1440</v>
      </c>
      <c r="E969" t="s">
        <v>1323</v>
      </c>
      <c r="F969" s="78">
        <v>0.375</v>
      </c>
      <c r="G969" s="55">
        <v>0.91984953703703709</v>
      </c>
      <c r="H969" s="55">
        <v>0.32748842592592592</v>
      </c>
      <c r="I969" s="55" t="str">
        <f t="shared" si="66"/>
        <v>15.899.732-0</v>
      </c>
      <c r="J969" s="55">
        <f t="shared" si="67"/>
        <v>0.40763888888888877</v>
      </c>
      <c r="K969" s="93">
        <f t="shared" si="68"/>
        <v>0.78333333333333144</v>
      </c>
      <c r="L969">
        <f>IFERROR(HLOOKUP(D969,Ingreso!$AN$10:$AT$260,VLOOKUP('cruce '!I969,Ingreso!$AL$11:$AM$260,2,0),0),0)</f>
        <v>0</v>
      </c>
      <c r="M969" s="95">
        <f>IFERROR(HLOOKUP(D969,Ingreso!$AW$10:$BC$260,VLOOKUP('cruce '!I969,Ingreso!$AL$11:$AM$260,2,0),0),0)</f>
        <v>0</v>
      </c>
      <c r="N969" t="str">
        <f t="shared" si="69"/>
        <v>OK</v>
      </c>
    </row>
    <row r="970" spans="2:14">
      <c r="C970"/>
      <c r="D970" t="s">
        <v>1441</v>
      </c>
      <c r="E970" t="s">
        <v>1323</v>
      </c>
      <c r="F970" s="78">
        <v>0.375</v>
      </c>
      <c r="G970" s="55"/>
      <c r="H970" s="55">
        <v>0.32972222222222219</v>
      </c>
      <c r="I970" s="55" t="str">
        <f t="shared" si="66"/>
        <v>15.899.732-0</v>
      </c>
      <c r="J970" s="55">
        <f t="shared" si="67"/>
        <v>0.32972222222222219</v>
      </c>
      <c r="K970" s="93">
        <f t="shared" si="68"/>
        <v>-1.0866666666666678</v>
      </c>
      <c r="L970">
        <f>IFERROR(HLOOKUP(D970,Ingreso!$AN$10:$AT$260,VLOOKUP('cruce '!I970,Ingreso!$AL$11:$AM$260,2,0),0),0)</f>
        <v>0</v>
      </c>
      <c r="M970" s="95">
        <f>IFERROR(HLOOKUP(D970,Ingreso!$AW$10:$BC$260,VLOOKUP('cruce '!I970,Ingreso!$AL$11:$AM$260,2,0),0),0)</f>
        <v>0</v>
      </c>
      <c r="N970" t="str">
        <f t="shared" si="69"/>
        <v>Revisar</v>
      </c>
    </row>
    <row r="971" spans="2:14">
      <c r="C971"/>
      <c r="D971" t="s">
        <v>1437</v>
      </c>
      <c r="E971" t="s">
        <v>1323</v>
      </c>
      <c r="F971" s="78">
        <v>0.375</v>
      </c>
      <c r="G971" s="55">
        <v>0.91740740740740734</v>
      </c>
      <c r="H971" s="55"/>
      <c r="I971" s="55" t="str">
        <f t="shared" si="66"/>
        <v>15.899.732-0</v>
      </c>
      <c r="J971" s="55">
        <f t="shared" si="67"/>
        <v>8.2592592592592662E-2</v>
      </c>
      <c r="K971" s="93">
        <f t="shared" si="68"/>
        <v>-7.0177777777777761</v>
      </c>
      <c r="L971">
        <f>IFERROR(HLOOKUP(D971,Ingreso!$AN$10:$AT$260,VLOOKUP('cruce '!I971,Ingreso!$AL$11:$AM$260,2,0),0),0)</f>
        <v>0</v>
      </c>
      <c r="M971" s="95">
        <f>IFERROR(HLOOKUP(D971,Ingreso!$AW$10:$BC$260,VLOOKUP('cruce '!I971,Ingreso!$AL$11:$AM$260,2,0),0),0)</f>
        <v>0</v>
      </c>
      <c r="N971" t="str">
        <f t="shared" si="69"/>
        <v>Revisar</v>
      </c>
    </row>
    <row r="972" spans="2:14">
      <c r="C972"/>
      <c r="D972" t="s">
        <v>1438</v>
      </c>
      <c r="E972" t="s">
        <v>1323</v>
      </c>
      <c r="F972" s="78">
        <v>0.375</v>
      </c>
      <c r="G972" s="55">
        <v>0.93136574074074074</v>
      </c>
      <c r="H972" s="55">
        <v>0.32436342592592593</v>
      </c>
      <c r="I972" s="55" t="str">
        <f t="shared" si="66"/>
        <v>15.899.732-0</v>
      </c>
      <c r="J972" s="55">
        <f t="shared" si="67"/>
        <v>0.39299768518518519</v>
      </c>
      <c r="K972" s="93">
        <f t="shared" si="68"/>
        <v>0.43194444444444358</v>
      </c>
      <c r="L972">
        <f>IFERROR(HLOOKUP(D972,Ingreso!$AN$10:$AT$260,VLOOKUP('cruce '!I972,Ingreso!$AL$11:$AM$260,2,0),0),0)</f>
        <v>0</v>
      </c>
      <c r="M972" s="95">
        <f>IFERROR(HLOOKUP(D972,Ingreso!$AW$10:$BC$260,VLOOKUP('cruce '!I972,Ingreso!$AL$11:$AM$260,2,0),0),0)</f>
        <v>0</v>
      </c>
      <c r="N972" t="str">
        <f t="shared" si="69"/>
        <v>OK</v>
      </c>
    </row>
    <row r="973" spans="2:14">
      <c r="C973"/>
      <c r="D973" t="s">
        <v>1439</v>
      </c>
      <c r="E973" t="s">
        <v>1323</v>
      </c>
      <c r="F973" s="78">
        <v>0.375</v>
      </c>
      <c r="G973" s="55">
        <v>0.91740740740740734</v>
      </c>
      <c r="H973" s="55">
        <v>0.33059027777777777</v>
      </c>
      <c r="I973" s="55" t="str">
        <f t="shared" si="66"/>
        <v>15.899.732-0</v>
      </c>
      <c r="J973" s="55">
        <f t="shared" si="67"/>
        <v>0.41318287037037049</v>
      </c>
      <c r="K973" s="93">
        <f t="shared" si="68"/>
        <v>0.91638888888889269</v>
      </c>
      <c r="L973">
        <f>IFERROR(HLOOKUP(D973,Ingreso!$AN$10:$AT$260,VLOOKUP('cruce '!I973,Ingreso!$AL$11:$AM$260,2,0),0),0)</f>
        <v>0</v>
      </c>
      <c r="M973" s="95">
        <f>IFERROR(HLOOKUP(D973,Ingreso!$AW$10:$BC$260,VLOOKUP('cruce '!I973,Ingreso!$AL$11:$AM$260,2,0),0),0)</f>
        <v>0</v>
      </c>
      <c r="N973" t="str">
        <f t="shared" si="69"/>
        <v>OK</v>
      </c>
    </row>
    <row r="974" spans="2:14">
      <c r="B974" t="s">
        <v>1249</v>
      </c>
      <c r="C974" t="s">
        <v>1251</v>
      </c>
      <c r="D974" t="s">
        <v>1440</v>
      </c>
      <c r="E974" t="s">
        <v>1321</v>
      </c>
      <c r="F974" s="78">
        <v>0.3125</v>
      </c>
      <c r="G974" s="55">
        <v>0.61024305555555558</v>
      </c>
      <c r="H974" s="55">
        <v>0.94995370370370369</v>
      </c>
      <c r="I974" s="55" t="str">
        <f t="shared" si="66"/>
        <v>15444116-6</v>
      </c>
      <c r="J974" s="55">
        <f t="shared" si="67"/>
        <v>0.33971064814814811</v>
      </c>
      <c r="K974" s="93">
        <f t="shared" si="68"/>
        <v>0.65305555555555372</v>
      </c>
      <c r="L974">
        <f>IFERROR(HLOOKUP(D974,Ingreso!$AN$10:$AT$260,VLOOKUP('cruce '!I974,Ingreso!$AL$11:$AM$260,2,0),0),0)</f>
        <v>0</v>
      </c>
      <c r="M974" s="95">
        <f>IFERROR(HLOOKUP(D974,Ingreso!$AW$10:$BC$260,VLOOKUP('cruce '!I974,Ingreso!$AL$11:$AM$260,2,0),0),0)</f>
        <v>0</v>
      </c>
      <c r="N974" t="str">
        <f t="shared" si="69"/>
        <v>OK</v>
      </c>
    </row>
    <row r="975" spans="2:14">
      <c r="C975"/>
      <c r="D975" t="s">
        <v>1441</v>
      </c>
      <c r="E975" t="s">
        <v>4</v>
      </c>
      <c r="F975" s="78">
        <v>0.3125</v>
      </c>
      <c r="G975" s="55">
        <v>0.2900462962962963</v>
      </c>
      <c r="H975" s="55">
        <v>0.64002314814814809</v>
      </c>
      <c r="I975" s="55" t="str">
        <f t="shared" si="66"/>
        <v>15444116-6</v>
      </c>
      <c r="J975" s="55">
        <f t="shared" si="67"/>
        <v>0.34997685185185179</v>
      </c>
      <c r="K975" s="93">
        <f t="shared" si="68"/>
        <v>0.89944444444444294</v>
      </c>
      <c r="L975">
        <f>IFERROR(HLOOKUP(D975,Ingreso!$AN$10:$AT$260,VLOOKUP('cruce '!I975,Ingreso!$AL$11:$AM$260,2,0),0),0)</f>
        <v>0</v>
      </c>
      <c r="M975" s="95">
        <f>IFERROR(HLOOKUP(D975,Ingreso!$AW$10:$BC$260,VLOOKUP('cruce '!I975,Ingreso!$AL$11:$AM$260,2,0),0),0)</f>
        <v>0</v>
      </c>
      <c r="N975" t="str">
        <f t="shared" si="69"/>
        <v>OK</v>
      </c>
    </row>
    <row r="976" spans="2:14">
      <c r="C976"/>
      <c r="D976" t="s">
        <v>1437</v>
      </c>
      <c r="E976" t="s">
        <v>1321</v>
      </c>
      <c r="F976" s="78">
        <v>0.3125</v>
      </c>
      <c r="G976" s="55">
        <v>0.6048958333333333</v>
      </c>
      <c r="H976" s="55">
        <v>0.94815972222222233</v>
      </c>
      <c r="I976" s="55" t="str">
        <f t="shared" si="66"/>
        <v>15444116-6</v>
      </c>
      <c r="J976" s="55">
        <f t="shared" si="67"/>
        <v>0.34326388888888903</v>
      </c>
      <c r="K976" s="93">
        <f t="shared" si="68"/>
        <v>0.73833333333333684</v>
      </c>
      <c r="L976">
        <f>IFERROR(HLOOKUP(D976,Ingreso!$AN$10:$AT$260,VLOOKUP('cruce '!I976,Ingreso!$AL$11:$AM$260,2,0),0),0)</f>
        <v>0</v>
      </c>
      <c r="M976" s="95">
        <f>IFERROR(HLOOKUP(D976,Ingreso!$AW$10:$BC$260,VLOOKUP('cruce '!I976,Ingreso!$AL$11:$AM$260,2,0),0),0)</f>
        <v>0</v>
      </c>
      <c r="N976" t="str">
        <f t="shared" si="69"/>
        <v>OK</v>
      </c>
    </row>
    <row r="977" spans="2:14">
      <c r="C977"/>
      <c r="D977" t="s">
        <v>1438</v>
      </c>
      <c r="E977" t="s">
        <v>1321</v>
      </c>
      <c r="F977" s="78">
        <v>0.3125</v>
      </c>
      <c r="G977" s="55">
        <v>0.60363425925925929</v>
      </c>
      <c r="H977" s="55">
        <v>0.94923611111111106</v>
      </c>
      <c r="I977" s="55" t="str">
        <f t="shared" si="66"/>
        <v>15444116-6</v>
      </c>
      <c r="J977" s="55">
        <f t="shared" si="67"/>
        <v>0.34560185185185177</v>
      </c>
      <c r="K977" s="93">
        <f t="shared" si="68"/>
        <v>0.79444444444444251</v>
      </c>
      <c r="L977">
        <f>IFERROR(HLOOKUP(D977,Ingreso!$AN$10:$AT$260,VLOOKUP('cruce '!I977,Ingreso!$AL$11:$AM$260,2,0),0),0)</f>
        <v>0</v>
      </c>
      <c r="M977" s="95">
        <f>IFERROR(HLOOKUP(D977,Ingreso!$AW$10:$BC$260,VLOOKUP('cruce '!I977,Ingreso!$AL$11:$AM$260,2,0),0),0)</f>
        <v>0</v>
      </c>
      <c r="N977" t="str">
        <f t="shared" si="69"/>
        <v>OK</v>
      </c>
    </row>
    <row r="978" spans="2:14">
      <c r="C978"/>
      <c r="D978" t="s">
        <v>1439</v>
      </c>
      <c r="E978" t="s">
        <v>1321</v>
      </c>
      <c r="F978" s="78">
        <v>0.3125</v>
      </c>
      <c r="G978" s="55">
        <v>0.60969907407407409</v>
      </c>
      <c r="H978" s="55">
        <v>0.95118055555555558</v>
      </c>
      <c r="I978" s="55" t="str">
        <f t="shared" si="66"/>
        <v>15444116-6</v>
      </c>
      <c r="J978" s="55">
        <f t="shared" si="67"/>
        <v>0.3414814814814815</v>
      </c>
      <c r="K978" s="93">
        <f t="shared" si="68"/>
        <v>0.69555555555555593</v>
      </c>
      <c r="L978">
        <f>IFERROR(HLOOKUP(D978,Ingreso!$AN$10:$AT$260,VLOOKUP('cruce '!I978,Ingreso!$AL$11:$AM$260,2,0),0),0)</f>
        <v>0</v>
      </c>
      <c r="M978" s="95">
        <f>IFERROR(HLOOKUP(D978,Ingreso!$AW$10:$BC$260,VLOOKUP('cruce '!I978,Ingreso!$AL$11:$AM$260,2,0),0),0)</f>
        <v>0</v>
      </c>
      <c r="N978" t="str">
        <f t="shared" si="69"/>
        <v>OK</v>
      </c>
    </row>
    <row r="979" spans="2:14">
      <c r="B979" t="s">
        <v>879</v>
      </c>
      <c r="C979" t="s">
        <v>881</v>
      </c>
      <c r="D979" t="s">
        <v>1440</v>
      </c>
      <c r="E979" t="s">
        <v>4</v>
      </c>
      <c r="F979" s="78">
        <v>0.3125</v>
      </c>
      <c r="G979" s="55">
        <v>0.29447916666666668</v>
      </c>
      <c r="H979" s="55">
        <v>0.72921296296296301</v>
      </c>
      <c r="I979" s="55" t="str">
        <f t="shared" si="66"/>
        <v>16.029.464-7</v>
      </c>
      <c r="J979" s="55">
        <f t="shared" si="67"/>
        <v>0.43473379629629633</v>
      </c>
      <c r="K979" s="93">
        <f t="shared" si="68"/>
        <v>2.9336111111111123</v>
      </c>
      <c r="L979">
        <f>IFERROR(HLOOKUP(D979,Ingreso!$AN$10:$AT$260,VLOOKUP('cruce '!I979,Ingreso!$AL$11:$AM$260,2,0),0),0)</f>
        <v>0</v>
      </c>
      <c r="M979" s="95">
        <f>IFERROR(HLOOKUP(D979,Ingreso!$AW$10:$BC$260,VLOOKUP('cruce '!I979,Ingreso!$AL$11:$AM$260,2,0),0),0)</f>
        <v>0</v>
      </c>
      <c r="N979" t="str">
        <f t="shared" si="69"/>
        <v>Revisar</v>
      </c>
    </row>
    <row r="980" spans="2:14">
      <c r="C980"/>
      <c r="D980" t="s">
        <v>1441</v>
      </c>
      <c r="E980" t="s">
        <v>4</v>
      </c>
      <c r="F980" s="78">
        <v>0.3125</v>
      </c>
      <c r="G980" s="55">
        <v>0.29401620370370368</v>
      </c>
      <c r="H980" s="55">
        <v>0.63101851851851853</v>
      </c>
      <c r="I980" s="55" t="str">
        <f t="shared" si="66"/>
        <v>16.029.464-7</v>
      </c>
      <c r="J980" s="55">
        <f t="shared" si="67"/>
        <v>0.33700231481481485</v>
      </c>
      <c r="K980" s="93">
        <f t="shared" si="68"/>
        <v>0.588055555555556</v>
      </c>
      <c r="L980">
        <f>IFERROR(HLOOKUP(D980,Ingreso!$AN$10:$AT$260,VLOOKUP('cruce '!I980,Ingreso!$AL$11:$AM$260,2,0),0),0)</f>
        <v>0</v>
      </c>
      <c r="M980" s="95">
        <f>IFERROR(HLOOKUP(D980,Ingreso!$AW$10:$BC$260,VLOOKUP('cruce '!I980,Ingreso!$AL$11:$AM$260,2,0),0),0)</f>
        <v>0</v>
      </c>
      <c r="N980" t="str">
        <f t="shared" si="69"/>
        <v>OK</v>
      </c>
    </row>
    <row r="981" spans="2:14">
      <c r="C981"/>
      <c r="D981" t="s">
        <v>1437</v>
      </c>
      <c r="E981" t="s">
        <v>4</v>
      </c>
      <c r="F981" s="78">
        <v>0.3125</v>
      </c>
      <c r="G981" s="55">
        <v>0.29314814814814816</v>
      </c>
      <c r="H981" s="55">
        <v>0.73116898148148157</v>
      </c>
      <c r="I981" s="55" t="str">
        <f t="shared" si="66"/>
        <v>16.029.464-7</v>
      </c>
      <c r="J981" s="55">
        <f t="shared" si="67"/>
        <v>0.43802083333333341</v>
      </c>
      <c r="K981" s="93">
        <f t="shared" si="68"/>
        <v>3.0125000000000028</v>
      </c>
      <c r="L981">
        <f>IFERROR(HLOOKUP(D981,Ingreso!$AN$10:$AT$260,VLOOKUP('cruce '!I981,Ingreso!$AL$11:$AM$260,2,0),0),0)</f>
        <v>0</v>
      </c>
      <c r="M981" s="95">
        <f>IFERROR(HLOOKUP(D981,Ingreso!$AW$10:$BC$260,VLOOKUP('cruce '!I981,Ingreso!$AL$11:$AM$260,2,0),0),0)</f>
        <v>0</v>
      </c>
      <c r="N981" t="str">
        <f t="shared" si="69"/>
        <v>Revisar</v>
      </c>
    </row>
    <row r="982" spans="2:14">
      <c r="C982"/>
      <c r="D982" t="s">
        <v>1438</v>
      </c>
      <c r="E982" t="s">
        <v>4</v>
      </c>
      <c r="F982" s="78">
        <v>0.3125</v>
      </c>
      <c r="G982" s="55">
        <v>0.29353009259259261</v>
      </c>
      <c r="H982" s="55">
        <v>0.81092592592592594</v>
      </c>
      <c r="I982" s="55" t="str">
        <f t="shared" si="66"/>
        <v>16.029.464-7</v>
      </c>
      <c r="J982" s="55">
        <f t="shared" si="67"/>
        <v>0.51739583333333328</v>
      </c>
      <c r="K982" s="93">
        <f t="shared" si="68"/>
        <v>4.9174999999999986</v>
      </c>
      <c r="L982">
        <f>IFERROR(HLOOKUP(D982,Ingreso!$AN$10:$AT$260,VLOOKUP('cruce '!I982,Ingreso!$AL$11:$AM$260,2,0),0),0)</f>
        <v>0</v>
      </c>
      <c r="M982" s="95">
        <f>IFERROR(HLOOKUP(D982,Ingreso!$AW$10:$BC$260,VLOOKUP('cruce '!I982,Ingreso!$AL$11:$AM$260,2,0),0),0)</f>
        <v>0</v>
      </c>
      <c r="N982" t="str">
        <f t="shared" si="69"/>
        <v>Revisar</v>
      </c>
    </row>
    <row r="983" spans="2:14">
      <c r="C983"/>
      <c r="D983" t="s">
        <v>1439</v>
      </c>
      <c r="E983" t="s">
        <v>4</v>
      </c>
      <c r="F983" s="78">
        <v>0.3125</v>
      </c>
      <c r="G983" s="55">
        <v>0.29388888888888892</v>
      </c>
      <c r="H983" s="55">
        <v>0.73318287037037033</v>
      </c>
      <c r="I983" s="55" t="str">
        <f t="shared" si="66"/>
        <v>16.029.464-7</v>
      </c>
      <c r="J983" s="55">
        <f t="shared" si="67"/>
        <v>0.43929398148148141</v>
      </c>
      <c r="K983" s="93">
        <f t="shared" si="68"/>
        <v>3.0430555555555543</v>
      </c>
      <c r="L983">
        <f>IFERROR(HLOOKUP(D983,Ingreso!$AN$10:$AT$260,VLOOKUP('cruce '!I983,Ingreso!$AL$11:$AM$260,2,0),0),0)</f>
        <v>0</v>
      </c>
      <c r="M983" s="95">
        <f>IFERROR(HLOOKUP(D983,Ingreso!$AW$10:$BC$260,VLOOKUP('cruce '!I983,Ingreso!$AL$11:$AM$260,2,0),0),0)</f>
        <v>0</v>
      </c>
      <c r="N983" t="str">
        <f t="shared" si="69"/>
        <v>Revisar</v>
      </c>
    </row>
    <row r="984" spans="2:14">
      <c r="B984" t="s">
        <v>372</v>
      </c>
      <c r="C984" t="s">
        <v>374</v>
      </c>
      <c r="D984" t="s">
        <v>1440</v>
      </c>
      <c r="E984" t="s">
        <v>1474</v>
      </c>
      <c r="F984" t="s">
        <v>1472</v>
      </c>
      <c r="G984" s="55">
        <v>0.29572916666666665</v>
      </c>
      <c r="H984" s="55">
        <v>0.63907407407407402</v>
      </c>
      <c r="I984" s="55" t="str">
        <f t="shared" si="66"/>
        <v>16.031.949-6</v>
      </c>
      <c r="J984" s="55">
        <f t="shared" si="67"/>
        <v>0.34334490740740736</v>
      </c>
      <c r="K984" s="93" t="e">
        <f t="shared" si="68"/>
        <v>#VALUE!</v>
      </c>
      <c r="L984">
        <f>IFERROR(HLOOKUP(D984,Ingreso!$AN$10:$AT$260,VLOOKUP('cruce '!I984,Ingreso!$AL$11:$AM$260,2,0),0),0)</f>
        <v>0</v>
      </c>
      <c r="M984" s="95" t="str">
        <f>IFERROR(HLOOKUP(D984,Ingreso!$AW$10:$BC$260,VLOOKUP('cruce '!I984,Ingreso!$AL$11:$AM$260,2,0),0),0)</f>
        <v/>
      </c>
      <c r="N984" t="e">
        <f t="shared" si="69"/>
        <v>#VALUE!</v>
      </c>
    </row>
    <row r="985" spans="2:14">
      <c r="C985"/>
      <c r="D985" t="s">
        <v>1441</v>
      </c>
      <c r="E985" t="s">
        <v>1474</v>
      </c>
      <c r="F985" t="s">
        <v>1472</v>
      </c>
      <c r="G985" s="55">
        <v>0.29927083333333332</v>
      </c>
      <c r="H985" s="55">
        <v>0.63864583333333336</v>
      </c>
      <c r="I985" s="55" t="str">
        <f t="shared" si="66"/>
        <v>16.031.949-6</v>
      </c>
      <c r="J985" s="55">
        <f t="shared" si="67"/>
        <v>0.33937500000000004</v>
      </c>
      <c r="K985" s="93" t="e">
        <f t="shared" si="68"/>
        <v>#VALUE!</v>
      </c>
      <c r="L985">
        <f>IFERROR(HLOOKUP(D985,Ingreso!$AN$10:$AT$260,VLOOKUP('cruce '!I985,Ingreso!$AL$11:$AM$260,2,0),0),0)</f>
        <v>0</v>
      </c>
      <c r="M985" s="95" t="str">
        <f>IFERROR(HLOOKUP(D985,Ingreso!$AW$10:$BC$260,VLOOKUP('cruce '!I985,Ingreso!$AL$11:$AM$260,2,0),0),0)</f>
        <v/>
      </c>
      <c r="N985" t="e">
        <f t="shared" si="69"/>
        <v>#VALUE!</v>
      </c>
    </row>
    <row r="986" spans="2:14">
      <c r="C986"/>
      <c r="D986" t="s">
        <v>1437</v>
      </c>
      <c r="E986" t="s">
        <v>1474</v>
      </c>
      <c r="F986" t="s">
        <v>1472</v>
      </c>
      <c r="G986" s="55">
        <v>0.29182870370370367</v>
      </c>
      <c r="H986" s="55">
        <v>0.63855324074074071</v>
      </c>
      <c r="I986" s="55" t="str">
        <f t="shared" si="66"/>
        <v>16.031.949-6</v>
      </c>
      <c r="J986" s="55">
        <f t="shared" si="67"/>
        <v>0.34672453703703704</v>
      </c>
      <c r="K986" s="93" t="e">
        <f t="shared" si="68"/>
        <v>#VALUE!</v>
      </c>
      <c r="L986">
        <f>IFERROR(HLOOKUP(D986,Ingreso!$AN$10:$AT$260,VLOOKUP('cruce '!I986,Ingreso!$AL$11:$AM$260,2,0),0),0)</f>
        <v>0</v>
      </c>
      <c r="M986" s="95" t="str">
        <f>IFERROR(HLOOKUP(D986,Ingreso!$AW$10:$BC$260,VLOOKUP('cruce '!I986,Ingreso!$AL$11:$AM$260,2,0),0),0)</f>
        <v/>
      </c>
      <c r="N986" t="e">
        <f t="shared" si="69"/>
        <v>#VALUE!</v>
      </c>
    </row>
    <row r="987" spans="2:14">
      <c r="C987"/>
      <c r="D987" t="s">
        <v>1438</v>
      </c>
      <c r="E987" t="s">
        <v>1474</v>
      </c>
      <c r="F987" t="s">
        <v>1472</v>
      </c>
      <c r="G987" s="55">
        <v>0.29590277777777779</v>
      </c>
      <c r="H987" s="55">
        <v>0.63659722222222215</v>
      </c>
      <c r="I987" s="55" t="str">
        <f t="shared" si="66"/>
        <v>16.031.949-6</v>
      </c>
      <c r="J987" s="55">
        <f t="shared" si="67"/>
        <v>0.34069444444444436</v>
      </c>
      <c r="K987" s="93" t="e">
        <f t="shared" si="68"/>
        <v>#VALUE!</v>
      </c>
      <c r="L987">
        <f>IFERROR(HLOOKUP(D987,Ingreso!$AN$10:$AT$260,VLOOKUP('cruce '!I987,Ingreso!$AL$11:$AM$260,2,0),0),0)</f>
        <v>0</v>
      </c>
      <c r="M987" s="95" t="str">
        <f>IFERROR(HLOOKUP(D987,Ingreso!$AW$10:$BC$260,VLOOKUP('cruce '!I987,Ingreso!$AL$11:$AM$260,2,0),0),0)</f>
        <v/>
      </c>
      <c r="N987" t="e">
        <f t="shared" si="69"/>
        <v>#VALUE!</v>
      </c>
    </row>
    <row r="988" spans="2:14">
      <c r="C988"/>
      <c r="D988" t="s">
        <v>1439</v>
      </c>
      <c r="E988" t="s">
        <v>1474</v>
      </c>
      <c r="F988" t="s">
        <v>1472</v>
      </c>
      <c r="G988" s="55">
        <v>0.29454861111111114</v>
      </c>
      <c r="H988" s="55">
        <v>0.63842592592592595</v>
      </c>
      <c r="I988" s="55" t="str">
        <f t="shared" si="66"/>
        <v>16.031.949-6</v>
      </c>
      <c r="J988" s="55">
        <f t="shared" si="67"/>
        <v>0.34387731481481482</v>
      </c>
      <c r="K988" s="93" t="e">
        <f t="shared" si="68"/>
        <v>#VALUE!</v>
      </c>
      <c r="L988">
        <f>IFERROR(HLOOKUP(D988,Ingreso!$AN$10:$AT$260,VLOOKUP('cruce '!I988,Ingreso!$AL$11:$AM$260,2,0),0),0)</f>
        <v>0</v>
      </c>
      <c r="M988" s="95" t="str">
        <f>IFERROR(HLOOKUP(D988,Ingreso!$AW$10:$BC$260,VLOOKUP('cruce '!I988,Ingreso!$AL$11:$AM$260,2,0),0),0)</f>
        <v/>
      </c>
      <c r="N988" t="e">
        <f t="shared" si="69"/>
        <v>#VALUE!</v>
      </c>
    </row>
    <row r="989" spans="2:14">
      <c r="B989" t="s">
        <v>423</v>
      </c>
      <c r="C989" t="s">
        <v>426</v>
      </c>
      <c r="D989" t="s">
        <v>1440</v>
      </c>
      <c r="E989" t="s">
        <v>1321</v>
      </c>
      <c r="F989" s="78">
        <v>0.3125</v>
      </c>
      <c r="G989" s="55">
        <v>0.62340277777777775</v>
      </c>
      <c r="H989" s="55">
        <v>0.9599537037037037</v>
      </c>
      <c r="I989" s="55" t="str">
        <f t="shared" si="66"/>
        <v>16.132.065-K</v>
      </c>
      <c r="J989" s="55">
        <f t="shared" si="67"/>
        <v>0.33655092592592595</v>
      </c>
      <c r="K989" s="93">
        <f t="shared" si="68"/>
        <v>0.57722222222222186</v>
      </c>
      <c r="L989">
        <f>IFERROR(HLOOKUP(D989,Ingreso!$AN$10:$AT$260,VLOOKUP('cruce '!I989,Ingreso!$AL$11:$AM$260,2,0),0),0)</f>
        <v>0</v>
      </c>
      <c r="M989" s="95" t="str">
        <f>IFERROR(HLOOKUP(D989,Ingreso!$AW$10:$BC$260,VLOOKUP('cruce '!I989,Ingreso!$AL$11:$AM$260,2,0),0),0)</f>
        <v/>
      </c>
      <c r="N989" t="str">
        <f t="shared" si="69"/>
        <v>OK</v>
      </c>
    </row>
    <row r="990" spans="2:14">
      <c r="C990"/>
      <c r="D990" t="s">
        <v>1441</v>
      </c>
      <c r="E990" t="s">
        <v>1321</v>
      </c>
      <c r="F990" s="78">
        <v>0.3125</v>
      </c>
      <c r="G990" s="55">
        <v>0.61085648148148153</v>
      </c>
      <c r="H990" s="55">
        <v>0.91924768518518529</v>
      </c>
      <c r="I990" s="55" t="str">
        <f t="shared" si="66"/>
        <v>16.132.065-K</v>
      </c>
      <c r="J990" s="55">
        <f t="shared" si="67"/>
        <v>0.30839120370370376</v>
      </c>
      <c r="K990" s="93">
        <f t="shared" si="68"/>
        <v>-9.8611111111109651E-2</v>
      </c>
      <c r="L990">
        <f>IFERROR(HLOOKUP(D990,Ingreso!$AN$10:$AT$260,VLOOKUP('cruce '!I990,Ingreso!$AL$11:$AM$260,2,0),0),0)</f>
        <v>0</v>
      </c>
      <c r="M990" s="95" t="str">
        <f>IFERROR(HLOOKUP(D990,Ingreso!$AW$10:$BC$260,VLOOKUP('cruce '!I990,Ingreso!$AL$11:$AM$260,2,0),0),0)</f>
        <v/>
      </c>
      <c r="N990" t="str">
        <f t="shared" si="69"/>
        <v>OK</v>
      </c>
    </row>
    <row r="991" spans="2:14">
      <c r="C991"/>
      <c r="D991" t="s">
        <v>1437</v>
      </c>
      <c r="E991" t="s">
        <v>1321</v>
      </c>
      <c r="F991" s="78">
        <v>0.3125</v>
      </c>
      <c r="G991" s="55">
        <v>0.62018518518518517</v>
      </c>
      <c r="H991" s="55">
        <v>0.93855324074074076</v>
      </c>
      <c r="I991" s="55" t="str">
        <f t="shared" si="66"/>
        <v>16.132.065-K</v>
      </c>
      <c r="J991" s="55">
        <f t="shared" si="67"/>
        <v>0.31836805555555558</v>
      </c>
      <c r="K991" s="93">
        <f t="shared" si="68"/>
        <v>0.14083333333333403</v>
      </c>
      <c r="L991">
        <f>IFERROR(HLOOKUP(D991,Ingreso!$AN$10:$AT$260,VLOOKUP('cruce '!I991,Ingreso!$AL$11:$AM$260,2,0),0),0)</f>
        <v>0</v>
      </c>
      <c r="M991" s="95" t="str">
        <f>IFERROR(HLOOKUP(D991,Ingreso!$AW$10:$BC$260,VLOOKUP('cruce '!I991,Ingreso!$AL$11:$AM$260,2,0),0),0)</f>
        <v/>
      </c>
      <c r="N991" t="str">
        <f t="shared" si="69"/>
        <v>OK</v>
      </c>
    </row>
    <row r="992" spans="2:14">
      <c r="C992"/>
      <c r="D992" t="s">
        <v>1438</v>
      </c>
      <c r="E992" t="s">
        <v>1321</v>
      </c>
      <c r="F992" s="78">
        <v>0.3125</v>
      </c>
      <c r="G992" s="55">
        <v>0.61722222222222223</v>
      </c>
      <c r="H992" s="55">
        <v>0.93660879629629623</v>
      </c>
      <c r="I992" s="55" t="str">
        <f t="shared" si="66"/>
        <v>16.132.065-K</v>
      </c>
      <c r="J992" s="55">
        <f t="shared" si="67"/>
        <v>0.319386574074074</v>
      </c>
      <c r="K992" s="93">
        <f t="shared" si="68"/>
        <v>0.16527777777777608</v>
      </c>
      <c r="L992">
        <f>IFERROR(HLOOKUP(D992,Ingreso!$AN$10:$AT$260,VLOOKUP('cruce '!I992,Ingreso!$AL$11:$AM$260,2,0),0),0)</f>
        <v>0</v>
      </c>
      <c r="M992" s="95" t="str">
        <f>IFERROR(HLOOKUP(D992,Ingreso!$AW$10:$BC$260,VLOOKUP('cruce '!I992,Ingreso!$AL$11:$AM$260,2,0),0),0)</f>
        <v/>
      </c>
      <c r="N992" t="str">
        <f t="shared" si="69"/>
        <v>OK</v>
      </c>
    </row>
    <row r="993" spans="2:14">
      <c r="C993"/>
      <c r="D993" t="s">
        <v>1439</v>
      </c>
      <c r="E993" t="s">
        <v>1321</v>
      </c>
      <c r="F993" s="78">
        <v>0.3125</v>
      </c>
      <c r="G993" s="55">
        <v>0.6219675925925926</v>
      </c>
      <c r="H993" s="55">
        <v>0.943425925925926</v>
      </c>
      <c r="I993" s="55" t="str">
        <f t="shared" si="66"/>
        <v>16.132.065-K</v>
      </c>
      <c r="J993" s="55">
        <f t="shared" si="67"/>
        <v>0.3214583333333334</v>
      </c>
      <c r="K993" s="93">
        <f t="shared" si="68"/>
        <v>0.21500000000000163</v>
      </c>
      <c r="L993">
        <f>IFERROR(HLOOKUP(D993,Ingreso!$AN$10:$AT$260,VLOOKUP('cruce '!I993,Ingreso!$AL$11:$AM$260,2,0),0),0)</f>
        <v>0</v>
      </c>
      <c r="M993" s="95" t="str">
        <f>IFERROR(HLOOKUP(D993,Ingreso!$AW$10:$BC$260,VLOOKUP('cruce '!I993,Ingreso!$AL$11:$AM$260,2,0),0),0)</f>
        <v/>
      </c>
      <c r="N993" t="str">
        <f t="shared" si="69"/>
        <v>OK</v>
      </c>
    </row>
    <row r="994" spans="2:14">
      <c r="B994" t="s">
        <v>1387</v>
      </c>
      <c r="C994" t="s">
        <v>827</v>
      </c>
      <c r="D994" t="s">
        <v>1440</v>
      </c>
      <c r="E994" t="s">
        <v>4</v>
      </c>
      <c r="F994" s="78">
        <v>0.3125</v>
      </c>
      <c r="G994" s="55">
        <v>0.29531250000000003</v>
      </c>
      <c r="H994" s="55">
        <v>0.71528935185185183</v>
      </c>
      <c r="I994" s="55" t="str">
        <f t="shared" si="66"/>
        <v>16.149.604-9</v>
      </c>
      <c r="J994" s="55">
        <f t="shared" si="67"/>
        <v>0.4199768518518518</v>
      </c>
      <c r="K994" s="93">
        <f t="shared" si="68"/>
        <v>2.5794444444444427</v>
      </c>
      <c r="L994">
        <f>IFERROR(HLOOKUP(D994,Ingreso!$AN$10:$AT$260,VLOOKUP('cruce '!I994,Ingreso!$AL$11:$AM$260,2,0),0),0)</f>
        <v>2</v>
      </c>
      <c r="M994" s="95">
        <f>IFERROR(HLOOKUP(D994,Ingreso!$AW$10:$BC$260,VLOOKUP('cruce '!I994,Ingreso!$AL$11:$AM$260,2,0),0),0)</f>
        <v>0.5</v>
      </c>
      <c r="N994" t="str">
        <f t="shared" si="69"/>
        <v>OK</v>
      </c>
    </row>
    <row r="995" spans="2:14">
      <c r="C995"/>
      <c r="D995" t="s">
        <v>1441</v>
      </c>
      <c r="E995" t="s">
        <v>4</v>
      </c>
      <c r="F995" s="78">
        <v>0.3125</v>
      </c>
      <c r="G995" s="55">
        <v>0.29439814814814813</v>
      </c>
      <c r="H995" s="55">
        <v>0.7173842592592593</v>
      </c>
      <c r="I995" s="55" t="str">
        <f t="shared" si="66"/>
        <v>16.149.604-9</v>
      </c>
      <c r="J995" s="55">
        <f t="shared" si="67"/>
        <v>0.42298611111111117</v>
      </c>
      <c r="K995" s="93">
        <f t="shared" si="68"/>
        <v>2.6516666666666673</v>
      </c>
      <c r="L995">
        <f>IFERROR(HLOOKUP(D995,Ingreso!$AN$10:$AT$260,VLOOKUP('cruce '!I995,Ingreso!$AL$11:$AM$260,2,0),0),0)</f>
        <v>0</v>
      </c>
      <c r="M995" s="95" t="str">
        <f>IFERROR(HLOOKUP(D995,Ingreso!$AW$10:$BC$260,VLOOKUP('cruce '!I995,Ingreso!$AL$11:$AM$260,2,0),0),0)</f>
        <v/>
      </c>
      <c r="N995" t="str">
        <f t="shared" si="69"/>
        <v>Revisar</v>
      </c>
    </row>
    <row r="996" spans="2:14">
      <c r="C996"/>
      <c r="D996" t="s">
        <v>1437</v>
      </c>
      <c r="E996" t="s">
        <v>4</v>
      </c>
      <c r="F996" s="78">
        <v>0.3125</v>
      </c>
      <c r="G996" s="55">
        <v>0.29480324074074077</v>
      </c>
      <c r="H996" s="55">
        <v>0.73304398148148142</v>
      </c>
      <c r="I996" s="55" t="str">
        <f t="shared" si="66"/>
        <v>16.149.604-9</v>
      </c>
      <c r="J996" s="55">
        <f t="shared" si="67"/>
        <v>0.43824074074074065</v>
      </c>
      <c r="K996" s="93">
        <f t="shared" si="68"/>
        <v>3.0177777777777752</v>
      </c>
      <c r="L996">
        <f>IFERROR(HLOOKUP(D996,Ingreso!$AN$10:$AT$260,VLOOKUP('cruce '!I996,Ingreso!$AL$11:$AM$260,2,0),0),0)</f>
        <v>2</v>
      </c>
      <c r="M996" s="95">
        <f>IFERROR(HLOOKUP(D996,Ingreso!$AW$10:$BC$260,VLOOKUP('cruce '!I996,Ingreso!$AL$11:$AM$260,2,0),0),0)</f>
        <v>0.5</v>
      </c>
      <c r="N996" t="str">
        <f t="shared" si="69"/>
        <v>Revisar</v>
      </c>
    </row>
    <row r="997" spans="2:14">
      <c r="C997"/>
      <c r="D997" t="s">
        <v>1438</v>
      </c>
      <c r="E997" t="s">
        <v>4</v>
      </c>
      <c r="F997" s="78">
        <v>0.3125</v>
      </c>
      <c r="G997" s="55">
        <v>0.29420138888888886</v>
      </c>
      <c r="H997" s="55">
        <v>0.72564814814814815</v>
      </c>
      <c r="I997" s="55" t="str">
        <f t="shared" si="66"/>
        <v>16.149.604-9</v>
      </c>
      <c r="J997" s="55">
        <f t="shared" si="67"/>
        <v>0.43144675925925929</v>
      </c>
      <c r="K997" s="93">
        <f t="shared" si="68"/>
        <v>2.8547222222222235</v>
      </c>
      <c r="L997">
        <f>IFERROR(HLOOKUP(D997,Ingreso!$AN$10:$AT$260,VLOOKUP('cruce '!I997,Ingreso!$AL$11:$AM$260,2,0),0),0)</f>
        <v>2</v>
      </c>
      <c r="M997" s="95">
        <f>IFERROR(HLOOKUP(D997,Ingreso!$AW$10:$BC$260,VLOOKUP('cruce '!I997,Ingreso!$AL$11:$AM$260,2,0),0),0)</f>
        <v>0.5</v>
      </c>
      <c r="N997" t="str">
        <f t="shared" si="69"/>
        <v>OK</v>
      </c>
    </row>
    <row r="998" spans="2:14">
      <c r="C998"/>
      <c r="D998" t="s">
        <v>1439</v>
      </c>
      <c r="E998" t="s">
        <v>4</v>
      </c>
      <c r="F998" s="78">
        <v>0.3125</v>
      </c>
      <c r="G998" s="55">
        <v>0.29487268518518517</v>
      </c>
      <c r="H998" s="55">
        <v>0.73262731481481491</v>
      </c>
      <c r="I998" s="55" t="str">
        <f t="shared" si="66"/>
        <v>16.149.604-9</v>
      </c>
      <c r="J998" s="55">
        <f t="shared" si="67"/>
        <v>0.43775462962962974</v>
      </c>
      <c r="K998" s="93">
        <f t="shared" si="68"/>
        <v>3.0061111111111138</v>
      </c>
      <c r="L998">
        <f>IFERROR(HLOOKUP(D998,Ingreso!$AN$10:$AT$260,VLOOKUP('cruce '!I998,Ingreso!$AL$11:$AM$260,2,0),0),0)</f>
        <v>2</v>
      </c>
      <c r="M998" s="95">
        <f>IFERROR(HLOOKUP(D998,Ingreso!$AW$10:$BC$260,VLOOKUP('cruce '!I998,Ingreso!$AL$11:$AM$260,2,0),0),0)</f>
        <v>0.5</v>
      </c>
      <c r="N998" t="str">
        <f t="shared" si="69"/>
        <v>Revisar</v>
      </c>
    </row>
    <row r="999" spans="2:14">
      <c r="B999" t="s">
        <v>1195</v>
      </c>
      <c r="C999" t="s">
        <v>1199</v>
      </c>
      <c r="D999" t="s">
        <v>1440</v>
      </c>
      <c r="E999" t="s">
        <v>1321</v>
      </c>
      <c r="F999" s="78">
        <v>0.3125</v>
      </c>
      <c r="G999" s="55">
        <v>0.60817129629629629</v>
      </c>
      <c r="H999" s="55">
        <v>0.9445486111111111</v>
      </c>
      <c r="I999" s="55" t="str">
        <f t="shared" si="66"/>
        <v>16.169.301-4</v>
      </c>
      <c r="J999" s="55">
        <f t="shared" si="67"/>
        <v>0.33637731481481481</v>
      </c>
      <c r="K999" s="93">
        <f t="shared" si="68"/>
        <v>0.57305555555555543</v>
      </c>
      <c r="L999">
        <f>IFERROR(HLOOKUP(D999,Ingreso!$AN$10:$AT$260,VLOOKUP('cruce '!I999,Ingreso!$AL$11:$AM$260,2,0),0),0)</f>
        <v>0</v>
      </c>
      <c r="M999" s="95">
        <f>IFERROR(HLOOKUP(D999,Ingreso!$AW$10:$BC$260,VLOOKUP('cruce '!I999,Ingreso!$AL$11:$AM$260,2,0),0),0)</f>
        <v>0</v>
      </c>
      <c r="N999" t="str">
        <f t="shared" si="69"/>
        <v>OK</v>
      </c>
    </row>
    <row r="1000" spans="2:14">
      <c r="C1000"/>
      <c r="D1000" t="s">
        <v>1441</v>
      </c>
      <c r="E1000" t="s">
        <v>1321</v>
      </c>
      <c r="F1000" s="78">
        <v>0.3125</v>
      </c>
      <c r="G1000" s="55">
        <v>0.61241898148148144</v>
      </c>
      <c r="H1000" s="55">
        <v>0.95113425925925921</v>
      </c>
      <c r="I1000" s="55" t="str">
        <f t="shared" si="66"/>
        <v>16.169.301-4</v>
      </c>
      <c r="J1000" s="55">
        <f t="shared" si="67"/>
        <v>0.33871527777777777</v>
      </c>
      <c r="K1000" s="93">
        <f t="shared" si="68"/>
        <v>0.62916666666666643</v>
      </c>
      <c r="L1000">
        <f>IFERROR(HLOOKUP(D1000,Ingreso!$AN$10:$AT$260,VLOOKUP('cruce '!I1000,Ingreso!$AL$11:$AM$260,2,0),0),0)</f>
        <v>0</v>
      </c>
      <c r="M1000" s="95">
        <f>IFERROR(HLOOKUP(D1000,Ingreso!$AW$10:$BC$260,VLOOKUP('cruce '!I1000,Ingreso!$AL$11:$AM$260,2,0),0),0)</f>
        <v>0</v>
      </c>
      <c r="N1000" t="str">
        <f t="shared" si="69"/>
        <v>OK</v>
      </c>
    </row>
    <row r="1001" spans="2:14">
      <c r="C1001"/>
      <c r="D1001" t="s">
        <v>1437</v>
      </c>
      <c r="E1001" t="s">
        <v>1321</v>
      </c>
      <c r="F1001" s="78">
        <v>0.3125</v>
      </c>
      <c r="G1001" s="55">
        <v>0.6057407407407408</v>
      </c>
      <c r="H1001" s="55">
        <v>0.94740740740740748</v>
      </c>
      <c r="I1001" s="55" t="str">
        <f t="shared" si="66"/>
        <v>16.169.301-4</v>
      </c>
      <c r="J1001" s="55">
        <f t="shared" si="67"/>
        <v>0.34166666666666667</v>
      </c>
      <c r="K1001" s="93">
        <f t="shared" si="68"/>
        <v>0.69999999999999929</v>
      </c>
      <c r="L1001">
        <f>IFERROR(HLOOKUP(D1001,Ingreso!$AN$10:$AT$260,VLOOKUP('cruce '!I1001,Ingreso!$AL$11:$AM$260,2,0),0),0)</f>
        <v>0</v>
      </c>
      <c r="M1001" s="95">
        <f>IFERROR(HLOOKUP(D1001,Ingreso!$AW$10:$BC$260,VLOOKUP('cruce '!I1001,Ingreso!$AL$11:$AM$260,2,0),0),0)</f>
        <v>0</v>
      </c>
      <c r="N1001" t="str">
        <f t="shared" si="69"/>
        <v>OK</v>
      </c>
    </row>
    <row r="1002" spans="2:14">
      <c r="C1002"/>
      <c r="D1002" t="s">
        <v>1438</v>
      </c>
      <c r="E1002" t="s">
        <v>1321</v>
      </c>
      <c r="F1002" s="78">
        <v>0.3125</v>
      </c>
      <c r="G1002" s="55">
        <v>0.60651620370370374</v>
      </c>
      <c r="H1002" s="55">
        <v>0.94524305555555566</v>
      </c>
      <c r="I1002" s="55" t="str">
        <f t="shared" si="66"/>
        <v>16.169.301-4</v>
      </c>
      <c r="J1002" s="55">
        <f t="shared" si="67"/>
        <v>0.33872685185185192</v>
      </c>
      <c r="K1002" s="93">
        <f t="shared" si="68"/>
        <v>0.62944444444444514</v>
      </c>
      <c r="L1002">
        <f>IFERROR(HLOOKUP(D1002,Ingreso!$AN$10:$AT$260,VLOOKUP('cruce '!I1002,Ingreso!$AL$11:$AM$260,2,0),0),0)</f>
        <v>0</v>
      </c>
      <c r="M1002" s="95">
        <f>IFERROR(HLOOKUP(D1002,Ingreso!$AW$10:$BC$260,VLOOKUP('cruce '!I1002,Ingreso!$AL$11:$AM$260,2,0),0),0)</f>
        <v>0</v>
      </c>
      <c r="N1002" t="str">
        <f t="shared" si="69"/>
        <v>OK</v>
      </c>
    </row>
    <row r="1003" spans="2:14">
      <c r="C1003"/>
      <c r="D1003" t="s">
        <v>1439</v>
      </c>
      <c r="E1003" t="s">
        <v>1321</v>
      </c>
      <c r="F1003" s="78">
        <v>0.3125</v>
      </c>
      <c r="G1003" s="55">
        <v>0.60678240740740741</v>
      </c>
      <c r="H1003" s="55">
        <v>0.94635416666666661</v>
      </c>
      <c r="I1003" s="55" t="str">
        <f t="shared" si="66"/>
        <v>16.169.301-4</v>
      </c>
      <c r="J1003" s="55">
        <f t="shared" si="67"/>
        <v>0.3395717592592592</v>
      </c>
      <c r="K1003" s="93">
        <f t="shared" si="68"/>
        <v>0.64972222222221987</v>
      </c>
      <c r="L1003">
        <f>IFERROR(HLOOKUP(D1003,Ingreso!$AN$10:$AT$260,VLOOKUP('cruce '!I1003,Ingreso!$AL$11:$AM$260,2,0),0),0)</f>
        <v>0</v>
      </c>
      <c r="M1003" s="95">
        <f>IFERROR(HLOOKUP(D1003,Ingreso!$AW$10:$BC$260,VLOOKUP('cruce '!I1003,Ingreso!$AL$11:$AM$260,2,0),0),0)</f>
        <v>0</v>
      </c>
      <c r="N1003" t="str">
        <f t="shared" si="69"/>
        <v>OK</v>
      </c>
    </row>
    <row r="1004" spans="2:14">
      <c r="B1004" t="s">
        <v>46</v>
      </c>
      <c r="C1004" t="s">
        <v>50</v>
      </c>
      <c r="D1004" t="s">
        <v>1440</v>
      </c>
      <c r="E1004" t="s">
        <v>1474</v>
      </c>
      <c r="F1004" t="s">
        <v>1472</v>
      </c>
      <c r="G1004" s="55">
        <v>0.32069444444444445</v>
      </c>
      <c r="H1004" s="55">
        <v>0.73270833333333341</v>
      </c>
      <c r="I1004" s="55" t="str">
        <f t="shared" si="66"/>
        <v>16.191.666-8</v>
      </c>
      <c r="J1004" s="55">
        <f t="shared" si="67"/>
        <v>0.41201388888888896</v>
      </c>
      <c r="K1004" s="93" t="e">
        <f t="shared" si="68"/>
        <v>#VALUE!</v>
      </c>
      <c r="L1004">
        <f>IFERROR(HLOOKUP(D1004,Ingreso!$AN$10:$AT$260,VLOOKUP('cruce '!I1004,Ingreso!$AL$11:$AM$260,2,0),0),0)</f>
        <v>0</v>
      </c>
      <c r="M1004" s="95" t="str">
        <f>IFERROR(HLOOKUP(D1004,Ingreso!$AW$10:$BC$260,VLOOKUP('cruce '!I1004,Ingreso!$AL$11:$AM$260,2,0),0),0)</f>
        <v/>
      </c>
      <c r="N1004" t="e">
        <f t="shared" si="69"/>
        <v>#VALUE!</v>
      </c>
    </row>
    <row r="1005" spans="2:14">
      <c r="C1005"/>
      <c r="D1005" t="s">
        <v>1437</v>
      </c>
      <c r="E1005" t="s">
        <v>1474</v>
      </c>
      <c r="F1005" t="s">
        <v>1472</v>
      </c>
      <c r="G1005" s="55">
        <v>0.3064236111111111</v>
      </c>
      <c r="H1005" s="55">
        <v>0.73502314814814806</v>
      </c>
      <c r="I1005" s="55" t="str">
        <f t="shared" si="66"/>
        <v>16.191.666-8</v>
      </c>
      <c r="J1005" s="55">
        <f t="shared" si="67"/>
        <v>0.42859953703703696</v>
      </c>
      <c r="K1005" s="93" t="e">
        <f t="shared" si="68"/>
        <v>#VALUE!</v>
      </c>
      <c r="L1005">
        <f>IFERROR(HLOOKUP(D1005,Ingreso!$AN$10:$AT$260,VLOOKUP('cruce '!I1005,Ingreso!$AL$11:$AM$260,2,0),0),0)</f>
        <v>0</v>
      </c>
      <c r="M1005" s="95" t="str">
        <f>IFERROR(HLOOKUP(D1005,Ingreso!$AW$10:$BC$260,VLOOKUP('cruce '!I1005,Ingreso!$AL$11:$AM$260,2,0),0),0)</f>
        <v/>
      </c>
      <c r="N1005" t="e">
        <f t="shared" si="69"/>
        <v>#VALUE!</v>
      </c>
    </row>
    <row r="1006" spans="2:14">
      <c r="C1006"/>
      <c r="D1006" t="s">
        <v>1438</v>
      </c>
      <c r="E1006" t="s">
        <v>1474</v>
      </c>
      <c r="F1006" t="s">
        <v>1472</v>
      </c>
      <c r="G1006" s="55">
        <v>0.31930555555555556</v>
      </c>
      <c r="H1006" s="55">
        <v>0.7354398148148148</v>
      </c>
      <c r="I1006" s="55" t="str">
        <f t="shared" si="66"/>
        <v>16.191.666-8</v>
      </c>
      <c r="J1006" s="55">
        <f t="shared" si="67"/>
        <v>0.41613425925925923</v>
      </c>
      <c r="K1006" s="93" t="e">
        <f t="shared" si="68"/>
        <v>#VALUE!</v>
      </c>
      <c r="L1006">
        <f>IFERROR(HLOOKUP(D1006,Ingreso!$AN$10:$AT$260,VLOOKUP('cruce '!I1006,Ingreso!$AL$11:$AM$260,2,0),0),0)</f>
        <v>0</v>
      </c>
      <c r="M1006" s="95" t="str">
        <f>IFERROR(HLOOKUP(D1006,Ingreso!$AW$10:$BC$260,VLOOKUP('cruce '!I1006,Ingreso!$AL$11:$AM$260,2,0),0),0)</f>
        <v/>
      </c>
      <c r="N1006" t="e">
        <f t="shared" si="69"/>
        <v>#VALUE!</v>
      </c>
    </row>
    <row r="1007" spans="2:14">
      <c r="C1007"/>
      <c r="D1007" t="s">
        <v>1439</v>
      </c>
      <c r="E1007" t="s">
        <v>1474</v>
      </c>
      <c r="F1007" t="s">
        <v>1472</v>
      </c>
      <c r="G1007" s="55">
        <v>0.29978009259259258</v>
      </c>
      <c r="H1007" s="55">
        <v>0.73539351851851853</v>
      </c>
      <c r="I1007" s="55" t="str">
        <f t="shared" si="66"/>
        <v>16.191.666-8</v>
      </c>
      <c r="J1007" s="55">
        <f t="shared" si="67"/>
        <v>0.43561342592592595</v>
      </c>
      <c r="K1007" s="93" t="e">
        <f t="shared" si="68"/>
        <v>#VALUE!</v>
      </c>
      <c r="L1007">
        <f>IFERROR(HLOOKUP(D1007,Ingreso!$AN$10:$AT$260,VLOOKUP('cruce '!I1007,Ingreso!$AL$11:$AM$260,2,0),0),0)</f>
        <v>0</v>
      </c>
      <c r="M1007" s="95" t="str">
        <f>IFERROR(HLOOKUP(D1007,Ingreso!$AW$10:$BC$260,VLOOKUP('cruce '!I1007,Ingreso!$AL$11:$AM$260,2,0),0),0)</f>
        <v/>
      </c>
      <c r="N1007" t="e">
        <f t="shared" si="69"/>
        <v>#VALUE!</v>
      </c>
    </row>
    <row r="1008" spans="2:14">
      <c r="B1008" t="s">
        <v>784</v>
      </c>
      <c r="C1008" t="s">
        <v>788</v>
      </c>
      <c r="D1008" t="s">
        <v>1440</v>
      </c>
      <c r="E1008" t="s">
        <v>1474</v>
      </c>
      <c r="F1008" t="s">
        <v>1472</v>
      </c>
      <c r="G1008" s="55">
        <v>0.30290509259259263</v>
      </c>
      <c r="H1008" s="55">
        <v>0.72677083333333325</v>
      </c>
      <c r="I1008" s="55" t="str">
        <f t="shared" si="66"/>
        <v>16.266.817-K</v>
      </c>
      <c r="J1008" s="55">
        <f t="shared" si="67"/>
        <v>0.42386574074074063</v>
      </c>
      <c r="K1008" s="93" t="e">
        <f t="shared" si="68"/>
        <v>#VALUE!</v>
      </c>
      <c r="L1008">
        <f>IFERROR(HLOOKUP(D1008,Ingreso!$AN$10:$AT$260,VLOOKUP('cruce '!I1008,Ingreso!$AL$11:$AM$260,2,0),0),0)</f>
        <v>0</v>
      </c>
      <c r="M1008" s="95" t="str">
        <f>IFERROR(HLOOKUP(D1008,Ingreso!$AW$10:$BC$260,VLOOKUP('cruce '!I1008,Ingreso!$AL$11:$AM$260,2,0),0),0)</f>
        <v/>
      </c>
      <c r="N1008" t="e">
        <f t="shared" si="69"/>
        <v>#VALUE!</v>
      </c>
    </row>
    <row r="1009" spans="2:14">
      <c r="C1009"/>
      <c r="D1009" t="s">
        <v>1441</v>
      </c>
      <c r="E1009" t="s">
        <v>1474</v>
      </c>
      <c r="F1009" t="s">
        <v>1472</v>
      </c>
      <c r="G1009" s="55">
        <v>0.30127314814814815</v>
      </c>
      <c r="H1009" s="55">
        <v>0.63900462962962956</v>
      </c>
      <c r="I1009" s="55" t="str">
        <f t="shared" si="66"/>
        <v>16.266.817-K</v>
      </c>
      <c r="J1009" s="55">
        <f t="shared" si="67"/>
        <v>0.33773148148148141</v>
      </c>
      <c r="K1009" s="93" t="e">
        <f t="shared" si="68"/>
        <v>#VALUE!</v>
      </c>
      <c r="L1009">
        <f>IFERROR(HLOOKUP(D1009,Ingreso!$AN$10:$AT$260,VLOOKUP('cruce '!I1009,Ingreso!$AL$11:$AM$260,2,0),0),0)</f>
        <v>0</v>
      </c>
      <c r="M1009" s="95" t="str">
        <f>IFERROR(HLOOKUP(D1009,Ingreso!$AW$10:$BC$260,VLOOKUP('cruce '!I1009,Ingreso!$AL$11:$AM$260,2,0),0),0)</f>
        <v/>
      </c>
      <c r="N1009" t="e">
        <f t="shared" si="69"/>
        <v>#VALUE!</v>
      </c>
    </row>
    <row r="1010" spans="2:14">
      <c r="C1010"/>
      <c r="D1010" t="s">
        <v>1437</v>
      </c>
      <c r="E1010" t="s">
        <v>1474</v>
      </c>
      <c r="F1010" t="s">
        <v>1472</v>
      </c>
      <c r="G1010" s="55">
        <v>0.29728009259259258</v>
      </c>
      <c r="H1010" s="55">
        <v>0.72958333333333336</v>
      </c>
      <c r="I1010" s="55" t="str">
        <f t="shared" si="66"/>
        <v>16.266.817-K</v>
      </c>
      <c r="J1010" s="55">
        <f t="shared" si="67"/>
        <v>0.43230324074074078</v>
      </c>
      <c r="K1010" s="93" t="e">
        <f t="shared" si="68"/>
        <v>#VALUE!</v>
      </c>
      <c r="L1010">
        <f>IFERROR(HLOOKUP(D1010,Ingreso!$AN$10:$AT$260,VLOOKUP('cruce '!I1010,Ingreso!$AL$11:$AM$260,2,0),0),0)</f>
        <v>2</v>
      </c>
      <c r="M1010" s="95">
        <f>IFERROR(HLOOKUP(D1010,Ingreso!$AW$10:$BC$260,VLOOKUP('cruce '!I1010,Ingreso!$AL$11:$AM$260,2,0),0),0)</f>
        <v>0.5</v>
      </c>
      <c r="N1010" t="e">
        <f t="shared" si="69"/>
        <v>#VALUE!</v>
      </c>
    </row>
    <row r="1011" spans="2:14">
      <c r="C1011"/>
      <c r="D1011" t="s">
        <v>1438</v>
      </c>
      <c r="E1011" t="s">
        <v>1474</v>
      </c>
      <c r="F1011" t="s">
        <v>1472</v>
      </c>
      <c r="G1011" s="55">
        <v>0.30774305555555553</v>
      </c>
      <c r="H1011" s="55">
        <v>0.63645833333333335</v>
      </c>
      <c r="I1011" s="55" t="str">
        <f t="shared" si="66"/>
        <v>16.266.817-K</v>
      </c>
      <c r="J1011" s="55">
        <f t="shared" si="67"/>
        <v>0.32871527777777781</v>
      </c>
      <c r="K1011" s="93" t="e">
        <f t="shared" si="68"/>
        <v>#VALUE!</v>
      </c>
      <c r="L1011">
        <f>IFERROR(HLOOKUP(D1011,Ingreso!$AN$10:$AT$260,VLOOKUP('cruce '!I1011,Ingreso!$AL$11:$AM$260,2,0),0),0)</f>
        <v>0</v>
      </c>
      <c r="M1011" s="95" t="str">
        <f>IFERROR(HLOOKUP(D1011,Ingreso!$AW$10:$BC$260,VLOOKUP('cruce '!I1011,Ingreso!$AL$11:$AM$260,2,0),0),0)</f>
        <v/>
      </c>
      <c r="N1011" t="e">
        <f t="shared" si="69"/>
        <v>#VALUE!</v>
      </c>
    </row>
    <row r="1012" spans="2:14">
      <c r="C1012"/>
      <c r="D1012" t="s">
        <v>1439</v>
      </c>
      <c r="E1012" t="s">
        <v>1474</v>
      </c>
      <c r="F1012" t="s">
        <v>1472</v>
      </c>
      <c r="G1012" s="55">
        <v>0.29857638888888888</v>
      </c>
      <c r="H1012" s="55">
        <v>0.73427083333333332</v>
      </c>
      <c r="I1012" s="55" t="str">
        <f t="shared" si="66"/>
        <v>16.266.817-K</v>
      </c>
      <c r="J1012" s="55">
        <f t="shared" si="67"/>
        <v>0.43569444444444444</v>
      </c>
      <c r="K1012" s="93" t="e">
        <f t="shared" si="68"/>
        <v>#VALUE!</v>
      </c>
      <c r="L1012">
        <f>IFERROR(HLOOKUP(D1012,Ingreso!$AN$10:$AT$260,VLOOKUP('cruce '!I1012,Ingreso!$AL$11:$AM$260,2,0),0),0)</f>
        <v>2</v>
      </c>
      <c r="M1012" s="95">
        <f>IFERROR(HLOOKUP(D1012,Ingreso!$AW$10:$BC$260,VLOOKUP('cruce '!I1012,Ingreso!$AL$11:$AM$260,2,0),0),0)</f>
        <v>0.5</v>
      </c>
      <c r="N1012" t="e">
        <f t="shared" si="69"/>
        <v>#VALUE!</v>
      </c>
    </row>
    <row r="1013" spans="2:14">
      <c r="B1013" t="s">
        <v>624</v>
      </c>
      <c r="C1013" t="s">
        <v>626</v>
      </c>
      <c r="D1013" t="s">
        <v>1440</v>
      </c>
      <c r="E1013" t="s">
        <v>4</v>
      </c>
      <c r="F1013" s="78">
        <v>0.3125</v>
      </c>
      <c r="G1013" s="55">
        <v>0.62590277777777781</v>
      </c>
      <c r="H1013" s="55"/>
      <c r="I1013" s="55" t="str">
        <f t="shared" si="66"/>
        <v>16.266.873-0</v>
      </c>
      <c r="J1013" s="55">
        <f t="shared" si="67"/>
        <v>0.37409722222222219</v>
      </c>
      <c r="K1013" s="93">
        <f t="shared" si="68"/>
        <v>1.4783333333333317</v>
      </c>
      <c r="L1013">
        <f>IFERROR(HLOOKUP(D1013,Ingreso!$AN$10:$AT$260,VLOOKUP('cruce '!I1013,Ingreso!$AL$11:$AM$260,2,0),0),0)</f>
        <v>0</v>
      </c>
      <c r="M1013" s="95">
        <f>IFERROR(HLOOKUP(D1013,Ingreso!$AW$10:$BC$260,VLOOKUP('cruce '!I1013,Ingreso!$AL$11:$AM$260,2,0),0),0)</f>
        <v>0</v>
      </c>
      <c r="N1013" t="str">
        <f t="shared" si="69"/>
        <v>Revisar</v>
      </c>
    </row>
    <row r="1014" spans="2:14">
      <c r="C1014"/>
      <c r="D1014"/>
      <c r="E1014" t="s">
        <v>1321</v>
      </c>
      <c r="F1014" s="78">
        <v>0.3125</v>
      </c>
      <c r="G1014" s="55"/>
      <c r="H1014" s="55">
        <v>0.94952546296296303</v>
      </c>
      <c r="I1014" s="55" t="str">
        <f t="shared" si="66"/>
        <v>16.266.873-0</v>
      </c>
      <c r="J1014" s="55">
        <f t="shared" si="67"/>
        <v>0.94952546296296303</v>
      </c>
      <c r="K1014" s="93">
        <f t="shared" si="68"/>
        <v>15.288611111111113</v>
      </c>
      <c r="L1014">
        <f>IFERROR(HLOOKUP(D1014,Ingreso!$AN$10:$AT$260,VLOOKUP('cruce '!I1014,Ingreso!$AL$11:$AM$260,2,0),0),0)</f>
        <v>0</v>
      </c>
      <c r="M1014" s="95">
        <f>IFERROR(HLOOKUP(D1014,Ingreso!$AW$10:$BC$260,VLOOKUP('cruce '!I1014,Ingreso!$AL$11:$AM$260,2,0),0),0)</f>
        <v>0</v>
      </c>
      <c r="N1014" t="str">
        <f t="shared" si="69"/>
        <v>Revisar</v>
      </c>
    </row>
    <row r="1015" spans="2:14">
      <c r="C1015"/>
      <c r="D1015" t="s">
        <v>1437</v>
      </c>
      <c r="E1015" t="s">
        <v>4</v>
      </c>
      <c r="F1015" s="78">
        <v>0.3125</v>
      </c>
      <c r="G1015" s="55">
        <v>0.66530092592592593</v>
      </c>
      <c r="H1015" s="55"/>
      <c r="I1015" s="55" t="str">
        <f t="shared" si="66"/>
        <v>16.266.873-0</v>
      </c>
      <c r="J1015" s="55">
        <f t="shared" si="67"/>
        <v>0.33469907407407407</v>
      </c>
      <c r="K1015" s="93">
        <f t="shared" si="68"/>
        <v>0.53277777777777757</v>
      </c>
      <c r="L1015">
        <f>IFERROR(HLOOKUP(D1015,Ingreso!$AN$10:$AT$260,VLOOKUP('cruce '!I1015,Ingreso!$AL$11:$AM$260,2,0),0),0)</f>
        <v>0</v>
      </c>
      <c r="M1015" s="95">
        <f>IFERROR(HLOOKUP(D1015,Ingreso!$AW$10:$BC$260,VLOOKUP('cruce '!I1015,Ingreso!$AL$11:$AM$260,2,0),0),0)</f>
        <v>0</v>
      </c>
      <c r="N1015" t="str">
        <f t="shared" si="69"/>
        <v>OK</v>
      </c>
    </row>
    <row r="1016" spans="2:14">
      <c r="C1016"/>
      <c r="D1016"/>
      <c r="E1016" t="s">
        <v>1323</v>
      </c>
      <c r="F1016" s="78">
        <v>0.375</v>
      </c>
      <c r="G1016" s="55"/>
      <c r="H1016" s="55">
        <v>0.9340856481481481</v>
      </c>
      <c r="I1016" s="55" t="str">
        <f t="shared" si="66"/>
        <v>16.266.873-0</v>
      </c>
      <c r="J1016" s="55">
        <f t="shared" si="67"/>
        <v>0.9340856481481481</v>
      </c>
      <c r="K1016" s="93">
        <f t="shared" si="68"/>
        <v>13.418055555555554</v>
      </c>
      <c r="L1016">
        <f>IFERROR(HLOOKUP(D1016,Ingreso!$AN$10:$AT$260,VLOOKUP('cruce '!I1016,Ingreso!$AL$11:$AM$260,2,0),0),0)</f>
        <v>0</v>
      </c>
      <c r="M1016" s="95">
        <f>IFERROR(HLOOKUP(D1016,Ingreso!$AW$10:$BC$260,VLOOKUP('cruce '!I1016,Ingreso!$AL$11:$AM$260,2,0),0),0)</f>
        <v>0</v>
      </c>
      <c r="N1016" t="str">
        <f t="shared" si="69"/>
        <v>Revisar</v>
      </c>
    </row>
    <row r="1017" spans="2:14">
      <c r="C1017"/>
      <c r="D1017" t="s">
        <v>1438</v>
      </c>
      <c r="E1017" t="s">
        <v>1321</v>
      </c>
      <c r="F1017" s="78">
        <v>0.3125</v>
      </c>
      <c r="G1017" s="55">
        <v>0.6153819444444445</v>
      </c>
      <c r="H1017" s="55"/>
      <c r="I1017" s="55" t="str">
        <f t="shared" si="66"/>
        <v>16.266.873-0</v>
      </c>
      <c r="J1017" s="55">
        <f t="shared" si="67"/>
        <v>0.3846180555555555</v>
      </c>
      <c r="K1017" s="93">
        <f t="shared" si="68"/>
        <v>1.730833333333333</v>
      </c>
      <c r="L1017">
        <f>IFERROR(HLOOKUP(D1017,Ingreso!$AN$10:$AT$260,VLOOKUP('cruce '!I1017,Ingreso!$AL$11:$AM$260,2,0),0),0)</f>
        <v>0</v>
      </c>
      <c r="M1017" s="95">
        <f>IFERROR(HLOOKUP(D1017,Ingreso!$AW$10:$BC$260,VLOOKUP('cruce '!I1017,Ingreso!$AL$11:$AM$260,2,0),0),0)</f>
        <v>0</v>
      </c>
      <c r="N1017" t="str">
        <f t="shared" si="69"/>
        <v>Revisar</v>
      </c>
    </row>
    <row r="1018" spans="2:14">
      <c r="C1018"/>
      <c r="D1018"/>
      <c r="E1018" t="s">
        <v>1323</v>
      </c>
      <c r="F1018" s="78">
        <v>0.375</v>
      </c>
      <c r="G1018" s="55"/>
      <c r="H1018" s="55">
        <v>0.93637731481481479</v>
      </c>
      <c r="I1018" s="55" t="str">
        <f t="shared" si="66"/>
        <v>16.266.873-0</v>
      </c>
      <c r="J1018" s="55">
        <f t="shared" si="67"/>
        <v>0.93637731481481479</v>
      </c>
      <c r="K1018" s="93">
        <f t="shared" si="68"/>
        <v>13.473055555555554</v>
      </c>
      <c r="L1018">
        <f>IFERROR(HLOOKUP(D1018,Ingreso!$AN$10:$AT$260,VLOOKUP('cruce '!I1018,Ingreso!$AL$11:$AM$260,2,0),0),0)</f>
        <v>0</v>
      </c>
      <c r="M1018" s="95">
        <f>IFERROR(HLOOKUP(D1018,Ingreso!$AW$10:$BC$260,VLOOKUP('cruce '!I1018,Ingreso!$AL$11:$AM$260,2,0),0),0)</f>
        <v>0</v>
      </c>
      <c r="N1018" t="str">
        <f t="shared" si="69"/>
        <v>Revisar</v>
      </c>
    </row>
    <row r="1019" spans="2:14">
      <c r="C1019"/>
      <c r="D1019" t="s">
        <v>1439</v>
      </c>
      <c r="E1019" t="s">
        <v>1321</v>
      </c>
      <c r="F1019" s="78">
        <v>0.3125</v>
      </c>
      <c r="G1019" s="55">
        <v>0.61430555555555555</v>
      </c>
      <c r="H1019" s="55"/>
      <c r="I1019" s="55" t="str">
        <f t="shared" si="66"/>
        <v>16.266.873-0</v>
      </c>
      <c r="J1019" s="55">
        <f t="shared" si="67"/>
        <v>0.38569444444444445</v>
      </c>
      <c r="K1019" s="93">
        <f t="shared" si="68"/>
        <v>1.7566666666666677</v>
      </c>
      <c r="L1019">
        <f>IFERROR(HLOOKUP(D1019,Ingreso!$AN$10:$AT$260,VLOOKUP('cruce '!I1019,Ingreso!$AL$11:$AM$260,2,0),0),0)</f>
        <v>0</v>
      </c>
      <c r="M1019" s="95">
        <f>IFERROR(HLOOKUP(D1019,Ingreso!$AW$10:$BC$260,VLOOKUP('cruce '!I1019,Ingreso!$AL$11:$AM$260,2,0),0),0)</f>
        <v>0</v>
      </c>
      <c r="N1019" t="str">
        <f t="shared" si="69"/>
        <v>Revisar</v>
      </c>
    </row>
    <row r="1020" spans="2:14">
      <c r="C1020"/>
      <c r="D1020"/>
      <c r="E1020" t="s">
        <v>1323</v>
      </c>
      <c r="F1020" s="78">
        <v>0.375</v>
      </c>
      <c r="G1020" s="55"/>
      <c r="H1020" s="55">
        <v>0.93600694444444443</v>
      </c>
      <c r="I1020" s="55" t="str">
        <f t="shared" si="66"/>
        <v>16.266.873-0</v>
      </c>
      <c r="J1020" s="55">
        <f t="shared" si="67"/>
        <v>0.93600694444444443</v>
      </c>
      <c r="K1020" s="93">
        <f t="shared" si="68"/>
        <v>13.464166666666667</v>
      </c>
      <c r="L1020">
        <f>IFERROR(HLOOKUP(D1020,Ingreso!$AN$10:$AT$260,VLOOKUP('cruce '!I1020,Ingreso!$AL$11:$AM$260,2,0),0),0)</f>
        <v>0</v>
      </c>
      <c r="M1020" s="95">
        <f>IFERROR(HLOOKUP(D1020,Ingreso!$AW$10:$BC$260,VLOOKUP('cruce '!I1020,Ingreso!$AL$11:$AM$260,2,0),0),0)</f>
        <v>0</v>
      </c>
      <c r="N1020" t="str">
        <f t="shared" si="69"/>
        <v>Revisar</v>
      </c>
    </row>
    <row r="1021" spans="2:14">
      <c r="B1021" t="s">
        <v>1082</v>
      </c>
      <c r="C1021" t="s">
        <v>1085</v>
      </c>
      <c r="D1021" t="s">
        <v>1440</v>
      </c>
      <c r="E1021" t="s">
        <v>1321</v>
      </c>
      <c r="F1021" s="78">
        <v>0.3125</v>
      </c>
      <c r="G1021" s="55">
        <v>0.96358796296296301</v>
      </c>
      <c r="H1021" s="55"/>
      <c r="I1021" s="55" t="str">
        <f t="shared" si="66"/>
        <v>16.267.560-5</v>
      </c>
      <c r="J1021" s="55">
        <f t="shared" si="67"/>
        <v>3.6412037037036993E-2</v>
      </c>
      <c r="K1021" s="93">
        <f t="shared" si="68"/>
        <v>-6.6261111111111122</v>
      </c>
      <c r="L1021">
        <f>IFERROR(HLOOKUP(D1021,Ingreso!$AN$10:$AT$260,VLOOKUP('cruce '!I1021,Ingreso!$AL$11:$AM$260,2,0),0),0)</f>
        <v>0</v>
      </c>
      <c r="M1021" s="95">
        <f>IFERROR(HLOOKUP(D1021,Ingreso!$AW$10:$BC$260,VLOOKUP('cruce '!I1021,Ingreso!$AL$11:$AM$260,2,0),0),0)</f>
        <v>0</v>
      </c>
      <c r="N1021" t="str">
        <f t="shared" si="69"/>
        <v>Revisar</v>
      </c>
    </row>
    <row r="1022" spans="2:14">
      <c r="C1022"/>
      <c r="D1022"/>
      <c r="E1022" t="s">
        <v>1323</v>
      </c>
      <c r="F1022" s="78">
        <v>0.375</v>
      </c>
      <c r="G1022" s="55"/>
      <c r="H1022" s="55">
        <v>0.32604166666666667</v>
      </c>
      <c r="I1022" s="55" t="str">
        <f t="shared" si="66"/>
        <v>16.267.560-5</v>
      </c>
      <c r="J1022" s="55">
        <f t="shared" si="67"/>
        <v>0.32604166666666667</v>
      </c>
      <c r="K1022" s="93">
        <f t="shared" si="68"/>
        <v>-1.1749999999999998</v>
      </c>
      <c r="L1022">
        <f>IFERROR(HLOOKUP(D1022,Ingreso!$AN$10:$AT$260,VLOOKUP('cruce '!I1022,Ingreso!$AL$11:$AM$260,2,0),0),0)</f>
        <v>0</v>
      </c>
      <c r="M1022" s="95">
        <f>IFERROR(HLOOKUP(D1022,Ingreso!$AW$10:$BC$260,VLOOKUP('cruce '!I1022,Ingreso!$AL$11:$AM$260,2,0),0),0)</f>
        <v>0</v>
      </c>
      <c r="N1022" t="str">
        <f t="shared" si="69"/>
        <v>Revisar</v>
      </c>
    </row>
    <row r="1023" spans="2:14">
      <c r="C1023"/>
      <c r="D1023" t="s">
        <v>1441</v>
      </c>
      <c r="E1023" t="s">
        <v>1323</v>
      </c>
      <c r="F1023" s="78">
        <v>0.375</v>
      </c>
      <c r="G1023" s="55"/>
      <c r="H1023" s="55">
        <v>0.32033564814814813</v>
      </c>
      <c r="I1023" s="55" t="str">
        <f t="shared" ref="I1023:I1086" si="70">IF(B1023="",I1022,B1023)</f>
        <v>16.267.560-5</v>
      </c>
      <c r="J1023" s="55">
        <f t="shared" ref="J1023:J1086" si="71">IF(G1023&gt;H1023,(H1023+0.5)-(G1023-0.5),H1023-G1023)</f>
        <v>0.32033564814814813</v>
      </c>
      <c r="K1023" s="93">
        <f t="shared" ref="K1023:K1086" si="72">(J1023*24)-(F1023*24)</f>
        <v>-1.3119444444444444</v>
      </c>
      <c r="L1023">
        <f>IFERROR(HLOOKUP(D1023,Ingreso!$AN$10:$AT$260,VLOOKUP('cruce '!I1023,Ingreso!$AL$11:$AM$260,2,0),0),0)</f>
        <v>0</v>
      </c>
      <c r="M1023" s="95">
        <f>IFERROR(HLOOKUP(D1023,Ingreso!$AW$10:$BC$260,VLOOKUP('cruce '!I1023,Ingreso!$AL$11:$AM$260,2,0),0),0)</f>
        <v>0</v>
      </c>
      <c r="N1023" t="str">
        <f t="shared" ref="N1023:N1086" si="73">IF((K1023-L1023)&gt;1,"Revisar",IF((K1023-L1023)&lt;-1,"Revisar","OK"))</f>
        <v>Revisar</v>
      </c>
    </row>
    <row r="1024" spans="2:14">
      <c r="C1024"/>
      <c r="D1024" t="s">
        <v>1437</v>
      </c>
      <c r="E1024" t="s">
        <v>1321</v>
      </c>
      <c r="F1024" s="78">
        <v>0.3125</v>
      </c>
      <c r="G1024" s="55">
        <v>0.96586805555555555</v>
      </c>
      <c r="H1024" s="55"/>
      <c r="I1024" s="55" t="str">
        <f t="shared" si="70"/>
        <v>16.267.560-5</v>
      </c>
      <c r="J1024" s="55">
        <f t="shared" si="71"/>
        <v>3.4131944444444451E-2</v>
      </c>
      <c r="K1024" s="93">
        <f t="shared" si="72"/>
        <v>-6.6808333333333332</v>
      </c>
      <c r="L1024">
        <f>IFERROR(HLOOKUP(D1024,Ingreso!$AN$10:$AT$260,VLOOKUP('cruce '!I1024,Ingreso!$AL$11:$AM$260,2,0),0),0)</f>
        <v>0</v>
      </c>
      <c r="M1024" s="95">
        <f>IFERROR(HLOOKUP(D1024,Ingreso!$AW$10:$BC$260,VLOOKUP('cruce '!I1024,Ingreso!$AL$11:$AM$260,2,0),0),0)</f>
        <v>0</v>
      </c>
      <c r="N1024" t="str">
        <f t="shared" si="73"/>
        <v>Revisar</v>
      </c>
    </row>
    <row r="1025" spans="2:14">
      <c r="C1025"/>
      <c r="D1025" t="s">
        <v>1438</v>
      </c>
      <c r="E1025" t="s">
        <v>1323</v>
      </c>
      <c r="F1025" s="78">
        <v>0.375</v>
      </c>
      <c r="G1025" s="55">
        <v>0.92982638888888891</v>
      </c>
      <c r="H1025" s="55">
        <v>0.32092592592592589</v>
      </c>
      <c r="I1025" s="55" t="str">
        <f t="shared" si="70"/>
        <v>16.267.560-5</v>
      </c>
      <c r="J1025" s="55">
        <f t="shared" si="71"/>
        <v>0.39109953703703693</v>
      </c>
      <c r="K1025" s="93">
        <f t="shared" si="72"/>
        <v>0.38638888888888623</v>
      </c>
      <c r="L1025">
        <f>IFERROR(HLOOKUP(D1025,Ingreso!$AN$10:$AT$260,VLOOKUP('cruce '!I1025,Ingreso!$AL$11:$AM$260,2,0),0),0)</f>
        <v>0</v>
      </c>
      <c r="M1025" s="95">
        <f>IFERROR(HLOOKUP(D1025,Ingreso!$AW$10:$BC$260,VLOOKUP('cruce '!I1025,Ingreso!$AL$11:$AM$260,2,0),0),0)</f>
        <v>0</v>
      </c>
      <c r="N1025" t="str">
        <f t="shared" si="73"/>
        <v>OK</v>
      </c>
    </row>
    <row r="1026" spans="2:14">
      <c r="C1026"/>
      <c r="D1026" t="s">
        <v>1439</v>
      </c>
      <c r="E1026" t="s">
        <v>1321</v>
      </c>
      <c r="F1026" s="78">
        <v>0.3125</v>
      </c>
      <c r="G1026" s="55">
        <v>0.95171296296296293</v>
      </c>
      <c r="H1026" s="55"/>
      <c r="I1026" s="55" t="str">
        <f t="shared" si="70"/>
        <v>16.267.560-5</v>
      </c>
      <c r="J1026" s="55">
        <f t="shared" si="71"/>
        <v>4.8287037037037073E-2</v>
      </c>
      <c r="K1026" s="93">
        <f t="shared" si="72"/>
        <v>-6.3411111111111103</v>
      </c>
      <c r="L1026">
        <f>IFERROR(HLOOKUP(D1026,Ingreso!$AN$10:$AT$260,VLOOKUP('cruce '!I1026,Ingreso!$AL$11:$AM$260,2,0),0),0)</f>
        <v>0</v>
      </c>
      <c r="M1026" s="95">
        <f>IFERROR(HLOOKUP(D1026,Ingreso!$AW$10:$BC$260,VLOOKUP('cruce '!I1026,Ingreso!$AL$11:$AM$260,2,0),0),0)</f>
        <v>0</v>
      </c>
      <c r="N1026" t="str">
        <f t="shared" si="73"/>
        <v>Revisar</v>
      </c>
    </row>
    <row r="1027" spans="2:14">
      <c r="C1027"/>
      <c r="D1027"/>
      <c r="E1027" t="s">
        <v>1323</v>
      </c>
      <c r="F1027" s="78">
        <v>0.375</v>
      </c>
      <c r="G1027" s="55"/>
      <c r="H1027" s="55">
        <v>0.32915509259259262</v>
      </c>
      <c r="I1027" s="55" t="str">
        <f t="shared" si="70"/>
        <v>16.267.560-5</v>
      </c>
      <c r="J1027" s="55">
        <f t="shared" si="71"/>
        <v>0.32915509259259262</v>
      </c>
      <c r="K1027" s="93">
        <f t="shared" si="72"/>
        <v>-1.1002777777777766</v>
      </c>
      <c r="L1027">
        <f>IFERROR(HLOOKUP(D1027,Ingreso!$AN$10:$AT$260,VLOOKUP('cruce '!I1027,Ingreso!$AL$11:$AM$260,2,0),0),0)</f>
        <v>0</v>
      </c>
      <c r="M1027" s="95">
        <f>IFERROR(HLOOKUP(D1027,Ingreso!$AW$10:$BC$260,VLOOKUP('cruce '!I1027,Ingreso!$AL$11:$AM$260,2,0),0),0)</f>
        <v>0</v>
      </c>
      <c r="N1027" t="str">
        <f t="shared" si="73"/>
        <v>Revisar</v>
      </c>
    </row>
    <row r="1028" spans="2:14">
      <c r="B1028" t="s">
        <v>1283</v>
      </c>
      <c r="C1028" t="s">
        <v>1285</v>
      </c>
      <c r="D1028" t="s">
        <v>1437</v>
      </c>
      <c r="E1028" t="s">
        <v>1323</v>
      </c>
      <c r="F1028" s="78">
        <v>0.375</v>
      </c>
      <c r="G1028" s="55">
        <v>0.92224537037037047</v>
      </c>
      <c r="H1028" s="55"/>
      <c r="I1028" s="55" t="str">
        <f t="shared" si="70"/>
        <v>16.268.829-4</v>
      </c>
      <c r="J1028" s="55">
        <f t="shared" si="71"/>
        <v>7.7754629629629535E-2</v>
      </c>
      <c r="K1028" s="93">
        <f t="shared" si="72"/>
        <v>-7.1338888888888912</v>
      </c>
      <c r="L1028">
        <f>IFERROR(HLOOKUP(D1028,Ingreso!$AN$10:$AT$260,VLOOKUP('cruce '!I1028,Ingreso!$AL$11:$AM$260,2,0),0),0)</f>
        <v>0</v>
      </c>
      <c r="M1028" s="95">
        <f>IFERROR(HLOOKUP(D1028,Ingreso!$AW$10:$BC$260,VLOOKUP('cruce '!I1028,Ingreso!$AL$11:$AM$260,2,0),0),0)</f>
        <v>0</v>
      </c>
      <c r="N1028" t="str">
        <f t="shared" si="73"/>
        <v>Revisar</v>
      </c>
    </row>
    <row r="1029" spans="2:14">
      <c r="C1029"/>
      <c r="D1029" t="s">
        <v>1438</v>
      </c>
      <c r="E1029" t="s">
        <v>1323</v>
      </c>
      <c r="F1029" s="78">
        <v>0.375</v>
      </c>
      <c r="G1029" s="55"/>
      <c r="H1029" s="55">
        <v>0.32699074074074075</v>
      </c>
      <c r="I1029" s="55" t="str">
        <f t="shared" si="70"/>
        <v>16.268.829-4</v>
      </c>
      <c r="J1029" s="55">
        <f t="shared" si="71"/>
        <v>0.32699074074074075</v>
      </c>
      <c r="K1029" s="93">
        <f t="shared" si="72"/>
        <v>-1.152222222222222</v>
      </c>
      <c r="L1029">
        <f>IFERROR(HLOOKUP(D1029,Ingreso!$AN$10:$AT$260,VLOOKUP('cruce '!I1029,Ingreso!$AL$11:$AM$260,2,0),0),0)</f>
        <v>0</v>
      </c>
      <c r="M1029" s="95">
        <f>IFERROR(HLOOKUP(D1029,Ingreso!$AW$10:$BC$260,VLOOKUP('cruce '!I1029,Ingreso!$AL$11:$AM$260,2,0),0),0)</f>
        <v>0</v>
      </c>
      <c r="N1029" t="str">
        <f t="shared" si="73"/>
        <v>Revisar</v>
      </c>
    </row>
    <row r="1030" spans="2:14">
      <c r="B1030" t="s">
        <v>898</v>
      </c>
      <c r="C1030" t="s">
        <v>900</v>
      </c>
      <c r="D1030" t="s">
        <v>1440</v>
      </c>
      <c r="E1030" t="s">
        <v>1321</v>
      </c>
      <c r="F1030" s="78">
        <v>0.3125</v>
      </c>
      <c r="G1030" s="55">
        <v>0.60883101851851851</v>
      </c>
      <c r="H1030" s="55">
        <v>0.94671296296296292</v>
      </c>
      <c r="I1030" s="55" t="str">
        <f t="shared" si="70"/>
        <v>16.296.340-6</v>
      </c>
      <c r="J1030" s="55">
        <f t="shared" si="71"/>
        <v>0.33788194444444442</v>
      </c>
      <c r="K1030" s="93">
        <f t="shared" si="72"/>
        <v>0.60916666666666686</v>
      </c>
      <c r="L1030">
        <f>IFERROR(HLOOKUP(D1030,Ingreso!$AN$10:$AT$260,VLOOKUP('cruce '!I1030,Ingreso!$AL$11:$AM$260,2,0),0),0)</f>
        <v>0</v>
      </c>
      <c r="M1030" s="95" t="str">
        <f>IFERROR(HLOOKUP(D1030,Ingreso!$AW$10:$BC$260,VLOOKUP('cruce '!I1030,Ingreso!$AL$11:$AM$260,2,0),0),0)</f>
        <v/>
      </c>
      <c r="N1030" t="str">
        <f t="shared" si="73"/>
        <v>OK</v>
      </c>
    </row>
    <row r="1031" spans="2:14">
      <c r="C1031"/>
      <c r="D1031" t="s">
        <v>1441</v>
      </c>
      <c r="E1031" t="s">
        <v>1321</v>
      </c>
      <c r="F1031" s="78">
        <v>0.3125</v>
      </c>
      <c r="G1031" s="55">
        <v>0.609375</v>
      </c>
      <c r="H1031" s="55">
        <v>0.80665509259259249</v>
      </c>
      <c r="I1031" s="55" t="str">
        <f t="shared" si="70"/>
        <v>16.296.340-6</v>
      </c>
      <c r="J1031" s="55">
        <f t="shared" si="71"/>
        <v>0.19728009259259249</v>
      </c>
      <c r="K1031" s="93">
        <f t="shared" si="72"/>
        <v>-2.7652777777777802</v>
      </c>
      <c r="L1031">
        <f>IFERROR(HLOOKUP(D1031,Ingreso!$AN$10:$AT$260,VLOOKUP('cruce '!I1031,Ingreso!$AL$11:$AM$260,2,0),0),0)</f>
        <v>0</v>
      </c>
      <c r="M1031" s="95" t="str">
        <f>IFERROR(HLOOKUP(D1031,Ingreso!$AW$10:$BC$260,VLOOKUP('cruce '!I1031,Ingreso!$AL$11:$AM$260,2,0),0),0)</f>
        <v/>
      </c>
      <c r="N1031" t="str">
        <f t="shared" si="73"/>
        <v>Revisar</v>
      </c>
    </row>
    <row r="1032" spans="2:14">
      <c r="C1032"/>
      <c r="D1032" t="s">
        <v>1437</v>
      </c>
      <c r="E1032" t="s">
        <v>1321</v>
      </c>
      <c r="F1032" s="78">
        <v>0.3125</v>
      </c>
      <c r="G1032" s="55">
        <v>0.30269675925925926</v>
      </c>
      <c r="H1032" s="55">
        <v>0.63451388888888893</v>
      </c>
      <c r="I1032" s="55" t="str">
        <f t="shared" si="70"/>
        <v>16.296.340-6</v>
      </c>
      <c r="J1032" s="55">
        <f t="shared" si="71"/>
        <v>0.33181712962962967</v>
      </c>
      <c r="K1032" s="93">
        <f t="shared" si="72"/>
        <v>0.46361111111111164</v>
      </c>
      <c r="L1032">
        <f>IFERROR(HLOOKUP(D1032,Ingreso!$AN$10:$AT$260,VLOOKUP('cruce '!I1032,Ingreso!$AL$11:$AM$260,2,0),0),0)</f>
        <v>0</v>
      </c>
      <c r="M1032" s="95" t="str">
        <f>IFERROR(HLOOKUP(D1032,Ingreso!$AW$10:$BC$260,VLOOKUP('cruce '!I1032,Ingreso!$AL$11:$AM$260,2,0),0),0)</f>
        <v/>
      </c>
      <c r="N1032" t="str">
        <f t="shared" si="73"/>
        <v>OK</v>
      </c>
    </row>
    <row r="1033" spans="2:14">
      <c r="C1033"/>
      <c r="D1033" t="s">
        <v>1438</v>
      </c>
      <c r="E1033" t="s">
        <v>1321</v>
      </c>
      <c r="F1033" s="78">
        <v>0.3125</v>
      </c>
      <c r="G1033" s="55">
        <v>0.60925925925925928</v>
      </c>
      <c r="H1033" s="55">
        <v>0.94475694444444447</v>
      </c>
      <c r="I1033" s="55" t="str">
        <f t="shared" si="70"/>
        <v>16.296.340-6</v>
      </c>
      <c r="J1033" s="55">
        <f t="shared" si="71"/>
        <v>0.33549768518518519</v>
      </c>
      <c r="K1033" s="93">
        <f t="shared" si="72"/>
        <v>0.55194444444444457</v>
      </c>
      <c r="L1033">
        <f>IFERROR(HLOOKUP(D1033,Ingreso!$AN$10:$AT$260,VLOOKUP('cruce '!I1033,Ingreso!$AL$11:$AM$260,2,0),0),0)</f>
        <v>0</v>
      </c>
      <c r="M1033" s="95" t="str">
        <f>IFERROR(HLOOKUP(D1033,Ingreso!$AW$10:$BC$260,VLOOKUP('cruce '!I1033,Ingreso!$AL$11:$AM$260,2,0),0),0)</f>
        <v/>
      </c>
      <c r="N1033" t="str">
        <f t="shared" si="73"/>
        <v>OK</v>
      </c>
    </row>
    <row r="1034" spans="2:14">
      <c r="C1034"/>
      <c r="D1034" t="s">
        <v>1439</v>
      </c>
      <c r="E1034" t="s">
        <v>1321</v>
      </c>
      <c r="F1034" s="78">
        <v>0.3125</v>
      </c>
      <c r="G1034" s="55">
        <v>0.60862268518518514</v>
      </c>
      <c r="H1034" s="55">
        <v>0.94483796296296296</v>
      </c>
      <c r="I1034" s="55" t="str">
        <f t="shared" si="70"/>
        <v>16.296.340-6</v>
      </c>
      <c r="J1034" s="55">
        <f t="shared" si="71"/>
        <v>0.33621527777777782</v>
      </c>
      <c r="K1034" s="93">
        <f t="shared" si="72"/>
        <v>0.56916666666666771</v>
      </c>
      <c r="L1034">
        <f>IFERROR(HLOOKUP(D1034,Ingreso!$AN$10:$AT$260,VLOOKUP('cruce '!I1034,Ingreso!$AL$11:$AM$260,2,0),0),0)</f>
        <v>0</v>
      </c>
      <c r="M1034" s="95" t="str">
        <f>IFERROR(HLOOKUP(D1034,Ingreso!$AW$10:$BC$260,VLOOKUP('cruce '!I1034,Ingreso!$AL$11:$AM$260,2,0),0),0)</f>
        <v/>
      </c>
      <c r="N1034" t="str">
        <f t="shared" si="73"/>
        <v>OK</v>
      </c>
    </row>
    <row r="1035" spans="2:14">
      <c r="B1035" t="s">
        <v>1350</v>
      </c>
      <c r="C1035" t="s">
        <v>416</v>
      </c>
      <c r="D1035" t="s">
        <v>1440</v>
      </c>
      <c r="E1035" t="s">
        <v>1474</v>
      </c>
      <c r="F1035" t="s">
        <v>1472</v>
      </c>
      <c r="G1035" s="55">
        <v>0.31184027777777779</v>
      </c>
      <c r="H1035" s="55">
        <v>0.64042824074074078</v>
      </c>
      <c r="I1035" s="55" t="str">
        <f t="shared" si="70"/>
        <v>16.380.050-0</v>
      </c>
      <c r="J1035" s="55">
        <f t="shared" si="71"/>
        <v>0.328587962962963</v>
      </c>
      <c r="K1035" s="93" t="e">
        <f t="shared" si="72"/>
        <v>#VALUE!</v>
      </c>
      <c r="L1035">
        <f>IFERROR(HLOOKUP(D1035,Ingreso!$AN$10:$AT$260,VLOOKUP('cruce '!I1035,Ingreso!$AL$11:$AM$260,2,0),0),0)</f>
        <v>0</v>
      </c>
      <c r="M1035" s="95" t="str">
        <f>IFERROR(HLOOKUP(D1035,Ingreso!$AW$10:$BC$260,VLOOKUP('cruce '!I1035,Ingreso!$AL$11:$AM$260,2,0),0),0)</f>
        <v/>
      </c>
      <c r="N1035" t="e">
        <f t="shared" si="73"/>
        <v>#VALUE!</v>
      </c>
    </row>
    <row r="1036" spans="2:14">
      <c r="C1036"/>
      <c r="D1036" t="s">
        <v>1441</v>
      </c>
      <c r="E1036" t="s">
        <v>1474</v>
      </c>
      <c r="F1036" t="s">
        <v>1472</v>
      </c>
      <c r="G1036" s="55">
        <v>0.30501157407407409</v>
      </c>
      <c r="H1036" s="55">
        <v>0.64437500000000003</v>
      </c>
      <c r="I1036" s="55" t="str">
        <f t="shared" si="70"/>
        <v>16.380.050-0</v>
      </c>
      <c r="J1036" s="55">
        <f t="shared" si="71"/>
        <v>0.33936342592592594</v>
      </c>
      <c r="K1036" s="93" t="e">
        <f t="shared" si="72"/>
        <v>#VALUE!</v>
      </c>
      <c r="L1036">
        <f>IFERROR(HLOOKUP(D1036,Ingreso!$AN$10:$AT$260,VLOOKUP('cruce '!I1036,Ingreso!$AL$11:$AM$260,2,0),0),0)</f>
        <v>0</v>
      </c>
      <c r="M1036" s="95" t="str">
        <f>IFERROR(HLOOKUP(D1036,Ingreso!$AW$10:$BC$260,VLOOKUP('cruce '!I1036,Ingreso!$AL$11:$AM$260,2,0),0),0)</f>
        <v/>
      </c>
      <c r="N1036" t="e">
        <f t="shared" si="73"/>
        <v>#VALUE!</v>
      </c>
    </row>
    <row r="1037" spans="2:14">
      <c r="C1037"/>
      <c r="D1037" t="s">
        <v>1437</v>
      </c>
      <c r="E1037" t="s">
        <v>1474</v>
      </c>
      <c r="F1037" t="s">
        <v>1472</v>
      </c>
      <c r="G1037" s="55">
        <v>0.30765046296296295</v>
      </c>
      <c r="H1037" s="55">
        <v>0.63905092592592594</v>
      </c>
      <c r="I1037" s="55" t="str">
        <f t="shared" si="70"/>
        <v>16.380.050-0</v>
      </c>
      <c r="J1037" s="55">
        <f t="shared" si="71"/>
        <v>0.33140046296296299</v>
      </c>
      <c r="K1037" s="93" t="e">
        <f t="shared" si="72"/>
        <v>#VALUE!</v>
      </c>
      <c r="L1037">
        <f>IFERROR(HLOOKUP(D1037,Ingreso!$AN$10:$AT$260,VLOOKUP('cruce '!I1037,Ingreso!$AL$11:$AM$260,2,0),0),0)</f>
        <v>0</v>
      </c>
      <c r="M1037" s="95" t="str">
        <f>IFERROR(HLOOKUP(D1037,Ingreso!$AW$10:$BC$260,VLOOKUP('cruce '!I1037,Ingreso!$AL$11:$AM$260,2,0),0),0)</f>
        <v/>
      </c>
      <c r="N1037" t="e">
        <f t="shared" si="73"/>
        <v>#VALUE!</v>
      </c>
    </row>
    <row r="1038" spans="2:14">
      <c r="C1038"/>
      <c r="D1038" t="s">
        <v>1438</v>
      </c>
      <c r="E1038" t="s">
        <v>1474</v>
      </c>
      <c r="F1038" t="s">
        <v>1472</v>
      </c>
      <c r="G1038" s="55">
        <v>0.30571759259259262</v>
      </c>
      <c r="H1038" s="55">
        <v>0.63395833333333329</v>
      </c>
      <c r="I1038" s="55" t="str">
        <f t="shared" si="70"/>
        <v>16.380.050-0</v>
      </c>
      <c r="J1038" s="55">
        <f t="shared" si="71"/>
        <v>0.32824074074074067</v>
      </c>
      <c r="K1038" s="93" t="e">
        <f t="shared" si="72"/>
        <v>#VALUE!</v>
      </c>
      <c r="L1038">
        <f>IFERROR(HLOOKUP(D1038,Ingreso!$AN$10:$AT$260,VLOOKUP('cruce '!I1038,Ingreso!$AL$11:$AM$260,2,0),0),0)</f>
        <v>0</v>
      </c>
      <c r="M1038" s="95" t="str">
        <f>IFERROR(HLOOKUP(D1038,Ingreso!$AW$10:$BC$260,VLOOKUP('cruce '!I1038,Ingreso!$AL$11:$AM$260,2,0),0),0)</f>
        <v/>
      </c>
      <c r="N1038" t="e">
        <f t="shared" si="73"/>
        <v>#VALUE!</v>
      </c>
    </row>
    <row r="1039" spans="2:14">
      <c r="C1039"/>
      <c r="D1039" t="s">
        <v>1439</v>
      </c>
      <c r="E1039" t="s">
        <v>1474</v>
      </c>
      <c r="F1039" t="s">
        <v>1472</v>
      </c>
      <c r="G1039" s="55">
        <v>0.30925925925925929</v>
      </c>
      <c r="H1039" s="55">
        <v>0.64049768518518524</v>
      </c>
      <c r="I1039" s="55" t="str">
        <f t="shared" si="70"/>
        <v>16.380.050-0</v>
      </c>
      <c r="J1039" s="55">
        <f t="shared" si="71"/>
        <v>0.33123842592592595</v>
      </c>
      <c r="K1039" s="93" t="e">
        <f t="shared" si="72"/>
        <v>#VALUE!</v>
      </c>
      <c r="L1039">
        <f>IFERROR(HLOOKUP(D1039,Ingreso!$AN$10:$AT$260,VLOOKUP('cruce '!I1039,Ingreso!$AL$11:$AM$260,2,0),0),0)</f>
        <v>0</v>
      </c>
      <c r="M1039" s="95" t="str">
        <f>IFERROR(HLOOKUP(D1039,Ingreso!$AW$10:$BC$260,VLOOKUP('cruce '!I1039,Ingreso!$AL$11:$AM$260,2,0),0),0)</f>
        <v/>
      </c>
      <c r="N1039" t="e">
        <f t="shared" si="73"/>
        <v>#VALUE!</v>
      </c>
    </row>
    <row r="1040" spans="2:14">
      <c r="B1040" t="s">
        <v>1160</v>
      </c>
      <c r="C1040" t="s">
        <v>1162</v>
      </c>
      <c r="D1040" t="s">
        <v>1440</v>
      </c>
      <c r="E1040" t="s">
        <v>4</v>
      </c>
      <c r="F1040" s="78">
        <v>0.3125</v>
      </c>
      <c r="G1040" s="55">
        <v>0.51444444444444448</v>
      </c>
      <c r="H1040" s="55">
        <v>0.95314814814814808</v>
      </c>
      <c r="I1040" s="55" t="str">
        <f t="shared" si="70"/>
        <v>16.413.939-5</v>
      </c>
      <c r="J1040" s="55">
        <f t="shared" si="71"/>
        <v>0.4387037037037036</v>
      </c>
      <c r="K1040" s="93">
        <f t="shared" si="72"/>
        <v>3.0288888888888863</v>
      </c>
      <c r="L1040">
        <f>IFERROR(HLOOKUP(D1040,Ingreso!$AN$10:$AT$260,VLOOKUP('cruce '!I1040,Ingreso!$AL$11:$AM$260,2,0),0),0)</f>
        <v>2</v>
      </c>
      <c r="M1040" s="95">
        <f>IFERROR(HLOOKUP(D1040,Ingreso!$AW$10:$BC$260,VLOOKUP('cruce '!I1040,Ingreso!$AL$11:$AM$260,2,0),0),0)</f>
        <v>0.5</v>
      </c>
      <c r="N1040" t="str">
        <f t="shared" si="73"/>
        <v>Revisar</v>
      </c>
    </row>
    <row r="1041" spans="2:14">
      <c r="C1041"/>
      <c r="D1041" t="s">
        <v>1441</v>
      </c>
      <c r="E1041" t="s">
        <v>4</v>
      </c>
      <c r="F1041" s="78">
        <v>0.3125</v>
      </c>
      <c r="G1041" s="55">
        <v>0.5446643518518518</v>
      </c>
      <c r="H1041" s="55">
        <v>0.95430555555555552</v>
      </c>
      <c r="I1041" s="55" t="str">
        <f t="shared" si="70"/>
        <v>16.413.939-5</v>
      </c>
      <c r="J1041" s="55">
        <f t="shared" si="71"/>
        <v>0.40964120370370372</v>
      </c>
      <c r="K1041" s="93">
        <f t="shared" si="72"/>
        <v>2.3313888888888883</v>
      </c>
      <c r="L1041">
        <f>IFERROR(HLOOKUP(D1041,Ingreso!$AN$10:$AT$260,VLOOKUP('cruce '!I1041,Ingreso!$AL$11:$AM$260,2,0),0),0)</f>
        <v>0</v>
      </c>
      <c r="M1041" s="95" t="str">
        <f>IFERROR(HLOOKUP(D1041,Ingreso!$AW$10:$BC$260,VLOOKUP('cruce '!I1041,Ingreso!$AL$11:$AM$260,2,0),0),0)</f>
        <v/>
      </c>
      <c r="N1041" t="str">
        <f t="shared" si="73"/>
        <v>Revisar</v>
      </c>
    </row>
    <row r="1042" spans="2:14">
      <c r="C1042"/>
      <c r="D1042" t="s">
        <v>1442</v>
      </c>
      <c r="E1042" t="s">
        <v>4</v>
      </c>
      <c r="F1042" s="78">
        <v>0.3125</v>
      </c>
      <c r="G1042" s="55">
        <v>0.99799768518518517</v>
      </c>
      <c r="H1042" s="55"/>
      <c r="I1042" s="55" t="str">
        <f t="shared" si="70"/>
        <v>16.413.939-5</v>
      </c>
      <c r="J1042" s="55">
        <f t="shared" si="71"/>
        <v>2.0023148148148318E-3</v>
      </c>
      <c r="K1042" s="93">
        <f t="shared" si="72"/>
        <v>-7.451944444444444</v>
      </c>
      <c r="L1042">
        <f>IFERROR(HLOOKUP(D1042,Ingreso!$AN$10:$AT$260,VLOOKUP('cruce '!I1042,Ingreso!$AL$11:$AM$260,2,0),0),0)</f>
        <v>0</v>
      </c>
      <c r="M1042" s="95">
        <f>IFERROR(HLOOKUP(D1042,Ingreso!$AW$10:$BC$260,VLOOKUP('cruce '!I1042,Ingreso!$AL$11:$AM$260,2,0),0),0)</f>
        <v>0</v>
      </c>
      <c r="N1042" t="str">
        <f t="shared" si="73"/>
        <v>Revisar</v>
      </c>
    </row>
    <row r="1043" spans="2:14">
      <c r="C1043"/>
      <c r="D1043" t="s">
        <v>1437</v>
      </c>
      <c r="E1043" t="s">
        <v>4</v>
      </c>
      <c r="F1043" s="78">
        <v>0.3125</v>
      </c>
      <c r="G1043" s="55">
        <v>0.49478009259259265</v>
      </c>
      <c r="H1043" s="55">
        <v>0.94439814814814815</v>
      </c>
      <c r="I1043" s="55" t="str">
        <f t="shared" si="70"/>
        <v>16.413.939-5</v>
      </c>
      <c r="J1043" s="55">
        <f t="shared" si="71"/>
        <v>0.44961805555555551</v>
      </c>
      <c r="K1043" s="93">
        <f t="shared" si="72"/>
        <v>3.2908333333333317</v>
      </c>
      <c r="L1043">
        <f>IFERROR(HLOOKUP(D1043,Ingreso!$AN$10:$AT$260,VLOOKUP('cruce '!I1043,Ingreso!$AL$11:$AM$260,2,0),0),0)</f>
        <v>3</v>
      </c>
      <c r="M1043" s="95">
        <f>IFERROR(HLOOKUP(D1043,Ingreso!$AW$10:$BC$260,VLOOKUP('cruce '!I1043,Ingreso!$AL$11:$AM$260,2,0),0),0)</f>
        <v>0.5</v>
      </c>
      <c r="N1043" t="str">
        <f t="shared" si="73"/>
        <v>OK</v>
      </c>
    </row>
    <row r="1044" spans="2:14">
      <c r="C1044"/>
      <c r="D1044" t="s">
        <v>1438</v>
      </c>
      <c r="E1044" t="s">
        <v>4</v>
      </c>
      <c r="F1044" s="78">
        <v>0.3125</v>
      </c>
      <c r="G1044" s="55">
        <v>0.54800925925925925</v>
      </c>
      <c r="H1044" s="55">
        <v>0.9549305555555555</v>
      </c>
      <c r="I1044" s="55" t="str">
        <f t="shared" si="70"/>
        <v>16.413.939-5</v>
      </c>
      <c r="J1044" s="55">
        <f t="shared" si="71"/>
        <v>0.40692129629629625</v>
      </c>
      <c r="K1044" s="93">
        <f t="shared" si="72"/>
        <v>2.2661111111111101</v>
      </c>
      <c r="L1044">
        <f>IFERROR(HLOOKUP(D1044,Ingreso!$AN$10:$AT$260,VLOOKUP('cruce '!I1044,Ingreso!$AL$11:$AM$260,2,0),0),0)</f>
        <v>2</v>
      </c>
      <c r="M1044" s="95">
        <f>IFERROR(HLOOKUP(D1044,Ingreso!$AW$10:$BC$260,VLOOKUP('cruce '!I1044,Ingreso!$AL$11:$AM$260,2,0),0),0)</f>
        <v>0.5</v>
      </c>
      <c r="N1044" t="str">
        <f t="shared" si="73"/>
        <v>OK</v>
      </c>
    </row>
    <row r="1045" spans="2:14">
      <c r="C1045"/>
      <c r="D1045" t="s">
        <v>1439</v>
      </c>
      <c r="E1045" t="s">
        <v>4</v>
      </c>
      <c r="F1045" s="78">
        <v>0.3125</v>
      </c>
      <c r="G1045" s="55">
        <v>0.50696759259259261</v>
      </c>
      <c r="H1045" s="55">
        <v>0.9526041666666667</v>
      </c>
      <c r="I1045" s="55" t="str">
        <f t="shared" si="70"/>
        <v>16.413.939-5</v>
      </c>
      <c r="J1045" s="55">
        <f t="shared" si="71"/>
        <v>0.44563657407407409</v>
      </c>
      <c r="K1045" s="93">
        <f t="shared" si="72"/>
        <v>3.195277777777779</v>
      </c>
      <c r="L1045">
        <f>IFERROR(HLOOKUP(D1045,Ingreso!$AN$10:$AT$260,VLOOKUP('cruce '!I1045,Ingreso!$AL$11:$AM$260,2,0),0),0)</f>
        <v>3</v>
      </c>
      <c r="M1045" s="95">
        <f>IFERROR(HLOOKUP(D1045,Ingreso!$AW$10:$BC$260,VLOOKUP('cruce '!I1045,Ingreso!$AL$11:$AM$260,2,0),0),0)</f>
        <v>0.5</v>
      </c>
      <c r="N1045" t="str">
        <f t="shared" si="73"/>
        <v>OK</v>
      </c>
    </row>
    <row r="1046" spans="2:14">
      <c r="B1046" t="s">
        <v>183</v>
      </c>
      <c r="C1046" t="s">
        <v>187</v>
      </c>
      <c r="D1046" t="s">
        <v>1440</v>
      </c>
      <c r="E1046" t="s">
        <v>1321</v>
      </c>
      <c r="F1046" s="78">
        <v>0.3125</v>
      </c>
      <c r="G1046" s="55">
        <v>0.62185185185185188</v>
      </c>
      <c r="H1046" s="55">
        <v>0.9396064814814814</v>
      </c>
      <c r="I1046" s="55" t="str">
        <f t="shared" si="70"/>
        <v>16.441.340-3</v>
      </c>
      <c r="J1046" s="55">
        <f t="shared" si="71"/>
        <v>0.31775462962962953</v>
      </c>
      <c r="K1046" s="93">
        <f t="shared" si="72"/>
        <v>0.12611111111110862</v>
      </c>
      <c r="L1046">
        <f>IFERROR(HLOOKUP(D1046,Ingreso!$AN$10:$AT$260,VLOOKUP('cruce '!I1046,Ingreso!$AL$11:$AM$260,2,0),0),0)</f>
        <v>0</v>
      </c>
      <c r="M1046" s="95" t="str">
        <f>IFERROR(HLOOKUP(D1046,Ingreso!$AW$10:$BC$260,VLOOKUP('cruce '!I1046,Ingreso!$AL$11:$AM$260,2,0),0),0)</f>
        <v/>
      </c>
      <c r="N1046" t="str">
        <f t="shared" si="73"/>
        <v>OK</v>
      </c>
    </row>
    <row r="1047" spans="2:14">
      <c r="C1047"/>
      <c r="D1047" t="s">
        <v>1441</v>
      </c>
      <c r="E1047" t="s">
        <v>1321</v>
      </c>
      <c r="F1047" s="78">
        <v>0.3125</v>
      </c>
      <c r="G1047" s="55">
        <v>0.61901620370370369</v>
      </c>
      <c r="H1047" s="55">
        <v>0.93983796296296296</v>
      </c>
      <c r="I1047" s="55" t="str">
        <f t="shared" si="70"/>
        <v>16.441.340-3</v>
      </c>
      <c r="J1047" s="55">
        <f t="shared" si="71"/>
        <v>0.32082175925925926</v>
      </c>
      <c r="K1047" s="93">
        <f t="shared" si="72"/>
        <v>0.19972222222222236</v>
      </c>
      <c r="L1047">
        <f>IFERROR(HLOOKUP(D1047,Ingreso!$AN$10:$AT$260,VLOOKUP('cruce '!I1047,Ingreso!$AL$11:$AM$260,2,0),0),0)</f>
        <v>0</v>
      </c>
      <c r="M1047" s="95" t="str">
        <f>IFERROR(HLOOKUP(D1047,Ingreso!$AW$10:$BC$260,VLOOKUP('cruce '!I1047,Ingreso!$AL$11:$AM$260,2,0),0),0)</f>
        <v/>
      </c>
      <c r="N1047" t="str">
        <f t="shared" si="73"/>
        <v>OK</v>
      </c>
    </row>
    <row r="1048" spans="2:14">
      <c r="C1048"/>
      <c r="D1048" t="s">
        <v>1437</v>
      </c>
      <c r="E1048" t="s">
        <v>1321</v>
      </c>
      <c r="F1048" s="78">
        <v>0.3125</v>
      </c>
      <c r="G1048" s="55">
        <v>0.62043981481481481</v>
      </c>
      <c r="H1048" s="55">
        <v>0.93427083333333327</v>
      </c>
      <c r="I1048" s="55" t="str">
        <f t="shared" si="70"/>
        <v>16.441.340-3</v>
      </c>
      <c r="J1048" s="55">
        <f t="shared" si="71"/>
        <v>0.31383101851851847</v>
      </c>
      <c r="K1048" s="93">
        <f t="shared" si="72"/>
        <v>3.1944444444443221E-2</v>
      </c>
      <c r="L1048">
        <f>IFERROR(HLOOKUP(D1048,Ingreso!$AN$10:$AT$260,VLOOKUP('cruce '!I1048,Ingreso!$AL$11:$AM$260,2,0),0),0)</f>
        <v>0</v>
      </c>
      <c r="M1048" s="95" t="str">
        <f>IFERROR(HLOOKUP(D1048,Ingreso!$AW$10:$BC$260,VLOOKUP('cruce '!I1048,Ingreso!$AL$11:$AM$260,2,0),0),0)</f>
        <v/>
      </c>
      <c r="N1048" t="str">
        <f t="shared" si="73"/>
        <v>OK</v>
      </c>
    </row>
    <row r="1049" spans="2:14">
      <c r="C1049"/>
      <c r="D1049" t="s">
        <v>1438</v>
      </c>
      <c r="E1049" t="s">
        <v>1321</v>
      </c>
      <c r="F1049" s="78">
        <v>0.3125</v>
      </c>
      <c r="G1049" s="55">
        <v>0.61927083333333333</v>
      </c>
      <c r="H1049" s="55">
        <v>0.9359143518518519</v>
      </c>
      <c r="I1049" s="55" t="str">
        <f t="shared" si="70"/>
        <v>16.441.340-3</v>
      </c>
      <c r="J1049" s="55">
        <f t="shared" si="71"/>
        <v>0.31664351851851857</v>
      </c>
      <c r="K1049" s="93">
        <f t="shared" si="72"/>
        <v>9.9444444444445779E-2</v>
      </c>
      <c r="L1049">
        <f>IFERROR(HLOOKUP(D1049,Ingreso!$AN$10:$AT$260,VLOOKUP('cruce '!I1049,Ingreso!$AL$11:$AM$260,2,0),0),0)</f>
        <v>0</v>
      </c>
      <c r="M1049" s="95" t="str">
        <f>IFERROR(HLOOKUP(D1049,Ingreso!$AW$10:$BC$260,VLOOKUP('cruce '!I1049,Ingreso!$AL$11:$AM$260,2,0),0),0)</f>
        <v/>
      </c>
      <c r="N1049" t="str">
        <f t="shared" si="73"/>
        <v>OK</v>
      </c>
    </row>
    <row r="1050" spans="2:14">
      <c r="C1050"/>
      <c r="D1050" t="s">
        <v>1439</v>
      </c>
      <c r="E1050" t="s">
        <v>1321</v>
      </c>
      <c r="F1050" s="78">
        <v>0.3125</v>
      </c>
      <c r="G1050" s="55">
        <v>0.62322916666666661</v>
      </c>
      <c r="H1050" s="55">
        <v>0.93807870370370372</v>
      </c>
      <c r="I1050" s="55" t="str">
        <f t="shared" si="70"/>
        <v>16.441.340-3</v>
      </c>
      <c r="J1050" s="55">
        <f t="shared" si="71"/>
        <v>0.31484953703703711</v>
      </c>
      <c r="K1050" s="93">
        <f t="shared" si="72"/>
        <v>5.6388888888890598E-2</v>
      </c>
      <c r="L1050">
        <f>IFERROR(HLOOKUP(D1050,Ingreso!$AN$10:$AT$260,VLOOKUP('cruce '!I1050,Ingreso!$AL$11:$AM$260,2,0),0),0)</f>
        <v>0</v>
      </c>
      <c r="M1050" s="95" t="str">
        <f>IFERROR(HLOOKUP(D1050,Ingreso!$AW$10:$BC$260,VLOOKUP('cruce '!I1050,Ingreso!$AL$11:$AM$260,2,0),0),0)</f>
        <v/>
      </c>
      <c r="N1050" t="str">
        <f t="shared" si="73"/>
        <v>OK</v>
      </c>
    </row>
    <row r="1051" spans="2:14">
      <c r="B1051" t="s">
        <v>1383</v>
      </c>
      <c r="C1051" t="s">
        <v>1385</v>
      </c>
      <c r="D1051" t="s">
        <v>1440</v>
      </c>
      <c r="E1051" t="s">
        <v>1321</v>
      </c>
      <c r="F1051" s="78">
        <v>0.3125</v>
      </c>
      <c r="G1051" s="55">
        <v>0.62722222222222224</v>
      </c>
      <c r="H1051" s="55">
        <v>6.2766203703703713E-2</v>
      </c>
      <c r="I1051" s="55" t="str">
        <f t="shared" si="70"/>
        <v>16.478.330-8</v>
      </c>
      <c r="J1051" s="55">
        <f t="shared" si="71"/>
        <v>0.43554398148148143</v>
      </c>
      <c r="K1051" s="93">
        <f t="shared" si="72"/>
        <v>2.9530555555555544</v>
      </c>
      <c r="L1051">
        <f>IFERROR(HLOOKUP(D1051,Ingreso!$AN$10:$AT$260,VLOOKUP('cruce '!I1051,Ingreso!$AL$11:$AM$260,2,0),0),0)</f>
        <v>0</v>
      </c>
      <c r="M1051" s="95" t="str">
        <f>IFERROR(HLOOKUP(D1051,Ingreso!$AW$10:$BC$260,VLOOKUP('cruce '!I1051,Ingreso!$AL$11:$AM$260,2,0),0),0)</f>
        <v/>
      </c>
      <c r="N1051" t="str">
        <f t="shared" si="73"/>
        <v>Revisar</v>
      </c>
    </row>
    <row r="1052" spans="2:14">
      <c r="C1052"/>
      <c r="D1052" t="s">
        <v>1441</v>
      </c>
      <c r="E1052" t="s">
        <v>1321</v>
      </c>
      <c r="F1052" s="78">
        <v>0.3125</v>
      </c>
      <c r="G1052" s="55">
        <v>0.62408564814814815</v>
      </c>
      <c r="H1052" s="55">
        <v>0.92555555555555558</v>
      </c>
      <c r="I1052" s="55" t="str">
        <f t="shared" si="70"/>
        <v>16.478.330-8</v>
      </c>
      <c r="J1052" s="55">
        <f t="shared" si="71"/>
        <v>0.30146990740740742</v>
      </c>
      <c r="K1052" s="93">
        <f t="shared" si="72"/>
        <v>-0.26472222222222186</v>
      </c>
      <c r="L1052">
        <f>IFERROR(HLOOKUP(D1052,Ingreso!$AN$10:$AT$260,VLOOKUP('cruce '!I1052,Ingreso!$AL$11:$AM$260,2,0),0),0)</f>
        <v>0</v>
      </c>
      <c r="M1052" s="95" t="str">
        <f>IFERROR(HLOOKUP(D1052,Ingreso!$AW$10:$BC$260,VLOOKUP('cruce '!I1052,Ingreso!$AL$11:$AM$260,2,0),0),0)</f>
        <v/>
      </c>
      <c r="N1052" t="str">
        <f t="shared" si="73"/>
        <v>OK</v>
      </c>
    </row>
    <row r="1053" spans="2:14">
      <c r="C1053"/>
      <c r="D1053" t="s">
        <v>1437</v>
      </c>
      <c r="E1053" t="s">
        <v>1321</v>
      </c>
      <c r="F1053" s="78">
        <v>0.3125</v>
      </c>
      <c r="G1053" s="55">
        <v>0.61535879629629631</v>
      </c>
      <c r="H1053" s="55">
        <v>0.9669444444444445</v>
      </c>
      <c r="I1053" s="55" t="str">
        <f t="shared" si="70"/>
        <v>16.478.330-8</v>
      </c>
      <c r="J1053" s="55">
        <f t="shared" si="71"/>
        <v>0.35158564814814819</v>
      </c>
      <c r="K1053" s="93">
        <f t="shared" si="72"/>
        <v>0.93805555555555742</v>
      </c>
      <c r="L1053">
        <f>IFERROR(HLOOKUP(D1053,Ingreso!$AN$10:$AT$260,VLOOKUP('cruce '!I1053,Ingreso!$AL$11:$AM$260,2,0),0),0)</f>
        <v>0</v>
      </c>
      <c r="M1053" s="95" t="str">
        <f>IFERROR(HLOOKUP(D1053,Ingreso!$AW$10:$BC$260,VLOOKUP('cruce '!I1053,Ingreso!$AL$11:$AM$260,2,0),0),0)</f>
        <v/>
      </c>
      <c r="N1053" t="str">
        <f t="shared" si="73"/>
        <v>OK</v>
      </c>
    </row>
    <row r="1054" spans="2:14">
      <c r="C1054"/>
      <c r="D1054" t="s">
        <v>1438</v>
      </c>
      <c r="E1054" t="s">
        <v>1321</v>
      </c>
      <c r="F1054" s="78">
        <v>0.3125</v>
      </c>
      <c r="G1054" s="55">
        <v>0.29287037037037039</v>
      </c>
      <c r="H1054" s="55">
        <v>0.58190972222222226</v>
      </c>
      <c r="I1054" s="55" t="str">
        <f t="shared" si="70"/>
        <v>16.478.330-8</v>
      </c>
      <c r="J1054" s="55">
        <f t="shared" si="71"/>
        <v>0.28903935185185187</v>
      </c>
      <c r="K1054" s="93">
        <f t="shared" si="72"/>
        <v>-0.56305555555555564</v>
      </c>
      <c r="L1054">
        <f>IFERROR(HLOOKUP(D1054,Ingreso!$AN$10:$AT$260,VLOOKUP('cruce '!I1054,Ingreso!$AL$11:$AM$260,2,0),0),0)</f>
        <v>0</v>
      </c>
      <c r="M1054" s="95" t="str">
        <f>IFERROR(HLOOKUP(D1054,Ingreso!$AW$10:$BC$260,VLOOKUP('cruce '!I1054,Ingreso!$AL$11:$AM$260,2,0),0),0)</f>
        <v/>
      </c>
      <c r="N1054" t="str">
        <f t="shared" si="73"/>
        <v>OK</v>
      </c>
    </row>
    <row r="1055" spans="2:14">
      <c r="C1055"/>
      <c r="D1055" t="s">
        <v>1439</v>
      </c>
      <c r="E1055" t="s">
        <v>1321</v>
      </c>
      <c r="F1055" s="78">
        <v>0.3125</v>
      </c>
      <c r="G1055" s="55">
        <v>0.62603009259259257</v>
      </c>
      <c r="H1055" s="55"/>
      <c r="I1055" s="55" t="str">
        <f t="shared" si="70"/>
        <v>16.478.330-8</v>
      </c>
      <c r="J1055" s="55">
        <f t="shared" si="71"/>
        <v>0.37396990740740743</v>
      </c>
      <c r="K1055" s="93">
        <f t="shared" si="72"/>
        <v>1.4752777777777784</v>
      </c>
      <c r="L1055">
        <f>IFERROR(HLOOKUP(D1055,Ingreso!$AN$10:$AT$260,VLOOKUP('cruce '!I1055,Ingreso!$AL$11:$AM$260,2,0),0),0)</f>
        <v>3</v>
      </c>
      <c r="M1055" s="95">
        <f>IFERROR(HLOOKUP(D1055,Ingreso!$AW$10:$BC$260,VLOOKUP('cruce '!I1055,Ingreso!$AL$11:$AM$260,2,0),0),0)</f>
        <v>0.5</v>
      </c>
      <c r="N1055" t="str">
        <f t="shared" si="73"/>
        <v>Revisar</v>
      </c>
    </row>
    <row r="1056" spans="2:14">
      <c r="B1056" t="s">
        <v>1346</v>
      </c>
      <c r="C1056" t="s">
        <v>1348</v>
      </c>
      <c r="D1056" t="s">
        <v>1440</v>
      </c>
      <c r="E1056" t="s">
        <v>4</v>
      </c>
      <c r="F1056" s="78">
        <v>0.3125</v>
      </c>
      <c r="G1056" s="55">
        <v>0.29712962962962963</v>
      </c>
      <c r="H1056" s="55">
        <v>0.64188657407407412</v>
      </c>
      <c r="I1056" s="55" t="str">
        <f t="shared" si="70"/>
        <v>16.558.908-4</v>
      </c>
      <c r="J1056" s="55">
        <f t="shared" si="71"/>
        <v>0.34475694444444449</v>
      </c>
      <c r="K1056" s="93">
        <f t="shared" si="72"/>
        <v>0.77416666666666778</v>
      </c>
      <c r="L1056">
        <f>IFERROR(HLOOKUP(D1056,Ingreso!$AN$10:$AT$260,VLOOKUP('cruce '!I1056,Ingreso!$AL$11:$AM$260,2,0),0),0)</f>
        <v>0</v>
      </c>
      <c r="M1056" s="95">
        <f>IFERROR(HLOOKUP(D1056,Ingreso!$AW$10:$BC$260,VLOOKUP('cruce '!I1056,Ingreso!$AL$11:$AM$260,2,0),0),0)</f>
        <v>0</v>
      </c>
      <c r="N1056" t="str">
        <f t="shared" si="73"/>
        <v>OK</v>
      </c>
    </row>
    <row r="1057" spans="2:14">
      <c r="C1057"/>
      <c r="D1057" t="s">
        <v>1441</v>
      </c>
      <c r="E1057" t="s">
        <v>4</v>
      </c>
      <c r="F1057" s="78">
        <v>0.3125</v>
      </c>
      <c r="G1057" s="55">
        <v>0.29515046296296293</v>
      </c>
      <c r="H1057" s="55">
        <v>0.6416898148148148</v>
      </c>
      <c r="I1057" s="55" t="str">
        <f t="shared" si="70"/>
        <v>16.558.908-4</v>
      </c>
      <c r="J1057" s="55">
        <f t="shared" si="71"/>
        <v>0.34653935185185186</v>
      </c>
      <c r="K1057" s="93">
        <f t="shared" si="72"/>
        <v>0.81694444444444514</v>
      </c>
      <c r="L1057">
        <f>IFERROR(HLOOKUP(D1057,Ingreso!$AN$10:$AT$260,VLOOKUP('cruce '!I1057,Ingreso!$AL$11:$AM$260,2,0),0),0)</f>
        <v>0</v>
      </c>
      <c r="M1057" s="95">
        <f>IFERROR(HLOOKUP(D1057,Ingreso!$AW$10:$BC$260,VLOOKUP('cruce '!I1057,Ingreso!$AL$11:$AM$260,2,0),0),0)</f>
        <v>0</v>
      </c>
      <c r="N1057" t="str">
        <f t="shared" si="73"/>
        <v>OK</v>
      </c>
    </row>
    <row r="1058" spans="2:14">
      <c r="C1058"/>
      <c r="D1058" t="s">
        <v>1437</v>
      </c>
      <c r="E1058" t="s">
        <v>4</v>
      </c>
      <c r="F1058" s="78">
        <v>0.3125</v>
      </c>
      <c r="G1058" s="55">
        <v>0.29499999999999998</v>
      </c>
      <c r="H1058" s="55">
        <v>0.6331134259259259</v>
      </c>
      <c r="I1058" s="55" t="str">
        <f t="shared" si="70"/>
        <v>16.558.908-4</v>
      </c>
      <c r="J1058" s="55">
        <f t="shared" si="71"/>
        <v>0.33811342592592591</v>
      </c>
      <c r="K1058" s="93">
        <f t="shared" si="72"/>
        <v>0.6147222222222215</v>
      </c>
      <c r="L1058">
        <f>IFERROR(HLOOKUP(D1058,Ingreso!$AN$10:$AT$260,VLOOKUP('cruce '!I1058,Ingreso!$AL$11:$AM$260,2,0),0),0)</f>
        <v>0</v>
      </c>
      <c r="M1058" s="95">
        <f>IFERROR(HLOOKUP(D1058,Ingreso!$AW$10:$BC$260,VLOOKUP('cruce '!I1058,Ingreso!$AL$11:$AM$260,2,0),0),0)</f>
        <v>0</v>
      </c>
      <c r="N1058" t="str">
        <f t="shared" si="73"/>
        <v>OK</v>
      </c>
    </row>
    <row r="1059" spans="2:14">
      <c r="C1059"/>
      <c r="D1059" t="s">
        <v>1438</v>
      </c>
      <c r="E1059" t="s">
        <v>4</v>
      </c>
      <c r="F1059" s="78">
        <v>0.3125</v>
      </c>
      <c r="G1059" s="55">
        <v>0.30061342592592594</v>
      </c>
      <c r="H1059" s="55">
        <v>0.63581018518518517</v>
      </c>
      <c r="I1059" s="55" t="str">
        <f t="shared" si="70"/>
        <v>16.558.908-4</v>
      </c>
      <c r="J1059" s="55">
        <f t="shared" si="71"/>
        <v>0.33519675925925924</v>
      </c>
      <c r="K1059" s="93">
        <f t="shared" si="72"/>
        <v>0.54472222222222122</v>
      </c>
      <c r="L1059">
        <f>IFERROR(HLOOKUP(D1059,Ingreso!$AN$10:$AT$260,VLOOKUP('cruce '!I1059,Ingreso!$AL$11:$AM$260,2,0),0),0)</f>
        <v>0</v>
      </c>
      <c r="M1059" s="95">
        <f>IFERROR(HLOOKUP(D1059,Ingreso!$AW$10:$BC$260,VLOOKUP('cruce '!I1059,Ingreso!$AL$11:$AM$260,2,0),0),0)</f>
        <v>0</v>
      </c>
      <c r="N1059" t="str">
        <f t="shared" si="73"/>
        <v>OK</v>
      </c>
    </row>
    <row r="1060" spans="2:14">
      <c r="C1060"/>
      <c r="D1060" t="s">
        <v>1439</v>
      </c>
      <c r="E1060" t="s">
        <v>4</v>
      </c>
      <c r="F1060" s="78">
        <v>0.3125</v>
      </c>
      <c r="G1060" s="55">
        <v>0.29596064814814815</v>
      </c>
      <c r="H1060" s="55">
        <v>0.6330324074074074</v>
      </c>
      <c r="I1060" s="55" t="str">
        <f t="shared" si="70"/>
        <v>16.558.908-4</v>
      </c>
      <c r="J1060" s="55">
        <f t="shared" si="71"/>
        <v>0.33707175925925925</v>
      </c>
      <c r="K1060" s="93">
        <f t="shared" si="72"/>
        <v>0.58972222222222115</v>
      </c>
      <c r="L1060">
        <f>IFERROR(HLOOKUP(D1060,Ingreso!$AN$10:$AT$260,VLOOKUP('cruce '!I1060,Ingreso!$AL$11:$AM$260,2,0),0),0)</f>
        <v>0</v>
      </c>
      <c r="M1060" s="95">
        <f>IFERROR(HLOOKUP(D1060,Ingreso!$AW$10:$BC$260,VLOOKUP('cruce '!I1060,Ingreso!$AL$11:$AM$260,2,0),0),0)</f>
        <v>0</v>
      </c>
      <c r="N1060" t="str">
        <f t="shared" si="73"/>
        <v>OK</v>
      </c>
    </row>
    <row r="1061" spans="2:14">
      <c r="B1061" t="s">
        <v>1181</v>
      </c>
      <c r="C1061" t="s">
        <v>1183</v>
      </c>
      <c r="D1061" t="s">
        <v>1440</v>
      </c>
      <c r="E1061" t="s">
        <v>4</v>
      </c>
      <c r="F1061" s="78">
        <v>0.3125</v>
      </c>
      <c r="G1061" s="55">
        <v>0.51454861111111116</v>
      </c>
      <c r="H1061" s="55">
        <v>0.95011574074074068</v>
      </c>
      <c r="I1061" s="55" t="str">
        <f t="shared" si="70"/>
        <v>16.649.200-9</v>
      </c>
      <c r="J1061" s="55">
        <f t="shared" si="71"/>
        <v>0.43556712962962951</v>
      </c>
      <c r="K1061" s="93">
        <f t="shared" si="72"/>
        <v>2.9536111111111083</v>
      </c>
      <c r="L1061">
        <f>IFERROR(HLOOKUP(D1061,Ingreso!$AN$10:$AT$260,VLOOKUP('cruce '!I1061,Ingreso!$AL$11:$AM$260,2,0),0),0)</f>
        <v>2.5</v>
      </c>
      <c r="M1061" s="95">
        <f>IFERROR(HLOOKUP(D1061,Ingreso!$AW$10:$BC$260,VLOOKUP('cruce '!I1061,Ingreso!$AL$11:$AM$260,2,0),0),0)</f>
        <v>0.5</v>
      </c>
      <c r="N1061" t="str">
        <f t="shared" si="73"/>
        <v>OK</v>
      </c>
    </row>
    <row r="1062" spans="2:14">
      <c r="C1062"/>
      <c r="D1062" t="s">
        <v>1441</v>
      </c>
      <c r="E1062" t="s">
        <v>4</v>
      </c>
      <c r="F1062" s="78">
        <v>0.3125</v>
      </c>
      <c r="G1062" s="55">
        <v>0.52103009259259259</v>
      </c>
      <c r="H1062" s="55">
        <v>0.95026620370370374</v>
      </c>
      <c r="I1062" s="55" t="str">
        <f t="shared" si="70"/>
        <v>16.649.200-9</v>
      </c>
      <c r="J1062" s="55">
        <f t="shared" si="71"/>
        <v>0.42923611111111115</v>
      </c>
      <c r="K1062" s="93">
        <f t="shared" si="72"/>
        <v>2.8016666666666676</v>
      </c>
      <c r="L1062">
        <f>IFERROR(HLOOKUP(D1062,Ingreso!$AN$10:$AT$260,VLOOKUP('cruce '!I1062,Ingreso!$AL$11:$AM$260,2,0),0),0)</f>
        <v>0</v>
      </c>
      <c r="M1062" s="95" t="str">
        <f>IFERROR(HLOOKUP(D1062,Ingreso!$AW$10:$BC$260,VLOOKUP('cruce '!I1062,Ingreso!$AL$11:$AM$260,2,0),0),0)</f>
        <v/>
      </c>
      <c r="N1062" t="str">
        <f t="shared" si="73"/>
        <v>Revisar</v>
      </c>
    </row>
    <row r="1063" spans="2:14">
      <c r="C1063"/>
      <c r="D1063" t="s">
        <v>1437</v>
      </c>
      <c r="E1063" t="s">
        <v>4</v>
      </c>
      <c r="F1063" s="78">
        <v>0.3125</v>
      </c>
      <c r="G1063" s="55">
        <v>0.52545138888888887</v>
      </c>
      <c r="H1063" s="55">
        <v>0.95038194444444446</v>
      </c>
      <c r="I1063" s="55" t="str">
        <f t="shared" si="70"/>
        <v>16.649.200-9</v>
      </c>
      <c r="J1063" s="55">
        <f t="shared" si="71"/>
        <v>0.42493055555555559</v>
      </c>
      <c r="K1063" s="93">
        <f t="shared" si="72"/>
        <v>2.6983333333333341</v>
      </c>
      <c r="L1063">
        <f>IFERROR(HLOOKUP(D1063,Ingreso!$AN$10:$AT$260,VLOOKUP('cruce '!I1063,Ingreso!$AL$11:$AM$260,2,0),0),0)</f>
        <v>2.5</v>
      </c>
      <c r="M1063" s="95">
        <f>IFERROR(HLOOKUP(D1063,Ingreso!$AW$10:$BC$260,VLOOKUP('cruce '!I1063,Ingreso!$AL$11:$AM$260,2,0),0),0)</f>
        <v>0.5</v>
      </c>
      <c r="N1063" t="str">
        <f t="shared" si="73"/>
        <v>OK</v>
      </c>
    </row>
    <row r="1064" spans="2:14">
      <c r="C1064"/>
      <c r="D1064" t="s">
        <v>1438</v>
      </c>
      <c r="E1064" t="s">
        <v>4</v>
      </c>
      <c r="F1064" s="78">
        <v>0.3125</v>
      </c>
      <c r="G1064" s="55">
        <v>0.49690972222222224</v>
      </c>
      <c r="H1064" s="55">
        <v>0.94885416666666667</v>
      </c>
      <c r="I1064" s="55" t="str">
        <f t="shared" si="70"/>
        <v>16.649.200-9</v>
      </c>
      <c r="J1064" s="55">
        <f t="shared" si="71"/>
        <v>0.45194444444444443</v>
      </c>
      <c r="K1064" s="93">
        <f t="shared" si="72"/>
        <v>3.3466666666666658</v>
      </c>
      <c r="L1064">
        <f>IFERROR(HLOOKUP(D1064,Ingreso!$AN$10:$AT$260,VLOOKUP('cruce '!I1064,Ingreso!$AL$11:$AM$260,2,0),0),0)</f>
        <v>3</v>
      </c>
      <c r="M1064" s="95">
        <f>IFERROR(HLOOKUP(D1064,Ingreso!$AW$10:$BC$260,VLOOKUP('cruce '!I1064,Ingreso!$AL$11:$AM$260,2,0),0),0)</f>
        <v>0.5</v>
      </c>
      <c r="N1064" t="str">
        <f t="shared" si="73"/>
        <v>OK</v>
      </c>
    </row>
    <row r="1065" spans="2:14">
      <c r="C1065"/>
      <c r="D1065" t="s">
        <v>1439</v>
      </c>
      <c r="E1065" t="s">
        <v>4</v>
      </c>
      <c r="F1065" s="78">
        <v>0.3125</v>
      </c>
      <c r="G1065" s="55">
        <v>0.50063657407407403</v>
      </c>
      <c r="H1065" s="55">
        <v>0.95217592592592604</v>
      </c>
      <c r="I1065" s="55" t="str">
        <f t="shared" si="70"/>
        <v>16.649.200-9</v>
      </c>
      <c r="J1065" s="55">
        <f t="shared" si="71"/>
        <v>0.45153935185185201</v>
      </c>
      <c r="K1065" s="93">
        <f t="shared" si="72"/>
        <v>3.3369444444444483</v>
      </c>
      <c r="L1065">
        <f>IFERROR(HLOOKUP(D1065,Ingreso!$AN$10:$AT$260,VLOOKUP('cruce '!I1065,Ingreso!$AL$11:$AM$260,2,0),0),0)</f>
        <v>2.5</v>
      </c>
      <c r="M1065" s="95">
        <f>IFERROR(HLOOKUP(D1065,Ingreso!$AW$10:$BC$260,VLOOKUP('cruce '!I1065,Ingreso!$AL$11:$AM$260,2,0),0),0)</f>
        <v>0.5</v>
      </c>
      <c r="N1065" t="str">
        <f t="shared" si="73"/>
        <v>OK</v>
      </c>
    </row>
    <row r="1066" spans="2:14">
      <c r="B1066" t="s">
        <v>990</v>
      </c>
      <c r="C1066" t="s">
        <v>993</v>
      </c>
      <c r="D1066" t="s">
        <v>1440</v>
      </c>
      <c r="E1066" t="s">
        <v>1321</v>
      </c>
      <c r="F1066" s="78">
        <v>0.3125</v>
      </c>
      <c r="G1066" s="55">
        <v>0.609375</v>
      </c>
      <c r="H1066" s="55">
        <v>0.9447916666666667</v>
      </c>
      <c r="I1066" s="55" t="str">
        <f t="shared" si="70"/>
        <v>16.691.386-1</v>
      </c>
      <c r="J1066" s="55">
        <f t="shared" si="71"/>
        <v>0.3354166666666667</v>
      </c>
      <c r="K1066" s="93">
        <f t="shared" si="72"/>
        <v>0.55000000000000071</v>
      </c>
      <c r="L1066">
        <f>IFERROR(HLOOKUP(D1066,Ingreso!$AN$10:$AT$260,VLOOKUP('cruce '!I1066,Ingreso!$AL$11:$AM$260,2,0),0),0)</f>
        <v>0</v>
      </c>
      <c r="M1066" s="95" t="str">
        <f>IFERROR(HLOOKUP(D1066,Ingreso!$AW$10:$BC$260,VLOOKUP('cruce '!I1066,Ingreso!$AL$11:$AM$260,2,0),0),0)</f>
        <v/>
      </c>
      <c r="N1066" t="str">
        <f t="shared" si="73"/>
        <v>OK</v>
      </c>
    </row>
    <row r="1067" spans="2:14">
      <c r="C1067"/>
      <c r="D1067" t="s">
        <v>1441</v>
      </c>
      <c r="E1067" t="s">
        <v>1321</v>
      </c>
      <c r="F1067" s="78">
        <v>0.3125</v>
      </c>
      <c r="G1067" s="55">
        <v>0.6095370370370371</v>
      </c>
      <c r="H1067" s="55">
        <v>0.94498842592592591</v>
      </c>
      <c r="I1067" s="55" t="str">
        <f t="shared" si="70"/>
        <v>16.691.386-1</v>
      </c>
      <c r="J1067" s="55">
        <f t="shared" si="71"/>
        <v>0.33545138888888881</v>
      </c>
      <c r="K1067" s="93">
        <f t="shared" si="72"/>
        <v>0.55083333333333151</v>
      </c>
      <c r="L1067">
        <f>IFERROR(HLOOKUP(D1067,Ingreso!$AN$10:$AT$260,VLOOKUP('cruce '!I1067,Ingreso!$AL$11:$AM$260,2,0),0),0)</f>
        <v>0</v>
      </c>
      <c r="M1067" s="95" t="str">
        <f>IFERROR(HLOOKUP(D1067,Ingreso!$AW$10:$BC$260,VLOOKUP('cruce '!I1067,Ingreso!$AL$11:$AM$260,2,0),0),0)</f>
        <v/>
      </c>
      <c r="N1067" t="str">
        <f t="shared" si="73"/>
        <v>OK</v>
      </c>
    </row>
    <row r="1068" spans="2:14">
      <c r="C1068"/>
      <c r="D1068" t="s">
        <v>1437</v>
      </c>
      <c r="E1068" t="s">
        <v>1321</v>
      </c>
      <c r="F1068" s="78">
        <v>0.3125</v>
      </c>
      <c r="G1068" s="55">
        <v>0.60715277777777776</v>
      </c>
      <c r="H1068" s="55">
        <v>0.94327546296296294</v>
      </c>
      <c r="I1068" s="55" t="str">
        <f t="shared" si="70"/>
        <v>16.691.386-1</v>
      </c>
      <c r="J1068" s="55">
        <f t="shared" si="71"/>
        <v>0.33612268518518518</v>
      </c>
      <c r="K1068" s="93">
        <f t="shared" si="72"/>
        <v>0.56694444444444514</v>
      </c>
      <c r="L1068">
        <f>IFERROR(HLOOKUP(D1068,Ingreso!$AN$10:$AT$260,VLOOKUP('cruce '!I1068,Ingreso!$AL$11:$AM$260,2,0),0),0)</f>
        <v>0</v>
      </c>
      <c r="M1068" s="95" t="str">
        <f>IFERROR(HLOOKUP(D1068,Ingreso!$AW$10:$BC$260,VLOOKUP('cruce '!I1068,Ingreso!$AL$11:$AM$260,2,0),0),0)</f>
        <v/>
      </c>
      <c r="N1068" t="str">
        <f t="shared" si="73"/>
        <v>OK</v>
      </c>
    </row>
    <row r="1069" spans="2:14">
      <c r="C1069"/>
      <c r="D1069" t="s">
        <v>1438</v>
      </c>
      <c r="E1069" t="s">
        <v>1321</v>
      </c>
      <c r="F1069" s="78">
        <v>0.3125</v>
      </c>
      <c r="G1069" s="55">
        <v>0.60976851851851854</v>
      </c>
      <c r="H1069" s="55">
        <v>0.94361111111111118</v>
      </c>
      <c r="I1069" s="55" t="str">
        <f t="shared" si="70"/>
        <v>16.691.386-1</v>
      </c>
      <c r="J1069" s="55">
        <f t="shared" si="71"/>
        <v>0.33384259259259264</v>
      </c>
      <c r="K1069" s="93">
        <f t="shared" si="72"/>
        <v>0.51222222222222413</v>
      </c>
      <c r="L1069">
        <f>IFERROR(HLOOKUP(D1069,Ingreso!$AN$10:$AT$260,VLOOKUP('cruce '!I1069,Ingreso!$AL$11:$AM$260,2,0),0),0)</f>
        <v>0</v>
      </c>
      <c r="M1069" s="95" t="str">
        <f>IFERROR(HLOOKUP(D1069,Ingreso!$AW$10:$BC$260,VLOOKUP('cruce '!I1069,Ingreso!$AL$11:$AM$260,2,0),0),0)</f>
        <v/>
      </c>
      <c r="N1069" t="str">
        <f t="shared" si="73"/>
        <v>OK</v>
      </c>
    </row>
    <row r="1070" spans="2:14">
      <c r="C1070"/>
      <c r="D1070" t="s">
        <v>1439</v>
      </c>
      <c r="E1070" t="s">
        <v>1321</v>
      </c>
      <c r="F1070" s="78">
        <v>0.3125</v>
      </c>
      <c r="G1070" s="55">
        <v>0.60865740740740748</v>
      </c>
      <c r="H1070" s="55">
        <v>0.9446296296296296</v>
      </c>
      <c r="I1070" s="55" t="str">
        <f t="shared" si="70"/>
        <v>16.691.386-1</v>
      </c>
      <c r="J1070" s="55">
        <f t="shared" si="71"/>
        <v>0.33597222222222212</v>
      </c>
      <c r="K1070" s="93">
        <f t="shared" si="72"/>
        <v>0.5633333333333308</v>
      </c>
      <c r="L1070">
        <f>IFERROR(HLOOKUP(D1070,Ingreso!$AN$10:$AT$260,VLOOKUP('cruce '!I1070,Ingreso!$AL$11:$AM$260,2,0),0),0)</f>
        <v>0</v>
      </c>
      <c r="M1070" s="95" t="str">
        <f>IFERROR(HLOOKUP(D1070,Ingreso!$AW$10:$BC$260,VLOOKUP('cruce '!I1070,Ingreso!$AL$11:$AM$260,2,0),0),0)</f>
        <v/>
      </c>
      <c r="N1070" t="str">
        <f t="shared" si="73"/>
        <v>OK</v>
      </c>
    </row>
    <row r="1071" spans="2:14">
      <c r="B1071" t="s">
        <v>224</v>
      </c>
      <c r="C1071" t="s">
        <v>228</v>
      </c>
      <c r="D1071" t="s">
        <v>1440</v>
      </c>
      <c r="E1071" t="s">
        <v>1321</v>
      </c>
      <c r="F1071" s="78">
        <v>0.3125</v>
      </c>
      <c r="G1071" s="55">
        <v>0.62217592592592597</v>
      </c>
      <c r="H1071" s="55">
        <v>0.94238425925925917</v>
      </c>
      <c r="I1071" s="55" t="str">
        <f t="shared" si="70"/>
        <v>16.695.463-0</v>
      </c>
      <c r="J1071" s="55">
        <f t="shared" si="71"/>
        <v>0.32020833333333321</v>
      </c>
      <c r="K1071" s="93">
        <f t="shared" si="72"/>
        <v>0.18499999999999694</v>
      </c>
      <c r="L1071">
        <f>IFERROR(HLOOKUP(D1071,Ingreso!$AN$10:$AT$260,VLOOKUP('cruce '!I1071,Ingreso!$AL$11:$AM$260,2,0),0),0)</f>
        <v>0</v>
      </c>
      <c r="M1071" s="95">
        <f>IFERROR(HLOOKUP(D1071,Ingreso!$AW$10:$BC$260,VLOOKUP('cruce '!I1071,Ingreso!$AL$11:$AM$260,2,0),0),0)</f>
        <v>0</v>
      </c>
      <c r="N1071" t="str">
        <f t="shared" si="73"/>
        <v>OK</v>
      </c>
    </row>
    <row r="1072" spans="2:14">
      <c r="C1072"/>
      <c r="D1072" t="s">
        <v>1441</v>
      </c>
      <c r="E1072" t="s">
        <v>1321</v>
      </c>
      <c r="F1072" s="78">
        <v>0.3125</v>
      </c>
      <c r="G1072" s="55">
        <v>0.62043981481481481</v>
      </c>
      <c r="H1072" s="55">
        <v>0.95937499999999998</v>
      </c>
      <c r="I1072" s="55" t="str">
        <f t="shared" si="70"/>
        <v>16.695.463-0</v>
      </c>
      <c r="J1072" s="55">
        <f t="shared" si="71"/>
        <v>0.33893518518518517</v>
      </c>
      <c r="K1072" s="93">
        <f t="shared" si="72"/>
        <v>0.63444444444444414</v>
      </c>
      <c r="L1072">
        <f>IFERROR(HLOOKUP(D1072,Ingreso!$AN$10:$AT$260,VLOOKUP('cruce '!I1072,Ingreso!$AL$11:$AM$260,2,0),0),0)</f>
        <v>0</v>
      </c>
      <c r="M1072" s="95">
        <f>IFERROR(HLOOKUP(D1072,Ingreso!$AW$10:$BC$260,VLOOKUP('cruce '!I1072,Ingreso!$AL$11:$AM$260,2,0),0),0)</f>
        <v>0</v>
      </c>
      <c r="N1072" t="str">
        <f t="shared" si="73"/>
        <v>OK</v>
      </c>
    </row>
    <row r="1073" spans="2:14">
      <c r="C1073"/>
      <c r="D1073" t="s">
        <v>1437</v>
      </c>
      <c r="E1073" t="s">
        <v>1321</v>
      </c>
      <c r="F1073" s="78">
        <v>0.3125</v>
      </c>
      <c r="G1073" s="55">
        <v>0.62069444444444444</v>
      </c>
      <c r="H1073" s="55">
        <v>0.94662037037037028</v>
      </c>
      <c r="I1073" s="55" t="str">
        <f t="shared" si="70"/>
        <v>16.695.463-0</v>
      </c>
      <c r="J1073" s="55">
        <f t="shared" si="71"/>
        <v>0.32592592592592584</v>
      </c>
      <c r="K1073" s="93">
        <f t="shared" si="72"/>
        <v>0.32222222222222019</v>
      </c>
      <c r="L1073">
        <f>IFERROR(HLOOKUP(D1073,Ingreso!$AN$10:$AT$260,VLOOKUP('cruce '!I1073,Ingreso!$AL$11:$AM$260,2,0),0),0)</f>
        <v>0</v>
      </c>
      <c r="M1073" s="95">
        <f>IFERROR(HLOOKUP(D1073,Ingreso!$AW$10:$BC$260,VLOOKUP('cruce '!I1073,Ingreso!$AL$11:$AM$260,2,0),0),0)</f>
        <v>0</v>
      </c>
      <c r="N1073" t="str">
        <f t="shared" si="73"/>
        <v>OK</v>
      </c>
    </row>
    <row r="1074" spans="2:14">
      <c r="C1074"/>
      <c r="D1074" t="s">
        <v>1438</v>
      </c>
      <c r="E1074" t="s">
        <v>1321</v>
      </c>
      <c r="F1074" s="78">
        <v>0.3125</v>
      </c>
      <c r="G1074" s="55">
        <v>0.61754629629629632</v>
      </c>
      <c r="H1074" s="55">
        <v>0.9412152777777778</v>
      </c>
      <c r="I1074" s="55" t="str">
        <f t="shared" si="70"/>
        <v>16.695.463-0</v>
      </c>
      <c r="J1074" s="55">
        <f t="shared" si="71"/>
        <v>0.32366898148148149</v>
      </c>
      <c r="K1074" s="93">
        <f t="shared" si="72"/>
        <v>0.26805555555555571</v>
      </c>
      <c r="L1074">
        <f>IFERROR(HLOOKUP(D1074,Ingreso!$AN$10:$AT$260,VLOOKUP('cruce '!I1074,Ingreso!$AL$11:$AM$260,2,0),0),0)</f>
        <v>0</v>
      </c>
      <c r="M1074" s="95">
        <f>IFERROR(HLOOKUP(D1074,Ingreso!$AW$10:$BC$260,VLOOKUP('cruce '!I1074,Ingreso!$AL$11:$AM$260,2,0),0),0)</f>
        <v>0</v>
      </c>
      <c r="N1074" t="str">
        <f t="shared" si="73"/>
        <v>OK</v>
      </c>
    </row>
    <row r="1075" spans="2:14">
      <c r="C1075"/>
      <c r="D1075" t="s">
        <v>1439</v>
      </c>
      <c r="E1075" t="s">
        <v>1321</v>
      </c>
      <c r="F1075" s="78">
        <v>0.3125</v>
      </c>
      <c r="G1075" s="55">
        <v>0.6209027777777778</v>
      </c>
      <c r="H1075" s="55">
        <v>0.94778935185185187</v>
      </c>
      <c r="I1075" s="55" t="str">
        <f t="shared" si="70"/>
        <v>16.695.463-0</v>
      </c>
      <c r="J1075" s="55">
        <f t="shared" si="71"/>
        <v>0.32688657407407407</v>
      </c>
      <c r="K1075" s="93">
        <f t="shared" si="72"/>
        <v>0.34527777777777757</v>
      </c>
      <c r="L1075">
        <f>IFERROR(HLOOKUP(D1075,Ingreso!$AN$10:$AT$260,VLOOKUP('cruce '!I1075,Ingreso!$AL$11:$AM$260,2,0),0),0)</f>
        <v>0</v>
      </c>
      <c r="M1075" s="95">
        <f>IFERROR(HLOOKUP(D1075,Ingreso!$AW$10:$BC$260,VLOOKUP('cruce '!I1075,Ingreso!$AL$11:$AM$260,2,0),0),0)</f>
        <v>0</v>
      </c>
      <c r="N1075" t="str">
        <f t="shared" si="73"/>
        <v>OK</v>
      </c>
    </row>
    <row r="1076" spans="2:14">
      <c r="B1076" t="s">
        <v>871</v>
      </c>
      <c r="C1076" t="s">
        <v>873</v>
      </c>
      <c r="D1076" t="s">
        <v>1440</v>
      </c>
      <c r="E1076" t="s">
        <v>1474</v>
      </c>
      <c r="F1076" t="s">
        <v>1472</v>
      </c>
      <c r="G1076" s="55">
        <v>0.30501157407407409</v>
      </c>
      <c r="H1076" s="55">
        <v>0.65476851851851847</v>
      </c>
      <c r="I1076" s="55" t="str">
        <f t="shared" si="70"/>
        <v>16.697.450-K</v>
      </c>
      <c r="J1076" s="55">
        <f t="shared" si="71"/>
        <v>0.34975694444444438</v>
      </c>
      <c r="K1076" s="93" t="e">
        <f t="shared" si="72"/>
        <v>#VALUE!</v>
      </c>
      <c r="L1076">
        <f>IFERROR(HLOOKUP(D1076,Ingreso!$AN$10:$AT$260,VLOOKUP('cruce '!I1076,Ingreso!$AL$11:$AM$260,2,0),0),0)</f>
        <v>0</v>
      </c>
      <c r="M1076" s="95" t="str">
        <f>IFERROR(HLOOKUP(D1076,Ingreso!$AW$10:$BC$260,VLOOKUP('cruce '!I1076,Ingreso!$AL$11:$AM$260,2,0),0),0)</f>
        <v/>
      </c>
      <c r="N1076" t="e">
        <f t="shared" si="73"/>
        <v>#VALUE!</v>
      </c>
    </row>
    <row r="1077" spans="2:14">
      <c r="C1077"/>
      <c r="D1077" t="s">
        <v>1437</v>
      </c>
      <c r="E1077" t="s">
        <v>1474</v>
      </c>
      <c r="F1077" t="s">
        <v>1472</v>
      </c>
      <c r="G1077" s="55">
        <v>0.42560185185185184</v>
      </c>
      <c r="H1077" s="55">
        <v>0.82604166666666667</v>
      </c>
      <c r="I1077" s="55" t="str">
        <f t="shared" si="70"/>
        <v>16.697.450-K</v>
      </c>
      <c r="J1077" s="55">
        <f t="shared" si="71"/>
        <v>0.40043981481481483</v>
      </c>
      <c r="K1077" s="93" t="e">
        <f t="shared" si="72"/>
        <v>#VALUE!</v>
      </c>
      <c r="L1077">
        <f>IFERROR(HLOOKUP(D1077,Ingreso!$AN$10:$AT$260,VLOOKUP('cruce '!I1077,Ingreso!$AL$11:$AM$260,2,0),0),0)</f>
        <v>2</v>
      </c>
      <c r="M1077" s="95">
        <f>IFERROR(HLOOKUP(D1077,Ingreso!$AW$10:$BC$260,VLOOKUP('cruce '!I1077,Ingreso!$AL$11:$AM$260,2,0),0),0)</f>
        <v>0.5</v>
      </c>
      <c r="N1077" t="e">
        <f t="shared" si="73"/>
        <v>#VALUE!</v>
      </c>
    </row>
    <row r="1078" spans="2:14">
      <c r="C1078"/>
      <c r="D1078" t="s">
        <v>1438</v>
      </c>
      <c r="E1078" t="s">
        <v>1474</v>
      </c>
      <c r="F1078" t="s">
        <v>1472</v>
      </c>
      <c r="G1078" s="55">
        <v>0.30407407407407411</v>
      </c>
      <c r="H1078" s="55">
        <v>0.64585648148148145</v>
      </c>
      <c r="I1078" s="55" t="str">
        <f t="shared" si="70"/>
        <v>16.697.450-K</v>
      </c>
      <c r="J1078" s="55">
        <f t="shared" si="71"/>
        <v>0.34178240740740734</v>
      </c>
      <c r="K1078" s="93" t="e">
        <f t="shared" si="72"/>
        <v>#VALUE!</v>
      </c>
      <c r="L1078">
        <f>IFERROR(HLOOKUP(D1078,Ingreso!$AN$10:$AT$260,VLOOKUP('cruce '!I1078,Ingreso!$AL$11:$AM$260,2,0),0),0)</f>
        <v>0</v>
      </c>
      <c r="M1078" s="95" t="str">
        <f>IFERROR(HLOOKUP(D1078,Ingreso!$AW$10:$BC$260,VLOOKUP('cruce '!I1078,Ingreso!$AL$11:$AM$260,2,0),0),0)</f>
        <v/>
      </c>
      <c r="N1078" t="e">
        <f t="shared" si="73"/>
        <v>#VALUE!</v>
      </c>
    </row>
    <row r="1079" spans="2:14">
      <c r="C1079"/>
      <c r="D1079" t="s">
        <v>1439</v>
      </c>
      <c r="E1079" t="s">
        <v>1474</v>
      </c>
      <c r="F1079" t="s">
        <v>1472</v>
      </c>
      <c r="G1079" s="55">
        <v>0.310462962962963</v>
      </c>
      <c r="H1079" s="55">
        <v>0.64746527777777774</v>
      </c>
      <c r="I1079" s="55" t="str">
        <f t="shared" si="70"/>
        <v>16.697.450-K</v>
      </c>
      <c r="J1079" s="55">
        <f t="shared" si="71"/>
        <v>0.33700231481481474</v>
      </c>
      <c r="K1079" s="93" t="e">
        <f t="shared" si="72"/>
        <v>#VALUE!</v>
      </c>
      <c r="L1079">
        <f>IFERROR(HLOOKUP(D1079,Ingreso!$AN$10:$AT$260,VLOOKUP('cruce '!I1079,Ingreso!$AL$11:$AM$260,2,0),0),0)</f>
        <v>0</v>
      </c>
      <c r="M1079" s="95" t="str">
        <f>IFERROR(HLOOKUP(D1079,Ingreso!$AW$10:$BC$260,VLOOKUP('cruce '!I1079,Ingreso!$AL$11:$AM$260,2,0),0),0)</f>
        <v/>
      </c>
      <c r="N1079" t="e">
        <f t="shared" si="73"/>
        <v>#VALUE!</v>
      </c>
    </row>
    <row r="1080" spans="2:14">
      <c r="B1080" t="s">
        <v>155</v>
      </c>
      <c r="C1080" t="s">
        <v>159</v>
      </c>
      <c r="D1080" t="s">
        <v>1440</v>
      </c>
      <c r="E1080" t="s">
        <v>1321</v>
      </c>
      <c r="F1080" s="78">
        <v>0.3125</v>
      </c>
      <c r="G1080" s="55">
        <v>0.51449074074074075</v>
      </c>
      <c r="H1080" s="55">
        <v>0.9496296296296296</v>
      </c>
      <c r="I1080" s="55" t="str">
        <f t="shared" si="70"/>
        <v>16.907.382-1</v>
      </c>
      <c r="J1080" s="55">
        <f t="shared" si="71"/>
        <v>0.43513888888888885</v>
      </c>
      <c r="K1080" s="93">
        <f t="shared" si="72"/>
        <v>2.9433333333333316</v>
      </c>
      <c r="L1080">
        <f>IFERROR(HLOOKUP(D1080,Ingreso!$AN$10:$AT$260,VLOOKUP('cruce '!I1080,Ingreso!$AL$11:$AM$260,2,0),0),0)</f>
        <v>2.5</v>
      </c>
      <c r="M1080" s="95">
        <f>IFERROR(HLOOKUP(D1080,Ingreso!$AW$10:$BC$260,VLOOKUP('cruce '!I1080,Ingreso!$AL$11:$AM$260,2,0),0),0)</f>
        <v>0.5</v>
      </c>
      <c r="N1080" t="str">
        <f t="shared" si="73"/>
        <v>OK</v>
      </c>
    </row>
    <row r="1081" spans="2:14">
      <c r="C1081"/>
      <c r="D1081" t="s">
        <v>1441</v>
      </c>
      <c r="E1081" t="s">
        <v>1321</v>
      </c>
      <c r="F1081" s="78">
        <v>0.3125</v>
      </c>
      <c r="G1081" s="55">
        <v>0.52184027777777775</v>
      </c>
      <c r="H1081" s="55">
        <v>0.94769675925925922</v>
      </c>
      <c r="I1081" s="55" t="str">
        <f t="shared" si="70"/>
        <v>16.907.382-1</v>
      </c>
      <c r="J1081" s="55">
        <f t="shared" si="71"/>
        <v>0.42585648148148147</v>
      </c>
      <c r="K1081" s="93">
        <f t="shared" si="72"/>
        <v>2.7205555555555563</v>
      </c>
      <c r="L1081">
        <f>IFERROR(HLOOKUP(D1081,Ingreso!$AN$10:$AT$260,VLOOKUP('cruce '!I1081,Ingreso!$AL$11:$AM$260,2,0),0),0)</f>
        <v>0</v>
      </c>
      <c r="M1081" s="95" t="str">
        <f>IFERROR(HLOOKUP(D1081,Ingreso!$AW$10:$BC$260,VLOOKUP('cruce '!I1081,Ingreso!$AL$11:$AM$260,2,0),0),0)</f>
        <v/>
      </c>
      <c r="N1081" t="str">
        <f t="shared" si="73"/>
        <v>Revisar</v>
      </c>
    </row>
    <row r="1082" spans="2:14">
      <c r="C1082"/>
      <c r="D1082" t="s">
        <v>1437</v>
      </c>
      <c r="E1082" t="s">
        <v>1321</v>
      </c>
      <c r="F1082" s="78">
        <v>0.3125</v>
      </c>
      <c r="G1082" s="55">
        <v>0.52552083333333333</v>
      </c>
      <c r="H1082" s="55">
        <v>0.9486458333333333</v>
      </c>
      <c r="I1082" s="55" t="str">
        <f t="shared" si="70"/>
        <v>16.907.382-1</v>
      </c>
      <c r="J1082" s="55">
        <f t="shared" si="71"/>
        <v>0.42312499999999997</v>
      </c>
      <c r="K1082" s="93">
        <f t="shared" si="72"/>
        <v>2.6549999999999994</v>
      </c>
      <c r="L1082">
        <f>IFERROR(HLOOKUP(D1082,Ingreso!$AN$10:$AT$260,VLOOKUP('cruce '!I1082,Ingreso!$AL$11:$AM$260,2,0),0),0)</f>
        <v>2.5</v>
      </c>
      <c r="M1082" s="95">
        <f>IFERROR(HLOOKUP(D1082,Ingreso!$AW$10:$BC$260,VLOOKUP('cruce '!I1082,Ingreso!$AL$11:$AM$260,2,0),0),0)</f>
        <v>0.5</v>
      </c>
      <c r="N1082" t="str">
        <f t="shared" si="73"/>
        <v>OK</v>
      </c>
    </row>
    <row r="1083" spans="2:14">
      <c r="C1083"/>
      <c r="D1083" t="s">
        <v>1438</v>
      </c>
      <c r="E1083" t="s">
        <v>1321</v>
      </c>
      <c r="F1083" s="78">
        <v>0.3125</v>
      </c>
      <c r="G1083" s="55">
        <v>0.49684027777777778</v>
      </c>
      <c r="H1083" s="55">
        <v>0.94967592592592587</v>
      </c>
      <c r="I1083" s="55" t="str">
        <f t="shared" si="70"/>
        <v>16.907.382-1</v>
      </c>
      <c r="J1083" s="55">
        <f t="shared" si="71"/>
        <v>0.45283564814814808</v>
      </c>
      <c r="K1083" s="93">
        <f t="shared" si="72"/>
        <v>3.3680555555555536</v>
      </c>
      <c r="L1083">
        <f>IFERROR(HLOOKUP(D1083,Ingreso!$AN$10:$AT$260,VLOOKUP('cruce '!I1083,Ingreso!$AL$11:$AM$260,2,0),0),0)</f>
        <v>3</v>
      </c>
      <c r="M1083" s="95">
        <f>IFERROR(HLOOKUP(D1083,Ingreso!$AW$10:$BC$260,VLOOKUP('cruce '!I1083,Ingreso!$AL$11:$AM$260,2,0),0),0)</f>
        <v>0.5</v>
      </c>
      <c r="N1083" t="str">
        <f t="shared" si="73"/>
        <v>OK</v>
      </c>
    </row>
    <row r="1084" spans="2:14">
      <c r="C1084"/>
      <c r="D1084" t="s">
        <v>1439</v>
      </c>
      <c r="E1084" t="s">
        <v>1321</v>
      </c>
      <c r="F1084" s="78">
        <v>0.3125</v>
      </c>
      <c r="G1084" s="55">
        <v>0.5006828703703704</v>
      </c>
      <c r="H1084" s="55">
        <v>0.95207175925925924</v>
      </c>
      <c r="I1084" s="55" t="str">
        <f t="shared" si="70"/>
        <v>16.907.382-1</v>
      </c>
      <c r="J1084" s="55">
        <f t="shared" si="71"/>
        <v>0.45138888888888884</v>
      </c>
      <c r="K1084" s="93">
        <f t="shared" si="72"/>
        <v>3.3333333333333321</v>
      </c>
      <c r="L1084">
        <f>IFERROR(HLOOKUP(D1084,Ingreso!$AN$10:$AT$260,VLOOKUP('cruce '!I1084,Ingreso!$AL$11:$AM$260,2,0),0),0)</f>
        <v>4.5</v>
      </c>
      <c r="M1084" s="95">
        <f>IFERROR(HLOOKUP(D1084,Ingreso!$AW$10:$BC$260,VLOOKUP('cruce '!I1084,Ingreso!$AL$11:$AM$260,2,0),0),0)</f>
        <v>0.5</v>
      </c>
      <c r="N1084" t="str">
        <f t="shared" si="73"/>
        <v>Revisar</v>
      </c>
    </row>
    <row r="1085" spans="2:14">
      <c r="B1085" t="s">
        <v>437</v>
      </c>
      <c r="C1085" t="s">
        <v>440</v>
      </c>
      <c r="D1085" t="s">
        <v>1440</v>
      </c>
      <c r="E1085" t="s">
        <v>1474</v>
      </c>
      <c r="F1085" t="s">
        <v>1472</v>
      </c>
      <c r="G1085" s="55">
        <v>0.31807870370370367</v>
      </c>
      <c r="H1085" s="55">
        <v>0.58780092592592592</v>
      </c>
      <c r="I1085" s="55" t="str">
        <f t="shared" si="70"/>
        <v>17.002.272-6</v>
      </c>
      <c r="J1085" s="55">
        <f t="shared" si="71"/>
        <v>0.26972222222222225</v>
      </c>
      <c r="K1085" s="93" t="e">
        <f t="shared" si="72"/>
        <v>#VALUE!</v>
      </c>
      <c r="L1085">
        <f>IFERROR(HLOOKUP(D1085,Ingreso!$AN$10:$AT$260,VLOOKUP('cruce '!I1085,Ingreso!$AL$11:$AM$260,2,0),0),0)</f>
        <v>0</v>
      </c>
      <c r="M1085" s="95" t="str">
        <f>IFERROR(HLOOKUP(D1085,Ingreso!$AW$10:$BC$260,VLOOKUP('cruce '!I1085,Ingreso!$AL$11:$AM$260,2,0),0),0)</f>
        <v/>
      </c>
      <c r="N1085" t="e">
        <f t="shared" si="73"/>
        <v>#VALUE!</v>
      </c>
    </row>
    <row r="1086" spans="2:14">
      <c r="C1086"/>
      <c r="D1086" t="s">
        <v>1441</v>
      </c>
      <c r="E1086" t="s">
        <v>1474</v>
      </c>
      <c r="F1086" t="s">
        <v>1472</v>
      </c>
      <c r="G1086" s="55">
        <v>0.31525462962962963</v>
      </c>
      <c r="H1086" s="55">
        <v>0.63967592592592593</v>
      </c>
      <c r="I1086" s="55" t="str">
        <f t="shared" si="70"/>
        <v>17.002.272-6</v>
      </c>
      <c r="J1086" s="55">
        <f t="shared" si="71"/>
        <v>0.32442129629629629</v>
      </c>
      <c r="K1086" s="93" t="e">
        <f t="shared" si="72"/>
        <v>#VALUE!</v>
      </c>
      <c r="L1086">
        <f>IFERROR(HLOOKUP(D1086,Ingreso!$AN$10:$AT$260,VLOOKUP('cruce '!I1086,Ingreso!$AL$11:$AM$260,2,0),0),0)</f>
        <v>0</v>
      </c>
      <c r="M1086" s="95" t="str">
        <f>IFERROR(HLOOKUP(D1086,Ingreso!$AW$10:$BC$260,VLOOKUP('cruce '!I1086,Ingreso!$AL$11:$AM$260,2,0),0),0)</f>
        <v/>
      </c>
      <c r="N1086" t="e">
        <f t="shared" si="73"/>
        <v>#VALUE!</v>
      </c>
    </row>
    <row r="1087" spans="2:14">
      <c r="C1087"/>
      <c r="D1087" t="s">
        <v>1437</v>
      </c>
      <c r="E1087" t="s">
        <v>1474</v>
      </c>
      <c r="F1087" t="s">
        <v>1472</v>
      </c>
      <c r="G1087" s="55">
        <v>0.30603009259259256</v>
      </c>
      <c r="H1087" s="55">
        <v>0.64297453703703711</v>
      </c>
      <c r="I1087" s="55" t="str">
        <f t="shared" ref="I1087:I1095" si="74">IF(B1087="",I1086,B1087)</f>
        <v>17.002.272-6</v>
      </c>
      <c r="J1087" s="55">
        <f t="shared" ref="J1087:J1095" si="75">IF(G1087&gt;H1087,(H1087+0.5)-(G1087-0.5),H1087-G1087)</f>
        <v>0.33694444444444455</v>
      </c>
      <c r="K1087" s="93" t="e">
        <f t="shared" ref="K1087:K1095" si="76">(J1087*24)-(F1087*24)</f>
        <v>#VALUE!</v>
      </c>
      <c r="L1087">
        <f>IFERROR(HLOOKUP(D1087,Ingreso!$AN$10:$AT$260,VLOOKUP('cruce '!I1087,Ingreso!$AL$11:$AM$260,2,0),0),0)</f>
        <v>0</v>
      </c>
      <c r="M1087" s="95" t="str">
        <f>IFERROR(HLOOKUP(D1087,Ingreso!$AW$10:$BC$260,VLOOKUP('cruce '!I1087,Ingreso!$AL$11:$AM$260,2,0),0),0)</f>
        <v/>
      </c>
      <c r="N1087" t="e">
        <f t="shared" ref="N1087:N1095" si="77">IF((K1087-L1087)&gt;1,"Revisar",IF((K1087-L1087)&lt;-1,"Revisar","OK"))</f>
        <v>#VALUE!</v>
      </c>
    </row>
    <row r="1088" spans="2:14">
      <c r="C1088"/>
      <c r="D1088" t="s">
        <v>1438</v>
      </c>
      <c r="E1088" t="s">
        <v>1474</v>
      </c>
      <c r="F1088" t="s">
        <v>1472</v>
      </c>
      <c r="G1088" s="55">
        <v>0.301724537037037</v>
      </c>
      <c r="H1088" s="55">
        <v>0.64148148148148143</v>
      </c>
      <c r="I1088" s="55" t="str">
        <f t="shared" si="74"/>
        <v>17.002.272-6</v>
      </c>
      <c r="J1088" s="55">
        <f t="shared" si="75"/>
        <v>0.33975694444444443</v>
      </c>
      <c r="K1088" s="93" t="e">
        <f t="shared" si="76"/>
        <v>#VALUE!</v>
      </c>
      <c r="L1088">
        <f>IFERROR(HLOOKUP(D1088,Ingreso!$AN$10:$AT$260,VLOOKUP('cruce '!I1088,Ingreso!$AL$11:$AM$260,2,0),0),0)</f>
        <v>0</v>
      </c>
      <c r="M1088" s="95" t="str">
        <f>IFERROR(HLOOKUP(D1088,Ingreso!$AW$10:$BC$260,VLOOKUP('cruce '!I1088,Ingreso!$AL$11:$AM$260,2,0),0),0)</f>
        <v/>
      </c>
      <c r="N1088" t="e">
        <f t="shared" si="77"/>
        <v>#VALUE!</v>
      </c>
    </row>
    <row r="1089" spans="2:14">
      <c r="C1089"/>
      <c r="D1089" t="s">
        <v>1439</v>
      </c>
      <c r="E1089" t="s">
        <v>1474</v>
      </c>
      <c r="F1089" t="s">
        <v>1472</v>
      </c>
      <c r="G1089" s="55">
        <v>0.31201388888888887</v>
      </c>
      <c r="H1089" s="55">
        <v>0.64109953703703704</v>
      </c>
      <c r="I1089" s="55" t="str">
        <f t="shared" si="74"/>
        <v>17.002.272-6</v>
      </c>
      <c r="J1089" s="55">
        <f t="shared" si="75"/>
        <v>0.32908564814814817</v>
      </c>
      <c r="K1089" s="93" t="e">
        <f t="shared" si="76"/>
        <v>#VALUE!</v>
      </c>
      <c r="L1089">
        <f>IFERROR(HLOOKUP(D1089,Ingreso!$AN$10:$AT$260,VLOOKUP('cruce '!I1089,Ingreso!$AL$11:$AM$260,2,0),0),0)</f>
        <v>0</v>
      </c>
      <c r="M1089" s="95" t="str">
        <f>IFERROR(HLOOKUP(D1089,Ingreso!$AW$10:$BC$260,VLOOKUP('cruce '!I1089,Ingreso!$AL$11:$AM$260,2,0),0),0)</f>
        <v/>
      </c>
      <c r="N1089" t="e">
        <f t="shared" si="77"/>
        <v>#VALUE!</v>
      </c>
    </row>
    <row r="1090" spans="2:14">
      <c r="B1090" t="s">
        <v>433</v>
      </c>
      <c r="C1090" t="s">
        <v>435</v>
      </c>
      <c r="D1090" t="s">
        <v>1440</v>
      </c>
      <c r="E1090" t="s">
        <v>4</v>
      </c>
      <c r="F1090" s="78">
        <v>0.3125</v>
      </c>
      <c r="G1090" s="55">
        <v>0.30420138888888887</v>
      </c>
      <c r="H1090" s="55">
        <v>0.65600694444444441</v>
      </c>
      <c r="I1090" s="55" t="str">
        <f t="shared" si="74"/>
        <v>17.065.312-2</v>
      </c>
      <c r="J1090" s="55">
        <f t="shared" si="75"/>
        <v>0.35180555555555554</v>
      </c>
      <c r="K1090" s="93">
        <f t="shared" si="76"/>
        <v>0.94333333333333336</v>
      </c>
      <c r="L1090">
        <f>IFERROR(HLOOKUP(D1090,Ingreso!$AN$10:$AT$260,VLOOKUP('cruce '!I1090,Ingreso!$AL$11:$AM$260,2,0),0),0)</f>
        <v>0</v>
      </c>
      <c r="M1090" s="95">
        <f>IFERROR(HLOOKUP(D1090,Ingreso!$AW$10:$BC$260,VLOOKUP('cruce '!I1090,Ingreso!$AL$11:$AM$260,2,0),0),0)</f>
        <v>0</v>
      </c>
      <c r="N1090" t="str">
        <f t="shared" si="77"/>
        <v>OK</v>
      </c>
    </row>
    <row r="1091" spans="2:14">
      <c r="C1091"/>
      <c r="D1091" t="s">
        <v>1441</v>
      </c>
      <c r="E1091" t="s">
        <v>1323</v>
      </c>
      <c r="F1091" s="78">
        <v>0.375</v>
      </c>
      <c r="G1091" s="55">
        <v>0.33946759259259257</v>
      </c>
      <c r="H1091" s="55"/>
      <c r="I1091" s="55" t="str">
        <f t="shared" si="74"/>
        <v>17.065.312-2</v>
      </c>
      <c r="J1091" s="55">
        <f t="shared" si="75"/>
        <v>0.66053240740740748</v>
      </c>
      <c r="K1091" s="93">
        <f t="shared" si="76"/>
        <v>6.8527777777777796</v>
      </c>
      <c r="L1091">
        <f>IFERROR(HLOOKUP(D1091,Ingreso!$AN$10:$AT$260,VLOOKUP('cruce '!I1091,Ingreso!$AL$11:$AM$260,2,0),0),0)</f>
        <v>0</v>
      </c>
      <c r="M1091" s="95">
        <f>IFERROR(HLOOKUP(D1091,Ingreso!$AW$10:$BC$260,VLOOKUP('cruce '!I1091,Ingreso!$AL$11:$AM$260,2,0),0),0)</f>
        <v>0</v>
      </c>
      <c r="N1091" t="str">
        <f t="shared" si="77"/>
        <v>Revisar</v>
      </c>
    </row>
    <row r="1092" spans="2:14">
      <c r="C1092"/>
      <c r="D1092"/>
      <c r="E1092" t="s">
        <v>1473</v>
      </c>
      <c r="F1092" t="s">
        <v>1472</v>
      </c>
      <c r="G1092" s="55"/>
      <c r="H1092" s="55">
        <v>0.48568287037037039</v>
      </c>
      <c r="I1092" s="55" t="str">
        <f t="shared" si="74"/>
        <v>17.065.312-2</v>
      </c>
      <c r="J1092" s="55">
        <f t="shared" si="75"/>
        <v>0.48568287037037039</v>
      </c>
      <c r="K1092" s="93" t="e">
        <f t="shared" si="76"/>
        <v>#VALUE!</v>
      </c>
      <c r="L1092">
        <f>IFERROR(HLOOKUP(D1092,Ingreso!$AN$10:$AT$260,VLOOKUP('cruce '!I1092,Ingreso!$AL$11:$AM$260,2,0),0),0)</f>
        <v>0</v>
      </c>
      <c r="M1092" s="95">
        <f>IFERROR(HLOOKUP(D1092,Ingreso!$AW$10:$BC$260,VLOOKUP('cruce '!I1092,Ingreso!$AL$11:$AM$260,2,0),0),0)</f>
        <v>0</v>
      </c>
      <c r="N1092" t="e">
        <f t="shared" si="77"/>
        <v>#VALUE!</v>
      </c>
    </row>
    <row r="1093" spans="2:14">
      <c r="C1093"/>
      <c r="D1093" t="s">
        <v>1437</v>
      </c>
      <c r="E1093" t="s">
        <v>1321</v>
      </c>
      <c r="F1093" s="78">
        <v>0.3125</v>
      </c>
      <c r="G1093" s="55">
        <v>0.62229166666666669</v>
      </c>
      <c r="H1093" s="55"/>
      <c r="I1093" s="55" t="str">
        <f t="shared" si="74"/>
        <v>17.065.312-2</v>
      </c>
      <c r="J1093" s="55">
        <f t="shared" si="75"/>
        <v>0.37770833333333331</v>
      </c>
      <c r="K1093" s="93">
        <f t="shared" si="76"/>
        <v>1.5649999999999995</v>
      </c>
      <c r="L1093">
        <f>IFERROR(HLOOKUP(D1093,Ingreso!$AN$10:$AT$260,VLOOKUP('cruce '!I1093,Ingreso!$AL$11:$AM$260,2,0),0),0)</f>
        <v>0</v>
      </c>
      <c r="M1093" s="95">
        <f>IFERROR(HLOOKUP(D1093,Ingreso!$AW$10:$BC$260,VLOOKUP('cruce '!I1093,Ingreso!$AL$11:$AM$260,2,0),0),0)</f>
        <v>0</v>
      </c>
      <c r="N1093" t="str">
        <f t="shared" si="77"/>
        <v>Revisar</v>
      </c>
    </row>
    <row r="1094" spans="2:14">
      <c r="C1094"/>
      <c r="D1094"/>
      <c r="E1094" t="s">
        <v>1473</v>
      </c>
      <c r="F1094" t="s">
        <v>1472</v>
      </c>
      <c r="G1094" s="55"/>
      <c r="H1094" s="55">
        <v>0.86796296296296294</v>
      </c>
      <c r="I1094" s="55" t="str">
        <f t="shared" si="74"/>
        <v>17.065.312-2</v>
      </c>
      <c r="J1094" s="55">
        <f t="shared" si="75"/>
        <v>0.86796296296296294</v>
      </c>
      <c r="K1094" s="93" t="e">
        <f t="shared" si="76"/>
        <v>#VALUE!</v>
      </c>
      <c r="L1094">
        <f>IFERROR(HLOOKUP(D1094,Ingreso!$AN$10:$AT$260,VLOOKUP('cruce '!I1094,Ingreso!$AL$11:$AM$260,2,0),0),0)</f>
        <v>0</v>
      </c>
      <c r="M1094" s="95">
        <f>IFERROR(HLOOKUP(D1094,Ingreso!$AW$10:$BC$260,VLOOKUP('cruce '!I1094,Ingreso!$AL$11:$AM$260,2,0),0),0)</f>
        <v>0</v>
      </c>
      <c r="N1094" t="e">
        <f t="shared" si="77"/>
        <v>#VALUE!</v>
      </c>
    </row>
    <row r="1095" spans="2:14">
      <c r="C1095"/>
      <c r="D1095" t="s">
        <v>1438</v>
      </c>
      <c r="E1095" t="s">
        <v>4</v>
      </c>
      <c r="F1095" s="78">
        <v>0.3125</v>
      </c>
      <c r="G1095" s="55">
        <v>0.30476851851851855</v>
      </c>
      <c r="H1095" s="55"/>
      <c r="I1095" s="55" t="str">
        <f t="shared" si="74"/>
        <v>17.065.312-2</v>
      </c>
      <c r="J1095" s="55">
        <f t="shared" si="75"/>
        <v>0.69523148148148151</v>
      </c>
      <c r="K1095" s="93">
        <f t="shared" si="76"/>
        <v>9.1855555555555561</v>
      </c>
      <c r="L1095">
        <f>IFERROR(HLOOKUP(D1095,Ingreso!$AN$10:$AT$260,VLOOKUP('cruce '!I1095,Ingreso!$AL$11:$AM$260,2,0),0),0)</f>
        <v>0</v>
      </c>
      <c r="M1095" s="95">
        <f>IFERROR(HLOOKUP(D1095,Ingreso!$AW$10:$BC$260,VLOOKUP('cruce '!I1095,Ingreso!$AL$11:$AM$260,2,0),0),0)</f>
        <v>0</v>
      </c>
      <c r="N1095" t="str">
        <f t="shared" si="77"/>
        <v>Revisar</v>
      </c>
    </row>
    <row r="1096" spans="2:14">
      <c r="C1096"/>
      <c r="D1096"/>
      <c r="E1096" t="s">
        <v>1473</v>
      </c>
      <c r="F1096" t="s">
        <v>1472</v>
      </c>
      <c r="G1096" s="55"/>
      <c r="H1096" s="55">
        <v>0.5784259259259259</v>
      </c>
    </row>
    <row r="1097" spans="2:14">
      <c r="C1097"/>
      <c r="D1097" t="s">
        <v>1439</v>
      </c>
      <c r="E1097" t="s">
        <v>1321</v>
      </c>
      <c r="F1097" s="78">
        <v>0.3125</v>
      </c>
      <c r="G1097" s="55">
        <v>0.60415509259259259</v>
      </c>
      <c r="H1097" s="55"/>
    </row>
    <row r="1098" spans="2:14">
      <c r="C1098"/>
      <c r="D1098"/>
      <c r="E1098" t="s">
        <v>1323</v>
      </c>
      <c r="F1098" s="78">
        <v>0.375</v>
      </c>
      <c r="G1098" s="55"/>
      <c r="H1098" s="55">
        <v>0.92423611111111115</v>
      </c>
    </row>
    <row r="1099" spans="2:14">
      <c r="B1099" t="s">
        <v>236</v>
      </c>
      <c r="C1099" t="s">
        <v>240</v>
      </c>
      <c r="D1099" t="s">
        <v>1440</v>
      </c>
      <c r="E1099" t="s">
        <v>4</v>
      </c>
      <c r="F1099" s="78">
        <v>0.3125</v>
      </c>
      <c r="G1099" s="55">
        <v>0.29671296296296296</v>
      </c>
      <c r="H1099" s="55">
        <v>0.64249999999999996</v>
      </c>
    </row>
    <row r="1100" spans="2:14">
      <c r="C1100"/>
      <c r="D1100" t="s">
        <v>1441</v>
      </c>
      <c r="E1100" t="s">
        <v>4</v>
      </c>
      <c r="F1100" s="78">
        <v>0.3125</v>
      </c>
      <c r="G1100" s="55">
        <v>0.30038194444444444</v>
      </c>
      <c r="H1100" s="55">
        <v>0.64722222222222225</v>
      </c>
    </row>
    <row r="1101" spans="2:14">
      <c r="C1101"/>
      <c r="D1101" t="s">
        <v>1437</v>
      </c>
      <c r="E1101" t="s">
        <v>4</v>
      </c>
      <c r="F1101" s="78">
        <v>0.3125</v>
      </c>
      <c r="G1101" s="55">
        <v>0.2955787037037037</v>
      </c>
      <c r="H1101" s="55">
        <v>0.64103009259259258</v>
      </c>
    </row>
    <row r="1102" spans="2:14">
      <c r="C1102"/>
      <c r="D1102" t="s">
        <v>1438</v>
      </c>
      <c r="E1102" t="s">
        <v>4</v>
      </c>
      <c r="F1102" s="78">
        <v>0.3125</v>
      </c>
      <c r="G1102" s="55">
        <v>0.29537037037037034</v>
      </c>
      <c r="H1102" s="55">
        <v>0.63953703703703701</v>
      </c>
    </row>
    <row r="1103" spans="2:14">
      <c r="C1103"/>
      <c r="D1103" t="s">
        <v>1439</v>
      </c>
      <c r="E1103" t="s">
        <v>4</v>
      </c>
      <c r="F1103" s="78">
        <v>0.3125</v>
      </c>
      <c r="G1103" s="55"/>
      <c r="H1103" s="55">
        <v>0.64115740740740745</v>
      </c>
    </row>
    <row r="1104" spans="2:14">
      <c r="C1104"/>
      <c r="D1104"/>
      <c r="E1104" t="s">
        <v>1323</v>
      </c>
      <c r="F1104" s="78">
        <v>0.375</v>
      </c>
      <c r="G1104" s="55">
        <v>0.32965277777777779</v>
      </c>
      <c r="H1104" s="55"/>
    </row>
    <row r="1105" spans="2:8">
      <c r="B1105" t="s">
        <v>746</v>
      </c>
      <c r="C1105" t="s">
        <v>750</v>
      </c>
      <c r="D1105" t="s">
        <v>1440</v>
      </c>
      <c r="E1105" t="s">
        <v>1321</v>
      </c>
      <c r="F1105" s="78">
        <v>0.3125</v>
      </c>
      <c r="G1105" s="55">
        <v>0.60827546296296298</v>
      </c>
      <c r="H1105" s="55">
        <v>0.9503125</v>
      </c>
    </row>
    <row r="1106" spans="2:8">
      <c r="C1106"/>
      <c r="D1106" t="s">
        <v>1441</v>
      </c>
      <c r="E1106" t="s">
        <v>1321</v>
      </c>
      <c r="F1106" s="78">
        <v>0.3125</v>
      </c>
      <c r="G1106" s="55">
        <v>0.61246527777777782</v>
      </c>
      <c r="H1106" s="55">
        <v>0.94944444444444442</v>
      </c>
    </row>
    <row r="1107" spans="2:8">
      <c r="C1107"/>
      <c r="D1107" t="s">
        <v>1437</v>
      </c>
      <c r="E1107" t="s">
        <v>1321</v>
      </c>
      <c r="F1107" s="78">
        <v>0.3125</v>
      </c>
      <c r="G1107" s="55">
        <v>0.60594907407407406</v>
      </c>
      <c r="H1107" s="55">
        <v>0.94974537037037043</v>
      </c>
    </row>
    <row r="1108" spans="2:8">
      <c r="C1108"/>
      <c r="D1108" t="s">
        <v>1438</v>
      </c>
      <c r="E1108" t="s">
        <v>1321</v>
      </c>
      <c r="F1108" s="78">
        <v>0.3125</v>
      </c>
      <c r="G1108" s="55">
        <v>0.60673611111111114</v>
      </c>
      <c r="H1108" s="55">
        <v>0.95086805555555554</v>
      </c>
    </row>
    <row r="1109" spans="2:8">
      <c r="C1109"/>
      <c r="D1109" t="s">
        <v>1439</v>
      </c>
      <c r="E1109" t="s">
        <v>1321</v>
      </c>
      <c r="F1109" s="78">
        <v>0.3125</v>
      </c>
      <c r="G1109" s="55">
        <v>0.60687499999999994</v>
      </c>
      <c r="H1109" s="55">
        <v>0.95030092592592597</v>
      </c>
    </row>
    <row r="1110" spans="2:8">
      <c r="B1110" t="s">
        <v>1306</v>
      </c>
      <c r="C1110" t="s">
        <v>1308</v>
      </c>
      <c r="D1110" t="s">
        <v>1440</v>
      </c>
      <c r="E1110" t="s">
        <v>1474</v>
      </c>
      <c r="F1110" t="s">
        <v>1472</v>
      </c>
      <c r="G1110" s="55">
        <v>0.296875</v>
      </c>
      <c r="H1110" s="55">
        <v>0.63094907407407408</v>
      </c>
    </row>
    <row r="1111" spans="2:8">
      <c r="C1111"/>
      <c r="D1111" t="s">
        <v>1441</v>
      </c>
      <c r="E1111" t="s">
        <v>1474</v>
      </c>
      <c r="F1111" t="s">
        <v>1472</v>
      </c>
      <c r="G1111" s="55">
        <v>0.29023148148148148</v>
      </c>
      <c r="H1111" s="55">
        <v>0.58528935185185182</v>
      </c>
    </row>
    <row r="1112" spans="2:8">
      <c r="C1112"/>
      <c r="D1112" t="s">
        <v>1442</v>
      </c>
      <c r="E1112" t="s">
        <v>1474</v>
      </c>
      <c r="F1112" t="s">
        <v>1472</v>
      </c>
      <c r="G1112" s="55">
        <v>0.97560185185185189</v>
      </c>
      <c r="H1112" s="55"/>
    </row>
    <row r="1113" spans="2:8">
      <c r="C1113"/>
      <c r="D1113" t="s">
        <v>1437</v>
      </c>
      <c r="E1113" t="s">
        <v>1474</v>
      </c>
      <c r="F1113" t="s">
        <v>1472</v>
      </c>
      <c r="G1113" s="55">
        <v>0.29173611111111114</v>
      </c>
      <c r="H1113" s="55">
        <v>0.63226851851851851</v>
      </c>
    </row>
    <row r="1114" spans="2:8">
      <c r="C1114"/>
      <c r="D1114" t="s">
        <v>1438</v>
      </c>
      <c r="E1114" t="s">
        <v>1474</v>
      </c>
      <c r="F1114" t="s">
        <v>1472</v>
      </c>
      <c r="G1114" s="55">
        <v>0.2905787037037037</v>
      </c>
      <c r="H1114" s="55">
        <v>0.63115740740740744</v>
      </c>
    </row>
    <row r="1115" spans="2:8">
      <c r="C1115"/>
      <c r="D1115" t="s">
        <v>1439</v>
      </c>
      <c r="E1115" t="s">
        <v>1474</v>
      </c>
      <c r="F1115" t="s">
        <v>1472</v>
      </c>
      <c r="G1115" s="55">
        <v>0.29585648148148147</v>
      </c>
      <c r="H1115" s="55">
        <v>0.62967592592592592</v>
      </c>
    </row>
    <row r="1116" spans="2:8">
      <c r="B1116" t="s">
        <v>75</v>
      </c>
      <c r="C1116" t="s">
        <v>78</v>
      </c>
      <c r="D1116" t="s">
        <v>1440</v>
      </c>
      <c r="E1116" t="s">
        <v>1474</v>
      </c>
      <c r="F1116" t="s">
        <v>1472</v>
      </c>
      <c r="G1116" s="55">
        <v>0.32366898148148149</v>
      </c>
      <c r="H1116" s="55">
        <v>0.7336921296296296</v>
      </c>
    </row>
    <row r="1117" spans="2:8">
      <c r="C1117"/>
      <c r="D1117" t="s">
        <v>1437</v>
      </c>
      <c r="E1117" t="s">
        <v>1474</v>
      </c>
      <c r="F1117" t="s">
        <v>1472</v>
      </c>
      <c r="G1117" s="55">
        <v>0.29465277777777776</v>
      </c>
      <c r="H1117" s="55">
        <v>0.73546296296296287</v>
      </c>
    </row>
    <row r="1118" spans="2:8">
      <c r="C1118"/>
      <c r="D1118" t="s">
        <v>1438</v>
      </c>
      <c r="E1118" t="s">
        <v>1474</v>
      </c>
      <c r="F1118" t="s">
        <v>1472</v>
      </c>
      <c r="G1118" s="55">
        <v>0.3190162037037037</v>
      </c>
      <c r="H1118" s="55">
        <v>0.73636574074074079</v>
      </c>
    </row>
    <row r="1119" spans="2:8">
      <c r="C1119"/>
      <c r="D1119" t="s">
        <v>1439</v>
      </c>
      <c r="E1119" t="s">
        <v>1474</v>
      </c>
      <c r="F1119" t="s">
        <v>1472</v>
      </c>
      <c r="G1119" s="55">
        <v>0.32363425925925926</v>
      </c>
      <c r="H1119" s="55">
        <v>0.73672453703703711</v>
      </c>
    </row>
    <row r="1120" spans="2:8">
      <c r="B1120" t="s">
        <v>615</v>
      </c>
      <c r="C1120" t="s">
        <v>618</v>
      </c>
      <c r="D1120" t="s">
        <v>1437</v>
      </c>
      <c r="E1120" t="s">
        <v>1323</v>
      </c>
      <c r="F1120" s="78">
        <v>0.375</v>
      </c>
      <c r="G1120" s="55">
        <v>0.92519675925925926</v>
      </c>
      <c r="H1120" s="55"/>
    </row>
    <row r="1121" spans="2:8">
      <c r="C1121"/>
      <c r="D1121" t="s">
        <v>1438</v>
      </c>
      <c r="E1121" t="s">
        <v>1323</v>
      </c>
      <c r="F1121" s="78">
        <v>0.375</v>
      </c>
      <c r="G1121" s="55">
        <v>0.93130787037037033</v>
      </c>
      <c r="H1121" s="55">
        <v>0.32724537037037038</v>
      </c>
    </row>
    <row r="1122" spans="2:8">
      <c r="C1122"/>
      <c r="D1122" t="s">
        <v>1439</v>
      </c>
      <c r="E1122" t="s">
        <v>1323</v>
      </c>
      <c r="F1122" s="78">
        <v>0.375</v>
      </c>
      <c r="G1122" s="55"/>
      <c r="H1122" s="55">
        <v>0.32837962962962963</v>
      </c>
    </row>
    <row r="1123" spans="2:8">
      <c r="B1123" t="s">
        <v>1378</v>
      </c>
      <c r="C1123" t="s">
        <v>1381</v>
      </c>
      <c r="D1123" t="s">
        <v>1440</v>
      </c>
      <c r="E1123" t="s">
        <v>1474</v>
      </c>
      <c r="F1123" t="s">
        <v>1472</v>
      </c>
      <c r="G1123" s="55">
        <v>0.36481481481481487</v>
      </c>
      <c r="H1123" s="55">
        <v>0.73421296296296301</v>
      </c>
    </row>
    <row r="1124" spans="2:8">
      <c r="C1124"/>
      <c r="D1124" t="s">
        <v>1441</v>
      </c>
      <c r="E1124" t="s">
        <v>1474</v>
      </c>
      <c r="F1124" t="s">
        <v>1472</v>
      </c>
      <c r="G1124" s="55">
        <v>0.36532407407407402</v>
      </c>
      <c r="H1124" s="55">
        <v>0.63968749999999996</v>
      </c>
    </row>
    <row r="1125" spans="2:8">
      <c r="C1125"/>
      <c r="D1125" t="s">
        <v>1437</v>
      </c>
      <c r="E1125" t="s">
        <v>1474</v>
      </c>
      <c r="F1125" t="s">
        <v>1472</v>
      </c>
      <c r="G1125" s="55">
        <v>0.31631944444444443</v>
      </c>
      <c r="H1125" s="55">
        <v>0.76667824074074076</v>
      </c>
    </row>
    <row r="1126" spans="2:8">
      <c r="C1126"/>
      <c r="D1126" t="s">
        <v>1438</v>
      </c>
      <c r="E1126" t="s">
        <v>1474</v>
      </c>
      <c r="F1126" t="s">
        <v>1472</v>
      </c>
      <c r="G1126" s="55">
        <v>0.35655092592592591</v>
      </c>
      <c r="H1126" s="55">
        <v>0.77560185185185182</v>
      </c>
    </row>
    <row r="1127" spans="2:8">
      <c r="C1127"/>
      <c r="D1127" t="s">
        <v>1439</v>
      </c>
      <c r="E1127" t="s">
        <v>1474</v>
      </c>
      <c r="F1127" t="s">
        <v>1472</v>
      </c>
      <c r="G1127" s="55">
        <v>0.36387731481481483</v>
      </c>
      <c r="H1127" s="55">
        <v>0.78300925925925924</v>
      </c>
    </row>
    <row r="1128" spans="2:8">
      <c r="B1128" t="s">
        <v>331</v>
      </c>
      <c r="C1128" t="s">
        <v>335</v>
      </c>
      <c r="D1128" t="s">
        <v>1440</v>
      </c>
      <c r="E1128" t="s">
        <v>4</v>
      </c>
      <c r="F1128" s="78">
        <v>0.3125</v>
      </c>
      <c r="G1128" s="55">
        <v>0.29537037037037034</v>
      </c>
      <c r="H1128" s="55">
        <v>0.71467592592592588</v>
      </c>
    </row>
    <row r="1129" spans="2:8">
      <c r="C1129"/>
      <c r="D1129" t="s">
        <v>1441</v>
      </c>
      <c r="E1129" t="s">
        <v>4</v>
      </c>
      <c r="F1129" s="78">
        <v>0.3125</v>
      </c>
      <c r="G1129" s="55">
        <v>0.29449074074074072</v>
      </c>
      <c r="H1129" s="55">
        <v>0.70988425925925924</v>
      </c>
    </row>
    <row r="1130" spans="2:8">
      <c r="C1130"/>
      <c r="D1130" t="s">
        <v>1437</v>
      </c>
      <c r="E1130" t="s">
        <v>4</v>
      </c>
      <c r="F1130" s="78">
        <v>0.3125</v>
      </c>
      <c r="G1130" s="55">
        <v>0.29332175925925924</v>
      </c>
      <c r="H1130" s="55">
        <v>0.73298611111111101</v>
      </c>
    </row>
    <row r="1131" spans="2:8">
      <c r="C1131"/>
      <c r="D1131" t="s">
        <v>1438</v>
      </c>
      <c r="E1131" t="s">
        <v>4</v>
      </c>
      <c r="F1131" s="78">
        <v>0.3125</v>
      </c>
      <c r="G1131" s="55">
        <v>0.29425925925925928</v>
      </c>
      <c r="H1131" s="55">
        <v>0.72541666666666671</v>
      </c>
    </row>
    <row r="1132" spans="2:8">
      <c r="C1132"/>
      <c r="D1132" t="s">
        <v>1439</v>
      </c>
      <c r="E1132" t="s">
        <v>4</v>
      </c>
      <c r="F1132" s="78">
        <v>0.3125</v>
      </c>
      <c r="G1132" s="55">
        <v>0.29491898148148149</v>
      </c>
      <c r="H1132" s="55">
        <v>0.73271990740740733</v>
      </c>
    </row>
    <row r="1133" spans="2:8">
      <c r="B1133" t="s">
        <v>1296</v>
      </c>
      <c r="C1133" t="s">
        <v>1298</v>
      </c>
      <c r="D1133" t="s">
        <v>1440</v>
      </c>
      <c r="E1133" t="s">
        <v>1321</v>
      </c>
      <c r="F1133" s="78">
        <v>0.3125</v>
      </c>
      <c r="G1133" s="55">
        <v>0.60944444444444446</v>
      </c>
      <c r="H1133" s="55">
        <v>0.94901620370370365</v>
      </c>
    </row>
    <row r="1134" spans="2:8">
      <c r="C1134"/>
      <c r="D1134" t="s">
        <v>1441</v>
      </c>
      <c r="E1134" t="s">
        <v>1321</v>
      </c>
      <c r="F1134" s="78">
        <v>0.3125</v>
      </c>
      <c r="G1134" s="55">
        <v>0.60968750000000005</v>
      </c>
      <c r="H1134" s="55">
        <v>0.94931712962962955</v>
      </c>
    </row>
    <row r="1135" spans="2:8">
      <c r="C1135"/>
      <c r="D1135" t="s">
        <v>1437</v>
      </c>
      <c r="E1135" t="s">
        <v>1321</v>
      </c>
      <c r="F1135" s="78">
        <v>0.3125</v>
      </c>
      <c r="G1135" s="55">
        <v>0.60763888888888895</v>
      </c>
      <c r="H1135" s="55">
        <v>0.94943287037037039</v>
      </c>
    </row>
    <row r="1136" spans="2:8">
      <c r="C1136"/>
      <c r="D1136" t="s">
        <v>1438</v>
      </c>
      <c r="E1136" t="s">
        <v>1321</v>
      </c>
      <c r="F1136" s="78">
        <v>0.3125</v>
      </c>
      <c r="G1136" s="55">
        <v>0.61030092592592589</v>
      </c>
      <c r="H1136" s="55">
        <v>0.94939814814814805</v>
      </c>
    </row>
    <row r="1137" spans="2:8">
      <c r="C1137"/>
      <c r="D1137" t="s">
        <v>1439</v>
      </c>
      <c r="E1137" t="s">
        <v>1321</v>
      </c>
      <c r="F1137" s="78">
        <v>0.3125</v>
      </c>
      <c r="G1137" s="55">
        <v>0.60875000000000001</v>
      </c>
      <c r="H1137" s="55">
        <v>0.95104166666666667</v>
      </c>
    </row>
    <row r="1138" spans="2:8">
      <c r="B1138" t="s">
        <v>888</v>
      </c>
      <c r="C1138" t="s">
        <v>891</v>
      </c>
      <c r="D1138" t="s">
        <v>1440</v>
      </c>
      <c r="E1138" t="s">
        <v>1323</v>
      </c>
      <c r="F1138" s="78">
        <v>0.375</v>
      </c>
      <c r="G1138" s="55"/>
      <c r="H1138" s="55">
        <v>0.32056712962962963</v>
      </c>
    </row>
    <row r="1139" spans="2:8">
      <c r="C1139"/>
      <c r="D1139" t="s">
        <v>1437</v>
      </c>
      <c r="E1139" t="s">
        <v>1323</v>
      </c>
      <c r="F1139" s="78">
        <v>0.375</v>
      </c>
      <c r="G1139" s="55">
        <v>0.91668981481481471</v>
      </c>
      <c r="H1139" s="55"/>
    </row>
    <row r="1140" spans="2:8">
      <c r="C1140"/>
      <c r="D1140" t="s">
        <v>1438</v>
      </c>
      <c r="E1140" t="s">
        <v>1323</v>
      </c>
      <c r="F1140" s="78">
        <v>0.375</v>
      </c>
      <c r="G1140" s="55">
        <v>0.91730324074074077</v>
      </c>
      <c r="H1140" s="55">
        <v>0.32622685185185185</v>
      </c>
    </row>
    <row r="1141" spans="2:8">
      <c r="C1141"/>
      <c r="D1141" t="s">
        <v>1439</v>
      </c>
      <c r="E1141" t="s">
        <v>1323</v>
      </c>
      <c r="F1141" s="78">
        <v>0.375</v>
      </c>
      <c r="G1141" s="55">
        <v>0.91937500000000005</v>
      </c>
      <c r="H1141" s="55">
        <v>0.32285879629629627</v>
      </c>
    </row>
    <row r="1142" spans="2:8">
      <c r="B1142" t="s">
        <v>1300</v>
      </c>
      <c r="C1142" t="s">
        <v>1304</v>
      </c>
      <c r="D1142" t="s">
        <v>1440</v>
      </c>
      <c r="E1142" t="s">
        <v>4</v>
      </c>
      <c r="F1142" s="78">
        <v>0.3125</v>
      </c>
      <c r="G1142" s="55">
        <v>0.29113425925925923</v>
      </c>
      <c r="H1142" s="55">
        <v>0.63773148148148151</v>
      </c>
    </row>
    <row r="1143" spans="2:8">
      <c r="C1143"/>
      <c r="D1143" t="s">
        <v>1441</v>
      </c>
      <c r="E1143" t="s">
        <v>4</v>
      </c>
      <c r="F1143" s="78">
        <v>0.3125</v>
      </c>
      <c r="G1143" s="55">
        <v>0.29498842592592595</v>
      </c>
      <c r="H1143" s="55">
        <v>0.63893518518518522</v>
      </c>
    </row>
    <row r="1144" spans="2:8">
      <c r="C1144"/>
      <c r="D1144" t="s">
        <v>1437</v>
      </c>
      <c r="E1144" t="s">
        <v>4</v>
      </c>
      <c r="F1144" s="78">
        <v>0.3125</v>
      </c>
      <c r="G1144" s="55">
        <v>0.29163194444444446</v>
      </c>
      <c r="H1144" s="55">
        <v>0.63567129629629626</v>
      </c>
    </row>
    <row r="1145" spans="2:8">
      <c r="C1145"/>
      <c r="D1145" t="s">
        <v>1438</v>
      </c>
      <c r="E1145" t="s">
        <v>4</v>
      </c>
      <c r="F1145" s="78">
        <v>0.3125</v>
      </c>
      <c r="G1145" s="55">
        <v>0.29068287037037038</v>
      </c>
      <c r="H1145" s="55">
        <v>0.63483796296296291</v>
      </c>
    </row>
    <row r="1146" spans="2:8">
      <c r="C1146"/>
      <c r="D1146" t="s">
        <v>1439</v>
      </c>
      <c r="E1146" t="s">
        <v>4</v>
      </c>
      <c r="F1146" s="78">
        <v>0.3125</v>
      </c>
      <c r="G1146" s="55">
        <v>0.29570601851851852</v>
      </c>
      <c r="H1146" s="55">
        <v>0.63837962962962969</v>
      </c>
    </row>
    <row r="1147" spans="2:8">
      <c r="B1147" t="s">
        <v>1291</v>
      </c>
      <c r="C1147" t="s">
        <v>1294</v>
      </c>
      <c r="D1147" t="s">
        <v>1440</v>
      </c>
      <c r="E1147" t="s">
        <v>1323</v>
      </c>
      <c r="F1147" s="78">
        <v>0.375</v>
      </c>
      <c r="G1147" s="55">
        <v>0.92349537037037033</v>
      </c>
      <c r="H1147" s="55">
        <v>0.32556712962962964</v>
      </c>
    </row>
    <row r="1148" spans="2:8">
      <c r="C1148"/>
      <c r="D1148" t="s">
        <v>1441</v>
      </c>
      <c r="E1148" t="s">
        <v>1323</v>
      </c>
      <c r="F1148" s="78">
        <v>0.375</v>
      </c>
      <c r="G1148" s="55"/>
      <c r="H1148" s="55">
        <v>0.32453703703703701</v>
      </c>
    </row>
    <row r="1149" spans="2:8">
      <c r="C1149"/>
      <c r="D1149" t="s">
        <v>1437</v>
      </c>
      <c r="E1149" t="s">
        <v>1323</v>
      </c>
      <c r="F1149" s="78">
        <v>0.375</v>
      </c>
      <c r="G1149" s="55">
        <v>0.91907407407407404</v>
      </c>
      <c r="H1149" s="55"/>
    </row>
    <row r="1150" spans="2:8">
      <c r="C1150"/>
      <c r="D1150" t="s">
        <v>1438</v>
      </c>
      <c r="E1150" t="s">
        <v>1323</v>
      </c>
      <c r="F1150" s="78">
        <v>0.375</v>
      </c>
      <c r="G1150" s="55">
        <v>0.91964120370370372</v>
      </c>
      <c r="H1150" s="55">
        <v>0.31981481481481483</v>
      </c>
    </row>
    <row r="1151" spans="2:8">
      <c r="C1151"/>
      <c r="D1151" t="s">
        <v>1439</v>
      </c>
      <c r="E1151" t="s">
        <v>1323</v>
      </c>
      <c r="F1151" s="78">
        <v>0.375</v>
      </c>
      <c r="G1151" s="55">
        <v>0.91905092592592597</v>
      </c>
      <c r="H1151" s="55">
        <v>0.32223379629629628</v>
      </c>
    </row>
    <row r="1152" spans="2:8">
      <c r="B1152" t="s">
        <v>790</v>
      </c>
      <c r="C1152" t="s">
        <v>793</v>
      </c>
      <c r="D1152" t="s">
        <v>1440</v>
      </c>
      <c r="E1152" t="s">
        <v>4</v>
      </c>
      <c r="F1152" s="78">
        <v>0.3125</v>
      </c>
      <c r="G1152" s="55">
        <v>0.8065972222222223</v>
      </c>
      <c r="H1152" s="55"/>
    </row>
    <row r="1153" spans="2:8">
      <c r="C1153"/>
      <c r="D1153"/>
      <c r="E1153" t="s">
        <v>1323</v>
      </c>
      <c r="F1153" s="78">
        <v>0.375</v>
      </c>
      <c r="G1153" s="55"/>
      <c r="H1153" s="55">
        <v>0.31697916666666665</v>
      </c>
    </row>
    <row r="1154" spans="2:8">
      <c r="C1154"/>
      <c r="D1154" t="s">
        <v>1441</v>
      </c>
      <c r="E1154" t="s">
        <v>1323</v>
      </c>
      <c r="F1154" s="78">
        <v>0.375</v>
      </c>
      <c r="G1154" s="55"/>
      <c r="H1154" s="55">
        <v>0.31456018518518519</v>
      </c>
    </row>
    <row r="1155" spans="2:8">
      <c r="C1155"/>
      <c r="D1155" t="s">
        <v>1436</v>
      </c>
      <c r="E1155" t="s">
        <v>1321</v>
      </c>
      <c r="F1155" s="78">
        <v>0.3125</v>
      </c>
      <c r="G1155" s="55">
        <v>0.97723379629629636</v>
      </c>
      <c r="H1155" s="55"/>
    </row>
    <row r="1156" spans="2:8">
      <c r="C1156"/>
      <c r="D1156" t="s">
        <v>1437</v>
      </c>
      <c r="E1156" t="s">
        <v>1323</v>
      </c>
      <c r="F1156" s="78">
        <v>0.375</v>
      </c>
      <c r="G1156" s="55">
        <v>0.92331018518518515</v>
      </c>
      <c r="H1156" s="55">
        <v>0.31658564814814816</v>
      </c>
    </row>
    <row r="1157" spans="2:8">
      <c r="C1157"/>
      <c r="D1157" t="s">
        <v>1438</v>
      </c>
      <c r="E1157" t="s">
        <v>4</v>
      </c>
      <c r="F1157" s="78">
        <v>0.3125</v>
      </c>
      <c r="G1157" s="55">
        <v>0.79829861111111111</v>
      </c>
      <c r="H1157" s="55"/>
    </row>
    <row r="1158" spans="2:8">
      <c r="C1158"/>
      <c r="D1158"/>
      <c r="E1158" t="s">
        <v>1323</v>
      </c>
      <c r="F1158" s="78">
        <v>0.375</v>
      </c>
      <c r="G1158" s="55"/>
      <c r="H1158" s="55">
        <v>0.31471064814814814</v>
      </c>
    </row>
    <row r="1159" spans="2:8">
      <c r="C1159"/>
      <c r="D1159" t="s">
        <v>1439</v>
      </c>
      <c r="E1159" t="s">
        <v>4</v>
      </c>
      <c r="F1159" s="78">
        <v>0.3125</v>
      </c>
      <c r="G1159" s="55">
        <v>0.8003703703703704</v>
      </c>
      <c r="H1159" s="55"/>
    </row>
    <row r="1160" spans="2:8">
      <c r="C1160"/>
      <c r="D1160"/>
      <c r="E1160" t="s">
        <v>1323</v>
      </c>
      <c r="F1160" s="78">
        <v>0.375</v>
      </c>
      <c r="G1160" s="55"/>
      <c r="H1160" s="55">
        <v>0.315462962962963</v>
      </c>
    </row>
    <row r="1161" spans="2:8">
      <c r="B1161" t="s">
        <v>1142</v>
      </c>
      <c r="C1161" t="s">
        <v>1145</v>
      </c>
      <c r="D1161" t="s">
        <v>1440</v>
      </c>
      <c r="E1161" t="s">
        <v>4</v>
      </c>
      <c r="F1161" s="78">
        <v>0.3125</v>
      </c>
      <c r="G1161" s="55">
        <v>0.29631944444444441</v>
      </c>
      <c r="H1161" s="55">
        <v>0.73971064814814813</v>
      </c>
    </row>
    <row r="1162" spans="2:8">
      <c r="C1162"/>
      <c r="D1162" t="s">
        <v>1441</v>
      </c>
      <c r="E1162" t="s">
        <v>4</v>
      </c>
      <c r="F1162" s="78">
        <v>0.3125</v>
      </c>
      <c r="G1162" s="55">
        <v>0.29493055555555553</v>
      </c>
      <c r="H1162" s="55"/>
    </row>
    <row r="1163" spans="2:8">
      <c r="C1163"/>
      <c r="D1163"/>
      <c r="E1163" t="s">
        <v>1321</v>
      </c>
      <c r="F1163" s="78">
        <v>0.3125</v>
      </c>
      <c r="G1163" s="55"/>
      <c r="H1163" s="55">
        <v>0.95923611111111118</v>
      </c>
    </row>
    <row r="1164" spans="2:8">
      <c r="C1164"/>
      <c r="D1164" t="s">
        <v>1437</v>
      </c>
      <c r="E1164" t="s">
        <v>4</v>
      </c>
      <c r="F1164" s="78">
        <v>0.3125</v>
      </c>
      <c r="G1164" s="55">
        <v>0.29421296296296295</v>
      </c>
      <c r="H1164" s="55"/>
    </row>
    <row r="1165" spans="2:8">
      <c r="C1165"/>
      <c r="D1165"/>
      <c r="E1165" t="s">
        <v>1473</v>
      </c>
      <c r="F1165" t="s">
        <v>1472</v>
      </c>
      <c r="G1165" s="55"/>
      <c r="H1165" s="55">
        <v>0.83978009259259256</v>
      </c>
    </row>
    <row r="1166" spans="2:8">
      <c r="C1166"/>
      <c r="D1166" t="s">
        <v>1438</v>
      </c>
      <c r="E1166" t="s">
        <v>4</v>
      </c>
      <c r="F1166" s="78">
        <v>0.3125</v>
      </c>
      <c r="G1166" s="55">
        <v>0.29511574074074071</v>
      </c>
      <c r="H1166" s="55"/>
    </row>
    <row r="1167" spans="2:8">
      <c r="C1167"/>
      <c r="D1167"/>
      <c r="E1167" t="s">
        <v>1473</v>
      </c>
      <c r="F1167" t="s">
        <v>1472</v>
      </c>
      <c r="G1167" s="55"/>
      <c r="H1167" s="55">
        <v>0.84398148148148155</v>
      </c>
    </row>
    <row r="1168" spans="2:8">
      <c r="C1168"/>
      <c r="D1168" t="s">
        <v>1439</v>
      </c>
      <c r="E1168" t="s">
        <v>4</v>
      </c>
      <c r="F1168" s="78">
        <v>0.3125</v>
      </c>
      <c r="G1168" s="55">
        <v>0.29550925925925925</v>
      </c>
      <c r="H1168" s="55">
        <v>0.73677083333333337</v>
      </c>
    </row>
    <row r="1169" spans="2:8">
      <c r="B1169" t="s">
        <v>1042</v>
      </c>
      <c r="C1169" t="s">
        <v>1045</v>
      </c>
      <c r="D1169" t="s">
        <v>1436</v>
      </c>
      <c r="E1169" t="s">
        <v>1323</v>
      </c>
      <c r="F1169" s="78">
        <v>0.375</v>
      </c>
      <c r="G1169" s="55">
        <v>0.98803240740740739</v>
      </c>
      <c r="H1169" s="55"/>
    </row>
    <row r="1170" spans="2:8">
      <c r="C1170"/>
      <c r="D1170" t="s">
        <v>1437</v>
      </c>
      <c r="E1170" t="s">
        <v>1323</v>
      </c>
      <c r="F1170" s="78">
        <v>0.375</v>
      </c>
      <c r="G1170" s="55"/>
      <c r="H1170" s="55">
        <v>0.31650462962962961</v>
      </c>
    </row>
    <row r="1171" spans="2:8">
      <c r="B1171" t="s">
        <v>67</v>
      </c>
      <c r="C1171" t="s">
        <v>71</v>
      </c>
      <c r="D1171" t="s">
        <v>1440</v>
      </c>
      <c r="E1171" t="s">
        <v>4</v>
      </c>
      <c r="F1171" s="78">
        <v>0.3125</v>
      </c>
      <c r="G1171" s="55"/>
      <c r="H1171" s="55">
        <v>0.76101851851851843</v>
      </c>
    </row>
    <row r="1172" spans="2:8">
      <c r="C1172"/>
      <c r="D1172"/>
      <c r="E1172" t="s">
        <v>1473</v>
      </c>
      <c r="F1172" t="s">
        <v>1472</v>
      </c>
      <c r="G1172" s="55">
        <v>0.35542824074074075</v>
      </c>
      <c r="H1172" s="55"/>
    </row>
    <row r="1173" spans="2:8">
      <c r="C1173"/>
      <c r="D1173" t="s">
        <v>1437</v>
      </c>
      <c r="E1173" t="s">
        <v>4</v>
      </c>
      <c r="F1173" s="78">
        <v>0.3125</v>
      </c>
      <c r="G1173" s="55"/>
      <c r="H1173" s="55">
        <v>0.79018518518518521</v>
      </c>
    </row>
    <row r="1174" spans="2:8">
      <c r="C1174"/>
      <c r="D1174"/>
      <c r="E1174" t="s">
        <v>1473</v>
      </c>
      <c r="F1174" t="s">
        <v>1472</v>
      </c>
      <c r="G1174" s="55">
        <v>0.35623842592592592</v>
      </c>
      <c r="H1174" s="55"/>
    </row>
    <row r="1175" spans="2:8">
      <c r="C1175"/>
      <c r="D1175" t="s">
        <v>1438</v>
      </c>
      <c r="E1175" t="s">
        <v>4</v>
      </c>
      <c r="F1175" s="78">
        <v>0.3125</v>
      </c>
      <c r="G1175" s="55"/>
      <c r="H1175" s="55">
        <v>0.7999074074074074</v>
      </c>
    </row>
    <row r="1176" spans="2:8">
      <c r="C1176"/>
      <c r="D1176"/>
      <c r="E1176" t="s">
        <v>1473</v>
      </c>
      <c r="F1176" t="s">
        <v>1472</v>
      </c>
      <c r="G1176" s="55">
        <v>0.35596064814814815</v>
      </c>
      <c r="H1176" s="55"/>
    </row>
    <row r="1177" spans="2:8">
      <c r="C1177"/>
      <c r="D1177" t="s">
        <v>1439</v>
      </c>
      <c r="E1177" t="s">
        <v>4</v>
      </c>
      <c r="F1177" s="78">
        <v>0.3125</v>
      </c>
      <c r="G1177" s="55"/>
      <c r="H1177" s="55">
        <v>0.76314814814814813</v>
      </c>
    </row>
    <row r="1178" spans="2:8">
      <c r="C1178"/>
      <c r="D1178"/>
      <c r="E1178" t="s">
        <v>1473</v>
      </c>
      <c r="F1178" t="s">
        <v>1472</v>
      </c>
      <c r="G1178" s="55">
        <v>0.35799768518518515</v>
      </c>
      <c r="H1178" s="55"/>
    </row>
    <row r="1179" spans="2:8">
      <c r="B1179" t="s">
        <v>1341</v>
      </c>
      <c r="C1179" t="s">
        <v>1315</v>
      </c>
      <c r="D1179" t="s">
        <v>1440</v>
      </c>
      <c r="E1179" t="s">
        <v>1474</v>
      </c>
      <c r="F1179" t="s">
        <v>1472</v>
      </c>
      <c r="G1179" s="55">
        <v>0.36734953703703704</v>
      </c>
      <c r="H1179" s="55">
        <v>0.64956018518518521</v>
      </c>
    </row>
    <row r="1180" spans="2:8">
      <c r="C1180"/>
      <c r="D1180" t="s">
        <v>1437</v>
      </c>
      <c r="E1180" t="s">
        <v>1474</v>
      </c>
      <c r="F1180" t="s">
        <v>1472</v>
      </c>
      <c r="G1180" s="55">
        <v>0.29178240740740741</v>
      </c>
      <c r="H1180" s="55">
        <v>0.73552083333333329</v>
      </c>
    </row>
    <row r="1181" spans="2:8">
      <c r="C1181"/>
      <c r="D1181" t="s">
        <v>1438</v>
      </c>
      <c r="E1181" t="s">
        <v>1474</v>
      </c>
      <c r="F1181" t="s">
        <v>1472</v>
      </c>
      <c r="G1181" s="55">
        <v>0.29053240740740743</v>
      </c>
      <c r="H1181" s="55">
        <v>0.7362847222222223</v>
      </c>
    </row>
    <row r="1182" spans="2:8">
      <c r="C1182"/>
      <c r="D1182" t="s">
        <v>1439</v>
      </c>
      <c r="E1182" t="s">
        <v>1474</v>
      </c>
      <c r="F1182" t="s">
        <v>1472</v>
      </c>
      <c r="G1182" s="55">
        <v>0.31049768518518517</v>
      </c>
      <c r="H1182" s="55">
        <v>0.73666666666666669</v>
      </c>
    </row>
    <row r="1183" spans="2:8">
      <c r="B1183" t="s">
        <v>1287</v>
      </c>
      <c r="C1183" t="s">
        <v>1289</v>
      </c>
      <c r="D1183" t="s">
        <v>1437</v>
      </c>
      <c r="E1183" t="s">
        <v>4</v>
      </c>
      <c r="F1183" s="78">
        <v>0.3125</v>
      </c>
      <c r="G1183" s="55">
        <v>0.29203703703703704</v>
      </c>
      <c r="H1183" s="55"/>
    </row>
    <row r="1184" spans="2:8">
      <c r="C1184"/>
      <c r="D1184"/>
      <c r="E1184" t="s">
        <v>1321</v>
      </c>
      <c r="F1184" s="78">
        <v>0.3125</v>
      </c>
      <c r="G1184" s="55"/>
      <c r="H1184" s="55">
        <v>0.62164351851851851</v>
      </c>
    </row>
    <row r="1185" spans="3:8">
      <c r="C1185"/>
      <c r="D1185" t="s">
        <v>1438</v>
      </c>
      <c r="E1185" t="s">
        <v>4</v>
      </c>
      <c r="F1185" s="78">
        <v>0.3125</v>
      </c>
      <c r="G1185" s="55">
        <v>0.2910416666666667</v>
      </c>
      <c r="H1185" s="55"/>
    </row>
    <row r="1186" spans="3:8">
      <c r="C1186"/>
      <c r="D1186"/>
      <c r="E1186" t="s">
        <v>1321</v>
      </c>
      <c r="F1186" s="78">
        <v>0.3125</v>
      </c>
      <c r="G1186" s="55"/>
      <c r="H1186" s="55">
        <v>0.62270833333333331</v>
      </c>
    </row>
    <row r="1187" spans="3:8">
      <c r="C1187"/>
      <c r="D1187"/>
    </row>
    <row r="1188" spans="3:8">
      <c r="C1188"/>
      <c r="D1188"/>
    </row>
    <row r="1189" spans="3:8">
      <c r="C1189"/>
      <c r="D1189"/>
    </row>
    <row r="1190" spans="3:8">
      <c r="C1190"/>
      <c r="D1190"/>
    </row>
    <row r="1191" spans="3:8">
      <c r="C1191"/>
      <c r="D1191"/>
    </row>
    <row r="1192" spans="3:8">
      <c r="C1192"/>
      <c r="D1192"/>
    </row>
    <row r="1193" spans="3:8">
      <c r="C1193"/>
      <c r="D1193"/>
    </row>
    <row r="1194" spans="3:8">
      <c r="C1194"/>
      <c r="D1194"/>
    </row>
    <row r="1195" spans="3:8">
      <c r="C1195"/>
      <c r="D1195"/>
    </row>
    <row r="1196" spans="3:8">
      <c r="C1196"/>
      <c r="D1196"/>
    </row>
    <row r="1197" spans="3:8">
      <c r="C1197"/>
      <c r="D1197"/>
    </row>
    <row r="1198" spans="3:8">
      <c r="C1198"/>
      <c r="D1198"/>
    </row>
    <row r="1199" spans="3:8">
      <c r="C1199"/>
      <c r="D1199"/>
    </row>
    <row r="1200" spans="3:8">
      <c r="C1200"/>
      <c r="D1200"/>
    </row>
    <row r="1201" spans="3:4">
      <c r="C1201"/>
      <c r="D1201"/>
    </row>
    <row r="1202" spans="3:4">
      <c r="C1202"/>
      <c r="D1202"/>
    </row>
    <row r="1203" spans="3:4">
      <c r="C1203"/>
      <c r="D1203"/>
    </row>
    <row r="1204" spans="3:4">
      <c r="C1204"/>
      <c r="D1204"/>
    </row>
    <row r="1205" spans="3:4">
      <c r="C1205"/>
      <c r="D1205"/>
    </row>
    <row r="1206" spans="3:4">
      <c r="C1206"/>
      <c r="D1206"/>
    </row>
    <row r="1207" spans="3:4">
      <c r="C1207"/>
      <c r="D1207"/>
    </row>
    <row r="1208" spans="3:4">
      <c r="C1208"/>
      <c r="D1208"/>
    </row>
    <row r="1209" spans="3:4">
      <c r="C1209"/>
      <c r="D1209"/>
    </row>
    <row r="1210" spans="3:4">
      <c r="C1210"/>
      <c r="D1210"/>
    </row>
    <row r="1211" spans="3:4">
      <c r="C1211"/>
      <c r="D1211"/>
    </row>
    <row r="1212" spans="3:4">
      <c r="C1212"/>
      <c r="D1212"/>
    </row>
    <row r="1213" spans="3:4">
      <c r="C1213"/>
      <c r="D1213"/>
    </row>
    <row r="1214" spans="3:4">
      <c r="C1214"/>
      <c r="D1214"/>
    </row>
    <row r="1215" spans="3:4">
      <c r="C1215"/>
      <c r="D1215"/>
    </row>
    <row r="1216" spans="3:4">
      <c r="C1216"/>
      <c r="D1216"/>
    </row>
    <row r="1217" spans="3:4">
      <c r="C1217"/>
      <c r="D1217"/>
    </row>
    <row r="1218" spans="3:4">
      <c r="C1218"/>
      <c r="D1218"/>
    </row>
    <row r="1219" spans="3:4">
      <c r="C1219"/>
      <c r="D1219"/>
    </row>
    <row r="1220" spans="3:4">
      <c r="C1220"/>
      <c r="D1220"/>
    </row>
    <row r="1221" spans="3:4">
      <c r="C1221"/>
      <c r="D1221"/>
    </row>
    <row r="1222" spans="3:4">
      <c r="C1222"/>
      <c r="D1222"/>
    </row>
    <row r="1223" spans="3:4">
      <c r="C1223"/>
      <c r="D1223"/>
    </row>
    <row r="1224" spans="3:4">
      <c r="C1224"/>
      <c r="D1224"/>
    </row>
    <row r="1225" spans="3:4">
      <c r="C1225"/>
      <c r="D1225"/>
    </row>
    <row r="1226" spans="3:4">
      <c r="C1226"/>
      <c r="D1226"/>
    </row>
    <row r="1227" spans="3:4">
      <c r="C1227"/>
      <c r="D1227"/>
    </row>
    <row r="1228" spans="3:4">
      <c r="C1228"/>
      <c r="D1228"/>
    </row>
    <row r="1229" spans="3:4">
      <c r="C1229"/>
      <c r="D1229"/>
    </row>
    <row r="1230" spans="3:4">
      <c r="C1230"/>
      <c r="D1230"/>
    </row>
    <row r="1231" spans="3:4">
      <c r="C1231"/>
      <c r="D1231"/>
    </row>
    <row r="1232" spans="3:4">
      <c r="C1232"/>
      <c r="D1232"/>
    </row>
    <row r="1233" spans="3:4">
      <c r="C1233"/>
      <c r="D1233"/>
    </row>
    <row r="1234" spans="3:4">
      <c r="C1234"/>
      <c r="D1234"/>
    </row>
    <row r="1235" spans="3:4">
      <c r="C1235"/>
      <c r="D1235"/>
    </row>
    <row r="1236" spans="3:4">
      <c r="C1236"/>
      <c r="D1236"/>
    </row>
    <row r="1237" spans="3:4">
      <c r="C1237"/>
      <c r="D1237"/>
    </row>
    <row r="1238" spans="3:4">
      <c r="C1238"/>
      <c r="D1238"/>
    </row>
    <row r="1239" spans="3:4">
      <c r="C1239"/>
      <c r="D1239"/>
    </row>
    <row r="1240" spans="3:4">
      <c r="C1240"/>
      <c r="D1240"/>
    </row>
    <row r="1241" spans="3:4">
      <c r="C1241"/>
      <c r="D1241"/>
    </row>
    <row r="1242" spans="3:4">
      <c r="C1242"/>
      <c r="D1242"/>
    </row>
    <row r="1243" spans="3:4">
      <c r="C1243"/>
      <c r="D1243"/>
    </row>
    <row r="1244" spans="3:4">
      <c r="C1244"/>
      <c r="D1244"/>
    </row>
    <row r="1245" spans="3:4">
      <c r="C1245"/>
      <c r="D1245"/>
    </row>
    <row r="1246" spans="3:4">
      <c r="C1246"/>
      <c r="D1246"/>
    </row>
    <row r="1247" spans="3:4">
      <c r="C1247"/>
      <c r="D1247"/>
    </row>
    <row r="1248" spans="3:4">
      <c r="C1248"/>
      <c r="D1248"/>
    </row>
    <row r="1249" spans="3:4">
      <c r="C1249"/>
      <c r="D1249"/>
    </row>
    <row r="1250" spans="3:4">
      <c r="C1250"/>
      <c r="D1250"/>
    </row>
    <row r="1251" spans="3:4">
      <c r="C1251"/>
      <c r="D1251"/>
    </row>
    <row r="1252" spans="3:4">
      <c r="C1252"/>
      <c r="D1252"/>
    </row>
    <row r="1253" spans="3:4">
      <c r="C1253"/>
      <c r="D1253"/>
    </row>
    <row r="1254" spans="3:4">
      <c r="C1254"/>
      <c r="D1254"/>
    </row>
    <row r="1255" spans="3:4">
      <c r="C1255"/>
      <c r="D1255"/>
    </row>
    <row r="1256" spans="3:4">
      <c r="C1256"/>
      <c r="D1256"/>
    </row>
    <row r="1257" spans="3:4">
      <c r="C1257"/>
      <c r="D1257"/>
    </row>
    <row r="1258" spans="3:4">
      <c r="C1258"/>
      <c r="D1258"/>
    </row>
    <row r="1259" spans="3:4">
      <c r="C1259"/>
      <c r="D1259"/>
    </row>
    <row r="1260" spans="3:4">
      <c r="C1260"/>
      <c r="D1260"/>
    </row>
    <row r="1261" spans="3:4">
      <c r="C1261"/>
      <c r="D1261"/>
    </row>
    <row r="1262" spans="3:4">
      <c r="C1262"/>
      <c r="D1262"/>
    </row>
    <row r="1263" spans="3:4">
      <c r="C1263"/>
      <c r="D1263"/>
    </row>
    <row r="1264" spans="3:4">
      <c r="C1264"/>
      <c r="D1264"/>
    </row>
    <row r="1265" spans="3:4">
      <c r="C1265"/>
      <c r="D1265"/>
    </row>
    <row r="1266" spans="3:4">
      <c r="C1266"/>
      <c r="D1266"/>
    </row>
    <row r="1267" spans="3:4">
      <c r="C1267"/>
      <c r="D1267"/>
    </row>
    <row r="1268" spans="3:4">
      <c r="C1268"/>
      <c r="D1268"/>
    </row>
    <row r="1269" spans="3:4">
      <c r="C1269"/>
      <c r="D1269"/>
    </row>
    <row r="1270" spans="3:4">
      <c r="C1270"/>
      <c r="D1270"/>
    </row>
    <row r="1271" spans="3:4">
      <c r="C1271"/>
      <c r="D1271"/>
    </row>
    <row r="1272" spans="3:4">
      <c r="C1272"/>
      <c r="D1272"/>
    </row>
    <row r="1273" spans="3:4">
      <c r="C1273"/>
      <c r="D1273"/>
    </row>
    <row r="1274" spans="3:4">
      <c r="C1274"/>
      <c r="D1274"/>
    </row>
    <row r="1275" spans="3:4">
      <c r="C1275"/>
      <c r="D1275"/>
    </row>
    <row r="1276" spans="3:4">
      <c r="C1276"/>
      <c r="D1276"/>
    </row>
    <row r="1277" spans="3:4">
      <c r="C1277"/>
      <c r="D1277"/>
    </row>
    <row r="1278" spans="3:4">
      <c r="C1278"/>
      <c r="D1278"/>
    </row>
    <row r="1279" spans="3:4">
      <c r="C1279"/>
      <c r="D1279"/>
    </row>
    <row r="1280" spans="3:4">
      <c r="C1280"/>
      <c r="D1280"/>
    </row>
    <row r="1281" spans="3:4">
      <c r="C1281"/>
      <c r="D1281"/>
    </row>
    <row r="1282" spans="3:4">
      <c r="C1282"/>
      <c r="D1282"/>
    </row>
    <row r="1283" spans="3:4">
      <c r="C1283"/>
      <c r="D1283"/>
    </row>
    <row r="1284" spans="3:4">
      <c r="C1284"/>
      <c r="D1284"/>
    </row>
    <row r="1285" spans="3:4">
      <c r="C1285"/>
      <c r="D1285"/>
    </row>
    <row r="1286" spans="3:4">
      <c r="C1286"/>
      <c r="D1286"/>
    </row>
    <row r="1287" spans="3:4">
      <c r="C1287"/>
      <c r="D1287"/>
    </row>
    <row r="1288" spans="3:4">
      <c r="C1288"/>
      <c r="D1288"/>
    </row>
    <row r="1289" spans="3:4">
      <c r="C1289"/>
      <c r="D1289"/>
    </row>
    <row r="1290" spans="3:4">
      <c r="C1290"/>
      <c r="D1290"/>
    </row>
    <row r="1291" spans="3:4">
      <c r="C1291"/>
      <c r="D1291"/>
    </row>
    <row r="1292" spans="3:4">
      <c r="C1292"/>
      <c r="D1292"/>
    </row>
    <row r="1293" spans="3:4">
      <c r="C1293"/>
      <c r="D1293"/>
    </row>
    <row r="1294" spans="3:4">
      <c r="C1294"/>
      <c r="D1294"/>
    </row>
    <row r="1295" spans="3:4">
      <c r="C1295"/>
      <c r="D1295"/>
    </row>
    <row r="1296" spans="3:4">
      <c r="C1296"/>
      <c r="D1296"/>
    </row>
    <row r="1297" spans="3:4">
      <c r="C1297"/>
      <c r="D1297"/>
    </row>
    <row r="1298" spans="3:4">
      <c r="C1298"/>
      <c r="D1298"/>
    </row>
    <row r="1299" spans="3:4">
      <c r="C1299"/>
      <c r="D1299"/>
    </row>
    <row r="1300" spans="3:4">
      <c r="C1300"/>
      <c r="D1300"/>
    </row>
    <row r="1301" spans="3:4">
      <c r="C1301"/>
      <c r="D1301"/>
    </row>
    <row r="1302" spans="3:4">
      <c r="C1302"/>
      <c r="D1302"/>
    </row>
    <row r="1303" spans="3:4">
      <c r="C1303"/>
      <c r="D1303"/>
    </row>
    <row r="1304" spans="3:4">
      <c r="C1304"/>
      <c r="D1304"/>
    </row>
    <row r="1305" spans="3:4">
      <c r="C1305"/>
      <c r="D1305"/>
    </row>
    <row r="1306" spans="3:4">
      <c r="C1306"/>
      <c r="D1306"/>
    </row>
    <row r="1307" spans="3:4">
      <c r="C1307"/>
      <c r="D1307"/>
    </row>
    <row r="1308" spans="3:4">
      <c r="C1308"/>
      <c r="D1308"/>
    </row>
    <row r="1309" spans="3:4">
      <c r="C1309"/>
      <c r="D1309"/>
    </row>
    <row r="1310" spans="3:4">
      <c r="C1310"/>
      <c r="D1310"/>
    </row>
    <row r="1311" spans="3:4">
      <c r="C1311"/>
      <c r="D1311"/>
    </row>
    <row r="1312" spans="3:4">
      <c r="C1312"/>
      <c r="D1312"/>
    </row>
    <row r="1313" spans="3:4">
      <c r="C1313"/>
      <c r="D1313"/>
    </row>
    <row r="1314" spans="3:4">
      <c r="C1314"/>
      <c r="D1314"/>
    </row>
    <row r="1315" spans="3:4">
      <c r="C1315"/>
      <c r="D1315"/>
    </row>
    <row r="1316" spans="3:4">
      <c r="C1316"/>
      <c r="D1316"/>
    </row>
    <row r="1317" spans="3:4">
      <c r="C1317"/>
      <c r="D1317"/>
    </row>
    <row r="1318" spans="3:4">
      <c r="C1318"/>
      <c r="D1318"/>
    </row>
    <row r="1319" spans="3:4">
      <c r="C1319"/>
      <c r="D1319"/>
    </row>
    <row r="1320" spans="3:4">
      <c r="C1320"/>
      <c r="D1320"/>
    </row>
    <row r="1321" spans="3:4">
      <c r="C1321"/>
      <c r="D1321"/>
    </row>
    <row r="1322" spans="3:4">
      <c r="C1322"/>
      <c r="D1322"/>
    </row>
    <row r="1323" spans="3:4">
      <c r="C1323"/>
      <c r="D1323"/>
    </row>
    <row r="1324" spans="3:4">
      <c r="C1324"/>
      <c r="D1324"/>
    </row>
    <row r="1325" spans="3:4">
      <c r="C1325"/>
      <c r="D1325"/>
    </row>
    <row r="1326" spans="3:4">
      <c r="C1326"/>
      <c r="D1326"/>
    </row>
    <row r="1327" spans="3:4">
      <c r="C1327"/>
      <c r="D1327"/>
    </row>
    <row r="1328" spans="3:4">
      <c r="C1328"/>
      <c r="D1328"/>
    </row>
    <row r="1329" spans="3:4">
      <c r="C1329"/>
      <c r="D1329"/>
    </row>
    <row r="1330" spans="3:4">
      <c r="C1330"/>
      <c r="D1330"/>
    </row>
    <row r="1331" spans="3:4">
      <c r="C1331"/>
      <c r="D1331"/>
    </row>
    <row r="1332" spans="3:4">
      <c r="C1332"/>
      <c r="D1332"/>
    </row>
    <row r="1333" spans="3:4">
      <c r="C1333"/>
      <c r="D1333"/>
    </row>
    <row r="1334" spans="3:4">
      <c r="C1334"/>
      <c r="D1334"/>
    </row>
    <row r="1335" spans="3:4">
      <c r="C1335"/>
      <c r="D1335"/>
    </row>
    <row r="1336" spans="3:4">
      <c r="C1336"/>
      <c r="D1336"/>
    </row>
    <row r="1337" spans="3:4">
      <c r="C1337"/>
      <c r="D1337"/>
    </row>
    <row r="1338" spans="3:4">
      <c r="C1338"/>
      <c r="D1338"/>
    </row>
    <row r="1339" spans="3:4">
      <c r="C1339"/>
      <c r="D1339"/>
    </row>
    <row r="1340" spans="3:4">
      <c r="C1340"/>
      <c r="D1340"/>
    </row>
    <row r="1341" spans="3:4">
      <c r="C1341"/>
      <c r="D1341"/>
    </row>
    <row r="1342" spans="3:4">
      <c r="C1342"/>
      <c r="D1342"/>
    </row>
    <row r="1343" spans="3:4">
      <c r="C1343"/>
      <c r="D1343"/>
    </row>
    <row r="1344" spans="3:4">
      <c r="C1344"/>
      <c r="D1344"/>
    </row>
    <row r="1345" spans="3:4">
      <c r="C1345"/>
      <c r="D1345"/>
    </row>
    <row r="1346" spans="3:4">
      <c r="C1346"/>
      <c r="D1346"/>
    </row>
    <row r="1347" spans="3:4">
      <c r="C1347"/>
      <c r="D1347"/>
    </row>
    <row r="1348" spans="3:4">
      <c r="C1348"/>
      <c r="D1348"/>
    </row>
    <row r="1349" spans="3:4">
      <c r="C1349"/>
      <c r="D1349"/>
    </row>
    <row r="1350" spans="3:4">
      <c r="C1350"/>
      <c r="D1350"/>
    </row>
    <row r="1351" spans="3:4">
      <c r="C1351"/>
      <c r="D1351"/>
    </row>
    <row r="1352" spans="3:4">
      <c r="C1352"/>
      <c r="D1352"/>
    </row>
    <row r="1353" spans="3:4">
      <c r="C1353"/>
      <c r="D1353"/>
    </row>
    <row r="1354" spans="3:4">
      <c r="C1354"/>
      <c r="D1354"/>
    </row>
    <row r="1355" spans="3:4">
      <c r="C1355"/>
      <c r="D1355"/>
    </row>
    <row r="1356" spans="3:4">
      <c r="C1356"/>
      <c r="D1356"/>
    </row>
    <row r="1357" spans="3:4">
      <c r="C1357"/>
      <c r="D1357"/>
    </row>
    <row r="1358" spans="3:4">
      <c r="C1358"/>
      <c r="D1358"/>
    </row>
    <row r="1359" spans="3:4">
      <c r="C1359"/>
      <c r="D1359"/>
    </row>
    <row r="1360" spans="3:4">
      <c r="C1360"/>
      <c r="D1360"/>
    </row>
    <row r="1361" spans="3:4">
      <c r="C1361"/>
      <c r="D1361"/>
    </row>
    <row r="1362" spans="3:4">
      <c r="C1362"/>
      <c r="D1362"/>
    </row>
    <row r="1363" spans="3:4">
      <c r="C1363"/>
      <c r="D1363"/>
    </row>
    <row r="1364" spans="3:4">
      <c r="C1364"/>
      <c r="D1364"/>
    </row>
    <row r="1365" spans="3:4">
      <c r="C1365"/>
      <c r="D1365"/>
    </row>
    <row r="1366" spans="3:4">
      <c r="C1366"/>
      <c r="D1366"/>
    </row>
    <row r="1367" spans="3:4">
      <c r="C1367"/>
      <c r="D1367"/>
    </row>
    <row r="1368" spans="3:4">
      <c r="C1368"/>
      <c r="D1368"/>
    </row>
    <row r="1369" spans="3:4">
      <c r="C1369"/>
      <c r="D1369"/>
    </row>
    <row r="1370" spans="3:4">
      <c r="C1370"/>
      <c r="D1370"/>
    </row>
    <row r="1371" spans="3:4">
      <c r="C1371"/>
      <c r="D1371"/>
    </row>
    <row r="1372" spans="3:4">
      <c r="C1372"/>
      <c r="D1372"/>
    </row>
    <row r="1373" spans="3:4">
      <c r="C1373"/>
      <c r="D1373"/>
    </row>
    <row r="1374" spans="3:4">
      <c r="C1374"/>
      <c r="D1374"/>
    </row>
    <row r="1375" spans="3:4">
      <c r="C1375"/>
      <c r="D1375"/>
    </row>
    <row r="1376" spans="3:4">
      <c r="C1376"/>
      <c r="D1376"/>
    </row>
    <row r="1377" spans="3:4">
      <c r="C1377"/>
      <c r="D1377"/>
    </row>
    <row r="1378" spans="3:4">
      <c r="C1378"/>
      <c r="D1378"/>
    </row>
    <row r="1379" spans="3:4">
      <c r="C1379"/>
      <c r="D1379"/>
    </row>
    <row r="1380" spans="3:4">
      <c r="C1380"/>
      <c r="D1380"/>
    </row>
    <row r="1381" spans="3:4">
      <c r="C1381"/>
      <c r="D1381"/>
    </row>
    <row r="1382" spans="3:4">
      <c r="C1382"/>
      <c r="D1382"/>
    </row>
    <row r="1383" spans="3:4">
      <c r="C1383"/>
      <c r="D1383"/>
    </row>
    <row r="1384" spans="3:4">
      <c r="C1384"/>
      <c r="D1384"/>
    </row>
    <row r="1385" spans="3:4">
      <c r="C1385"/>
      <c r="D1385"/>
    </row>
    <row r="1386" spans="3:4">
      <c r="C1386"/>
      <c r="D1386"/>
    </row>
    <row r="1387" spans="3:4">
      <c r="C1387"/>
      <c r="D1387"/>
    </row>
    <row r="1388" spans="3:4">
      <c r="C1388"/>
      <c r="D1388"/>
    </row>
    <row r="1389" spans="3:4">
      <c r="C1389"/>
      <c r="D1389"/>
    </row>
    <row r="1390" spans="3:4">
      <c r="C1390"/>
      <c r="D1390"/>
    </row>
    <row r="1391" spans="3:4">
      <c r="C1391"/>
      <c r="D1391"/>
    </row>
    <row r="1392" spans="3:4">
      <c r="C1392"/>
      <c r="D1392"/>
    </row>
    <row r="1393" spans="3:4">
      <c r="C1393"/>
      <c r="D1393"/>
    </row>
    <row r="1394" spans="3:4">
      <c r="C1394"/>
      <c r="D1394"/>
    </row>
    <row r="1395" spans="3:4">
      <c r="C1395"/>
      <c r="D1395"/>
    </row>
    <row r="1396" spans="3:4">
      <c r="C1396"/>
      <c r="D1396"/>
    </row>
    <row r="1397" spans="3:4">
      <c r="C1397"/>
      <c r="D1397"/>
    </row>
    <row r="1398" spans="3:4">
      <c r="C1398"/>
      <c r="D1398"/>
    </row>
    <row r="1399" spans="3:4">
      <c r="C1399"/>
      <c r="D1399"/>
    </row>
    <row r="1400" spans="3:4">
      <c r="C1400"/>
      <c r="D1400"/>
    </row>
    <row r="1401" spans="3:4">
      <c r="C1401"/>
      <c r="D1401"/>
    </row>
    <row r="1402" spans="3:4">
      <c r="C1402"/>
      <c r="D1402"/>
    </row>
    <row r="1403" spans="3:4">
      <c r="C1403"/>
      <c r="D1403"/>
    </row>
    <row r="1404" spans="3:4">
      <c r="C1404"/>
      <c r="D1404"/>
    </row>
    <row r="1405" spans="3:4">
      <c r="C1405"/>
      <c r="D1405"/>
    </row>
    <row r="1406" spans="3:4">
      <c r="C1406"/>
      <c r="D1406"/>
    </row>
    <row r="1407" spans="3:4">
      <c r="C1407"/>
      <c r="D1407"/>
    </row>
    <row r="1408" spans="3:4">
      <c r="C1408"/>
      <c r="D1408"/>
    </row>
    <row r="1409" spans="3:4">
      <c r="C1409"/>
      <c r="D1409"/>
    </row>
    <row r="1410" spans="3:4">
      <c r="C1410"/>
      <c r="D1410"/>
    </row>
    <row r="1411" spans="3:4">
      <c r="C1411"/>
      <c r="D1411"/>
    </row>
    <row r="1412" spans="3:4">
      <c r="C1412"/>
      <c r="D1412"/>
    </row>
    <row r="1413" spans="3:4">
      <c r="C1413"/>
      <c r="D1413"/>
    </row>
    <row r="1414" spans="3:4">
      <c r="C1414"/>
      <c r="D1414"/>
    </row>
    <row r="1415" spans="3:4">
      <c r="C1415"/>
      <c r="D1415"/>
    </row>
    <row r="1416" spans="3:4">
      <c r="C1416"/>
      <c r="D1416"/>
    </row>
    <row r="1417" spans="3:4">
      <c r="C1417"/>
      <c r="D1417"/>
    </row>
    <row r="1418" spans="3:4">
      <c r="C1418"/>
      <c r="D1418"/>
    </row>
    <row r="1419" spans="3:4">
      <c r="C1419"/>
      <c r="D1419"/>
    </row>
    <row r="1420" spans="3:4">
      <c r="C1420"/>
      <c r="D1420"/>
    </row>
    <row r="1421" spans="3:4">
      <c r="C1421"/>
      <c r="D1421"/>
    </row>
    <row r="1422" spans="3:4">
      <c r="C1422"/>
      <c r="D1422"/>
    </row>
    <row r="1423" spans="3:4">
      <c r="C1423"/>
      <c r="D1423"/>
    </row>
    <row r="1424" spans="3:4">
      <c r="C1424"/>
      <c r="D1424"/>
    </row>
    <row r="1425" spans="3:4">
      <c r="C1425"/>
      <c r="D1425"/>
    </row>
    <row r="1426" spans="3:4">
      <c r="C1426"/>
      <c r="D1426"/>
    </row>
    <row r="1427" spans="3:4">
      <c r="C1427"/>
      <c r="D1427"/>
    </row>
    <row r="1428" spans="3:4">
      <c r="C1428"/>
      <c r="D1428"/>
    </row>
    <row r="1429" spans="3:4">
      <c r="C1429"/>
      <c r="D1429"/>
    </row>
    <row r="1430" spans="3:4">
      <c r="C1430"/>
      <c r="D1430"/>
    </row>
    <row r="1431" spans="3:4">
      <c r="C1431"/>
      <c r="D1431"/>
    </row>
    <row r="1432" spans="3:4">
      <c r="C1432"/>
      <c r="D1432"/>
    </row>
    <row r="1433" spans="3:4">
      <c r="C1433"/>
      <c r="D1433"/>
    </row>
    <row r="1434" spans="3:4">
      <c r="C1434"/>
      <c r="D1434"/>
    </row>
    <row r="1435" spans="3:4">
      <c r="C1435"/>
      <c r="D1435"/>
    </row>
    <row r="1436" spans="3:4">
      <c r="C1436"/>
      <c r="D1436"/>
    </row>
    <row r="1437" spans="3:4">
      <c r="C1437"/>
      <c r="D1437"/>
    </row>
    <row r="1438" spans="3:4">
      <c r="C1438"/>
      <c r="D1438"/>
    </row>
    <row r="1439" spans="3:4">
      <c r="C1439"/>
      <c r="D1439"/>
    </row>
    <row r="1440" spans="3:4">
      <c r="C1440"/>
      <c r="D1440"/>
    </row>
    <row r="1441" spans="3:4">
      <c r="C1441"/>
      <c r="D1441"/>
    </row>
    <row r="1442" spans="3:4">
      <c r="C1442"/>
      <c r="D1442"/>
    </row>
    <row r="1443" spans="3:4">
      <c r="C1443"/>
      <c r="D1443"/>
    </row>
    <row r="1444" spans="3:4">
      <c r="C1444"/>
      <c r="D1444"/>
    </row>
    <row r="1445" spans="3:4">
      <c r="C1445"/>
      <c r="D1445"/>
    </row>
    <row r="1446" spans="3:4">
      <c r="C1446"/>
      <c r="D1446"/>
    </row>
    <row r="1447" spans="3:4">
      <c r="C1447"/>
      <c r="D1447"/>
    </row>
    <row r="1448" spans="3:4">
      <c r="C1448"/>
      <c r="D1448"/>
    </row>
    <row r="1449" spans="3:4">
      <c r="C1449"/>
      <c r="D1449"/>
    </row>
    <row r="1450" spans="3:4">
      <c r="C1450"/>
      <c r="D1450"/>
    </row>
    <row r="1451" spans="3:4">
      <c r="C1451"/>
      <c r="D1451"/>
    </row>
    <row r="1452" spans="3:4">
      <c r="C1452"/>
      <c r="D1452"/>
    </row>
    <row r="1453" spans="3:4">
      <c r="C1453"/>
      <c r="D1453"/>
    </row>
    <row r="1454" spans="3:4">
      <c r="C1454"/>
      <c r="D1454"/>
    </row>
    <row r="1455" spans="3:4">
      <c r="C1455"/>
      <c r="D1455"/>
    </row>
    <row r="1456" spans="3:4">
      <c r="C1456"/>
      <c r="D1456"/>
    </row>
    <row r="1457" spans="3:4">
      <c r="C1457"/>
      <c r="D1457"/>
    </row>
    <row r="1458" spans="3:4">
      <c r="C1458"/>
      <c r="D1458"/>
    </row>
    <row r="1459" spans="3:4">
      <c r="C1459"/>
      <c r="D1459"/>
    </row>
    <row r="1460" spans="3:4">
      <c r="C1460"/>
      <c r="D1460"/>
    </row>
    <row r="1461" spans="3:4">
      <c r="C1461"/>
      <c r="D1461"/>
    </row>
    <row r="1462" spans="3:4">
      <c r="C1462"/>
      <c r="D1462"/>
    </row>
    <row r="1463" spans="3:4">
      <c r="C1463"/>
      <c r="D1463"/>
    </row>
    <row r="1464" spans="3:4">
      <c r="C1464"/>
      <c r="D1464"/>
    </row>
    <row r="1465" spans="3:4">
      <c r="C1465"/>
      <c r="D1465"/>
    </row>
    <row r="1466" spans="3:4">
      <c r="C1466"/>
      <c r="D1466"/>
    </row>
    <row r="1467" spans="3:4">
      <c r="C1467"/>
      <c r="D1467"/>
    </row>
    <row r="1468" spans="3:4">
      <c r="C1468"/>
      <c r="D1468"/>
    </row>
    <row r="1469" spans="3:4">
      <c r="C1469"/>
      <c r="D1469"/>
    </row>
    <row r="1470" spans="3:4">
      <c r="C1470"/>
      <c r="D1470"/>
    </row>
    <row r="1471" spans="3:4">
      <c r="C1471"/>
      <c r="D1471"/>
    </row>
    <row r="1472" spans="3:4">
      <c r="C1472"/>
      <c r="D1472"/>
    </row>
    <row r="1473" spans="3:4">
      <c r="C1473"/>
      <c r="D1473"/>
    </row>
    <row r="1474" spans="3:4">
      <c r="C1474"/>
      <c r="D1474"/>
    </row>
    <row r="1475" spans="3:4">
      <c r="C1475"/>
      <c r="D1475"/>
    </row>
    <row r="1476" spans="3:4">
      <c r="C1476"/>
      <c r="D1476"/>
    </row>
    <row r="1477" spans="3:4">
      <c r="C1477"/>
      <c r="D1477"/>
    </row>
    <row r="1478" spans="3:4">
      <c r="C1478"/>
      <c r="D1478"/>
    </row>
    <row r="1479" spans="3:4">
      <c r="C1479"/>
      <c r="D1479"/>
    </row>
    <row r="1480" spans="3:4">
      <c r="C1480"/>
      <c r="D1480"/>
    </row>
    <row r="1481" spans="3:4">
      <c r="C1481"/>
      <c r="D1481"/>
    </row>
    <row r="1482" spans="3:4">
      <c r="C1482"/>
      <c r="D1482"/>
    </row>
    <row r="1483" spans="3:4">
      <c r="C1483"/>
      <c r="D1483"/>
    </row>
    <row r="1484" spans="3:4">
      <c r="C1484"/>
      <c r="D1484"/>
    </row>
    <row r="1485" spans="3:4">
      <c r="C1485"/>
      <c r="D1485"/>
    </row>
    <row r="1486" spans="3:4">
      <c r="C1486"/>
      <c r="D1486"/>
    </row>
    <row r="1487" spans="3:4">
      <c r="C1487"/>
      <c r="D1487"/>
    </row>
    <row r="1488" spans="3:4">
      <c r="C1488"/>
      <c r="D1488"/>
    </row>
    <row r="1489" spans="3:4">
      <c r="C1489"/>
      <c r="D1489"/>
    </row>
    <row r="1490" spans="3:4">
      <c r="C1490"/>
      <c r="D1490"/>
    </row>
    <row r="1491" spans="3:4">
      <c r="C1491"/>
      <c r="D1491"/>
    </row>
    <row r="1492" spans="3:4">
      <c r="C1492"/>
      <c r="D1492"/>
    </row>
    <row r="1493" spans="3:4">
      <c r="C1493"/>
      <c r="D1493"/>
    </row>
    <row r="1494" spans="3:4">
      <c r="C1494"/>
      <c r="D1494"/>
    </row>
    <row r="1495" spans="3:4">
      <c r="C1495"/>
      <c r="D1495"/>
    </row>
    <row r="1496" spans="3:4">
      <c r="C1496"/>
      <c r="D1496"/>
    </row>
    <row r="1497" spans="3:4">
      <c r="C1497"/>
      <c r="D1497"/>
    </row>
    <row r="1498" spans="3:4">
      <c r="C1498"/>
      <c r="D1498"/>
    </row>
    <row r="1499" spans="3:4">
      <c r="C1499"/>
      <c r="D1499"/>
    </row>
    <row r="1500" spans="3:4">
      <c r="C1500"/>
      <c r="D1500"/>
    </row>
    <row r="1501" spans="3:4">
      <c r="C1501"/>
      <c r="D1501"/>
    </row>
    <row r="1502" spans="3:4">
      <c r="C1502"/>
      <c r="D1502"/>
    </row>
    <row r="1503" spans="3:4">
      <c r="C1503"/>
      <c r="D1503"/>
    </row>
    <row r="1504" spans="3:4">
      <c r="C1504"/>
      <c r="D1504"/>
    </row>
    <row r="1505" spans="3:4">
      <c r="C1505"/>
      <c r="D1505"/>
    </row>
    <row r="1506" spans="3:4">
      <c r="C1506"/>
      <c r="D1506"/>
    </row>
    <row r="1507" spans="3:4">
      <c r="C1507"/>
      <c r="D1507"/>
    </row>
    <row r="1508" spans="3:4">
      <c r="C1508"/>
      <c r="D1508"/>
    </row>
    <row r="1509" spans="3:4">
      <c r="C1509"/>
      <c r="D1509"/>
    </row>
    <row r="1510" spans="3:4">
      <c r="C1510"/>
      <c r="D1510"/>
    </row>
    <row r="1511" spans="3:4">
      <c r="C1511"/>
      <c r="D1511"/>
    </row>
    <row r="1512" spans="3:4">
      <c r="C1512"/>
      <c r="D1512"/>
    </row>
    <row r="1513" spans="3:4">
      <c r="C1513"/>
      <c r="D1513"/>
    </row>
    <row r="1514" spans="3:4">
      <c r="C1514"/>
      <c r="D1514"/>
    </row>
    <row r="1515" spans="3:4">
      <c r="C1515"/>
      <c r="D1515"/>
    </row>
    <row r="1516" spans="3:4">
      <c r="C1516"/>
      <c r="D1516"/>
    </row>
    <row r="1517" spans="3:4">
      <c r="C1517"/>
      <c r="D1517"/>
    </row>
    <row r="1518" spans="3:4">
      <c r="C1518"/>
      <c r="D1518"/>
    </row>
    <row r="1519" spans="3:4">
      <c r="C1519"/>
      <c r="D1519"/>
    </row>
    <row r="1520" spans="3:4">
      <c r="C1520"/>
      <c r="D1520"/>
    </row>
    <row r="1521" spans="3:4">
      <c r="C1521"/>
      <c r="D1521"/>
    </row>
    <row r="1522" spans="3:4">
      <c r="C1522"/>
      <c r="D1522"/>
    </row>
    <row r="1523" spans="3:4">
      <c r="C1523"/>
      <c r="D1523"/>
    </row>
    <row r="1524" spans="3:4">
      <c r="C1524"/>
      <c r="D1524"/>
    </row>
    <row r="1525" spans="3:4">
      <c r="C1525"/>
      <c r="D1525"/>
    </row>
    <row r="1526" spans="3:4">
      <c r="C1526"/>
      <c r="D1526"/>
    </row>
    <row r="1527" spans="3:4">
      <c r="C1527"/>
      <c r="D1527"/>
    </row>
    <row r="1528" spans="3:4">
      <c r="C1528"/>
      <c r="D1528"/>
    </row>
    <row r="1529" spans="3:4">
      <c r="C1529"/>
      <c r="D1529"/>
    </row>
    <row r="1530" spans="3:4">
      <c r="C1530"/>
      <c r="D1530"/>
    </row>
    <row r="1531" spans="3:4">
      <c r="C1531"/>
      <c r="D1531"/>
    </row>
    <row r="1532" spans="3:4">
      <c r="C1532"/>
      <c r="D1532"/>
    </row>
    <row r="1533" spans="3:4">
      <c r="C1533"/>
      <c r="D1533"/>
    </row>
    <row r="1534" spans="3:4">
      <c r="C1534"/>
      <c r="D1534"/>
    </row>
    <row r="1535" spans="3:4">
      <c r="C1535"/>
      <c r="D1535"/>
    </row>
    <row r="1536" spans="3:4">
      <c r="C1536"/>
      <c r="D1536"/>
    </row>
    <row r="1537" spans="3:4">
      <c r="C1537"/>
      <c r="D1537"/>
    </row>
    <row r="1538" spans="3:4">
      <c r="C1538"/>
      <c r="D1538"/>
    </row>
    <row r="1539" spans="3:4">
      <c r="C1539"/>
      <c r="D1539"/>
    </row>
    <row r="1540" spans="3:4">
      <c r="C1540"/>
      <c r="D1540"/>
    </row>
    <row r="1541" spans="3:4">
      <c r="C1541"/>
      <c r="D1541"/>
    </row>
    <row r="1542" spans="3:4">
      <c r="C1542"/>
      <c r="D1542"/>
    </row>
    <row r="1543" spans="3:4">
      <c r="C1543"/>
      <c r="D1543"/>
    </row>
    <row r="1544" spans="3:4">
      <c r="C1544"/>
      <c r="D1544"/>
    </row>
    <row r="1545" spans="3:4">
      <c r="C1545"/>
      <c r="D1545"/>
    </row>
    <row r="1546" spans="3:4">
      <c r="C1546"/>
      <c r="D1546"/>
    </row>
    <row r="1547" spans="3:4">
      <c r="C1547"/>
      <c r="D1547"/>
    </row>
    <row r="1548" spans="3:4">
      <c r="C1548"/>
      <c r="D1548"/>
    </row>
    <row r="1549" spans="3:4">
      <c r="C1549"/>
      <c r="D1549"/>
    </row>
    <row r="1550" spans="3:4">
      <c r="C1550"/>
      <c r="D1550"/>
    </row>
    <row r="1551" spans="3:4">
      <c r="C1551"/>
      <c r="D1551"/>
    </row>
    <row r="1552" spans="3:4">
      <c r="C1552"/>
      <c r="D1552"/>
    </row>
    <row r="1553" spans="3:4">
      <c r="C1553"/>
      <c r="D1553"/>
    </row>
    <row r="1554" spans="3:4">
      <c r="C1554"/>
      <c r="D1554"/>
    </row>
    <row r="1555" spans="3:4">
      <c r="C1555"/>
      <c r="D1555"/>
    </row>
    <row r="1556" spans="3:4">
      <c r="C1556"/>
      <c r="D1556"/>
    </row>
    <row r="1557" spans="3:4">
      <c r="C1557"/>
      <c r="D1557"/>
    </row>
    <row r="1558" spans="3:4">
      <c r="C1558"/>
      <c r="D1558"/>
    </row>
    <row r="1559" spans="3:4">
      <c r="C1559"/>
      <c r="D1559"/>
    </row>
    <row r="1560" spans="3:4">
      <c r="C1560"/>
      <c r="D1560"/>
    </row>
    <row r="1561" spans="3:4">
      <c r="C1561"/>
      <c r="D1561"/>
    </row>
    <row r="1562" spans="3:4">
      <c r="C1562"/>
      <c r="D1562"/>
    </row>
    <row r="1563" spans="3:4">
      <c r="C1563"/>
      <c r="D1563"/>
    </row>
    <row r="1564" spans="3:4">
      <c r="C1564"/>
      <c r="D1564"/>
    </row>
    <row r="1565" spans="3:4">
      <c r="C1565"/>
      <c r="D1565"/>
    </row>
    <row r="1566" spans="3:4">
      <c r="C1566"/>
      <c r="D1566"/>
    </row>
    <row r="1567" spans="3:4">
      <c r="C1567"/>
      <c r="D1567"/>
    </row>
    <row r="1568" spans="3:4">
      <c r="C1568"/>
      <c r="D1568"/>
    </row>
    <row r="1569" spans="3:4">
      <c r="C1569"/>
      <c r="D1569"/>
    </row>
    <row r="1570" spans="3:4">
      <c r="C1570"/>
      <c r="D1570"/>
    </row>
    <row r="1571" spans="3:4">
      <c r="C1571"/>
      <c r="D1571"/>
    </row>
    <row r="1572" spans="3:4">
      <c r="C1572"/>
      <c r="D1572"/>
    </row>
    <row r="1573" spans="3:4">
      <c r="C1573"/>
      <c r="D1573"/>
    </row>
    <row r="1574" spans="3:4">
      <c r="C1574"/>
      <c r="D1574"/>
    </row>
    <row r="1575" spans="3:4">
      <c r="C1575"/>
      <c r="D1575"/>
    </row>
    <row r="1576" spans="3:4">
      <c r="C1576"/>
      <c r="D1576"/>
    </row>
    <row r="1577" spans="3:4">
      <c r="C1577"/>
      <c r="D1577"/>
    </row>
    <row r="1578" spans="3:4">
      <c r="C1578"/>
      <c r="D1578"/>
    </row>
    <row r="1579" spans="3:4">
      <c r="C1579"/>
      <c r="D1579"/>
    </row>
    <row r="1580" spans="3:4">
      <c r="C1580"/>
      <c r="D1580"/>
    </row>
    <row r="1581" spans="3:4">
      <c r="C1581"/>
      <c r="D1581"/>
    </row>
    <row r="1582" spans="3:4">
      <c r="C1582"/>
      <c r="D1582"/>
    </row>
    <row r="1583" spans="3:4">
      <c r="C1583"/>
      <c r="D1583"/>
    </row>
    <row r="1584" spans="3:4">
      <c r="C1584"/>
      <c r="D1584"/>
    </row>
    <row r="1585" spans="3:4">
      <c r="C1585"/>
      <c r="D1585"/>
    </row>
    <row r="1586" spans="3:4">
      <c r="C1586"/>
      <c r="D1586"/>
    </row>
    <row r="1587" spans="3:4">
      <c r="C1587"/>
      <c r="D1587"/>
    </row>
    <row r="1588" spans="3:4">
      <c r="C1588"/>
      <c r="D1588"/>
    </row>
    <row r="1589" spans="3:4">
      <c r="C1589"/>
      <c r="D1589"/>
    </row>
    <row r="1590" spans="3:4">
      <c r="C1590"/>
      <c r="D1590"/>
    </row>
    <row r="1591" spans="3:4">
      <c r="C1591"/>
      <c r="D1591"/>
    </row>
    <row r="1592" spans="3:4">
      <c r="C1592"/>
      <c r="D1592"/>
    </row>
    <row r="1593" spans="3:4">
      <c r="C1593"/>
      <c r="D1593"/>
    </row>
    <row r="1594" spans="3:4">
      <c r="C1594"/>
      <c r="D1594"/>
    </row>
    <row r="1595" spans="3:4">
      <c r="C1595"/>
      <c r="D1595"/>
    </row>
    <row r="1596" spans="3:4">
      <c r="C1596"/>
      <c r="D1596"/>
    </row>
    <row r="1597" spans="3:4">
      <c r="C1597"/>
      <c r="D1597"/>
    </row>
    <row r="1598" spans="3:4">
      <c r="C1598"/>
      <c r="D1598"/>
    </row>
    <row r="1599" spans="3:4">
      <c r="C1599"/>
      <c r="D1599"/>
    </row>
    <row r="1600" spans="3:4">
      <c r="C1600"/>
      <c r="D1600"/>
    </row>
    <row r="1601" spans="3:4">
      <c r="C1601"/>
      <c r="D1601"/>
    </row>
    <row r="1602" spans="3:4">
      <c r="C1602"/>
      <c r="D1602"/>
    </row>
    <row r="1603" spans="3:4">
      <c r="C1603"/>
      <c r="D1603"/>
    </row>
    <row r="1604" spans="3:4">
      <c r="C1604"/>
      <c r="D1604"/>
    </row>
    <row r="1605" spans="3:4">
      <c r="C1605"/>
      <c r="D1605"/>
    </row>
    <row r="1606" spans="3:4">
      <c r="C1606"/>
      <c r="D1606"/>
    </row>
    <row r="1607" spans="3:4">
      <c r="C1607"/>
      <c r="D1607"/>
    </row>
    <row r="1608" spans="3:4">
      <c r="C1608"/>
      <c r="D1608"/>
    </row>
    <row r="1609" spans="3:4">
      <c r="C1609"/>
      <c r="D1609"/>
    </row>
    <row r="1610" spans="3:4">
      <c r="C1610"/>
      <c r="D1610"/>
    </row>
    <row r="1611" spans="3:4">
      <c r="C1611"/>
      <c r="D1611"/>
    </row>
    <row r="1612" spans="3:4">
      <c r="C1612"/>
      <c r="D1612"/>
    </row>
    <row r="1613" spans="3:4">
      <c r="C1613"/>
      <c r="D1613"/>
    </row>
    <row r="1614" spans="3:4">
      <c r="C1614"/>
      <c r="D1614"/>
    </row>
    <row r="1615" spans="3:4">
      <c r="C1615"/>
      <c r="D1615"/>
    </row>
    <row r="1616" spans="3:4">
      <c r="C1616"/>
      <c r="D1616"/>
    </row>
    <row r="1617" spans="3:4">
      <c r="C1617"/>
      <c r="D1617"/>
    </row>
    <row r="1618" spans="3:4">
      <c r="C1618"/>
      <c r="D1618"/>
    </row>
    <row r="1619" spans="3:4">
      <c r="C1619"/>
      <c r="D1619"/>
    </row>
    <row r="1620" spans="3:4">
      <c r="C1620"/>
      <c r="D1620"/>
    </row>
    <row r="1621" spans="3:4">
      <c r="C1621"/>
      <c r="D1621"/>
    </row>
    <row r="1622" spans="3:4">
      <c r="C1622"/>
      <c r="D1622"/>
    </row>
    <row r="1623" spans="3:4">
      <c r="C1623"/>
      <c r="D1623"/>
    </row>
    <row r="1624" spans="3:4">
      <c r="C1624"/>
      <c r="D1624"/>
    </row>
    <row r="1625" spans="3:4">
      <c r="C1625"/>
      <c r="D1625"/>
    </row>
    <row r="1626" spans="3:4">
      <c r="C1626"/>
      <c r="D1626"/>
    </row>
    <row r="1627" spans="3:4">
      <c r="C1627"/>
      <c r="D1627"/>
    </row>
    <row r="1628" spans="3:4">
      <c r="C1628"/>
      <c r="D1628"/>
    </row>
    <row r="1629" spans="3:4">
      <c r="C1629"/>
      <c r="D1629"/>
    </row>
    <row r="1630" spans="3:4">
      <c r="C1630"/>
      <c r="D1630"/>
    </row>
    <row r="1631" spans="3:4">
      <c r="C1631"/>
      <c r="D1631"/>
    </row>
    <row r="1632" spans="3:4">
      <c r="C1632"/>
      <c r="D1632"/>
    </row>
    <row r="1633" spans="3:4">
      <c r="C1633"/>
      <c r="D1633"/>
    </row>
    <row r="1634" spans="3:4">
      <c r="C1634"/>
      <c r="D1634"/>
    </row>
    <row r="1635" spans="3:4">
      <c r="C1635"/>
      <c r="D1635"/>
    </row>
    <row r="1636" spans="3:4">
      <c r="C1636"/>
      <c r="D1636"/>
    </row>
    <row r="1637" spans="3:4">
      <c r="C1637"/>
      <c r="D1637"/>
    </row>
    <row r="1638" spans="3:4">
      <c r="C1638"/>
      <c r="D1638"/>
    </row>
    <row r="1639" spans="3:4">
      <c r="C1639"/>
      <c r="D1639"/>
    </row>
    <row r="1640" spans="3:4">
      <c r="C1640"/>
      <c r="D1640"/>
    </row>
    <row r="1641" spans="3:4">
      <c r="C1641"/>
      <c r="D1641"/>
    </row>
    <row r="1642" spans="3:4">
      <c r="C1642"/>
      <c r="D1642"/>
    </row>
    <row r="1643" spans="3:4">
      <c r="C1643"/>
      <c r="D1643"/>
    </row>
    <row r="1644" spans="3:4">
      <c r="C1644"/>
      <c r="D1644"/>
    </row>
    <row r="1645" spans="3:4">
      <c r="C1645"/>
      <c r="D1645"/>
    </row>
    <row r="1646" spans="3:4">
      <c r="C1646"/>
      <c r="D1646"/>
    </row>
    <row r="1647" spans="3:4">
      <c r="C1647"/>
      <c r="D1647"/>
    </row>
    <row r="1648" spans="3:4">
      <c r="C1648"/>
      <c r="D1648"/>
    </row>
    <row r="1649" spans="3:4">
      <c r="C1649"/>
      <c r="D1649"/>
    </row>
    <row r="1650" spans="3:4">
      <c r="C1650"/>
      <c r="D1650"/>
    </row>
    <row r="1651" spans="3:4">
      <c r="C1651"/>
      <c r="D1651"/>
    </row>
    <row r="1652" spans="3:4">
      <c r="C1652"/>
      <c r="D1652"/>
    </row>
    <row r="1653" spans="3:4">
      <c r="C1653"/>
      <c r="D1653"/>
    </row>
    <row r="1654" spans="3:4">
      <c r="C1654"/>
      <c r="D1654"/>
    </row>
    <row r="1655" spans="3:4">
      <c r="C1655"/>
      <c r="D1655"/>
    </row>
    <row r="1656" spans="3:4">
      <c r="C1656"/>
      <c r="D1656"/>
    </row>
    <row r="1657" spans="3:4">
      <c r="C1657"/>
      <c r="D1657"/>
    </row>
    <row r="1658" spans="3:4">
      <c r="C1658"/>
      <c r="D1658"/>
    </row>
    <row r="1659" spans="3:4">
      <c r="C1659"/>
      <c r="D1659"/>
    </row>
    <row r="1660" spans="3:4">
      <c r="C1660"/>
      <c r="D1660"/>
    </row>
    <row r="1661" spans="3:4">
      <c r="C1661"/>
      <c r="D1661"/>
    </row>
    <row r="1662" spans="3:4">
      <c r="C1662"/>
      <c r="D1662"/>
    </row>
    <row r="1663" spans="3:4">
      <c r="C1663"/>
      <c r="D1663"/>
    </row>
    <row r="1664" spans="3:4">
      <c r="C1664"/>
      <c r="D1664"/>
    </row>
    <row r="1665" spans="3:4">
      <c r="C1665"/>
      <c r="D1665"/>
    </row>
    <row r="1666" spans="3:4">
      <c r="C1666"/>
      <c r="D1666"/>
    </row>
    <row r="1667" spans="3:4">
      <c r="C1667"/>
      <c r="D1667"/>
    </row>
    <row r="1668" spans="3:4">
      <c r="C1668"/>
      <c r="D1668"/>
    </row>
    <row r="1669" spans="3:4">
      <c r="C1669"/>
      <c r="D1669"/>
    </row>
    <row r="1670" spans="3:4">
      <c r="C1670"/>
      <c r="D1670"/>
    </row>
    <row r="1671" spans="3:4">
      <c r="C1671"/>
      <c r="D1671"/>
    </row>
    <row r="1672" spans="3:4">
      <c r="C1672"/>
      <c r="D1672"/>
    </row>
    <row r="1673" spans="3:4">
      <c r="C1673"/>
      <c r="D1673"/>
    </row>
    <row r="1674" spans="3:4">
      <c r="C1674"/>
      <c r="D1674"/>
    </row>
    <row r="1675" spans="3:4">
      <c r="C1675"/>
      <c r="D1675"/>
    </row>
    <row r="1676" spans="3:4">
      <c r="C1676"/>
      <c r="D1676"/>
    </row>
    <row r="1677" spans="3:4">
      <c r="C1677"/>
      <c r="D1677"/>
    </row>
    <row r="1678" spans="3:4">
      <c r="C1678"/>
      <c r="D1678"/>
    </row>
    <row r="1679" spans="3:4">
      <c r="C1679"/>
      <c r="D1679"/>
    </row>
    <row r="1680" spans="3:4">
      <c r="C1680"/>
      <c r="D1680"/>
    </row>
    <row r="1681" spans="3:4">
      <c r="C1681"/>
      <c r="D1681"/>
    </row>
    <row r="1682" spans="3:4">
      <c r="C1682"/>
      <c r="D1682"/>
    </row>
    <row r="1683" spans="3:4">
      <c r="C1683"/>
      <c r="D1683"/>
    </row>
    <row r="1684" spans="3:4">
      <c r="C1684"/>
      <c r="D1684"/>
    </row>
    <row r="1685" spans="3:4">
      <c r="C1685"/>
      <c r="D1685"/>
    </row>
    <row r="1686" spans="3:4">
      <c r="C1686"/>
      <c r="D1686"/>
    </row>
    <row r="1687" spans="3:4">
      <c r="C1687"/>
      <c r="D1687"/>
    </row>
    <row r="1688" spans="3:4">
      <c r="C1688"/>
      <c r="D1688"/>
    </row>
    <row r="1689" spans="3:4">
      <c r="C1689"/>
      <c r="D1689"/>
    </row>
    <row r="1690" spans="3:4">
      <c r="C1690"/>
      <c r="D1690"/>
    </row>
    <row r="1691" spans="3:4">
      <c r="C1691"/>
      <c r="D1691"/>
    </row>
    <row r="1692" spans="3:4">
      <c r="C1692"/>
      <c r="D1692"/>
    </row>
    <row r="1693" spans="3:4">
      <c r="C1693"/>
      <c r="D1693"/>
    </row>
    <row r="1694" spans="3:4">
      <c r="C1694"/>
      <c r="D1694"/>
    </row>
    <row r="1695" spans="3:4">
      <c r="C1695"/>
      <c r="D1695"/>
    </row>
    <row r="1696" spans="3:4">
      <c r="C1696"/>
      <c r="D1696"/>
    </row>
    <row r="1697" spans="3:4">
      <c r="C1697"/>
      <c r="D1697"/>
    </row>
    <row r="1698" spans="3:4">
      <c r="C1698"/>
      <c r="D1698"/>
    </row>
    <row r="1699" spans="3:4">
      <c r="C1699"/>
      <c r="D1699"/>
    </row>
    <row r="1700" spans="3:4">
      <c r="C1700"/>
      <c r="D1700"/>
    </row>
    <row r="1701" spans="3:4">
      <c r="C1701"/>
      <c r="D1701"/>
    </row>
    <row r="1702" spans="3:4">
      <c r="C1702"/>
      <c r="D1702"/>
    </row>
    <row r="1703" spans="3:4">
      <c r="C1703"/>
      <c r="D1703"/>
    </row>
    <row r="1704" spans="3:4">
      <c r="C1704"/>
      <c r="D1704"/>
    </row>
    <row r="1705" spans="3:4">
      <c r="C1705"/>
      <c r="D1705"/>
    </row>
    <row r="1706" spans="3:4">
      <c r="C1706"/>
      <c r="D1706"/>
    </row>
    <row r="1707" spans="3:4">
      <c r="C1707"/>
      <c r="D1707"/>
    </row>
    <row r="1708" spans="3:4">
      <c r="C1708"/>
      <c r="D1708"/>
    </row>
    <row r="1709" spans="3:4">
      <c r="C1709"/>
      <c r="D1709"/>
    </row>
    <row r="1710" spans="3:4">
      <c r="C1710"/>
      <c r="D1710"/>
    </row>
    <row r="1711" spans="3:4">
      <c r="C1711"/>
      <c r="D1711"/>
    </row>
    <row r="1712" spans="3:4">
      <c r="C1712"/>
      <c r="D1712"/>
    </row>
    <row r="1713" spans="3:4">
      <c r="C1713"/>
      <c r="D1713"/>
    </row>
    <row r="1714" spans="3:4">
      <c r="C1714"/>
      <c r="D1714"/>
    </row>
    <row r="1715" spans="3:4">
      <c r="C1715"/>
      <c r="D1715"/>
    </row>
    <row r="1716" spans="3:4">
      <c r="C1716"/>
      <c r="D1716"/>
    </row>
    <row r="1717" spans="3:4">
      <c r="C1717"/>
      <c r="D1717"/>
    </row>
    <row r="1718" spans="3:4">
      <c r="C1718"/>
      <c r="D1718"/>
    </row>
    <row r="1719" spans="3:4">
      <c r="C1719"/>
      <c r="D1719"/>
    </row>
    <row r="1720" spans="3:4">
      <c r="C1720"/>
      <c r="D1720"/>
    </row>
    <row r="1721" spans="3:4">
      <c r="C1721"/>
      <c r="D1721"/>
    </row>
    <row r="1722" spans="3:4">
      <c r="C1722"/>
      <c r="D1722"/>
    </row>
    <row r="1723" spans="3:4">
      <c r="C1723"/>
      <c r="D1723"/>
    </row>
    <row r="1724" spans="3:4">
      <c r="C1724"/>
      <c r="D1724"/>
    </row>
    <row r="1725" spans="3:4">
      <c r="C1725"/>
      <c r="D1725"/>
    </row>
    <row r="1726" spans="3:4">
      <c r="C1726"/>
      <c r="D1726"/>
    </row>
    <row r="1727" spans="3:4">
      <c r="C1727"/>
      <c r="D1727"/>
    </row>
    <row r="1728" spans="3:4">
      <c r="C1728"/>
      <c r="D1728"/>
    </row>
    <row r="1729" spans="3:4">
      <c r="C1729"/>
      <c r="D1729"/>
    </row>
    <row r="1730" spans="3:4">
      <c r="C1730"/>
      <c r="D1730"/>
    </row>
    <row r="1731" spans="3:4">
      <c r="C1731"/>
      <c r="D1731"/>
    </row>
    <row r="1732" spans="3:4">
      <c r="C1732"/>
      <c r="D1732"/>
    </row>
    <row r="1733" spans="3:4">
      <c r="C1733"/>
      <c r="D1733"/>
    </row>
    <row r="1734" spans="3:4">
      <c r="C1734"/>
      <c r="D1734"/>
    </row>
    <row r="1735" spans="3:4">
      <c r="C1735"/>
      <c r="D1735"/>
    </row>
    <row r="1736" spans="3:4">
      <c r="C1736"/>
      <c r="D1736"/>
    </row>
    <row r="1737" spans="3:4">
      <c r="C1737"/>
      <c r="D1737"/>
    </row>
    <row r="1738" spans="3:4">
      <c r="C1738"/>
      <c r="D1738"/>
    </row>
    <row r="1739" spans="3:4">
      <c r="C1739"/>
      <c r="D1739"/>
    </row>
    <row r="1740" spans="3:4">
      <c r="C1740"/>
      <c r="D1740"/>
    </row>
    <row r="1741" spans="3:4">
      <c r="C1741"/>
      <c r="D1741"/>
    </row>
    <row r="1742" spans="3:4">
      <c r="C1742"/>
      <c r="D1742"/>
    </row>
    <row r="1743" spans="3:4">
      <c r="C1743"/>
      <c r="D1743"/>
    </row>
    <row r="1744" spans="3:4">
      <c r="C1744"/>
      <c r="D1744"/>
    </row>
    <row r="1745" spans="3:4">
      <c r="C1745"/>
      <c r="D1745"/>
    </row>
    <row r="1746" spans="3:4">
      <c r="C1746"/>
      <c r="D1746"/>
    </row>
    <row r="1747" spans="3:4">
      <c r="C1747"/>
      <c r="D1747"/>
    </row>
    <row r="1748" spans="3:4">
      <c r="C1748"/>
      <c r="D1748"/>
    </row>
    <row r="1749" spans="3:4">
      <c r="C1749"/>
      <c r="D1749"/>
    </row>
    <row r="1750" spans="3:4">
      <c r="C1750"/>
      <c r="D1750"/>
    </row>
    <row r="1751" spans="3:4">
      <c r="C1751"/>
      <c r="D1751"/>
    </row>
    <row r="1752" spans="3:4">
      <c r="C1752"/>
      <c r="D1752"/>
    </row>
    <row r="1753" spans="3:4">
      <c r="C1753"/>
      <c r="D1753"/>
    </row>
    <row r="1754" spans="3:4">
      <c r="C1754"/>
      <c r="D1754"/>
    </row>
    <row r="1755" spans="3:4">
      <c r="C1755"/>
      <c r="D1755"/>
    </row>
    <row r="1756" spans="3:4">
      <c r="C1756"/>
      <c r="D1756"/>
    </row>
    <row r="1757" spans="3:4">
      <c r="C1757"/>
      <c r="D1757"/>
    </row>
    <row r="1758" spans="3:4">
      <c r="C1758"/>
      <c r="D1758"/>
    </row>
    <row r="1759" spans="3:4">
      <c r="C1759"/>
      <c r="D1759"/>
    </row>
    <row r="1760" spans="3:4">
      <c r="C1760"/>
      <c r="D1760"/>
    </row>
    <row r="1761" spans="3:4">
      <c r="C1761"/>
      <c r="D1761"/>
    </row>
    <row r="1762" spans="3:4">
      <c r="C1762"/>
      <c r="D1762"/>
    </row>
    <row r="1763" spans="3:4">
      <c r="C1763"/>
      <c r="D1763"/>
    </row>
    <row r="1764" spans="3:4">
      <c r="C1764"/>
      <c r="D1764"/>
    </row>
    <row r="1765" spans="3:4">
      <c r="C1765"/>
      <c r="D1765"/>
    </row>
    <row r="1766" spans="3:4">
      <c r="C1766"/>
      <c r="D1766"/>
    </row>
    <row r="1767" spans="3:4">
      <c r="C1767"/>
      <c r="D1767"/>
    </row>
    <row r="1768" spans="3:4">
      <c r="C1768"/>
      <c r="D1768"/>
    </row>
    <row r="1769" spans="3:4">
      <c r="C1769"/>
      <c r="D1769"/>
    </row>
    <row r="1770" spans="3:4">
      <c r="C1770"/>
      <c r="D1770"/>
    </row>
    <row r="1771" spans="3:4">
      <c r="C1771"/>
      <c r="D1771"/>
    </row>
    <row r="1772" spans="3:4">
      <c r="C1772"/>
      <c r="D1772"/>
    </row>
    <row r="1773" spans="3:4">
      <c r="C1773"/>
      <c r="D1773"/>
    </row>
    <row r="1774" spans="3:4">
      <c r="C1774"/>
      <c r="D1774"/>
    </row>
    <row r="1775" spans="3:4">
      <c r="C1775"/>
      <c r="D1775"/>
    </row>
    <row r="1776" spans="3:4">
      <c r="C1776"/>
      <c r="D1776"/>
    </row>
    <row r="1777" spans="3:4">
      <c r="C1777"/>
      <c r="D1777"/>
    </row>
    <row r="1778" spans="3:4">
      <c r="C1778"/>
      <c r="D1778"/>
    </row>
    <row r="1779" spans="3:4">
      <c r="C1779"/>
      <c r="D1779"/>
    </row>
    <row r="1780" spans="3:4">
      <c r="C1780"/>
      <c r="D1780"/>
    </row>
    <row r="1781" spans="3:4">
      <c r="C1781"/>
      <c r="D1781"/>
    </row>
    <row r="1782" spans="3:4">
      <c r="C1782"/>
      <c r="D1782"/>
    </row>
    <row r="1783" spans="3:4">
      <c r="C1783"/>
      <c r="D1783"/>
    </row>
    <row r="1784" spans="3:4">
      <c r="C1784"/>
      <c r="D1784"/>
    </row>
    <row r="1785" spans="3:4">
      <c r="C1785"/>
      <c r="D1785"/>
    </row>
    <row r="1786" spans="3:4">
      <c r="C1786"/>
      <c r="D1786"/>
    </row>
    <row r="1787" spans="3:4">
      <c r="C1787"/>
      <c r="D1787"/>
    </row>
    <row r="1788" spans="3:4">
      <c r="C1788"/>
      <c r="D1788"/>
    </row>
    <row r="1789" spans="3:4">
      <c r="C1789"/>
      <c r="D1789"/>
    </row>
    <row r="1790" spans="3:4">
      <c r="C1790"/>
      <c r="D1790"/>
    </row>
    <row r="1791" spans="3:4">
      <c r="C1791"/>
      <c r="D1791"/>
    </row>
    <row r="1792" spans="3:4">
      <c r="C1792"/>
      <c r="D1792"/>
    </row>
    <row r="1793" spans="3:4">
      <c r="C1793"/>
      <c r="D1793"/>
    </row>
    <row r="1794" spans="3:4">
      <c r="C1794"/>
      <c r="D1794"/>
    </row>
    <row r="1795" spans="3:4">
      <c r="C1795"/>
      <c r="D1795"/>
    </row>
    <row r="1796" spans="3:4">
      <c r="C1796"/>
      <c r="D1796"/>
    </row>
    <row r="1797" spans="3:4">
      <c r="C1797"/>
      <c r="D1797"/>
    </row>
    <row r="1798" spans="3:4">
      <c r="C1798"/>
      <c r="D1798"/>
    </row>
    <row r="1799" spans="3:4">
      <c r="C1799"/>
      <c r="D1799"/>
    </row>
    <row r="1800" spans="3:4">
      <c r="C1800"/>
      <c r="D1800"/>
    </row>
    <row r="1801" spans="3:4">
      <c r="C1801"/>
      <c r="D1801"/>
    </row>
    <row r="1802" spans="3:4">
      <c r="C1802"/>
      <c r="D1802"/>
    </row>
    <row r="1803" spans="3:4">
      <c r="C1803"/>
      <c r="D1803"/>
    </row>
    <row r="1804" spans="3:4">
      <c r="C1804"/>
      <c r="D1804"/>
    </row>
    <row r="1805" spans="3:4">
      <c r="C1805"/>
      <c r="D1805"/>
    </row>
    <row r="1806" spans="3:4">
      <c r="C1806"/>
      <c r="D1806"/>
    </row>
    <row r="1807" spans="3:4">
      <c r="C1807"/>
      <c r="D1807"/>
    </row>
    <row r="1808" spans="3:4">
      <c r="C1808"/>
      <c r="D1808"/>
    </row>
    <row r="1809" spans="3:4">
      <c r="C1809"/>
      <c r="D1809"/>
    </row>
    <row r="1810" spans="3:4">
      <c r="C1810"/>
      <c r="D1810"/>
    </row>
    <row r="1811" spans="3:4">
      <c r="C1811"/>
      <c r="D1811"/>
    </row>
    <row r="1812" spans="3:4">
      <c r="C1812"/>
      <c r="D1812"/>
    </row>
    <row r="1813" spans="3:4">
      <c r="C1813"/>
      <c r="D1813"/>
    </row>
    <row r="1814" spans="3:4">
      <c r="C1814"/>
      <c r="D1814"/>
    </row>
    <row r="1815" spans="3:4">
      <c r="C1815"/>
      <c r="D1815"/>
    </row>
    <row r="1816" spans="3:4">
      <c r="C1816"/>
      <c r="D1816"/>
    </row>
    <row r="1817" spans="3:4">
      <c r="C1817"/>
      <c r="D1817"/>
    </row>
    <row r="1818" spans="3:4">
      <c r="C1818"/>
      <c r="D1818"/>
    </row>
    <row r="1819" spans="3:4">
      <c r="C1819"/>
      <c r="D1819"/>
    </row>
    <row r="1820" spans="3:4">
      <c r="C1820"/>
      <c r="D1820"/>
    </row>
    <row r="1821" spans="3:4">
      <c r="C1821"/>
      <c r="D1821"/>
    </row>
    <row r="1822" spans="3:4">
      <c r="C1822"/>
      <c r="D1822"/>
    </row>
    <row r="1823" spans="3:4">
      <c r="C1823"/>
      <c r="D1823"/>
    </row>
    <row r="1824" spans="3:4">
      <c r="C1824"/>
      <c r="D1824"/>
    </row>
    <row r="1825" spans="3:4">
      <c r="C1825"/>
      <c r="D1825"/>
    </row>
    <row r="1826" spans="3:4">
      <c r="C1826"/>
      <c r="D1826"/>
    </row>
    <row r="1827" spans="3:4">
      <c r="C1827"/>
      <c r="D1827"/>
    </row>
    <row r="1828" spans="3:4">
      <c r="C1828"/>
      <c r="D1828"/>
    </row>
    <row r="1829" spans="3:4">
      <c r="C1829"/>
      <c r="D1829"/>
    </row>
    <row r="1830" spans="3:4">
      <c r="C1830"/>
      <c r="D1830"/>
    </row>
    <row r="1831" spans="3:4">
      <c r="C1831"/>
      <c r="D1831"/>
    </row>
    <row r="1832" spans="3:4">
      <c r="C1832"/>
      <c r="D1832"/>
    </row>
    <row r="1833" spans="3:4">
      <c r="C1833"/>
      <c r="D1833"/>
    </row>
    <row r="1834" spans="3:4">
      <c r="C1834"/>
      <c r="D1834"/>
    </row>
    <row r="1835" spans="3:4">
      <c r="C1835"/>
      <c r="D1835"/>
    </row>
    <row r="1836" spans="3:4">
      <c r="C1836"/>
      <c r="D1836"/>
    </row>
    <row r="1837" spans="3:4">
      <c r="C1837"/>
      <c r="D1837"/>
    </row>
    <row r="1838" spans="3:4">
      <c r="C1838"/>
      <c r="D1838"/>
    </row>
    <row r="1839" spans="3:4">
      <c r="C1839"/>
      <c r="D1839"/>
    </row>
    <row r="1840" spans="3:4">
      <c r="C1840"/>
      <c r="D1840"/>
    </row>
    <row r="1841" spans="3:4">
      <c r="C1841"/>
      <c r="D1841"/>
    </row>
    <row r="1842" spans="3:4">
      <c r="C1842"/>
      <c r="D1842"/>
    </row>
    <row r="1843" spans="3:4">
      <c r="C1843"/>
      <c r="D1843"/>
    </row>
    <row r="1844" spans="3:4">
      <c r="C1844"/>
      <c r="D1844"/>
    </row>
    <row r="1845" spans="3:4">
      <c r="C1845"/>
      <c r="D1845"/>
    </row>
    <row r="1846" spans="3:4">
      <c r="C1846"/>
      <c r="D1846"/>
    </row>
    <row r="1847" spans="3:4">
      <c r="C1847"/>
      <c r="D1847"/>
    </row>
    <row r="1848" spans="3:4">
      <c r="C1848"/>
      <c r="D1848"/>
    </row>
    <row r="1849" spans="3:4">
      <c r="C1849"/>
      <c r="D1849"/>
    </row>
    <row r="1850" spans="3:4">
      <c r="C1850"/>
      <c r="D1850"/>
    </row>
    <row r="1851" spans="3:4">
      <c r="C1851"/>
      <c r="D1851"/>
    </row>
    <row r="1852" spans="3:4">
      <c r="C1852"/>
      <c r="D1852"/>
    </row>
    <row r="1853" spans="3:4">
      <c r="C1853"/>
      <c r="D1853"/>
    </row>
    <row r="1854" spans="3:4">
      <c r="C1854"/>
      <c r="D1854"/>
    </row>
    <row r="1855" spans="3:4">
      <c r="C1855"/>
      <c r="D1855"/>
    </row>
    <row r="1856" spans="3:4">
      <c r="C1856"/>
      <c r="D1856"/>
    </row>
    <row r="1857" spans="3:4">
      <c r="C1857"/>
      <c r="D1857"/>
    </row>
    <row r="1858" spans="3:4">
      <c r="C1858"/>
      <c r="D1858"/>
    </row>
    <row r="1859" spans="3:4">
      <c r="C1859"/>
      <c r="D1859"/>
    </row>
    <row r="1860" spans="3:4">
      <c r="C1860"/>
      <c r="D1860"/>
    </row>
    <row r="1861" spans="3:4">
      <c r="C1861"/>
      <c r="D1861"/>
    </row>
    <row r="1862" spans="3:4">
      <c r="C1862"/>
      <c r="D1862"/>
    </row>
    <row r="1863" spans="3:4">
      <c r="C1863"/>
      <c r="D1863"/>
    </row>
    <row r="1864" spans="3:4">
      <c r="C1864"/>
      <c r="D1864"/>
    </row>
    <row r="1865" spans="3:4">
      <c r="C1865"/>
      <c r="D1865"/>
    </row>
    <row r="1866" spans="3:4">
      <c r="C1866"/>
      <c r="D1866"/>
    </row>
    <row r="1867" spans="3:4">
      <c r="C1867"/>
      <c r="D1867"/>
    </row>
    <row r="1868" spans="3:4">
      <c r="C1868"/>
      <c r="D1868"/>
    </row>
    <row r="1869" spans="3:4">
      <c r="C1869"/>
      <c r="D1869"/>
    </row>
    <row r="1870" spans="3:4">
      <c r="C1870"/>
      <c r="D1870"/>
    </row>
    <row r="1871" spans="3:4">
      <c r="C1871"/>
      <c r="D1871"/>
    </row>
    <row r="1872" spans="3:4">
      <c r="C1872"/>
      <c r="D1872"/>
    </row>
    <row r="1873" spans="3:4">
      <c r="C1873"/>
      <c r="D1873"/>
    </row>
    <row r="1874" spans="3:4">
      <c r="C1874"/>
      <c r="D1874"/>
    </row>
    <row r="1875" spans="3:4">
      <c r="C1875"/>
      <c r="D1875"/>
    </row>
    <row r="1876" spans="3:4">
      <c r="C1876"/>
      <c r="D1876"/>
    </row>
    <row r="1877" spans="3:4">
      <c r="C1877"/>
      <c r="D1877"/>
    </row>
    <row r="1878" spans="3:4">
      <c r="C1878"/>
      <c r="D1878"/>
    </row>
    <row r="1879" spans="3:4">
      <c r="C1879"/>
      <c r="D1879"/>
    </row>
    <row r="1880" spans="3:4">
      <c r="C1880"/>
      <c r="D1880"/>
    </row>
    <row r="1881" spans="3:4">
      <c r="C1881"/>
      <c r="D1881"/>
    </row>
    <row r="1882" spans="3:4">
      <c r="C1882"/>
      <c r="D1882"/>
    </row>
    <row r="1883" spans="3:4">
      <c r="C1883"/>
      <c r="D1883"/>
    </row>
    <row r="1884" spans="3:4">
      <c r="C1884"/>
      <c r="D1884"/>
    </row>
    <row r="1885" spans="3:4">
      <c r="C1885"/>
      <c r="D1885"/>
    </row>
    <row r="1886" spans="3:4">
      <c r="C1886"/>
      <c r="D1886"/>
    </row>
    <row r="1887" spans="3:4">
      <c r="C1887"/>
      <c r="D1887"/>
    </row>
    <row r="1888" spans="3:4">
      <c r="C1888"/>
      <c r="D1888"/>
    </row>
    <row r="1889" spans="3:4">
      <c r="C1889"/>
      <c r="D1889"/>
    </row>
    <row r="1890" spans="3:4">
      <c r="C1890"/>
      <c r="D1890"/>
    </row>
    <row r="1891" spans="3:4">
      <c r="C1891"/>
      <c r="D1891"/>
    </row>
    <row r="1892" spans="3:4">
      <c r="C1892"/>
      <c r="D1892"/>
    </row>
    <row r="1893" spans="3:4">
      <c r="C1893"/>
      <c r="D1893"/>
    </row>
    <row r="1894" spans="3:4">
      <c r="C1894"/>
      <c r="D1894"/>
    </row>
    <row r="1895" spans="3:4">
      <c r="C1895"/>
      <c r="D1895"/>
    </row>
    <row r="1896" spans="3:4">
      <c r="C1896"/>
      <c r="D1896"/>
    </row>
    <row r="1897" spans="3:4">
      <c r="C1897"/>
      <c r="D1897"/>
    </row>
    <row r="1898" spans="3:4">
      <c r="C1898"/>
      <c r="D1898"/>
    </row>
    <row r="1899" spans="3:4">
      <c r="C1899"/>
      <c r="D1899"/>
    </row>
    <row r="1900" spans="3:4">
      <c r="C1900"/>
      <c r="D1900"/>
    </row>
    <row r="1901" spans="3:4">
      <c r="C1901"/>
      <c r="D1901"/>
    </row>
    <row r="1902" spans="3:4">
      <c r="C1902"/>
      <c r="D1902"/>
    </row>
    <row r="1903" spans="3:4">
      <c r="C1903"/>
      <c r="D1903"/>
    </row>
    <row r="1904" spans="3:4">
      <c r="C1904"/>
      <c r="D1904"/>
    </row>
    <row r="1905" spans="3:4">
      <c r="C1905"/>
      <c r="D1905"/>
    </row>
    <row r="1906" spans="3:4">
      <c r="C1906"/>
      <c r="D1906"/>
    </row>
    <row r="1907" spans="3:4">
      <c r="C1907"/>
      <c r="D1907"/>
    </row>
    <row r="1908" spans="3:4">
      <c r="C1908"/>
      <c r="D1908"/>
    </row>
    <row r="1909" spans="3:4">
      <c r="C1909"/>
      <c r="D1909"/>
    </row>
    <row r="1910" spans="3:4">
      <c r="C1910"/>
      <c r="D1910"/>
    </row>
    <row r="1911" spans="3:4">
      <c r="C1911"/>
      <c r="D1911"/>
    </row>
    <row r="1912" spans="3:4">
      <c r="C1912"/>
      <c r="D1912"/>
    </row>
    <row r="1913" spans="3:4">
      <c r="C1913"/>
      <c r="D1913"/>
    </row>
    <row r="1914" spans="3:4">
      <c r="C1914"/>
      <c r="D1914"/>
    </row>
    <row r="1915" spans="3:4">
      <c r="C1915"/>
      <c r="D1915"/>
    </row>
    <row r="1916" spans="3:4">
      <c r="C1916"/>
      <c r="D1916"/>
    </row>
    <row r="1917" spans="3:4">
      <c r="C1917"/>
      <c r="D1917"/>
    </row>
    <row r="1918" spans="3:4">
      <c r="C1918"/>
      <c r="D1918"/>
    </row>
    <row r="1919" spans="3:4">
      <c r="C1919"/>
      <c r="D1919"/>
    </row>
    <row r="1920" spans="3:4">
      <c r="C1920"/>
      <c r="D1920"/>
    </row>
    <row r="1921" spans="3:4">
      <c r="C1921"/>
      <c r="D1921"/>
    </row>
    <row r="1922" spans="3:4">
      <c r="C1922"/>
      <c r="D1922"/>
    </row>
    <row r="1923" spans="3:4">
      <c r="C1923"/>
      <c r="D1923"/>
    </row>
    <row r="1924" spans="3:4">
      <c r="C1924"/>
      <c r="D1924"/>
    </row>
    <row r="1925" spans="3:4">
      <c r="C1925"/>
      <c r="D1925"/>
    </row>
    <row r="1926" spans="3:4">
      <c r="C1926"/>
      <c r="D1926"/>
    </row>
    <row r="1927" spans="3:4">
      <c r="C1927"/>
      <c r="D1927"/>
    </row>
    <row r="1928" spans="3:4">
      <c r="C1928"/>
      <c r="D1928"/>
    </row>
    <row r="1929" spans="3:4">
      <c r="C1929"/>
      <c r="D1929"/>
    </row>
    <row r="1930" spans="3:4">
      <c r="C1930"/>
      <c r="D1930"/>
    </row>
    <row r="1931" spans="3:4">
      <c r="C1931"/>
      <c r="D1931"/>
    </row>
    <row r="1932" spans="3:4">
      <c r="C1932"/>
      <c r="D1932"/>
    </row>
    <row r="1933" spans="3:4">
      <c r="C1933"/>
      <c r="D1933"/>
    </row>
    <row r="1934" spans="3:4">
      <c r="C1934"/>
      <c r="D1934"/>
    </row>
    <row r="1935" spans="3:4">
      <c r="C1935"/>
      <c r="D1935"/>
    </row>
    <row r="1936" spans="3:4">
      <c r="C1936"/>
      <c r="D1936"/>
    </row>
    <row r="1937" spans="3:4">
      <c r="C1937"/>
      <c r="D1937"/>
    </row>
    <row r="1938" spans="3:4">
      <c r="C1938"/>
      <c r="D1938"/>
    </row>
    <row r="1939" spans="3:4">
      <c r="C1939"/>
      <c r="D1939"/>
    </row>
    <row r="1940" spans="3:4">
      <c r="C1940"/>
      <c r="D1940"/>
    </row>
    <row r="1941" spans="3:4">
      <c r="C1941"/>
      <c r="D1941"/>
    </row>
    <row r="1942" spans="3:4">
      <c r="C1942"/>
      <c r="D1942"/>
    </row>
    <row r="1943" spans="3:4">
      <c r="C1943"/>
      <c r="D1943"/>
    </row>
    <row r="1944" spans="3:4">
      <c r="C1944"/>
      <c r="D1944"/>
    </row>
    <row r="1945" spans="3:4">
      <c r="C1945"/>
      <c r="D1945"/>
    </row>
    <row r="1946" spans="3:4">
      <c r="C1946"/>
      <c r="D1946"/>
    </row>
    <row r="1947" spans="3:4">
      <c r="C1947"/>
      <c r="D1947"/>
    </row>
    <row r="1948" spans="3:4">
      <c r="C1948"/>
      <c r="D1948"/>
    </row>
    <row r="1949" spans="3:4">
      <c r="C1949"/>
      <c r="D1949"/>
    </row>
    <row r="1950" spans="3:4">
      <c r="C1950"/>
      <c r="D1950"/>
    </row>
    <row r="1951" spans="3:4">
      <c r="C1951"/>
      <c r="D1951"/>
    </row>
    <row r="1952" spans="3:4">
      <c r="C1952"/>
      <c r="D1952"/>
    </row>
    <row r="1953" spans="3:4">
      <c r="C1953"/>
      <c r="D1953"/>
    </row>
    <row r="1954" spans="3:4">
      <c r="C1954"/>
      <c r="D1954"/>
    </row>
    <row r="1955" spans="3:4">
      <c r="C1955"/>
      <c r="D1955"/>
    </row>
    <row r="1956" spans="3:4">
      <c r="C1956"/>
      <c r="D1956"/>
    </row>
    <row r="1957" spans="3:4">
      <c r="C1957"/>
      <c r="D1957"/>
    </row>
    <row r="1958" spans="3:4">
      <c r="C1958"/>
      <c r="D1958"/>
    </row>
    <row r="1959" spans="3:4">
      <c r="C1959"/>
      <c r="D1959"/>
    </row>
    <row r="1960" spans="3:4">
      <c r="C1960"/>
      <c r="D1960"/>
    </row>
    <row r="1961" spans="3:4">
      <c r="C1961"/>
      <c r="D1961"/>
    </row>
    <row r="1962" spans="3:4">
      <c r="C1962"/>
      <c r="D1962"/>
    </row>
    <row r="1963" spans="3:4">
      <c r="C1963"/>
      <c r="D1963"/>
    </row>
    <row r="1964" spans="3:4">
      <c r="C1964"/>
      <c r="D1964"/>
    </row>
    <row r="1965" spans="3:4">
      <c r="C1965"/>
      <c r="D1965"/>
    </row>
    <row r="1966" spans="3:4">
      <c r="C1966"/>
      <c r="D1966"/>
    </row>
    <row r="1967" spans="3:4">
      <c r="C1967"/>
      <c r="D1967"/>
    </row>
    <row r="1968" spans="3:4">
      <c r="C1968"/>
      <c r="D1968"/>
    </row>
    <row r="1969" spans="3:4">
      <c r="C1969"/>
      <c r="D1969"/>
    </row>
    <row r="1970" spans="3:4">
      <c r="C1970"/>
      <c r="D1970"/>
    </row>
    <row r="1971" spans="3:4">
      <c r="C1971"/>
      <c r="D1971"/>
    </row>
    <row r="1972" spans="3:4">
      <c r="C1972"/>
      <c r="D1972"/>
    </row>
    <row r="1973" spans="3:4">
      <c r="C1973"/>
      <c r="D1973"/>
    </row>
    <row r="1974" spans="3:4">
      <c r="C1974"/>
      <c r="D1974"/>
    </row>
    <row r="1975" spans="3:4">
      <c r="C1975"/>
      <c r="D1975"/>
    </row>
    <row r="1976" spans="3:4">
      <c r="C1976"/>
      <c r="D1976"/>
    </row>
    <row r="1977" spans="3:4">
      <c r="C1977"/>
      <c r="D1977"/>
    </row>
    <row r="1978" spans="3:4">
      <c r="C1978"/>
      <c r="D1978"/>
    </row>
    <row r="1979" spans="3:4">
      <c r="C1979"/>
      <c r="D1979"/>
    </row>
    <row r="1980" spans="3:4">
      <c r="C1980"/>
      <c r="D1980"/>
    </row>
    <row r="1981" spans="3:4">
      <c r="C1981"/>
      <c r="D1981"/>
    </row>
    <row r="1982" spans="3:4">
      <c r="C1982"/>
      <c r="D1982"/>
    </row>
    <row r="1983" spans="3:4">
      <c r="C1983"/>
      <c r="D1983"/>
    </row>
    <row r="1984" spans="3:4">
      <c r="C1984"/>
      <c r="D1984"/>
    </row>
    <row r="1985" spans="3:4">
      <c r="C1985"/>
      <c r="D1985"/>
    </row>
    <row r="1986" spans="3:4">
      <c r="C1986"/>
      <c r="D1986"/>
    </row>
    <row r="1987" spans="3:4">
      <c r="C1987"/>
      <c r="D1987"/>
    </row>
    <row r="1988" spans="3:4">
      <c r="C1988"/>
      <c r="D1988"/>
    </row>
    <row r="1989" spans="3:4">
      <c r="C1989"/>
      <c r="D1989"/>
    </row>
    <row r="1990" spans="3:4">
      <c r="C1990"/>
      <c r="D1990"/>
    </row>
    <row r="1991" spans="3:4">
      <c r="C1991"/>
      <c r="D1991"/>
    </row>
    <row r="1992" spans="3:4">
      <c r="C1992"/>
      <c r="D1992"/>
    </row>
    <row r="1993" spans="3:4">
      <c r="C1993"/>
      <c r="D1993"/>
    </row>
    <row r="1994" spans="3:4">
      <c r="C1994"/>
      <c r="D1994"/>
    </row>
    <row r="1995" spans="3:4">
      <c r="C1995"/>
      <c r="D1995"/>
    </row>
    <row r="1996" spans="3:4">
      <c r="C1996"/>
      <c r="D1996"/>
    </row>
    <row r="1997" spans="3:4">
      <c r="C1997"/>
      <c r="D1997"/>
    </row>
    <row r="1998" spans="3:4">
      <c r="C1998"/>
      <c r="D1998"/>
    </row>
    <row r="1999" spans="3:4">
      <c r="C1999"/>
      <c r="D1999"/>
    </row>
    <row r="2000" spans="3:4">
      <c r="C2000"/>
      <c r="D2000"/>
    </row>
    <row r="2001" spans="3:4">
      <c r="C2001"/>
      <c r="D2001"/>
    </row>
    <row r="2002" spans="3:4">
      <c r="C2002"/>
      <c r="D2002"/>
    </row>
    <row r="2003" spans="3:4">
      <c r="C2003"/>
      <c r="D2003"/>
    </row>
    <row r="2004" spans="3:4">
      <c r="C2004"/>
      <c r="D2004"/>
    </row>
    <row r="2005" spans="3:4">
      <c r="C2005"/>
      <c r="D2005"/>
    </row>
    <row r="2006" spans="3:4">
      <c r="C2006"/>
      <c r="D2006"/>
    </row>
    <row r="2007" spans="3:4">
      <c r="C2007"/>
      <c r="D2007"/>
    </row>
    <row r="2008" spans="3:4">
      <c r="C2008"/>
      <c r="D2008"/>
    </row>
    <row r="2009" spans="3:4">
      <c r="C2009"/>
      <c r="D2009"/>
    </row>
    <row r="2010" spans="3:4">
      <c r="C2010"/>
      <c r="D2010"/>
    </row>
    <row r="2011" spans="3:4">
      <c r="C2011"/>
      <c r="D2011"/>
    </row>
    <row r="2012" spans="3:4">
      <c r="C2012"/>
      <c r="D2012"/>
    </row>
    <row r="2013" spans="3:4">
      <c r="C2013"/>
      <c r="D2013"/>
    </row>
    <row r="2014" spans="3:4">
      <c r="C2014"/>
      <c r="D2014"/>
    </row>
    <row r="2015" spans="3:4">
      <c r="C2015"/>
      <c r="D2015"/>
    </row>
    <row r="2016" spans="3:4">
      <c r="C2016"/>
      <c r="D2016"/>
    </row>
    <row r="2017" spans="3:4">
      <c r="C2017"/>
      <c r="D2017"/>
    </row>
    <row r="2018" spans="3:4">
      <c r="C2018"/>
      <c r="D2018"/>
    </row>
    <row r="2019" spans="3:4">
      <c r="C2019"/>
      <c r="D2019"/>
    </row>
    <row r="2020" spans="3:4">
      <c r="C2020"/>
      <c r="D2020"/>
    </row>
    <row r="2021" spans="3:4">
      <c r="C2021"/>
      <c r="D2021"/>
    </row>
    <row r="2022" spans="3:4">
      <c r="C2022"/>
      <c r="D2022"/>
    </row>
    <row r="2023" spans="3:4">
      <c r="C2023"/>
      <c r="D2023"/>
    </row>
    <row r="2024" spans="3:4">
      <c r="C2024"/>
      <c r="D2024"/>
    </row>
    <row r="2025" spans="3:4">
      <c r="C2025"/>
      <c r="D2025"/>
    </row>
    <row r="2026" spans="3:4">
      <c r="C2026"/>
      <c r="D2026"/>
    </row>
    <row r="2027" spans="3:4">
      <c r="C2027"/>
      <c r="D2027"/>
    </row>
    <row r="2028" spans="3:4">
      <c r="C2028"/>
      <c r="D2028"/>
    </row>
    <row r="2029" spans="3:4">
      <c r="C2029"/>
      <c r="D2029"/>
    </row>
    <row r="2030" spans="3:4">
      <c r="C2030"/>
      <c r="D2030"/>
    </row>
    <row r="2031" spans="3:4">
      <c r="C2031"/>
      <c r="D2031"/>
    </row>
    <row r="2032" spans="3:4">
      <c r="C2032"/>
      <c r="D2032"/>
    </row>
    <row r="2033" spans="3:4">
      <c r="C2033"/>
      <c r="D2033"/>
    </row>
    <row r="2034" spans="3:4">
      <c r="C2034"/>
      <c r="D2034"/>
    </row>
    <row r="2035" spans="3:4">
      <c r="C2035"/>
      <c r="D2035"/>
    </row>
    <row r="2036" spans="3:4">
      <c r="C2036"/>
      <c r="D2036"/>
    </row>
    <row r="2037" spans="3:4">
      <c r="C2037"/>
      <c r="D2037"/>
    </row>
    <row r="2038" spans="3:4">
      <c r="C2038"/>
      <c r="D2038"/>
    </row>
    <row r="2039" spans="3:4">
      <c r="C2039"/>
      <c r="D2039"/>
    </row>
    <row r="2040" spans="3:4">
      <c r="C2040"/>
      <c r="D2040"/>
    </row>
    <row r="2041" spans="3:4">
      <c r="C2041"/>
      <c r="D2041"/>
    </row>
    <row r="2042" spans="3:4">
      <c r="C2042"/>
      <c r="D2042"/>
    </row>
    <row r="2043" spans="3:4">
      <c r="C2043"/>
      <c r="D2043"/>
    </row>
    <row r="2044" spans="3:4">
      <c r="C2044"/>
      <c r="D2044"/>
    </row>
    <row r="2045" spans="3:4">
      <c r="C2045"/>
      <c r="D2045"/>
    </row>
    <row r="2046" spans="3:4">
      <c r="C2046"/>
      <c r="D2046"/>
    </row>
    <row r="2047" spans="3:4">
      <c r="C2047"/>
      <c r="D2047"/>
    </row>
    <row r="2048" spans="3:4">
      <c r="C2048"/>
      <c r="D2048"/>
    </row>
    <row r="2049" spans="3:4">
      <c r="C2049"/>
      <c r="D2049"/>
    </row>
    <row r="2050" spans="3:4">
      <c r="C2050"/>
      <c r="D2050"/>
    </row>
    <row r="2051" spans="3:4">
      <c r="C2051"/>
      <c r="D2051"/>
    </row>
    <row r="2052" spans="3:4">
      <c r="C2052"/>
      <c r="D2052"/>
    </row>
    <row r="2053" spans="3:4">
      <c r="C2053"/>
      <c r="D2053"/>
    </row>
    <row r="2054" spans="3:4">
      <c r="C2054"/>
      <c r="D2054"/>
    </row>
    <row r="2055" spans="3:4">
      <c r="C2055"/>
      <c r="D2055"/>
    </row>
    <row r="2056" spans="3:4">
      <c r="C2056"/>
      <c r="D2056"/>
    </row>
    <row r="2057" spans="3:4">
      <c r="C2057"/>
      <c r="D2057"/>
    </row>
    <row r="2058" spans="3:4">
      <c r="C2058"/>
      <c r="D2058"/>
    </row>
    <row r="2059" spans="3:4">
      <c r="C2059"/>
      <c r="D2059"/>
    </row>
    <row r="2060" spans="3:4">
      <c r="C2060"/>
      <c r="D2060"/>
    </row>
    <row r="2061" spans="3:4">
      <c r="C2061"/>
      <c r="D2061"/>
    </row>
    <row r="2062" spans="3:4">
      <c r="C2062"/>
      <c r="D2062"/>
    </row>
    <row r="2063" spans="3:4">
      <c r="C2063"/>
      <c r="D2063"/>
    </row>
    <row r="2064" spans="3:4">
      <c r="C2064"/>
      <c r="D2064"/>
    </row>
    <row r="2065" spans="3:4">
      <c r="C2065"/>
      <c r="D2065"/>
    </row>
    <row r="2066" spans="3:4">
      <c r="C2066"/>
      <c r="D2066"/>
    </row>
    <row r="2067" spans="3:4">
      <c r="C2067"/>
      <c r="D2067"/>
    </row>
    <row r="2068" spans="3:4">
      <c r="C2068"/>
      <c r="D2068"/>
    </row>
    <row r="2069" spans="3:4">
      <c r="C2069"/>
      <c r="D2069"/>
    </row>
    <row r="2070" spans="3:4">
      <c r="C2070"/>
      <c r="D2070"/>
    </row>
    <row r="2071" spans="3:4">
      <c r="C2071"/>
      <c r="D2071"/>
    </row>
    <row r="2072" spans="3:4">
      <c r="C2072"/>
      <c r="D2072"/>
    </row>
    <row r="2073" spans="3:4">
      <c r="C2073"/>
      <c r="D2073"/>
    </row>
    <row r="2074" spans="3:4">
      <c r="C2074"/>
      <c r="D2074"/>
    </row>
    <row r="2075" spans="3:4">
      <c r="C2075"/>
      <c r="D2075"/>
    </row>
    <row r="2076" spans="3:4">
      <c r="C2076"/>
      <c r="D2076"/>
    </row>
    <row r="2077" spans="3:4">
      <c r="C2077"/>
      <c r="D2077"/>
    </row>
    <row r="2078" spans="3:4">
      <c r="C2078"/>
      <c r="D2078"/>
    </row>
    <row r="2079" spans="3:4">
      <c r="C2079"/>
      <c r="D2079"/>
    </row>
    <row r="2080" spans="3:4">
      <c r="C2080"/>
      <c r="D2080"/>
    </row>
    <row r="2081" spans="3:4">
      <c r="C2081"/>
      <c r="D2081"/>
    </row>
    <row r="2082" spans="3:4">
      <c r="C2082"/>
      <c r="D2082"/>
    </row>
    <row r="2083" spans="3:4">
      <c r="C2083"/>
      <c r="D2083"/>
    </row>
    <row r="2084" spans="3:4">
      <c r="C2084"/>
      <c r="D2084"/>
    </row>
    <row r="2085" spans="3:4">
      <c r="C2085"/>
      <c r="D2085"/>
    </row>
    <row r="2086" spans="3:4">
      <c r="C2086"/>
      <c r="D2086"/>
    </row>
    <row r="2087" spans="3:4">
      <c r="C2087"/>
      <c r="D2087"/>
    </row>
    <row r="2088" spans="3:4">
      <c r="C2088"/>
      <c r="D2088"/>
    </row>
    <row r="2089" spans="3:4">
      <c r="C2089"/>
      <c r="D2089"/>
    </row>
    <row r="2090" spans="3:4">
      <c r="C2090"/>
      <c r="D2090"/>
    </row>
    <row r="2091" spans="3:4">
      <c r="C2091"/>
      <c r="D2091"/>
    </row>
    <row r="2092" spans="3:4">
      <c r="C2092"/>
      <c r="D2092"/>
    </row>
    <row r="2093" spans="3:4">
      <c r="C2093"/>
      <c r="D2093"/>
    </row>
    <row r="2094" spans="3:4">
      <c r="C2094"/>
      <c r="D2094"/>
    </row>
    <row r="2095" spans="3:4">
      <c r="C2095"/>
      <c r="D2095"/>
    </row>
    <row r="2096" spans="3:4">
      <c r="C2096"/>
      <c r="D2096"/>
    </row>
    <row r="2097" spans="3:4">
      <c r="C2097"/>
      <c r="D2097"/>
    </row>
    <row r="2098" spans="3:4">
      <c r="C2098"/>
      <c r="D2098"/>
    </row>
    <row r="2099" spans="3:4">
      <c r="C2099"/>
      <c r="D2099"/>
    </row>
    <row r="2100" spans="3:4">
      <c r="C2100"/>
      <c r="D2100"/>
    </row>
    <row r="2101" spans="3:4">
      <c r="C2101"/>
      <c r="D2101"/>
    </row>
    <row r="2102" spans="3:4">
      <c r="C2102"/>
      <c r="D2102"/>
    </row>
    <row r="2103" spans="3:4">
      <c r="C2103"/>
      <c r="D2103"/>
    </row>
    <row r="2104" spans="3:4">
      <c r="C2104"/>
      <c r="D2104"/>
    </row>
    <row r="2105" spans="3:4">
      <c r="C2105"/>
      <c r="D2105"/>
    </row>
    <row r="2106" spans="3:4">
      <c r="C2106"/>
      <c r="D2106"/>
    </row>
    <row r="2107" spans="3:4">
      <c r="C2107"/>
      <c r="D2107"/>
    </row>
    <row r="2108" spans="3:4">
      <c r="C2108"/>
      <c r="D2108"/>
    </row>
    <row r="2109" spans="3:4">
      <c r="C2109"/>
      <c r="D2109"/>
    </row>
    <row r="2110" spans="3:4">
      <c r="C2110"/>
      <c r="D2110"/>
    </row>
    <row r="2111" spans="3:4">
      <c r="C2111"/>
      <c r="D2111"/>
    </row>
    <row r="2112" spans="3:4">
      <c r="C2112"/>
      <c r="D2112"/>
    </row>
    <row r="2113" spans="3:4">
      <c r="C2113"/>
      <c r="D2113"/>
    </row>
    <row r="2114" spans="3:4">
      <c r="C2114"/>
      <c r="D2114"/>
    </row>
    <row r="2115" spans="3:4">
      <c r="C2115"/>
      <c r="D2115"/>
    </row>
    <row r="2116" spans="3:4">
      <c r="C2116"/>
      <c r="D2116"/>
    </row>
    <row r="2117" spans="3:4">
      <c r="C2117"/>
      <c r="D2117"/>
    </row>
    <row r="2118" spans="3:4">
      <c r="C2118"/>
      <c r="D2118"/>
    </row>
    <row r="2119" spans="3:4">
      <c r="C2119"/>
      <c r="D2119"/>
    </row>
    <row r="2120" spans="3:4">
      <c r="C2120"/>
      <c r="D2120"/>
    </row>
    <row r="2121" spans="3:4">
      <c r="C2121"/>
      <c r="D2121"/>
    </row>
    <row r="2122" spans="3:4">
      <c r="C2122"/>
      <c r="D2122"/>
    </row>
    <row r="2123" spans="3:4">
      <c r="C2123"/>
      <c r="D2123"/>
    </row>
    <row r="2124" spans="3:4">
      <c r="C2124"/>
      <c r="D2124"/>
    </row>
    <row r="2125" spans="3:4">
      <c r="C2125"/>
      <c r="D2125"/>
    </row>
    <row r="2126" spans="3:4">
      <c r="C2126"/>
      <c r="D2126"/>
    </row>
    <row r="2127" spans="3:4">
      <c r="C2127"/>
      <c r="D2127"/>
    </row>
    <row r="2128" spans="3:4">
      <c r="C2128"/>
      <c r="D2128"/>
    </row>
    <row r="2129" spans="3:4">
      <c r="C2129"/>
      <c r="D2129"/>
    </row>
    <row r="2130" spans="3:4">
      <c r="C2130"/>
      <c r="D2130"/>
    </row>
    <row r="2131" spans="3:4">
      <c r="C2131"/>
      <c r="D2131"/>
    </row>
    <row r="2132" spans="3:4">
      <c r="C2132"/>
      <c r="D2132"/>
    </row>
    <row r="2133" spans="3:4">
      <c r="C2133"/>
      <c r="D2133"/>
    </row>
    <row r="2134" spans="3:4">
      <c r="C2134"/>
      <c r="D2134"/>
    </row>
    <row r="2135" spans="3:4">
      <c r="C2135"/>
      <c r="D2135"/>
    </row>
    <row r="2136" spans="3:4">
      <c r="C2136"/>
      <c r="D2136"/>
    </row>
    <row r="2137" spans="3:4">
      <c r="C2137"/>
      <c r="D2137"/>
    </row>
    <row r="2138" spans="3:4">
      <c r="C2138"/>
      <c r="D2138"/>
    </row>
    <row r="2139" spans="3:4">
      <c r="C2139"/>
      <c r="D2139"/>
    </row>
    <row r="2140" spans="3:4">
      <c r="C2140"/>
      <c r="D2140"/>
    </row>
    <row r="2141" spans="3:4">
      <c r="C2141"/>
      <c r="D2141"/>
    </row>
    <row r="2142" spans="3:4">
      <c r="C2142"/>
      <c r="D2142"/>
    </row>
    <row r="2143" spans="3:4">
      <c r="C2143"/>
      <c r="D2143"/>
    </row>
    <row r="2144" spans="3:4">
      <c r="C2144"/>
      <c r="D2144"/>
    </row>
    <row r="2145" spans="3:4">
      <c r="C2145"/>
      <c r="D2145"/>
    </row>
    <row r="2146" spans="3:4">
      <c r="C2146"/>
      <c r="D2146"/>
    </row>
    <row r="2147" spans="3:4">
      <c r="C2147"/>
      <c r="D2147"/>
    </row>
    <row r="2148" spans="3:4">
      <c r="C2148"/>
      <c r="D2148"/>
    </row>
    <row r="2149" spans="3:4">
      <c r="C2149"/>
      <c r="D2149"/>
    </row>
    <row r="2150" spans="3:4">
      <c r="C2150"/>
      <c r="D2150"/>
    </row>
    <row r="2151" spans="3:4">
      <c r="C2151"/>
      <c r="D2151"/>
    </row>
    <row r="2152" spans="3:4">
      <c r="C2152"/>
      <c r="D2152"/>
    </row>
    <row r="2153" spans="3:4">
      <c r="C2153"/>
      <c r="D2153"/>
    </row>
    <row r="2154" spans="3:4">
      <c r="C2154"/>
      <c r="D2154"/>
    </row>
    <row r="2155" spans="3:4">
      <c r="C2155"/>
      <c r="D2155"/>
    </row>
    <row r="2156" spans="3:4">
      <c r="C2156"/>
      <c r="D2156"/>
    </row>
    <row r="2157" spans="3:4">
      <c r="C2157"/>
      <c r="D2157"/>
    </row>
    <row r="2158" spans="3:4">
      <c r="C2158"/>
      <c r="D2158"/>
    </row>
    <row r="2159" spans="3:4">
      <c r="C2159"/>
      <c r="D2159"/>
    </row>
    <row r="2160" spans="3:4">
      <c r="C2160"/>
      <c r="D2160"/>
    </row>
    <row r="2161" spans="3:4">
      <c r="C2161"/>
      <c r="D2161"/>
    </row>
    <row r="2162" spans="3:4">
      <c r="C2162"/>
      <c r="D2162"/>
    </row>
    <row r="2163" spans="3:4">
      <c r="C2163"/>
      <c r="D2163"/>
    </row>
    <row r="2164" spans="3:4">
      <c r="C2164"/>
      <c r="D2164"/>
    </row>
    <row r="2165" spans="3:4">
      <c r="C2165"/>
      <c r="D2165"/>
    </row>
    <row r="2166" spans="3:4">
      <c r="C2166"/>
      <c r="D2166"/>
    </row>
    <row r="2167" spans="3:4">
      <c r="C2167"/>
      <c r="D2167"/>
    </row>
    <row r="2168" spans="3:4">
      <c r="C2168"/>
      <c r="D2168"/>
    </row>
    <row r="2169" spans="3:4">
      <c r="C2169"/>
      <c r="D2169"/>
    </row>
    <row r="2170" spans="3:4">
      <c r="C2170"/>
      <c r="D2170"/>
    </row>
    <row r="2171" spans="3:4">
      <c r="C2171"/>
      <c r="D2171"/>
    </row>
    <row r="2172" spans="3:4">
      <c r="C2172"/>
      <c r="D2172"/>
    </row>
    <row r="2173" spans="3:4">
      <c r="C2173"/>
      <c r="D2173"/>
    </row>
    <row r="2174" spans="3:4">
      <c r="C2174"/>
      <c r="D2174"/>
    </row>
    <row r="2175" spans="3:4">
      <c r="C2175"/>
      <c r="D2175"/>
    </row>
    <row r="2176" spans="3:4">
      <c r="C2176"/>
      <c r="D2176"/>
    </row>
    <row r="2177" spans="3:4">
      <c r="C2177"/>
      <c r="D2177"/>
    </row>
    <row r="2178" spans="3:4">
      <c r="C2178"/>
      <c r="D2178"/>
    </row>
    <row r="2179" spans="3:4">
      <c r="C2179"/>
      <c r="D2179"/>
    </row>
    <row r="2180" spans="3:4">
      <c r="C2180"/>
      <c r="D2180"/>
    </row>
    <row r="2181" spans="3:4">
      <c r="C2181"/>
      <c r="D2181"/>
    </row>
    <row r="2182" spans="3:4">
      <c r="C2182"/>
      <c r="D2182"/>
    </row>
    <row r="2183" spans="3:4">
      <c r="C2183"/>
      <c r="D2183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Ingreso</vt:lpstr>
      <vt:lpstr>Informe Kelly</vt:lpstr>
      <vt:lpstr>cruce 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Tenshi98</cp:lastModifiedBy>
  <cp:lastPrinted>2009-05-06T13:00:05Z</cp:lastPrinted>
  <dcterms:created xsi:type="dcterms:W3CDTF">2002-02-26T04:08:33Z</dcterms:created>
  <dcterms:modified xsi:type="dcterms:W3CDTF">2011-12-22T10:32:56Z</dcterms:modified>
</cp:coreProperties>
</file>